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'Resumen_y_Graficos'!$A$11:$A$15</f>
            </numRef>
          </cat>
          <val>
            <numRef>
              <f>'Resumen_y_Graficos'!$B$11:$B$15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53133811</t>
        </is>
      </c>
      <c r="C3" s="7" t="inlineStr">
        <is>
          <t>DIANA CAROLINA POLO RAMOS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1083001191</t>
        </is>
      </c>
      <c r="C4" s="4" t="inlineStr">
        <is>
          <t>LADY MARIANE FONTALVO TOLOSA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>
        <is>
          <t>1005570324</t>
        </is>
      </c>
      <c r="C5" s="7" t="inlineStr">
        <is>
          <t>DANIELA ANDREA MARTINEZ ESPANA</t>
        </is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>
        <is>
          <t>1032451810</t>
        </is>
      </c>
      <c r="C6" s="4" t="inlineStr">
        <is>
          <t>SERGIO IVAN ALBARRACIN SANCHEZ</t>
        </is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>
        <is>
          <t>1098750510</t>
        </is>
      </c>
      <c r="C7" s="7" t="inlineStr">
        <is>
          <t>NELLY JOHANA ALVAREZ IDARRAGA</t>
        </is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>
        <is>
          <t>80099466</t>
        </is>
      </c>
      <c r="C8" s="4" t="inlineStr">
        <is>
          <t>ALBYN FABIAN LEON BAQUERO</t>
        </is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>
        <is>
          <t>80186209</t>
        </is>
      </c>
      <c r="C9" s="7" t="inlineStr">
        <is>
          <t>MICHEL FEDERICO BUSTOS ROMERO</t>
        </is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>
        <is>
          <t>52412273</t>
        </is>
      </c>
      <c r="C10" s="4" t="inlineStr">
        <is>
          <t>MELVY CRISTIANI RIVERA</t>
        </is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>
        <is>
          <t>1020752802</t>
        </is>
      </c>
      <c r="C11" s="7" t="inlineStr">
        <is>
          <t>CRISTOBAL GOMEZ REINA</t>
        </is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>
        <is>
          <t>78024830</t>
        </is>
      </c>
      <c r="C12" s="4" t="inlineStr">
        <is>
          <t>EMERSON MANUEL CASTANO PATERNINA</t>
        </is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>
        <is>
          <t>7175280</t>
        </is>
      </c>
      <c r="C13" s="7" t="inlineStr">
        <is>
          <t>JULIO CESAR PACHON EUGENIO</t>
        </is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>
        <is>
          <t>1032363391</t>
        </is>
      </c>
      <c r="C14" s="4" t="inlineStr">
        <is>
          <t>JENNY ROCIO HERNANDEZ FLOREZ</t>
        </is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>
        <is>
          <t>79955605</t>
        </is>
      </c>
      <c r="C15" s="7" t="inlineStr">
        <is>
          <t>RAFAEL FRANCISCO DIAZ VASQUEZ</t>
        </is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>
        <is>
          <t>1019066088</t>
        </is>
      </c>
      <c r="C16" s="4" t="inlineStr">
        <is>
          <t>DIEGO FERNANDO DELGADO CUELLAR</t>
        </is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>
        <is>
          <t>1013591700</t>
        </is>
      </c>
      <c r="C17" s="7" t="inlineStr">
        <is>
          <t>JOHNY ANDRES JARAMILLO PALACIO</t>
        </is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>
        <is>
          <t>53044000</t>
        </is>
      </c>
      <c r="C18" s="4" t="inlineStr">
        <is>
          <t>KELLY JOHANNA SIERRA RODRIGUEZ</t>
        </is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>
        <is>
          <t>1020788193</t>
        </is>
      </c>
      <c r="C19" s="7" t="inlineStr">
        <is>
          <t>DANIEL FELIPE BELTRAN JIMENEZ</t>
        </is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>
        <is>
          <t>1085920254</t>
        </is>
      </c>
      <c r="C20" s="4" t="inlineStr">
        <is>
          <t>JANETH CRISTINA MENDEZ ROSERO</t>
        </is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>
        <is>
          <t>1032415074</t>
        </is>
      </c>
      <c r="C21" s="7" t="inlineStr">
        <is>
          <t>GIOVANNY ROBLEDO VILLANUEVA</t>
        </is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>
        <is>
          <t>80882570</t>
        </is>
      </c>
      <c r="C22" s="4" t="inlineStr">
        <is>
          <t>ANDRES ALBERTO GARRIDO TORRES</t>
        </is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>
        <is>
          <t>52365713</t>
        </is>
      </c>
      <c r="C23" s="7" t="inlineStr">
        <is>
          <t>ERIKA ROCIO ROMERO ORJUELA</t>
        </is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>
        <is>
          <t>1010229459</t>
        </is>
      </c>
      <c r="C24" s="4" t="inlineStr">
        <is>
          <t>JUAN CAMILO BOHORQUEZ VIVAS</t>
        </is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>
        <is>
          <t>1082931770</t>
        </is>
      </c>
      <c r="C25" s="7" t="inlineStr">
        <is>
          <t>JUAN LUIS CAMARGO GRANADOS</t>
        </is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>
        <is>
          <t>1121835674</t>
        </is>
      </c>
      <c r="C26" s="4" t="inlineStr">
        <is>
          <t>JHON ARLEY PARRADO ARENAS</t>
        </is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>
        <is>
          <t>60364287</t>
        </is>
      </c>
      <c r="C27" s="7" t="inlineStr">
        <is>
          <t>ALEJANDRINA RINCON ACEVEDO</t>
        </is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>
        <is>
          <t>7630409</t>
        </is>
      </c>
      <c r="C28" s="4" t="inlineStr">
        <is>
          <t>JOSE RAFAEL DAVILA FERNANDEZ</t>
        </is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>
        <is>
          <t>1075667294</t>
        </is>
      </c>
      <c r="C29" s="7" t="inlineStr">
        <is>
          <t>CHRISTIAN DAVID RAMIREZ RUBIANO</t>
        </is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>
        <is>
          <t>65786864</t>
        </is>
      </c>
      <c r="C30" s="4" t="inlineStr">
        <is>
          <t>YAMILE MEDINA CASTANEDA</t>
        </is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>
        <is>
          <t>1102860563</t>
        </is>
      </c>
      <c r="C31" s="7" t="inlineStr">
        <is>
          <t>RAFAEL EDUARDO PATERNINA DIAZ</t>
        </is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>
        <is>
          <t>52542490</t>
        </is>
      </c>
      <c r="C32" s="4" t="inlineStr">
        <is>
          <t>CAROLL ALEAN MAHECHA</t>
        </is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>
        <is>
          <t>1013587134</t>
        </is>
      </c>
      <c r="C33" s="7" t="inlineStr">
        <is>
          <t>CLAUDIA MILENA OSPINA LOPEZ</t>
        </is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>
        <is>
          <t>8642585</t>
        </is>
      </c>
      <c r="C34" s="4" t="inlineStr">
        <is>
          <t>JUAN CARLOS HERRERA ESTRADA</t>
        </is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>
        <is>
          <t>1140863887</t>
        </is>
      </c>
      <c r="C35" s="7" t="inlineStr">
        <is>
          <t>NICOLE NATHALY ARROYO SANCHEZ</t>
        </is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>
        <is>
          <t>88209112</t>
        </is>
      </c>
      <c r="C36" s="4" t="inlineStr">
        <is>
          <t>WILSON BONILLA PABON</t>
        </is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1098750510</t>
        </is>
      </c>
      <c r="C3" s="7" t="inlineStr">
        <is>
          <t>NELLY JOHANA ALVAREZ IDARRAGA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99999999</t>
        </is>
      </c>
      <c r="C4" s="4" t="inlineStr">
        <is>
          <t>PRUEBA NO EXISTENTE EN PLANTA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/>
      <c r="C5" s="7">
        <f>IF(B5="","",IFERROR(VLOOKUP(B5, PLANTA_BASE!A:Q, 3, FALSE), ""))</f>
        <v/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/>
      <c r="C6" s="4">
        <f>IF(B6="","",IFERROR(VLOOKUP(B6, PLANTA_BASE!A:Q, 3, FALSE), ""))</f>
        <v/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/>
      <c r="C7" s="7">
        <f>IF(B7="","",IFERROR(VLOOKUP(B7, PLANTA_BASE!A:Q, 3, FALSE), ""))</f>
        <v/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/>
      <c r="C8" s="4">
        <f>IF(B8="","",IFERROR(VLOOKUP(B8, PLANTA_BASE!A:Q, 3, FALSE), ""))</f>
        <v/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/>
      <c r="C9" s="7">
        <f>IF(B9="","",IFERROR(VLOOKUP(B9, PLANTA_BASE!A:Q, 3, FALSE), ""))</f>
        <v/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/>
      <c r="C10" s="4">
        <f>IF(B10="","",IFERROR(VLOOKUP(B10, PLANTA_BASE!A:Q, 3, FALSE), ""))</f>
        <v/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/>
      <c r="C11" s="7">
        <f>IF(B11="","",IFERROR(VLOOKUP(B11, PLANTA_BASE!A:Q, 3, FALSE), ""))</f>
        <v/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/>
      <c r="C12" s="4">
        <f>IF(B12="","",IFERROR(VLOOKUP(B12, PLANTA_BASE!A:Q, 3, FALSE), ""))</f>
        <v/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/>
      <c r="C13" s="7">
        <f>IF(B13="","",IFERROR(VLOOKUP(B13, PLANTA_BASE!A:Q, 3, FALSE), ""))</f>
        <v/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/>
      <c r="C14" s="4">
        <f>IF(B14="","",IFERROR(VLOOKUP(B14, PLANTA_BASE!A:Q, 3, FALSE), ""))</f>
        <v/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/>
      <c r="C15" s="7">
        <f>IF(B15="","",IFERROR(VLOOKUP(B15, PLANTA_BASE!A:Q, 3, FALSE), ""))</f>
        <v/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/>
      <c r="C16" s="4">
        <f>IF(B16="","",IFERROR(VLOOKUP(B16, PLANTA_BASE!A:Q, 3, FALSE), ""))</f>
        <v/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/>
      <c r="C17" s="7">
        <f>IF(B17="","",IFERROR(VLOOKUP(B17, PLANTA_BASE!A:Q, 3, FALSE), ""))</f>
        <v/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/>
      <c r="C18" s="4">
        <f>IF(B18="","",IFERROR(VLOOKUP(B18, PLANTA_BASE!A:Q, 3, FALSE), ""))</f>
        <v/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/>
      <c r="C19" s="7">
        <f>IF(B19="","",IFERROR(VLOOKUP(B19, PLANTA_BASE!A:Q, 3, FALSE), ""))</f>
        <v/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/>
      <c r="C20" s="4">
        <f>IF(B20="","",IFERROR(VLOOKUP(B20, PLANTA_BASE!A:Q, 3, FALSE), ""))</f>
        <v/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/>
      <c r="C21" s="7">
        <f>IF(B21="","",IFERROR(VLOOKUP(B21, PLANTA_BASE!A:Q, 3, FALSE), ""))</f>
        <v/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/>
      <c r="C22" s="4">
        <f>IF(B22="","",IFERROR(VLOOKUP(B22, PLANTA_BASE!A:Q, 3, FALSE), ""))</f>
        <v/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/>
      <c r="C23" s="7">
        <f>IF(B23="","",IFERROR(VLOOKUP(B23, PLANTA_BASE!A:Q, 3, FALSE), ""))</f>
        <v/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/>
      <c r="C24" s="4">
        <f>IF(B24="","",IFERROR(VLOOKUP(B24, PLANTA_BASE!A:Q, 3, FALSE), ""))</f>
        <v/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/>
      <c r="C25" s="7">
        <f>IF(B25="","",IFERROR(VLOOKUP(B25, PLANTA_BASE!A:Q, 3, FALSE), ""))</f>
        <v/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/>
      <c r="C26" s="4">
        <f>IF(B26="","",IFERROR(VLOOKUP(B26, PLANTA_BASE!A:Q, 3, FALSE), ""))</f>
        <v/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/>
      <c r="C27" s="7">
        <f>IF(B27="","",IFERROR(VLOOKUP(B27, PLANTA_BASE!A:Q, 3, FALSE), ""))</f>
        <v/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/>
      <c r="C28" s="4">
        <f>IF(B28="","",IFERROR(VLOOKUP(B28, PLANTA_BASE!A:Q, 3, FALSE), ""))</f>
        <v/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/>
      <c r="C29" s="7">
        <f>IF(B29="","",IFERROR(VLOOKUP(B29, PLANTA_BASE!A:Q, 3, FALSE), ""))</f>
        <v/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/>
      <c r="C30" s="4">
        <f>IF(B30="","",IFERROR(VLOOKUP(B30, PLANTA_BASE!A:Q, 3, FALSE), ""))</f>
        <v/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/>
      <c r="C31" s="7">
        <f>IF(B31="","",IFERROR(VLOOKUP(B31, PLANTA_BASE!A:Q, 3, FALSE), ""))</f>
        <v/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/>
      <c r="C32" s="4">
        <f>IF(B32="","",IFERROR(VLOOKUP(B32, PLANTA_BASE!A:Q, 3, FALSE), ""))</f>
        <v/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/>
      <c r="C33" s="7">
        <f>IF(B33="","",IFERROR(VLOOKUP(B33, PLANTA_BASE!A:Q, 3, FALSE), ""))</f>
        <v/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/>
      <c r="C34" s="4">
        <f>IF(B34="","",IFERROR(VLOOKUP(B34, PLANTA_BASE!A:Q, 3, FALSE), ""))</f>
        <v/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/>
      <c r="C35" s="7">
        <f>IF(B35="","",IFERROR(VLOOKUP(B35, PLANTA_BASE!A:Q, 3, FALSE), ""))</f>
        <v/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/>
      <c r="C36" s="4">
        <f>IF(B36="","",IFERROR(VLOOKUP(B36, PLANTA_BASE!A:Q, 3, FALSE), ""))</f>
        <v/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20</v>
      </c>
    </row>
    <row r="5">
      <c r="A5" s="10" t="inlineStr">
        <is>
          <t>VIRTUAL</t>
        </is>
      </c>
      <c r="B5" s="11" t="n">
        <v>9</v>
      </c>
    </row>
    <row r="6">
      <c r="A6" s="10" t="inlineStr">
        <is>
          <t>PRESENCIAL REGIONAL</t>
        </is>
      </c>
      <c r="B6" s="11" t="n">
        <v>6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20</v>
      </c>
    </row>
    <row r="12">
      <c r="A12" s="10" t="inlineStr">
        <is>
          <t>REGIONAL SUCRE</t>
        </is>
      </c>
      <c r="B12" s="11" t="n">
        <v>2</v>
      </c>
    </row>
    <row r="13">
      <c r="A13" s="10" t="inlineStr">
        <is>
          <t>REGIONAL TOLIMA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ATLANTICO</t>
        </is>
      </c>
      <c r="B15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2026-07-30T19:31:14Z</dcterms:created>
  <dcterms:modified xsi:type="dcterms:W3CDTF">2026-07-30T19:31:17Z</dcterms:modified>
</cp:coreProperties>
</file>