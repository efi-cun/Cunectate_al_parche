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_Unicos" sheetId="1" state="visible" r:id="rId1"/>
    <sheet name="Duplicados" sheetId="2" state="visible" r:id="rId2"/>
    <sheet name="PLANTA_BASE" sheetId="3" state="visible" r:id="rId3"/>
    <sheet name="Resumen_y_Grafic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937"/>
      <sz val="11"/>
    </font>
    <font>
      <name val="Calibri"/>
      <b val="1"/>
      <color rgb="00004B28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004B28"/>
        <bgColor rgb="00004B2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por Modalidad (Únicos Válidos)</a:t>
            </a:r>
          </a:p>
        </rich>
      </tx>
    </title>
    <plotArea>
      <pieChart>
        <varyColors val="1"/>
        <ser>
          <idx val="0"/>
          <order val="0"/>
          <tx>
            <strRef>
              <f>'Resumen_y_Graficos'!B3</f>
            </strRef>
          </tx>
          <spPr>
            <a:ln>
              <a:prstDash val="solid"/>
            </a:ln>
          </spPr>
          <cat>
            <numRef>
              <f>'Resumen_y_Graficos'!$A$4:$A$6</f>
            </numRef>
          </cat>
          <val>
            <numRef>
              <f>'Resumen_y_Graficos'!$B$4:$B$6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Participación Presencial por Regional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'Resumen_y_Graficos'!B10</f>
            </strRef>
          </tx>
          <spPr>
            <a:ln>
              <a:prstDash val="solid"/>
            </a:ln>
          </spPr>
          <cat>
            <numRef>
              <f>'Resumen_y_Graficos'!$A$11:$A$16</f>
            </numRef>
          </cat>
          <val>
            <numRef>
              <f>'Resumen_y_Graficos'!$B$11:$B$16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Regional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9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8" customHeight="1">
      <c r="A1" s="1" t="inlineStr">
        <is>
          <t>INVITACIÓN</t>
        </is>
      </c>
      <c r="B1" s="1" t="inlineStr">
        <is>
          <t>CEDULA</t>
        </is>
      </c>
      <c r="C1" s="1" t="inlineStr">
        <is>
          <t>NOMBRE</t>
        </is>
      </c>
      <c r="D1" s="1" t="inlineStr">
        <is>
          <t>Nombre Nivel 2</t>
        </is>
      </c>
      <c r="E1" s="1" t="inlineStr">
        <is>
          <t>Nombre Nivel 3</t>
        </is>
      </c>
      <c r="F1" s="1" t="inlineStr">
        <is>
          <t>Descripción Cargo</t>
        </is>
      </c>
      <c r="G1" s="1" t="inlineStr">
        <is>
          <t>Nombre Centro Costo</t>
        </is>
      </c>
      <c r="H1" s="1" t="inlineStr">
        <is>
          <t>ESCUELA</t>
        </is>
      </c>
    </row>
    <row r="2" ht="20" customHeight="1">
      <c r="A2" s="2">
        <f>IF(B2="","",IFERROR(VLOOKUP(B2, PLANTA_BASE!A:R, 2, FALSE), "NO ENCONTRADO EN PLANTA"))</f>
        <v/>
      </c>
      <c r="B2" s="3" t="inlineStr">
        <is>
          <t>80812606</t>
        </is>
      </c>
      <c r="C2" s="4" t="inlineStr">
        <is>
          <t>SANDINO MARTINEZ MIGUEL ERNESTO</t>
        </is>
      </c>
      <c r="D2" s="2">
        <f>IF(B2="","",IFERROR(VLOOKUP(B2, PLANTA_BASE!A:R, 5, FALSE), "NO ENCONTRADO EN PLANTA"))</f>
        <v/>
      </c>
      <c r="E2" s="2">
        <f>IF(B2="","",IFERROR(VLOOKUP(B2, PLANTA_BASE!A:R, 6, FALSE), "NO ENCONTRADO EN PLANTA"))</f>
        <v/>
      </c>
      <c r="F2" s="4">
        <f>IF(B2="","",IFERROR(VLOOKUP(B2, PLANTA_BASE!A:R, 8, FALSE), "DOCENTE / FACILITADOR"))</f>
        <v/>
      </c>
      <c r="G2" s="4">
        <f>IF(B2="","",IFERROR(VLOOKUP(B2, PLANTA_BASE!A:R, 9, FALSE), "GENERAL"))</f>
        <v/>
      </c>
      <c r="H2" s="2">
        <f>IF(B2="","",IFERROR(VLOOKUP(B2, PLANTA_BASE!A:R, 17, FALSE), "GENERAL"))</f>
        <v/>
      </c>
    </row>
    <row r="3" ht="20" customHeight="1">
      <c r="A3" s="5">
        <f>IF(B3="","",IFERROR(VLOOKUP(B3, PLANTA_BASE!A:R, 2, FALSE), "NO ENCONTRADO EN PLANTA"))</f>
        <v/>
      </c>
      <c r="B3" s="6" t="inlineStr">
        <is>
          <t>1015412447</t>
        </is>
      </c>
      <c r="C3" s="7" t="inlineStr">
        <is>
          <t>GARCIA JUAN SEBASTIAN</t>
        </is>
      </c>
      <c r="D3" s="5">
        <f>IF(B3="","",IFERROR(VLOOKUP(B3, PLANTA_BASE!A:R, 5, FALSE), "NO ENCONTRADO EN PLANTA"))</f>
        <v/>
      </c>
      <c r="E3" s="5">
        <f>IF(B3="","",IFERROR(VLOOKUP(B3, PLANTA_BASE!A:R, 6, FALSE), "NO ENCONTRADO EN PLANTA"))</f>
        <v/>
      </c>
      <c r="F3" s="7">
        <f>IF(B3="","",IFERROR(VLOOKUP(B3, PLANTA_BASE!A:R, 8, FALSE), "DOCENTE / FACILITADOR"))</f>
        <v/>
      </c>
      <c r="G3" s="7">
        <f>IF(B3="","",IFERROR(VLOOKUP(B3, PLANTA_BASE!A:R, 9, FALSE), "GENERAL"))</f>
        <v/>
      </c>
      <c r="H3" s="5">
        <f>IF(B3="","",IFERROR(VLOOKUP(B3, PLANTA_BASE!A:R, 17, FALSE), "GENERAL"))</f>
        <v/>
      </c>
    </row>
    <row r="4" ht="20" customHeight="1">
      <c r="A4" s="2">
        <f>IF(B4="","",IFERROR(VLOOKUP(B4, PLANTA_BASE!A:R, 2, FALSE), "NO ENCONTRADO EN PLANTA"))</f>
        <v/>
      </c>
      <c r="B4" s="3" t="inlineStr">
        <is>
          <t>1233504005</t>
        </is>
      </c>
      <c r="C4" s="4" t="inlineStr">
        <is>
          <t>BUITRAGO SANTIAGO</t>
        </is>
      </c>
      <c r="D4" s="2">
        <f>IF(B4="","",IFERROR(VLOOKUP(B4, PLANTA_BASE!A:R, 5, FALSE), "NO ENCONTRADO EN PLANTA"))</f>
        <v/>
      </c>
      <c r="E4" s="2">
        <f>IF(B4="","",IFERROR(VLOOKUP(B4, PLANTA_BASE!A:R, 6, FALSE), "NO ENCONTRADO EN PLANTA"))</f>
        <v/>
      </c>
      <c r="F4" s="4">
        <f>IF(B4="","",IFERROR(VLOOKUP(B4, PLANTA_BASE!A:R, 8, FALSE), "DOCENTE / FACILITADOR"))</f>
        <v/>
      </c>
      <c r="G4" s="4">
        <f>IF(B4="","",IFERROR(VLOOKUP(B4, PLANTA_BASE!A:R, 9, FALSE), "GENERAL"))</f>
        <v/>
      </c>
      <c r="H4" s="2">
        <f>IF(B4="","",IFERROR(VLOOKUP(B4, PLANTA_BASE!A:R, 17, FALSE), "GENERAL"))</f>
        <v/>
      </c>
    </row>
    <row r="5" ht="20" customHeight="1">
      <c r="A5" s="5">
        <f>IF(B5="","",IFERROR(VLOOKUP(B5, PLANTA_BASE!A:R, 2, FALSE), "NO ENCONTRADO EN PLANTA"))</f>
        <v/>
      </c>
      <c r="B5" s="6" t="inlineStr">
        <is>
          <t>1023885019</t>
        </is>
      </c>
      <c r="C5" s="7" t="inlineStr">
        <is>
          <t>VELEZ JESUS</t>
        </is>
      </c>
      <c r="D5" s="5">
        <f>IF(B5="","",IFERROR(VLOOKUP(B5, PLANTA_BASE!A:R, 5, FALSE), "NO ENCONTRADO EN PLANTA"))</f>
        <v/>
      </c>
      <c r="E5" s="5">
        <f>IF(B5="","",IFERROR(VLOOKUP(B5, PLANTA_BASE!A:R, 6, FALSE), "NO ENCONTRADO EN PLANTA"))</f>
        <v/>
      </c>
      <c r="F5" s="7">
        <f>IF(B5="","",IFERROR(VLOOKUP(B5, PLANTA_BASE!A:R, 8, FALSE), "DOCENTE / FACILITADOR"))</f>
        <v/>
      </c>
      <c r="G5" s="7">
        <f>IF(B5="","",IFERROR(VLOOKUP(B5, PLANTA_BASE!A:R, 9, FALSE), "GENERAL"))</f>
        <v/>
      </c>
      <c r="H5" s="5">
        <f>IF(B5="","",IFERROR(VLOOKUP(B5, PLANTA_BASE!A:R, 17, FALSE), "GENERAL"))</f>
        <v/>
      </c>
    </row>
    <row r="6" ht="20" customHeight="1">
      <c r="A6" s="2">
        <f>IF(B6="","",IFERROR(VLOOKUP(B6, PLANTA_BASE!A:R, 2, FALSE), "NO ENCONTRADO EN PLANTA"))</f>
        <v/>
      </c>
      <c r="B6" s="3" t="inlineStr">
        <is>
          <t>80793106</t>
        </is>
      </c>
      <c r="C6" s="4" t="inlineStr">
        <is>
          <t>RINCON ENRIQUE</t>
        </is>
      </c>
      <c r="D6" s="2">
        <f>IF(B6="","",IFERROR(VLOOKUP(B6, PLANTA_BASE!A:R, 5, FALSE), "NO ENCONTRADO EN PLANTA"))</f>
        <v/>
      </c>
      <c r="E6" s="2">
        <f>IF(B6="","",IFERROR(VLOOKUP(B6, PLANTA_BASE!A:R, 6, FALSE), "NO ENCONTRADO EN PLANTA"))</f>
        <v/>
      </c>
      <c r="F6" s="4">
        <f>IF(B6="","",IFERROR(VLOOKUP(B6, PLANTA_BASE!A:R, 8, FALSE), "DOCENTE / FACILITADOR"))</f>
        <v/>
      </c>
      <c r="G6" s="4">
        <f>IF(B6="","",IFERROR(VLOOKUP(B6, PLANTA_BASE!A:R, 9, FALSE), "GENERAL"))</f>
        <v/>
      </c>
      <c r="H6" s="2">
        <f>IF(B6="","",IFERROR(VLOOKUP(B6, PLANTA_BASE!A:R, 17, FALSE), "GENERAL"))</f>
        <v/>
      </c>
    </row>
    <row r="7" ht="20" customHeight="1">
      <c r="A7" s="5">
        <f>IF(B7="","",IFERROR(VLOOKUP(B7, PLANTA_BASE!A:R, 2, FALSE), "NO ENCONTRADO EN PLANTA"))</f>
        <v/>
      </c>
      <c r="B7" s="6" t="inlineStr">
        <is>
          <t>1070961899</t>
        </is>
      </c>
      <c r="C7" s="7" t="inlineStr">
        <is>
          <t>AREVALO FELIPE</t>
        </is>
      </c>
      <c r="D7" s="5">
        <f>IF(B7="","",IFERROR(VLOOKUP(B7, PLANTA_BASE!A:R, 5, FALSE), "NO ENCONTRADO EN PLANTA"))</f>
        <v/>
      </c>
      <c r="E7" s="5">
        <f>IF(B7="","",IFERROR(VLOOKUP(B7, PLANTA_BASE!A:R, 6, FALSE), "NO ENCONTRADO EN PLANTA"))</f>
        <v/>
      </c>
      <c r="F7" s="7">
        <f>IF(B7="","",IFERROR(VLOOKUP(B7, PLANTA_BASE!A:R, 8, FALSE), "DOCENTE / FACILITADOR"))</f>
        <v/>
      </c>
      <c r="G7" s="7">
        <f>IF(B7="","",IFERROR(VLOOKUP(B7, PLANTA_BASE!A:R, 9, FALSE), "GENERAL"))</f>
        <v/>
      </c>
      <c r="H7" s="5">
        <f>IF(B7="","",IFERROR(VLOOKUP(B7, PLANTA_BASE!A:R, 17, FALSE), "GENERAL"))</f>
        <v/>
      </c>
    </row>
    <row r="8" ht="20" customHeight="1">
      <c r="A8" s="2">
        <f>IF(B8="","",IFERROR(VLOOKUP(B8, PLANTA_BASE!A:R, 2, FALSE), "NO ENCONTRADO EN PLANTA"))</f>
        <v/>
      </c>
      <c r="B8" s="3" t="inlineStr">
        <is>
          <t>1010201839</t>
        </is>
      </c>
      <c r="C8" s="4" t="inlineStr">
        <is>
          <t>BECERRA ALEJANDRO</t>
        </is>
      </c>
      <c r="D8" s="2">
        <f>IF(B8="","",IFERROR(VLOOKUP(B8, PLANTA_BASE!A:R, 5, FALSE), "NO ENCONTRADO EN PLANTA"))</f>
        <v/>
      </c>
      <c r="E8" s="2">
        <f>IF(B8="","",IFERROR(VLOOKUP(B8, PLANTA_BASE!A:R, 6, FALSE), "NO ENCONTRADO EN PLANTA"))</f>
        <v/>
      </c>
      <c r="F8" s="4">
        <f>IF(B8="","",IFERROR(VLOOKUP(B8, PLANTA_BASE!A:R, 8, FALSE), "DOCENTE / FACILITADOR"))</f>
        <v/>
      </c>
      <c r="G8" s="4">
        <f>IF(B8="","",IFERROR(VLOOKUP(B8, PLANTA_BASE!A:R, 9, FALSE), "GENERAL"))</f>
        <v/>
      </c>
      <c r="H8" s="2">
        <f>IF(B8="","",IFERROR(VLOOKUP(B8, PLANTA_BASE!A:R, 17, FALSE), "GENERAL"))</f>
        <v/>
      </c>
    </row>
    <row r="9" ht="20" customHeight="1">
      <c r="A9" s="5">
        <f>IF(B9="","",IFERROR(VLOOKUP(B9, PLANTA_BASE!A:R, 2, FALSE), "NO ENCONTRADO EN PLANTA"))</f>
        <v/>
      </c>
      <c r="B9" s="6" t="inlineStr">
        <is>
          <t>1010227949</t>
        </is>
      </c>
      <c r="C9" s="7" t="inlineStr">
        <is>
          <t>PAEZ BALAGUERA HENRY ALEJANDRO</t>
        </is>
      </c>
      <c r="D9" s="5">
        <f>IF(B9="","",IFERROR(VLOOKUP(B9, PLANTA_BASE!A:R, 5, FALSE), "NO ENCONTRADO EN PLANTA"))</f>
        <v/>
      </c>
      <c r="E9" s="5">
        <f>IF(B9="","",IFERROR(VLOOKUP(B9, PLANTA_BASE!A:R, 6, FALSE), "NO ENCONTRADO EN PLANTA"))</f>
        <v/>
      </c>
      <c r="F9" s="7">
        <f>IF(B9="","",IFERROR(VLOOKUP(B9, PLANTA_BASE!A:R, 8, FALSE), "DOCENTE / FACILITADOR"))</f>
        <v/>
      </c>
      <c r="G9" s="7">
        <f>IF(B9="","",IFERROR(VLOOKUP(B9, PLANTA_BASE!A:R, 9, FALSE), "GENERAL"))</f>
        <v/>
      </c>
      <c r="H9" s="5">
        <f>IF(B9="","",IFERROR(VLOOKUP(B9, PLANTA_BASE!A:R, 17, FALSE), "GENERAL"))</f>
        <v/>
      </c>
    </row>
    <row r="10" ht="20" customHeight="1">
      <c r="A10" s="2">
        <f>IF(B10="","",IFERROR(VLOOKUP(B10, PLANTA_BASE!A:R, 2, FALSE), "NO ENCONTRADO EN PLANTA"))</f>
        <v/>
      </c>
      <c r="B10" s="3" t="inlineStr">
        <is>
          <t>52973771</t>
        </is>
      </c>
      <c r="C10" s="4" t="inlineStr">
        <is>
          <t>CASTRO ARDILA AMALIA</t>
        </is>
      </c>
      <c r="D10" s="2">
        <f>IF(B10="","",IFERROR(VLOOKUP(B10, PLANTA_BASE!A:R, 5, FALSE), "NO ENCONTRADO EN PLANTA"))</f>
        <v/>
      </c>
      <c r="E10" s="2">
        <f>IF(B10="","",IFERROR(VLOOKUP(B10, PLANTA_BASE!A:R, 6, FALSE), "NO ENCONTRADO EN PLANTA"))</f>
        <v/>
      </c>
      <c r="F10" s="4">
        <f>IF(B10="","",IFERROR(VLOOKUP(B10, PLANTA_BASE!A:R, 8, FALSE), "DOCENTE / FACILITADOR"))</f>
        <v/>
      </c>
      <c r="G10" s="4">
        <f>IF(B10="","",IFERROR(VLOOKUP(B10, PLANTA_BASE!A:R, 9, FALSE), "GENERAL"))</f>
        <v/>
      </c>
      <c r="H10" s="2">
        <f>IF(B10="","",IFERROR(VLOOKUP(B10, PLANTA_BASE!A:R, 17, FALSE), "GENERAL"))</f>
        <v/>
      </c>
    </row>
    <row r="11" ht="20" customHeight="1">
      <c r="A11" s="5">
        <f>IF(B11="","",IFERROR(VLOOKUP(B11, PLANTA_BASE!A:R, 2, FALSE), "NO ENCONTRADO EN PLANTA"))</f>
        <v/>
      </c>
      <c r="B11" s="6" t="inlineStr">
        <is>
          <t>1010131353</t>
        </is>
      </c>
      <c r="C11" s="7" t="inlineStr">
        <is>
          <t>BARBOSA VARGAS MIGUEL ANGEL</t>
        </is>
      </c>
      <c r="D11" s="5">
        <f>IF(B11="","",IFERROR(VLOOKUP(B11, PLANTA_BASE!A:R, 5, FALSE), "NO ENCONTRADO EN PLANTA"))</f>
        <v/>
      </c>
      <c r="E11" s="5">
        <f>IF(B11="","",IFERROR(VLOOKUP(B11, PLANTA_BASE!A:R, 6, FALSE), "NO ENCONTRADO EN PLANTA"))</f>
        <v/>
      </c>
      <c r="F11" s="7">
        <f>IF(B11="","",IFERROR(VLOOKUP(B11, PLANTA_BASE!A:R, 8, FALSE), "DOCENTE / FACILITADOR"))</f>
        <v/>
      </c>
      <c r="G11" s="7">
        <f>IF(B11="","",IFERROR(VLOOKUP(B11, PLANTA_BASE!A:R, 9, FALSE), "GENERAL"))</f>
        <v/>
      </c>
      <c r="H11" s="5">
        <f>IF(B11="","",IFERROR(VLOOKUP(B11, PLANTA_BASE!A:R, 17, FALSE), "GENERAL"))</f>
        <v/>
      </c>
    </row>
    <row r="12" ht="20" customHeight="1">
      <c r="A12" s="2">
        <f>IF(B12="","",IFERROR(VLOOKUP(B12, PLANTA_BASE!A:R, 2, FALSE), "NO ENCONTRADO EN PLANTA"))</f>
        <v/>
      </c>
      <c r="B12" s="3" t="inlineStr">
        <is>
          <t>79802019</t>
        </is>
      </c>
      <c r="C12" s="4" t="inlineStr">
        <is>
          <t>LANCHEROS N LUIS GABRIEL</t>
        </is>
      </c>
      <c r="D12" s="2">
        <f>IF(B12="","",IFERROR(VLOOKUP(B12, PLANTA_BASE!A:R, 5, FALSE), "NO ENCONTRADO EN PLANTA"))</f>
        <v/>
      </c>
      <c r="E12" s="2">
        <f>IF(B12="","",IFERROR(VLOOKUP(B12, PLANTA_BASE!A:R, 6, FALSE), "NO ENCONTRADO EN PLANTA"))</f>
        <v/>
      </c>
      <c r="F12" s="4">
        <f>IF(B12="","",IFERROR(VLOOKUP(B12, PLANTA_BASE!A:R, 8, FALSE), "DOCENTE / FACILITADOR"))</f>
        <v/>
      </c>
      <c r="G12" s="4">
        <f>IF(B12="","",IFERROR(VLOOKUP(B12, PLANTA_BASE!A:R, 9, FALSE), "GENERAL"))</f>
        <v/>
      </c>
      <c r="H12" s="2">
        <f>IF(B12="","",IFERROR(VLOOKUP(B12, PLANTA_BASE!A:R, 17, FALSE), "GENERAL"))</f>
        <v/>
      </c>
    </row>
    <row r="13" ht="20" customHeight="1">
      <c r="A13" s="5">
        <f>IF(B13="","",IFERROR(VLOOKUP(B13, PLANTA_BASE!A:R, 2, FALSE), "NO ENCONTRADO EN PLANTA"))</f>
        <v/>
      </c>
      <c r="B13" s="6" t="inlineStr">
        <is>
          <t>52869673</t>
        </is>
      </c>
      <c r="C13" s="7" t="inlineStr">
        <is>
          <t>BARRERA LESLIE</t>
        </is>
      </c>
      <c r="D13" s="5">
        <f>IF(B13="","",IFERROR(VLOOKUP(B13, PLANTA_BASE!A:R, 5, FALSE), "NO ENCONTRADO EN PLANTA"))</f>
        <v/>
      </c>
      <c r="E13" s="5">
        <f>IF(B13="","",IFERROR(VLOOKUP(B13, PLANTA_BASE!A:R, 6, FALSE), "NO ENCONTRADO EN PLANTA"))</f>
        <v/>
      </c>
      <c r="F13" s="7">
        <f>IF(B13="","",IFERROR(VLOOKUP(B13, PLANTA_BASE!A:R, 8, FALSE), "DOCENTE / FACILITADOR"))</f>
        <v/>
      </c>
      <c r="G13" s="7">
        <f>IF(B13="","",IFERROR(VLOOKUP(B13, PLANTA_BASE!A:R, 9, FALSE), "GENERAL"))</f>
        <v/>
      </c>
      <c r="H13" s="5">
        <f>IF(B13="","",IFERROR(VLOOKUP(B13, PLANTA_BASE!A:R, 17, FALSE), "GENERAL"))</f>
        <v/>
      </c>
    </row>
    <row r="14" ht="20" customHeight="1">
      <c r="A14" s="2">
        <f>IF(B14="","",IFERROR(VLOOKUP(B14, PLANTA_BASE!A:R, 2, FALSE), "NO ENCONTRADO EN PLANTA"))</f>
        <v/>
      </c>
      <c r="B14" s="3" t="inlineStr">
        <is>
          <t>80227203</t>
        </is>
      </c>
      <c r="C14" s="4" t="inlineStr">
        <is>
          <t>MORA ALEX</t>
        </is>
      </c>
      <c r="D14" s="2">
        <f>IF(B14="","",IFERROR(VLOOKUP(B14, PLANTA_BASE!A:R, 5, FALSE), "NO ENCONTRADO EN PLANTA"))</f>
        <v/>
      </c>
      <c r="E14" s="2">
        <f>IF(B14="","",IFERROR(VLOOKUP(B14, PLANTA_BASE!A:R, 6, FALSE), "NO ENCONTRADO EN PLANTA"))</f>
        <v/>
      </c>
      <c r="F14" s="4">
        <f>IF(B14="","",IFERROR(VLOOKUP(B14, PLANTA_BASE!A:R, 8, FALSE), "DOCENTE / FACILITADOR"))</f>
        <v/>
      </c>
      <c r="G14" s="4">
        <f>IF(B14="","",IFERROR(VLOOKUP(B14, PLANTA_BASE!A:R, 9, FALSE), "GENERAL"))</f>
        <v/>
      </c>
      <c r="H14" s="2">
        <f>IF(B14="","",IFERROR(VLOOKUP(B14, PLANTA_BASE!A:R, 17, FALSE), "GENERAL"))</f>
        <v/>
      </c>
    </row>
    <row r="15" ht="20" customHeight="1">
      <c r="A15" s="5">
        <f>IF(B15="","",IFERROR(VLOOKUP(B15, PLANTA_BASE!A:R, 2, FALSE), "NO ENCONTRADO EN PLANTA"))</f>
        <v/>
      </c>
      <c r="B15" s="6" t="inlineStr">
        <is>
          <t>1090367609</t>
        </is>
      </c>
      <c r="C15" s="7" t="inlineStr">
        <is>
          <t>TELLEZ PARDO ANDRY YINEY</t>
        </is>
      </c>
      <c r="D15" s="5">
        <f>IF(B15="","",IFERROR(VLOOKUP(B15, PLANTA_BASE!A:R, 5, FALSE), "NO ENCONTRADO EN PLANTA"))</f>
        <v/>
      </c>
      <c r="E15" s="5">
        <f>IF(B15="","",IFERROR(VLOOKUP(B15, PLANTA_BASE!A:R, 6, FALSE), "NO ENCONTRADO EN PLANTA"))</f>
        <v/>
      </c>
      <c r="F15" s="7">
        <f>IF(B15="","",IFERROR(VLOOKUP(B15, PLANTA_BASE!A:R, 8, FALSE), "DOCENTE / FACILITADOR"))</f>
        <v/>
      </c>
      <c r="G15" s="7">
        <f>IF(B15="","",IFERROR(VLOOKUP(B15, PLANTA_BASE!A:R, 9, FALSE), "GENERAL"))</f>
        <v/>
      </c>
      <c r="H15" s="5">
        <f>IF(B15="","",IFERROR(VLOOKUP(B15, PLANTA_BASE!A:R, 17, FALSE), "GENERAL"))</f>
        <v/>
      </c>
    </row>
    <row r="16" ht="20" customHeight="1">
      <c r="A16" s="2">
        <f>IF(B16="","",IFERROR(VLOOKUP(B16, PLANTA_BASE!A:R, 2, FALSE), "NO ENCONTRADO EN PLANTA"))</f>
        <v/>
      </c>
      <c r="B16" s="3" t="inlineStr">
        <is>
          <t>1074134476</t>
        </is>
      </c>
      <c r="C16" s="4" t="inlineStr">
        <is>
          <t>CLAVIJO CASTRO JULIAN CAMILO</t>
        </is>
      </c>
      <c r="D16" s="2">
        <f>IF(B16="","",IFERROR(VLOOKUP(B16, PLANTA_BASE!A:R, 5, FALSE), "NO ENCONTRADO EN PLANTA"))</f>
        <v/>
      </c>
      <c r="E16" s="2">
        <f>IF(B16="","",IFERROR(VLOOKUP(B16, PLANTA_BASE!A:R, 6, FALSE), "NO ENCONTRADO EN PLANTA"))</f>
        <v/>
      </c>
      <c r="F16" s="4">
        <f>IF(B16="","",IFERROR(VLOOKUP(B16, PLANTA_BASE!A:R, 8, FALSE), "DOCENTE / FACILITADOR"))</f>
        <v/>
      </c>
      <c r="G16" s="4">
        <f>IF(B16="","",IFERROR(VLOOKUP(B16, PLANTA_BASE!A:R, 9, FALSE), "GENERAL"))</f>
        <v/>
      </c>
      <c r="H16" s="2">
        <f>IF(B16="","",IFERROR(VLOOKUP(B16, PLANTA_BASE!A:R, 17, FALSE), "GENERAL"))</f>
        <v/>
      </c>
    </row>
    <row r="17" ht="20" customHeight="1">
      <c r="A17" s="5">
        <f>IF(B17="","",IFERROR(VLOOKUP(B17, PLANTA_BASE!A:R, 2, FALSE), "NO ENCONTRADO EN PLANTA"))</f>
        <v/>
      </c>
      <c r="B17" s="6" t="inlineStr">
        <is>
          <t>1018472248</t>
        </is>
      </c>
      <c r="C17" s="7" t="inlineStr">
        <is>
          <t>SANCHEZ AREVALO JULIO CESAR</t>
        </is>
      </c>
      <c r="D17" s="5">
        <f>IF(B17="","",IFERROR(VLOOKUP(B17, PLANTA_BASE!A:R, 5, FALSE), "NO ENCONTRADO EN PLANTA"))</f>
        <v/>
      </c>
      <c r="E17" s="5">
        <f>IF(B17="","",IFERROR(VLOOKUP(B17, PLANTA_BASE!A:R, 6, FALSE), "NO ENCONTRADO EN PLANTA"))</f>
        <v/>
      </c>
      <c r="F17" s="7">
        <f>IF(B17="","",IFERROR(VLOOKUP(B17, PLANTA_BASE!A:R, 8, FALSE), "DOCENTE / FACILITADOR"))</f>
        <v/>
      </c>
      <c r="G17" s="7">
        <f>IF(B17="","",IFERROR(VLOOKUP(B17, PLANTA_BASE!A:R, 9, FALSE), "GENERAL"))</f>
        <v/>
      </c>
      <c r="H17" s="5">
        <f>IF(B17="","",IFERROR(VLOOKUP(B17, PLANTA_BASE!A:R, 17, FALSE), "GENERAL"))</f>
        <v/>
      </c>
    </row>
    <row r="18" ht="20" customHeight="1">
      <c r="A18" s="2">
        <f>IF(B18="","",IFERROR(VLOOKUP(B18, PLANTA_BASE!A:R, 2, FALSE), "NO ENCONTRADO EN PLANTA"))</f>
        <v/>
      </c>
      <c r="B18" s="3" t="inlineStr">
        <is>
          <t>79849027</t>
        </is>
      </c>
      <c r="C18" s="4" t="inlineStr">
        <is>
          <t>SUSA RICARDO</t>
        </is>
      </c>
      <c r="D18" s="2">
        <f>IF(B18="","",IFERROR(VLOOKUP(B18, PLANTA_BASE!A:R, 5, FALSE), "NO ENCONTRADO EN PLANTA"))</f>
        <v/>
      </c>
      <c r="E18" s="2">
        <f>IF(B18="","",IFERROR(VLOOKUP(B18, PLANTA_BASE!A:R, 6, FALSE), "NO ENCONTRADO EN PLANTA"))</f>
        <v/>
      </c>
      <c r="F18" s="4">
        <f>IF(B18="","",IFERROR(VLOOKUP(B18, PLANTA_BASE!A:R, 8, FALSE), "DOCENTE / FACILITADOR"))</f>
        <v/>
      </c>
      <c r="G18" s="4">
        <f>IF(B18="","",IFERROR(VLOOKUP(B18, PLANTA_BASE!A:R, 9, FALSE), "GENERAL"))</f>
        <v/>
      </c>
      <c r="H18" s="2">
        <f>IF(B18="","",IFERROR(VLOOKUP(B18, PLANTA_BASE!A:R, 17, FALSE), "GENERAL"))</f>
        <v/>
      </c>
    </row>
    <row r="19" ht="20" customHeight="1">
      <c r="A19" s="5">
        <f>IF(B19="","",IFERROR(VLOOKUP(B19, PLANTA_BASE!A:R, 2, FALSE), "NO ENCONTRADO EN PLANTA"))</f>
        <v/>
      </c>
      <c r="B19" s="6" t="inlineStr">
        <is>
          <t>52745221</t>
        </is>
      </c>
      <c r="C19" s="7" t="inlineStr">
        <is>
          <t>GALLEGOS JENNIFFER</t>
        </is>
      </c>
      <c r="D19" s="5">
        <f>IF(B19="","",IFERROR(VLOOKUP(B19, PLANTA_BASE!A:R, 5, FALSE), "NO ENCONTRADO EN PLANTA"))</f>
        <v/>
      </c>
      <c r="E19" s="5">
        <f>IF(B19="","",IFERROR(VLOOKUP(B19, PLANTA_BASE!A:R, 6, FALSE), "NO ENCONTRADO EN PLANTA"))</f>
        <v/>
      </c>
      <c r="F19" s="7">
        <f>IF(B19="","",IFERROR(VLOOKUP(B19, PLANTA_BASE!A:R, 8, FALSE), "DOCENTE / FACILITADOR"))</f>
        <v/>
      </c>
      <c r="G19" s="7">
        <f>IF(B19="","",IFERROR(VLOOKUP(B19, PLANTA_BASE!A:R, 9, FALSE), "GENERAL"))</f>
        <v/>
      </c>
      <c r="H19" s="5">
        <f>IF(B19="","",IFERROR(VLOOKUP(B19, PLANTA_BASE!A:R, 17, FALSE), "GENERAL"))</f>
        <v/>
      </c>
    </row>
    <row r="20" ht="20" customHeight="1">
      <c r="A20" s="2">
        <f>IF(B20="","",IFERROR(VLOOKUP(B20, PLANTA_BASE!A:R, 2, FALSE), "NO ENCONTRADO EN PLANTA"))</f>
        <v/>
      </c>
      <c r="B20" s="3" t="inlineStr">
        <is>
          <t>1090362638</t>
        </is>
      </c>
      <c r="C20" s="4" t="inlineStr">
        <is>
          <t>NAVAS CASADIEGO LILIANA ISABEL</t>
        </is>
      </c>
      <c r="D20" s="2">
        <f>IF(B20="","",IFERROR(VLOOKUP(B20, PLANTA_BASE!A:R, 5, FALSE), "NO ENCONTRADO EN PLANTA"))</f>
        <v/>
      </c>
      <c r="E20" s="2">
        <f>IF(B20="","",IFERROR(VLOOKUP(B20, PLANTA_BASE!A:R, 6, FALSE), "NO ENCONTRADO EN PLANTA"))</f>
        <v/>
      </c>
      <c r="F20" s="4">
        <f>IF(B20="","",IFERROR(VLOOKUP(B20, PLANTA_BASE!A:R, 8, FALSE), "DOCENTE / FACILITADOR"))</f>
        <v/>
      </c>
      <c r="G20" s="4">
        <f>IF(B20="","",IFERROR(VLOOKUP(B20, PLANTA_BASE!A:R, 9, FALSE), "GENERAL"))</f>
        <v/>
      </c>
      <c r="H20" s="2">
        <f>IF(B20="","",IFERROR(VLOOKUP(B20, PLANTA_BASE!A:R, 17, FALSE), "GENERAL"))</f>
        <v/>
      </c>
    </row>
    <row r="21" ht="20" customHeight="1">
      <c r="A21" s="5">
        <f>IF(B21="","",IFERROR(VLOOKUP(B21, PLANTA_BASE!A:R, 2, FALSE), "NO ENCONTRADO EN PLANTA"))</f>
        <v/>
      </c>
      <c r="B21" s="6" t="inlineStr">
        <is>
          <t>1069739889</t>
        </is>
      </c>
      <c r="C21" s="7" t="inlineStr">
        <is>
          <t>RONDON CANON ELIANA</t>
        </is>
      </c>
      <c r="D21" s="5">
        <f>IF(B21="","",IFERROR(VLOOKUP(B21, PLANTA_BASE!A:R, 5, FALSE), "NO ENCONTRADO EN PLANTA"))</f>
        <v/>
      </c>
      <c r="E21" s="5">
        <f>IF(B21="","",IFERROR(VLOOKUP(B21, PLANTA_BASE!A:R, 6, FALSE), "NO ENCONTRADO EN PLANTA"))</f>
        <v/>
      </c>
      <c r="F21" s="7">
        <f>IF(B21="","",IFERROR(VLOOKUP(B21, PLANTA_BASE!A:R, 8, FALSE), "DOCENTE / FACILITADOR"))</f>
        <v/>
      </c>
      <c r="G21" s="7">
        <f>IF(B21="","",IFERROR(VLOOKUP(B21, PLANTA_BASE!A:R, 9, FALSE), "GENERAL"))</f>
        <v/>
      </c>
      <c r="H21" s="5">
        <f>IF(B21="","",IFERROR(VLOOKUP(B21, PLANTA_BASE!A:R, 17, FALSE), "GENERAL"))</f>
        <v/>
      </c>
    </row>
    <row r="22" ht="20" customHeight="1">
      <c r="A22" s="2">
        <f>IF(B22="","",IFERROR(VLOOKUP(B22, PLANTA_BASE!A:R, 2, FALSE), "NO ENCONTRADO EN PLANTA"))</f>
        <v/>
      </c>
      <c r="B22" s="3" t="inlineStr">
        <is>
          <t>1053330697</t>
        </is>
      </c>
      <c r="C22" s="4" t="inlineStr">
        <is>
          <t>MARIN CHAVEZ WILLIAM FERNANDO</t>
        </is>
      </c>
      <c r="D22" s="2">
        <f>IF(B22="","",IFERROR(VLOOKUP(B22, PLANTA_BASE!A:R, 5, FALSE), "NO ENCONTRADO EN PLANTA"))</f>
        <v/>
      </c>
      <c r="E22" s="2">
        <f>IF(B22="","",IFERROR(VLOOKUP(B22, PLANTA_BASE!A:R, 6, FALSE), "NO ENCONTRADO EN PLANTA"))</f>
        <v/>
      </c>
      <c r="F22" s="4">
        <f>IF(B22="","",IFERROR(VLOOKUP(B22, PLANTA_BASE!A:R, 8, FALSE), "DOCENTE / FACILITADOR"))</f>
        <v/>
      </c>
      <c r="G22" s="4">
        <f>IF(B22="","",IFERROR(VLOOKUP(B22, PLANTA_BASE!A:R, 9, FALSE), "GENERAL"))</f>
        <v/>
      </c>
      <c r="H22" s="2">
        <f>IF(B22="","",IFERROR(VLOOKUP(B22, PLANTA_BASE!A:R, 17, FALSE), "GENERAL"))</f>
        <v/>
      </c>
    </row>
    <row r="23" ht="20" customHeight="1">
      <c r="A23" s="5">
        <f>IF(B23="","",IFERROR(VLOOKUP(B23, PLANTA_BASE!A:R, 2, FALSE), "NO ENCONTRADO EN PLANTA"))</f>
        <v/>
      </c>
      <c r="B23" s="6" t="inlineStr">
        <is>
          <t>78024830</t>
        </is>
      </c>
      <c r="C23" s="7" t="inlineStr">
        <is>
          <t>CASTANO PATRRNINA EMERSON MANUEL</t>
        </is>
      </c>
      <c r="D23" s="5">
        <f>IF(B23="","",IFERROR(VLOOKUP(B23, PLANTA_BASE!A:R, 5, FALSE), "NO ENCONTRADO EN PLANTA"))</f>
        <v/>
      </c>
      <c r="E23" s="5">
        <f>IF(B23="","",IFERROR(VLOOKUP(B23, PLANTA_BASE!A:R, 6, FALSE), "NO ENCONTRADO EN PLANTA"))</f>
        <v/>
      </c>
      <c r="F23" s="7">
        <f>IF(B23="","",IFERROR(VLOOKUP(B23, PLANTA_BASE!A:R, 8, FALSE), "DOCENTE / FACILITADOR"))</f>
        <v/>
      </c>
      <c r="G23" s="7">
        <f>IF(B23="","",IFERROR(VLOOKUP(B23, PLANTA_BASE!A:R, 9, FALSE), "GENERAL"))</f>
        <v/>
      </c>
      <c r="H23" s="5">
        <f>IF(B23="","",IFERROR(VLOOKUP(B23, PLANTA_BASE!A:R, 17, FALSE), "GENERAL"))</f>
        <v/>
      </c>
    </row>
    <row r="24" ht="20" customHeight="1">
      <c r="A24" s="2">
        <f>IF(B24="","",IFERROR(VLOOKUP(B24, PLANTA_BASE!A:R, 2, FALSE), "NO ENCONTRADO EN PLANTA"))</f>
        <v/>
      </c>
      <c r="B24" s="3" t="inlineStr">
        <is>
          <t>80088309</t>
        </is>
      </c>
      <c r="C24" s="4" t="inlineStr">
        <is>
          <t>GARCIA EDWIN</t>
        </is>
      </c>
      <c r="D24" s="2">
        <f>IF(B24="","",IFERROR(VLOOKUP(B24, PLANTA_BASE!A:R, 5, FALSE), "NO ENCONTRADO EN PLANTA"))</f>
        <v/>
      </c>
      <c r="E24" s="2">
        <f>IF(B24="","",IFERROR(VLOOKUP(B24, PLANTA_BASE!A:R, 6, FALSE), "NO ENCONTRADO EN PLANTA"))</f>
        <v/>
      </c>
      <c r="F24" s="4">
        <f>IF(B24="","",IFERROR(VLOOKUP(B24, PLANTA_BASE!A:R, 8, FALSE), "DOCENTE / FACILITADOR"))</f>
        <v/>
      </c>
      <c r="G24" s="4">
        <f>IF(B24="","",IFERROR(VLOOKUP(B24, PLANTA_BASE!A:R, 9, FALSE), "GENERAL"))</f>
        <v/>
      </c>
      <c r="H24" s="2">
        <f>IF(B24="","",IFERROR(VLOOKUP(B24, PLANTA_BASE!A:R, 17, FALSE), "GENERAL"))</f>
        <v/>
      </c>
    </row>
    <row r="25" ht="20" customHeight="1">
      <c r="A25" s="5">
        <f>IF(B25="","",IFERROR(VLOOKUP(B25, PLANTA_BASE!A:R, 2, FALSE), "NO ENCONTRADO EN PLANTA"))</f>
        <v/>
      </c>
      <c r="B25" s="6" t="inlineStr">
        <is>
          <t>1015422840</t>
        </is>
      </c>
      <c r="C25" s="7" t="inlineStr">
        <is>
          <t>PEREZ JEISSON</t>
        </is>
      </c>
      <c r="D25" s="5">
        <f>IF(B25="","",IFERROR(VLOOKUP(B25, PLANTA_BASE!A:R, 5, FALSE), "NO ENCONTRADO EN PLANTA"))</f>
        <v/>
      </c>
      <c r="E25" s="5">
        <f>IF(B25="","",IFERROR(VLOOKUP(B25, PLANTA_BASE!A:R, 6, FALSE), "NO ENCONTRADO EN PLANTA"))</f>
        <v/>
      </c>
      <c r="F25" s="7">
        <f>IF(B25="","",IFERROR(VLOOKUP(B25, PLANTA_BASE!A:R, 8, FALSE), "DOCENTE / FACILITADOR"))</f>
        <v/>
      </c>
      <c r="G25" s="7">
        <f>IF(B25="","",IFERROR(VLOOKUP(B25, PLANTA_BASE!A:R, 9, FALSE), "GENERAL"))</f>
        <v/>
      </c>
      <c r="H25" s="5">
        <f>IF(B25="","",IFERROR(VLOOKUP(B25, PLANTA_BASE!A:R, 17, FALSE), "GENERAL"))</f>
        <v/>
      </c>
    </row>
    <row r="26" ht="20" customHeight="1">
      <c r="A26" s="2">
        <f>IF(B26="","",IFERROR(VLOOKUP(B26, PLANTA_BASE!A:R, 2, FALSE), "NO ENCONTRADO EN PLANTA"))</f>
        <v/>
      </c>
      <c r="B26" s="3" t="inlineStr">
        <is>
          <t>1020720067</t>
        </is>
      </c>
      <c r="C26" s="4" t="inlineStr">
        <is>
          <t>ESCALLON JUAN</t>
        </is>
      </c>
      <c r="D26" s="2">
        <f>IF(B26="","",IFERROR(VLOOKUP(B26, PLANTA_BASE!A:R, 5, FALSE), "NO ENCONTRADO EN PLANTA"))</f>
        <v/>
      </c>
      <c r="E26" s="2">
        <f>IF(B26="","",IFERROR(VLOOKUP(B26, PLANTA_BASE!A:R, 6, FALSE), "NO ENCONTRADO EN PLANTA"))</f>
        <v/>
      </c>
      <c r="F26" s="4">
        <f>IF(B26="","",IFERROR(VLOOKUP(B26, PLANTA_BASE!A:R, 8, FALSE), "DOCENTE / FACILITADOR"))</f>
        <v/>
      </c>
      <c r="G26" s="4">
        <f>IF(B26="","",IFERROR(VLOOKUP(B26, PLANTA_BASE!A:R, 9, FALSE), "GENERAL"))</f>
        <v/>
      </c>
      <c r="H26" s="2">
        <f>IF(B26="","",IFERROR(VLOOKUP(B26, PLANTA_BASE!A:R, 17, FALSE), "GENERAL"))</f>
        <v/>
      </c>
    </row>
    <row r="27" ht="20" customHeight="1">
      <c r="A27" s="5">
        <f>IF(B27="","",IFERROR(VLOOKUP(B27, PLANTA_BASE!A:R, 2, FALSE), "NO ENCONTRADO EN PLANTA"))</f>
        <v/>
      </c>
      <c r="B27" s="6" t="inlineStr">
        <is>
          <t>1053785992</t>
        </is>
      </c>
      <c r="C27" s="7" t="inlineStr">
        <is>
          <t>CALDERON MARCO</t>
        </is>
      </c>
      <c r="D27" s="5">
        <f>IF(B27="","",IFERROR(VLOOKUP(B27, PLANTA_BASE!A:R, 5, FALSE), "NO ENCONTRADO EN PLANTA"))</f>
        <v/>
      </c>
      <c r="E27" s="5">
        <f>IF(B27="","",IFERROR(VLOOKUP(B27, PLANTA_BASE!A:R, 6, FALSE), "NO ENCONTRADO EN PLANTA"))</f>
        <v/>
      </c>
      <c r="F27" s="7">
        <f>IF(B27="","",IFERROR(VLOOKUP(B27, PLANTA_BASE!A:R, 8, FALSE), "DOCENTE / FACILITADOR"))</f>
        <v/>
      </c>
      <c r="G27" s="7">
        <f>IF(B27="","",IFERROR(VLOOKUP(B27, PLANTA_BASE!A:R, 9, FALSE), "GENERAL"))</f>
        <v/>
      </c>
      <c r="H27" s="5">
        <f>IF(B27="","",IFERROR(VLOOKUP(B27, PLANTA_BASE!A:R, 17, FALSE), "GENERAL"))</f>
        <v/>
      </c>
    </row>
    <row r="28" ht="20" customHeight="1">
      <c r="A28" s="2">
        <f>IF(B28="","",IFERROR(VLOOKUP(B28, PLANTA_BASE!A:R, 2, FALSE), "NO ENCONTRADO EN PLANTA"))</f>
        <v/>
      </c>
      <c r="B28" s="3" t="inlineStr">
        <is>
          <t>1024533793</t>
        </is>
      </c>
      <c r="C28" s="4" t="inlineStr">
        <is>
          <t>TRIANA JESUS</t>
        </is>
      </c>
      <c r="D28" s="2">
        <f>IF(B28="","",IFERROR(VLOOKUP(B28, PLANTA_BASE!A:R, 5, FALSE), "NO ENCONTRADO EN PLANTA"))</f>
        <v/>
      </c>
      <c r="E28" s="2">
        <f>IF(B28="","",IFERROR(VLOOKUP(B28, PLANTA_BASE!A:R, 6, FALSE), "NO ENCONTRADO EN PLANTA"))</f>
        <v/>
      </c>
      <c r="F28" s="4">
        <f>IF(B28="","",IFERROR(VLOOKUP(B28, PLANTA_BASE!A:R, 8, FALSE), "DOCENTE / FACILITADOR"))</f>
        <v/>
      </c>
      <c r="G28" s="4">
        <f>IF(B28="","",IFERROR(VLOOKUP(B28, PLANTA_BASE!A:R, 9, FALSE), "GENERAL"))</f>
        <v/>
      </c>
      <c r="H28" s="2">
        <f>IF(B28="","",IFERROR(VLOOKUP(B28, PLANTA_BASE!A:R, 17, FALSE), "GENERAL"))</f>
        <v/>
      </c>
    </row>
    <row r="29" ht="20" customHeight="1">
      <c r="A29" s="5">
        <f>IF(B29="","",IFERROR(VLOOKUP(B29, PLANTA_BASE!A:R, 2, FALSE), "NO ENCONTRADO EN PLANTA"))</f>
        <v/>
      </c>
      <c r="B29" s="6" t="inlineStr">
        <is>
          <t>52996196</t>
        </is>
      </c>
      <c r="C29" s="7" t="inlineStr">
        <is>
          <t>MUNOZ FAJARDO MARIA CLAUDIA</t>
        </is>
      </c>
      <c r="D29" s="5">
        <f>IF(B29="","",IFERROR(VLOOKUP(B29, PLANTA_BASE!A:R, 5, FALSE), "NO ENCONTRADO EN PLANTA"))</f>
        <v/>
      </c>
      <c r="E29" s="5">
        <f>IF(B29="","",IFERROR(VLOOKUP(B29, PLANTA_BASE!A:R, 6, FALSE), "NO ENCONTRADO EN PLANTA"))</f>
        <v/>
      </c>
      <c r="F29" s="7">
        <f>IF(B29="","",IFERROR(VLOOKUP(B29, PLANTA_BASE!A:R, 8, FALSE), "DOCENTE / FACILITADOR"))</f>
        <v/>
      </c>
      <c r="G29" s="7">
        <f>IF(B29="","",IFERROR(VLOOKUP(B29, PLANTA_BASE!A:R, 9, FALSE), "GENERAL"))</f>
        <v/>
      </c>
      <c r="H29" s="5">
        <f>IF(B29="","",IFERROR(VLOOKUP(B29, PLANTA_BASE!A:R, 17, FALSE), "GENERAL"))</f>
        <v/>
      </c>
    </row>
    <row r="30" ht="20" customHeight="1">
      <c r="A30" s="2">
        <f>IF(B30="","",IFERROR(VLOOKUP(B30, PLANTA_BASE!A:R, 2, FALSE), "NO ENCONTRADO EN PLANTA"))</f>
        <v/>
      </c>
      <c r="B30" s="3" t="inlineStr">
        <is>
          <t>1022403253</t>
        </is>
      </c>
      <c r="C30" s="4" t="inlineStr">
        <is>
          <t>MOSQUERA LAGUNA DANIEL MATEO</t>
        </is>
      </c>
      <c r="D30" s="2">
        <f>IF(B30="","",IFERROR(VLOOKUP(B30, PLANTA_BASE!A:R, 5, FALSE), "NO ENCONTRADO EN PLANTA"))</f>
        <v/>
      </c>
      <c r="E30" s="2">
        <f>IF(B30="","",IFERROR(VLOOKUP(B30, PLANTA_BASE!A:R, 6, FALSE), "NO ENCONTRADO EN PLANTA"))</f>
        <v/>
      </c>
      <c r="F30" s="4">
        <f>IF(B30="","",IFERROR(VLOOKUP(B30, PLANTA_BASE!A:R, 8, FALSE), "DOCENTE / FACILITADOR"))</f>
        <v/>
      </c>
      <c r="G30" s="4">
        <f>IF(B30="","",IFERROR(VLOOKUP(B30, PLANTA_BASE!A:R, 9, FALSE), "GENERAL"))</f>
        <v/>
      </c>
      <c r="H30" s="2">
        <f>IF(B30="","",IFERROR(VLOOKUP(B30, PLANTA_BASE!A:R, 17, FALSE), "GENERAL"))</f>
        <v/>
      </c>
    </row>
    <row r="31" ht="20" customHeight="1">
      <c r="A31" s="5">
        <f>IF(B31="","",IFERROR(VLOOKUP(B31, PLANTA_BASE!A:R, 2, FALSE), "NO ENCONTRADO EN PLANTA"))</f>
        <v/>
      </c>
      <c r="B31" s="6" t="inlineStr">
        <is>
          <t>1014241485</t>
        </is>
      </c>
      <c r="C31" s="7" t="inlineStr">
        <is>
          <t>PENA LEONARDO</t>
        </is>
      </c>
      <c r="D31" s="5">
        <f>IF(B31="","",IFERROR(VLOOKUP(B31, PLANTA_BASE!A:R, 5, FALSE), "NO ENCONTRADO EN PLANTA"))</f>
        <v/>
      </c>
      <c r="E31" s="5">
        <f>IF(B31="","",IFERROR(VLOOKUP(B31, PLANTA_BASE!A:R, 6, FALSE), "NO ENCONTRADO EN PLANTA"))</f>
        <v/>
      </c>
      <c r="F31" s="7">
        <f>IF(B31="","",IFERROR(VLOOKUP(B31, PLANTA_BASE!A:R, 8, FALSE), "DOCENTE / FACILITADOR"))</f>
        <v/>
      </c>
      <c r="G31" s="7">
        <f>IF(B31="","",IFERROR(VLOOKUP(B31, PLANTA_BASE!A:R, 9, FALSE), "GENERAL"))</f>
        <v/>
      </c>
      <c r="H31" s="5">
        <f>IF(B31="","",IFERROR(VLOOKUP(B31, PLANTA_BASE!A:R, 17, FALSE), "GENERAL"))</f>
        <v/>
      </c>
    </row>
    <row r="32" ht="20" customHeight="1">
      <c r="A32" s="2">
        <f>IF(B32="","",IFERROR(VLOOKUP(B32, PLANTA_BASE!A:R, 2, FALSE), "NO ENCONTRADO EN PLANTA"))</f>
        <v/>
      </c>
      <c r="B32" s="3" t="inlineStr">
        <is>
          <t>1014280203</t>
        </is>
      </c>
      <c r="C32" s="4" t="inlineStr">
        <is>
          <t>SEDANO FELIPE</t>
        </is>
      </c>
      <c r="D32" s="2">
        <f>IF(B32="","",IFERROR(VLOOKUP(B32, PLANTA_BASE!A:R, 5, FALSE), "NO ENCONTRADO EN PLANTA"))</f>
        <v/>
      </c>
      <c r="E32" s="2">
        <f>IF(B32="","",IFERROR(VLOOKUP(B32, PLANTA_BASE!A:R, 6, FALSE), "NO ENCONTRADO EN PLANTA"))</f>
        <v/>
      </c>
      <c r="F32" s="4">
        <f>IF(B32="","",IFERROR(VLOOKUP(B32, PLANTA_BASE!A:R, 8, FALSE), "DOCENTE / FACILITADOR"))</f>
        <v/>
      </c>
      <c r="G32" s="4">
        <f>IF(B32="","",IFERROR(VLOOKUP(B32, PLANTA_BASE!A:R, 9, FALSE), "GENERAL"))</f>
        <v/>
      </c>
      <c r="H32" s="2">
        <f>IF(B32="","",IFERROR(VLOOKUP(B32, PLANTA_BASE!A:R, 17, FALSE), "GENERAL"))</f>
        <v/>
      </c>
    </row>
    <row r="33" ht="20" customHeight="1">
      <c r="A33" s="5">
        <f>IF(B33="","",IFERROR(VLOOKUP(B33, PLANTA_BASE!A:R, 2, FALSE), "NO ENCONTRADO EN PLANTA"))</f>
        <v/>
      </c>
      <c r="B33" s="6" t="inlineStr">
        <is>
          <t>1015447699</t>
        </is>
      </c>
      <c r="C33" s="7" t="inlineStr">
        <is>
          <t>CHACON NATHALIA</t>
        </is>
      </c>
      <c r="D33" s="5">
        <f>IF(B33="","",IFERROR(VLOOKUP(B33, PLANTA_BASE!A:R, 5, FALSE), "NO ENCONTRADO EN PLANTA"))</f>
        <v/>
      </c>
      <c r="E33" s="5">
        <f>IF(B33="","",IFERROR(VLOOKUP(B33, PLANTA_BASE!A:R, 6, FALSE), "NO ENCONTRADO EN PLANTA"))</f>
        <v/>
      </c>
      <c r="F33" s="7">
        <f>IF(B33="","",IFERROR(VLOOKUP(B33, PLANTA_BASE!A:R, 8, FALSE), "DOCENTE / FACILITADOR"))</f>
        <v/>
      </c>
      <c r="G33" s="7">
        <f>IF(B33="","",IFERROR(VLOOKUP(B33, PLANTA_BASE!A:R, 9, FALSE), "GENERAL"))</f>
        <v/>
      </c>
      <c r="H33" s="5">
        <f>IF(B33="","",IFERROR(VLOOKUP(B33, PLANTA_BASE!A:R, 17, FALSE), "GENERAL"))</f>
        <v/>
      </c>
    </row>
    <row r="34" ht="20" customHeight="1">
      <c r="A34" s="2">
        <f>IF(B34="","",IFERROR(VLOOKUP(B34, PLANTA_BASE!A:R, 2, FALSE), "NO ENCONTRADO EN PLANTA"))</f>
        <v/>
      </c>
      <c r="B34" s="3" t="inlineStr">
        <is>
          <t>80187019</t>
        </is>
      </c>
      <c r="C34" s="4" t="inlineStr">
        <is>
          <t>LONDONO VILLALBA JHON UBERNEY</t>
        </is>
      </c>
      <c r="D34" s="2">
        <f>IF(B34="","",IFERROR(VLOOKUP(B34, PLANTA_BASE!A:R, 5, FALSE), "NO ENCONTRADO EN PLANTA"))</f>
        <v/>
      </c>
      <c r="E34" s="2">
        <f>IF(B34="","",IFERROR(VLOOKUP(B34, PLANTA_BASE!A:R, 6, FALSE), "NO ENCONTRADO EN PLANTA"))</f>
        <v/>
      </c>
      <c r="F34" s="4">
        <f>IF(B34="","",IFERROR(VLOOKUP(B34, PLANTA_BASE!A:R, 8, FALSE), "DOCENTE / FACILITADOR"))</f>
        <v/>
      </c>
      <c r="G34" s="4">
        <f>IF(B34="","",IFERROR(VLOOKUP(B34, PLANTA_BASE!A:R, 9, FALSE), "GENERAL"))</f>
        <v/>
      </c>
      <c r="H34" s="2">
        <f>IF(B34="","",IFERROR(VLOOKUP(B34, PLANTA_BASE!A:R, 17, FALSE), "GENERAL"))</f>
        <v/>
      </c>
    </row>
    <row r="35" ht="20" customHeight="1">
      <c r="A35" s="5">
        <f>IF(B35="","",IFERROR(VLOOKUP(B35, PLANTA_BASE!A:R, 2, FALSE), "NO ENCONTRADO EN PLANTA"))</f>
        <v/>
      </c>
      <c r="B35" s="6" t="inlineStr">
        <is>
          <t>1073675262</t>
        </is>
      </c>
      <c r="C35" s="7" t="inlineStr">
        <is>
          <t>WILLIAM JAVIER CASTELBLANCO CARO WILLIAM JAVIER CASTELBLANCO CARO</t>
        </is>
      </c>
      <c r="D35" s="5">
        <f>IF(B35="","",IFERROR(VLOOKUP(B35, PLANTA_BASE!A:R, 5, FALSE), "NO ENCONTRADO EN PLANTA"))</f>
        <v/>
      </c>
      <c r="E35" s="5">
        <f>IF(B35="","",IFERROR(VLOOKUP(B35, PLANTA_BASE!A:R, 6, FALSE), "NO ENCONTRADO EN PLANTA"))</f>
        <v/>
      </c>
      <c r="F35" s="7">
        <f>IF(B35="","",IFERROR(VLOOKUP(B35, PLANTA_BASE!A:R, 8, FALSE), "DOCENTE / FACILITADOR"))</f>
        <v/>
      </c>
      <c r="G35" s="7">
        <f>IF(B35="","",IFERROR(VLOOKUP(B35, PLANTA_BASE!A:R, 9, FALSE), "GENERAL"))</f>
        <v/>
      </c>
      <c r="H35" s="5">
        <f>IF(B35="","",IFERROR(VLOOKUP(B35, PLANTA_BASE!A:R, 17, FALSE), "GENERAL"))</f>
        <v/>
      </c>
    </row>
    <row r="36" ht="20" customHeight="1">
      <c r="A36" s="2">
        <f>IF(B36="","",IFERROR(VLOOKUP(B36, PLANTA_BASE!A:R, 2, FALSE), "NO ENCONTRADO EN PLANTA"))</f>
        <v/>
      </c>
      <c r="B36" s="3" t="inlineStr">
        <is>
          <t>1020765371</t>
        </is>
      </c>
      <c r="C36" s="4" t="inlineStr">
        <is>
          <t>GOMEZ MIRANDA OSCAR MAURICIO</t>
        </is>
      </c>
      <c r="D36" s="2">
        <f>IF(B36="","",IFERROR(VLOOKUP(B36, PLANTA_BASE!A:R, 5, FALSE), "NO ENCONTRADO EN PLANTA"))</f>
        <v/>
      </c>
      <c r="E36" s="2">
        <f>IF(B36="","",IFERROR(VLOOKUP(B36, PLANTA_BASE!A:R, 6, FALSE), "NO ENCONTRADO EN PLANTA"))</f>
        <v/>
      </c>
      <c r="F36" s="4">
        <f>IF(B36="","",IFERROR(VLOOKUP(B36, PLANTA_BASE!A:R, 8, FALSE), "DOCENTE / FACILITADOR"))</f>
        <v/>
      </c>
      <c r="G36" s="4">
        <f>IF(B36="","",IFERROR(VLOOKUP(B36, PLANTA_BASE!A:R, 9, FALSE), "GENERAL"))</f>
        <v/>
      </c>
      <c r="H36" s="2">
        <f>IF(B36="","",IFERROR(VLOOKUP(B36, PLANTA_BASE!A:R, 17, FALSE), "GENERAL"))</f>
        <v/>
      </c>
    </row>
    <row r="37" ht="20" customHeight="1">
      <c r="A37" s="5">
        <f>IF(B37="","",IFERROR(VLOOKUP(B37, PLANTA_BASE!A:R, 2, FALSE), "NO ENCONTRADO EN PLANTA"))</f>
        <v/>
      </c>
      <c r="B37" s="6" t="inlineStr">
        <is>
          <t>1075306193</t>
        </is>
      </c>
      <c r="C37" s="7" t="inlineStr">
        <is>
          <t>COY CATHERIN</t>
        </is>
      </c>
      <c r="D37" s="5">
        <f>IF(B37="","",IFERROR(VLOOKUP(B37, PLANTA_BASE!A:R, 5, FALSE), "NO ENCONTRADO EN PLANTA"))</f>
        <v/>
      </c>
      <c r="E37" s="5">
        <f>IF(B37="","",IFERROR(VLOOKUP(B37, PLANTA_BASE!A:R, 6, FALSE), "NO ENCONTRADO EN PLANTA"))</f>
        <v/>
      </c>
      <c r="F37" s="7">
        <f>IF(B37="","",IFERROR(VLOOKUP(B37, PLANTA_BASE!A:R, 8, FALSE), "DOCENTE / FACILITADOR"))</f>
        <v/>
      </c>
      <c r="G37" s="7">
        <f>IF(B37="","",IFERROR(VLOOKUP(B37, PLANTA_BASE!A:R, 9, FALSE), "GENERAL"))</f>
        <v/>
      </c>
      <c r="H37" s="5">
        <f>IF(B37="","",IFERROR(VLOOKUP(B37, PLANTA_BASE!A:R, 17, FALSE), "GENERAL"))</f>
        <v/>
      </c>
    </row>
    <row r="38" ht="20" customHeight="1">
      <c r="A38" s="2">
        <f>IF(B38="","",IFERROR(VLOOKUP(B38, PLANTA_BASE!A:R, 2, FALSE), "NO ENCONTRADO EN PLANTA"))</f>
        <v/>
      </c>
      <c r="B38" s="3" t="inlineStr">
        <is>
          <t>79671116</t>
        </is>
      </c>
      <c r="C38" s="4" t="inlineStr">
        <is>
          <t>MARTINEZ BERNAL WILSON ALEJANDRO</t>
        </is>
      </c>
      <c r="D38" s="2">
        <f>IF(B38="","",IFERROR(VLOOKUP(B38, PLANTA_BASE!A:R, 5, FALSE), "NO ENCONTRADO EN PLANTA"))</f>
        <v/>
      </c>
      <c r="E38" s="2">
        <f>IF(B38="","",IFERROR(VLOOKUP(B38, PLANTA_BASE!A:R, 6, FALSE), "NO ENCONTRADO EN PLANTA"))</f>
        <v/>
      </c>
      <c r="F38" s="4">
        <f>IF(B38="","",IFERROR(VLOOKUP(B38, PLANTA_BASE!A:R, 8, FALSE), "DOCENTE / FACILITADOR"))</f>
        <v/>
      </c>
      <c r="G38" s="4">
        <f>IF(B38="","",IFERROR(VLOOKUP(B38, PLANTA_BASE!A:R, 9, FALSE), "GENERAL"))</f>
        <v/>
      </c>
      <c r="H38" s="2">
        <f>IF(B38="","",IFERROR(VLOOKUP(B38, PLANTA_BASE!A:R, 17, FALSE), "GENERAL"))</f>
        <v/>
      </c>
    </row>
    <row r="39" ht="20" customHeight="1">
      <c r="A39" s="5">
        <f>IF(B39="","",IFERROR(VLOOKUP(B39, PLANTA_BASE!A:R, 2, FALSE), "NO ENCONTRADO EN PLANTA"))</f>
        <v/>
      </c>
      <c r="B39" s="6" t="inlineStr">
        <is>
          <t>1030541820</t>
        </is>
      </c>
      <c r="C39" s="7" t="inlineStr">
        <is>
          <t>CAMACHO PAOLA</t>
        </is>
      </c>
      <c r="D39" s="5">
        <f>IF(B39="","",IFERROR(VLOOKUP(B39, PLANTA_BASE!A:R, 5, FALSE), "NO ENCONTRADO EN PLANTA"))</f>
        <v/>
      </c>
      <c r="E39" s="5">
        <f>IF(B39="","",IFERROR(VLOOKUP(B39, PLANTA_BASE!A:R, 6, FALSE), "NO ENCONTRADO EN PLANTA"))</f>
        <v/>
      </c>
      <c r="F39" s="7">
        <f>IF(B39="","",IFERROR(VLOOKUP(B39, PLANTA_BASE!A:R, 8, FALSE), "DOCENTE / FACILITADOR"))</f>
        <v/>
      </c>
      <c r="G39" s="7">
        <f>IF(B39="","",IFERROR(VLOOKUP(B39, PLANTA_BASE!A:R, 9, FALSE), "GENERAL"))</f>
        <v/>
      </c>
      <c r="H39" s="5">
        <f>IF(B39="","",IFERROR(VLOOKUP(B39, PLANTA_BASE!A:R, 17, FALSE), "GENERAL"))</f>
        <v/>
      </c>
    </row>
    <row r="40" ht="20" customHeight="1">
      <c r="A40" s="2">
        <f>IF(B40="","",IFERROR(VLOOKUP(B40, PLANTA_BASE!A:R, 2, FALSE), "NO ENCONTRADO EN PLANTA"))</f>
        <v/>
      </c>
      <c r="B40" s="3" t="inlineStr">
        <is>
          <t>79168204</t>
        </is>
      </c>
      <c r="C40" s="4" t="inlineStr">
        <is>
          <t>SUAREZ JAIME</t>
        </is>
      </c>
      <c r="D40" s="2">
        <f>IF(B40="","",IFERROR(VLOOKUP(B40, PLANTA_BASE!A:R, 5, FALSE), "NO ENCONTRADO EN PLANTA"))</f>
        <v/>
      </c>
      <c r="E40" s="2">
        <f>IF(B40="","",IFERROR(VLOOKUP(B40, PLANTA_BASE!A:R, 6, FALSE), "NO ENCONTRADO EN PLANTA"))</f>
        <v/>
      </c>
      <c r="F40" s="4">
        <f>IF(B40="","",IFERROR(VLOOKUP(B40, PLANTA_BASE!A:R, 8, FALSE), "DOCENTE / FACILITADOR"))</f>
        <v/>
      </c>
      <c r="G40" s="4">
        <f>IF(B40="","",IFERROR(VLOOKUP(B40, PLANTA_BASE!A:R, 9, FALSE), "GENERAL"))</f>
        <v/>
      </c>
      <c r="H40" s="2">
        <f>IF(B40="","",IFERROR(VLOOKUP(B40, PLANTA_BASE!A:R, 17, FALSE), "GENERAL"))</f>
        <v/>
      </c>
    </row>
    <row r="41" ht="20" customHeight="1">
      <c r="A41" s="5">
        <f>IF(B41="","",IFERROR(VLOOKUP(B41, PLANTA_BASE!A:R, 2, FALSE), "NO ENCONTRADO EN PLANTA"))</f>
        <v/>
      </c>
      <c r="B41" s="6" t="inlineStr">
        <is>
          <t>1018454517</t>
        </is>
      </c>
      <c r="C41" s="7" t="inlineStr">
        <is>
          <t>HERNANDEZ JUAN</t>
        </is>
      </c>
      <c r="D41" s="5">
        <f>IF(B41="","",IFERROR(VLOOKUP(B41, PLANTA_BASE!A:R, 5, FALSE), "NO ENCONTRADO EN PLANTA"))</f>
        <v/>
      </c>
      <c r="E41" s="5">
        <f>IF(B41="","",IFERROR(VLOOKUP(B41, PLANTA_BASE!A:R, 6, FALSE), "NO ENCONTRADO EN PLANTA"))</f>
        <v/>
      </c>
      <c r="F41" s="7">
        <f>IF(B41="","",IFERROR(VLOOKUP(B41, PLANTA_BASE!A:R, 8, FALSE), "DOCENTE / FACILITADOR"))</f>
        <v/>
      </c>
      <c r="G41" s="7">
        <f>IF(B41="","",IFERROR(VLOOKUP(B41, PLANTA_BASE!A:R, 9, FALSE), "GENERAL"))</f>
        <v/>
      </c>
      <c r="H41" s="5">
        <f>IF(B41="","",IFERROR(VLOOKUP(B41, PLANTA_BASE!A:R, 17, FALSE), "GENERAL"))</f>
        <v/>
      </c>
    </row>
    <row r="42" ht="20" customHeight="1">
      <c r="A42" s="2">
        <f>IF(B42="","",IFERROR(VLOOKUP(B42, PLANTA_BASE!A:R, 2, FALSE), "NO ENCONTRADO EN PLANTA"))</f>
        <v/>
      </c>
      <c r="B42" s="3" t="inlineStr">
        <is>
          <t>80824976</t>
        </is>
      </c>
      <c r="C42" s="4" t="inlineStr">
        <is>
          <t>GALINDO CACERES ELQUIN FABIAN</t>
        </is>
      </c>
      <c r="D42" s="2">
        <f>IF(B42="","",IFERROR(VLOOKUP(B42, PLANTA_BASE!A:R, 5, FALSE), "NO ENCONTRADO EN PLANTA"))</f>
        <v/>
      </c>
      <c r="E42" s="2">
        <f>IF(B42="","",IFERROR(VLOOKUP(B42, PLANTA_BASE!A:R, 6, FALSE), "NO ENCONTRADO EN PLANTA"))</f>
        <v/>
      </c>
      <c r="F42" s="4">
        <f>IF(B42="","",IFERROR(VLOOKUP(B42, PLANTA_BASE!A:R, 8, FALSE), "DOCENTE / FACILITADOR"))</f>
        <v/>
      </c>
      <c r="G42" s="4">
        <f>IF(B42="","",IFERROR(VLOOKUP(B42, PLANTA_BASE!A:R, 9, FALSE), "GENERAL"))</f>
        <v/>
      </c>
      <c r="H42" s="2">
        <f>IF(B42="","",IFERROR(VLOOKUP(B42, PLANTA_BASE!A:R, 17, FALSE), "GENERAL"))</f>
        <v/>
      </c>
    </row>
    <row r="43" ht="20" customHeight="1">
      <c r="A43" s="5">
        <f>IF(B43="","",IFERROR(VLOOKUP(B43, PLANTA_BASE!A:R, 2, FALSE), "NO ENCONTRADO EN PLANTA"))</f>
        <v/>
      </c>
      <c r="B43" s="6" t="inlineStr">
        <is>
          <t>1033710412</t>
        </is>
      </c>
      <c r="C43" s="7" t="inlineStr">
        <is>
          <t>LEON LOPEZ LUIS ALBERTO</t>
        </is>
      </c>
      <c r="D43" s="5">
        <f>IF(B43="","",IFERROR(VLOOKUP(B43, PLANTA_BASE!A:R, 5, FALSE), "NO ENCONTRADO EN PLANTA"))</f>
        <v/>
      </c>
      <c r="E43" s="5">
        <f>IF(B43="","",IFERROR(VLOOKUP(B43, PLANTA_BASE!A:R, 6, FALSE), "NO ENCONTRADO EN PLANTA"))</f>
        <v/>
      </c>
      <c r="F43" s="7">
        <f>IF(B43="","",IFERROR(VLOOKUP(B43, PLANTA_BASE!A:R, 8, FALSE), "DOCENTE / FACILITADOR"))</f>
        <v/>
      </c>
      <c r="G43" s="7">
        <f>IF(B43="","",IFERROR(VLOOKUP(B43, PLANTA_BASE!A:R, 9, FALSE), "GENERAL"))</f>
        <v/>
      </c>
      <c r="H43" s="5">
        <f>IF(B43="","",IFERROR(VLOOKUP(B43, PLANTA_BASE!A:R, 17, FALSE), "GENERAL"))</f>
        <v/>
      </c>
    </row>
    <row r="44" ht="20" customHeight="1">
      <c r="A44" s="2">
        <f>IF(B44="","",IFERROR(VLOOKUP(B44, PLANTA_BASE!A:R, 2, FALSE), "NO ENCONTRADO EN PLANTA"))</f>
        <v/>
      </c>
      <c r="B44" s="3" t="inlineStr">
        <is>
          <t>1024509032</t>
        </is>
      </c>
      <c r="C44" s="4" t="inlineStr">
        <is>
          <t>MURILLO AVENDANO KATHERINE JULIED</t>
        </is>
      </c>
      <c r="D44" s="2">
        <f>IF(B44="","",IFERROR(VLOOKUP(B44, PLANTA_BASE!A:R, 5, FALSE), "NO ENCONTRADO EN PLANTA"))</f>
        <v/>
      </c>
      <c r="E44" s="2">
        <f>IF(B44="","",IFERROR(VLOOKUP(B44, PLANTA_BASE!A:R, 6, FALSE), "NO ENCONTRADO EN PLANTA"))</f>
        <v/>
      </c>
      <c r="F44" s="4">
        <f>IF(B44="","",IFERROR(VLOOKUP(B44, PLANTA_BASE!A:R, 8, FALSE), "DOCENTE / FACILITADOR"))</f>
        <v/>
      </c>
      <c r="G44" s="4">
        <f>IF(B44="","",IFERROR(VLOOKUP(B44, PLANTA_BASE!A:R, 9, FALSE), "GENERAL"))</f>
        <v/>
      </c>
      <c r="H44" s="2">
        <f>IF(B44="","",IFERROR(VLOOKUP(B44, PLANTA_BASE!A:R, 17, FALSE), "GENERAL"))</f>
        <v/>
      </c>
    </row>
    <row r="45" ht="20" customHeight="1">
      <c r="A45" s="5">
        <f>IF(B45="","",IFERROR(VLOOKUP(B45, PLANTA_BASE!A:R, 2, FALSE), "NO ENCONTRADO EN PLANTA"))</f>
        <v/>
      </c>
      <c r="B45" s="6" t="inlineStr">
        <is>
          <t>1012334935</t>
        </is>
      </c>
      <c r="C45" s="7" t="inlineStr">
        <is>
          <t>GOMEZ GINNA</t>
        </is>
      </c>
      <c r="D45" s="5">
        <f>IF(B45="","",IFERROR(VLOOKUP(B45, PLANTA_BASE!A:R, 5, FALSE), "NO ENCONTRADO EN PLANTA"))</f>
        <v/>
      </c>
      <c r="E45" s="5">
        <f>IF(B45="","",IFERROR(VLOOKUP(B45, PLANTA_BASE!A:R, 6, FALSE), "NO ENCONTRADO EN PLANTA"))</f>
        <v/>
      </c>
      <c r="F45" s="7">
        <f>IF(B45="","",IFERROR(VLOOKUP(B45, PLANTA_BASE!A:R, 8, FALSE), "DOCENTE / FACILITADOR"))</f>
        <v/>
      </c>
      <c r="G45" s="7">
        <f>IF(B45="","",IFERROR(VLOOKUP(B45, PLANTA_BASE!A:R, 9, FALSE), "GENERAL"))</f>
        <v/>
      </c>
      <c r="H45" s="5">
        <f>IF(B45="","",IFERROR(VLOOKUP(B45, PLANTA_BASE!A:R, 17, FALSE), "GENERAL"))</f>
        <v/>
      </c>
    </row>
    <row r="46" ht="20" customHeight="1">
      <c r="A46" s="2">
        <f>IF(B46="","",IFERROR(VLOOKUP(B46, PLANTA_BASE!A:R, 2, FALSE), "NO ENCONTRADO EN PLANTA"))</f>
        <v/>
      </c>
      <c r="B46" s="3" t="inlineStr">
        <is>
          <t>1000616624</t>
        </is>
      </c>
      <c r="C46" s="4" t="inlineStr">
        <is>
          <t>RINCON CAMARGO LUISA FERNANDA</t>
        </is>
      </c>
      <c r="D46" s="2">
        <f>IF(B46="","",IFERROR(VLOOKUP(B46, PLANTA_BASE!A:R, 5, FALSE), "NO ENCONTRADO EN PLANTA"))</f>
        <v/>
      </c>
      <c r="E46" s="2">
        <f>IF(B46="","",IFERROR(VLOOKUP(B46, PLANTA_BASE!A:R, 6, FALSE), "NO ENCONTRADO EN PLANTA"))</f>
        <v/>
      </c>
      <c r="F46" s="4">
        <f>IF(B46="","",IFERROR(VLOOKUP(B46, PLANTA_BASE!A:R, 8, FALSE), "DOCENTE / FACILITADOR"))</f>
        <v/>
      </c>
      <c r="G46" s="4">
        <f>IF(B46="","",IFERROR(VLOOKUP(B46, PLANTA_BASE!A:R, 9, FALSE), "GENERAL"))</f>
        <v/>
      </c>
      <c r="H46" s="2">
        <f>IF(B46="","",IFERROR(VLOOKUP(B46, PLANTA_BASE!A:R, 17, FALSE), "GENERAL"))</f>
        <v/>
      </c>
    </row>
    <row r="47" ht="20" customHeight="1">
      <c r="A47" s="5">
        <f>IF(B47="","",IFERROR(VLOOKUP(B47, PLANTA_BASE!A:R, 2, FALSE), "NO ENCONTRADO EN PLANTA"))</f>
        <v/>
      </c>
      <c r="B47" s="6" t="inlineStr">
        <is>
          <t>52854030</t>
        </is>
      </c>
      <c r="C47" s="7" t="inlineStr">
        <is>
          <t>RAMIREZ TRIANA CLAUDIA PATRICIA</t>
        </is>
      </c>
      <c r="D47" s="5">
        <f>IF(B47="","",IFERROR(VLOOKUP(B47, PLANTA_BASE!A:R, 5, FALSE), "NO ENCONTRADO EN PLANTA"))</f>
        <v/>
      </c>
      <c r="E47" s="5">
        <f>IF(B47="","",IFERROR(VLOOKUP(B47, PLANTA_BASE!A:R, 6, FALSE), "NO ENCONTRADO EN PLANTA"))</f>
        <v/>
      </c>
      <c r="F47" s="7">
        <f>IF(B47="","",IFERROR(VLOOKUP(B47, PLANTA_BASE!A:R, 8, FALSE), "DOCENTE / FACILITADOR"))</f>
        <v/>
      </c>
      <c r="G47" s="7">
        <f>IF(B47="","",IFERROR(VLOOKUP(B47, PLANTA_BASE!A:R, 9, FALSE), "GENERAL"))</f>
        <v/>
      </c>
      <c r="H47" s="5">
        <f>IF(B47="","",IFERROR(VLOOKUP(B47, PLANTA_BASE!A:R, 17, FALSE), "GENERAL"))</f>
        <v/>
      </c>
    </row>
    <row r="48" ht="20" customHeight="1">
      <c r="A48" s="2">
        <f>IF(B48="","",IFERROR(VLOOKUP(B48, PLANTA_BASE!A:R, 2, FALSE), "NO ENCONTRADO EN PLANTA"))</f>
        <v/>
      </c>
      <c r="B48" s="3" t="inlineStr">
        <is>
          <t>53107435</t>
        </is>
      </c>
      <c r="C48" s="4" t="inlineStr">
        <is>
          <t>VALENCIA QUECANO LIRA ISIS</t>
        </is>
      </c>
      <c r="D48" s="2">
        <f>IF(B48="","",IFERROR(VLOOKUP(B48, PLANTA_BASE!A:R, 5, FALSE), "NO ENCONTRADO EN PLANTA"))</f>
        <v/>
      </c>
      <c r="E48" s="2">
        <f>IF(B48="","",IFERROR(VLOOKUP(B48, PLANTA_BASE!A:R, 6, FALSE), "NO ENCONTRADO EN PLANTA"))</f>
        <v/>
      </c>
      <c r="F48" s="4">
        <f>IF(B48="","",IFERROR(VLOOKUP(B48, PLANTA_BASE!A:R, 8, FALSE), "DOCENTE / FACILITADOR"))</f>
        <v/>
      </c>
      <c r="G48" s="4">
        <f>IF(B48="","",IFERROR(VLOOKUP(B48, PLANTA_BASE!A:R, 9, FALSE), "GENERAL"))</f>
        <v/>
      </c>
      <c r="H48" s="2">
        <f>IF(B48="","",IFERROR(VLOOKUP(B48, PLANTA_BASE!A:R, 17, FALSE), "GENERAL"))</f>
        <v/>
      </c>
    </row>
    <row r="49" ht="20" customHeight="1">
      <c r="A49" s="5">
        <f>IF(B49="","",IFERROR(VLOOKUP(B49, PLANTA_BASE!A:R, 2, FALSE), "NO ENCONTRADO EN PLANTA"))</f>
        <v/>
      </c>
      <c r="B49" s="6" t="inlineStr">
        <is>
          <t>1015419351</t>
        </is>
      </c>
      <c r="C49" s="7" t="inlineStr">
        <is>
          <t>RUBIANO CASTILLO CARLOS ANDRES</t>
        </is>
      </c>
      <c r="D49" s="5">
        <f>IF(B49="","",IFERROR(VLOOKUP(B49, PLANTA_BASE!A:R, 5, FALSE), "NO ENCONTRADO EN PLANTA"))</f>
        <v/>
      </c>
      <c r="E49" s="5">
        <f>IF(B49="","",IFERROR(VLOOKUP(B49, PLANTA_BASE!A:R, 6, FALSE), "NO ENCONTRADO EN PLANTA"))</f>
        <v/>
      </c>
      <c r="F49" s="7">
        <f>IF(B49="","",IFERROR(VLOOKUP(B49, PLANTA_BASE!A:R, 8, FALSE), "DOCENTE / FACILITADOR"))</f>
        <v/>
      </c>
      <c r="G49" s="7">
        <f>IF(B49="","",IFERROR(VLOOKUP(B49, PLANTA_BASE!A:R, 9, FALSE), "GENERAL"))</f>
        <v/>
      </c>
      <c r="H49" s="5">
        <f>IF(B49="","",IFERROR(VLOOKUP(B49, PLANTA_BASE!A:R, 17, FALSE), "GENERAL"))</f>
        <v/>
      </c>
    </row>
    <row r="50" ht="20" customHeight="1">
      <c r="A50" s="2">
        <f>IF(B50="","",IFERROR(VLOOKUP(B50, PLANTA_BASE!A:R, 2, FALSE), "NO ENCONTRADO EN PLANTA"))</f>
        <v/>
      </c>
      <c r="B50" s="3" t="inlineStr">
        <is>
          <t>79598362</t>
        </is>
      </c>
      <c r="C50" s="4" t="inlineStr">
        <is>
          <t>PINZON CASTANEDA SAID</t>
        </is>
      </c>
      <c r="D50" s="2">
        <f>IF(B50="","",IFERROR(VLOOKUP(B50, PLANTA_BASE!A:R, 5, FALSE), "NO ENCONTRADO EN PLANTA"))</f>
        <v/>
      </c>
      <c r="E50" s="2">
        <f>IF(B50="","",IFERROR(VLOOKUP(B50, PLANTA_BASE!A:R, 6, FALSE), "NO ENCONTRADO EN PLANTA"))</f>
        <v/>
      </c>
      <c r="F50" s="4">
        <f>IF(B50="","",IFERROR(VLOOKUP(B50, PLANTA_BASE!A:R, 8, FALSE), "DOCENTE / FACILITADOR"))</f>
        <v/>
      </c>
      <c r="G50" s="4">
        <f>IF(B50="","",IFERROR(VLOOKUP(B50, PLANTA_BASE!A:R, 9, FALSE), "GENERAL"))</f>
        <v/>
      </c>
      <c r="H50" s="2">
        <f>IF(B50="","",IFERROR(VLOOKUP(B50, PLANTA_BASE!A:R, 17, FALSE), "GENERAL"))</f>
        <v/>
      </c>
    </row>
    <row r="51" ht="20" customHeight="1">
      <c r="A51" s="5">
        <f>IF(B51="","",IFERROR(VLOOKUP(B51, PLANTA_BASE!A:R, 2, FALSE), "NO ENCONTRADO EN PLANTA"))</f>
        <v/>
      </c>
      <c r="B51" s="6" t="inlineStr">
        <is>
          <t>1013643932</t>
        </is>
      </c>
      <c r="C51" s="7" t="inlineStr">
        <is>
          <t>PAEZ MURCIA JAVIER OSWALDO</t>
        </is>
      </c>
      <c r="D51" s="5">
        <f>IF(B51="","",IFERROR(VLOOKUP(B51, PLANTA_BASE!A:R, 5, FALSE), "NO ENCONTRADO EN PLANTA"))</f>
        <v/>
      </c>
      <c r="E51" s="5">
        <f>IF(B51="","",IFERROR(VLOOKUP(B51, PLANTA_BASE!A:R, 6, FALSE), "NO ENCONTRADO EN PLANTA"))</f>
        <v/>
      </c>
      <c r="F51" s="7">
        <f>IF(B51="","",IFERROR(VLOOKUP(B51, PLANTA_BASE!A:R, 8, FALSE), "DOCENTE / FACILITADOR"))</f>
        <v/>
      </c>
      <c r="G51" s="7">
        <f>IF(B51="","",IFERROR(VLOOKUP(B51, PLANTA_BASE!A:R, 9, FALSE), "GENERAL"))</f>
        <v/>
      </c>
      <c r="H51" s="5">
        <f>IF(B51="","",IFERROR(VLOOKUP(B51, PLANTA_BASE!A:R, 17, FALSE), "GENERAL"))</f>
        <v/>
      </c>
    </row>
    <row r="52" ht="20" customHeight="1">
      <c r="A52" s="2">
        <f>IF(B52="","",IFERROR(VLOOKUP(B52, PLANTA_BASE!A:R, 2, FALSE), "NO ENCONTRADO EN PLANTA"))</f>
        <v/>
      </c>
      <c r="B52" s="3" t="inlineStr">
        <is>
          <t>80833083</t>
        </is>
      </c>
      <c r="C52" s="4" t="inlineStr">
        <is>
          <t>MERCHAN JULIAN CAMILO</t>
        </is>
      </c>
      <c r="D52" s="2">
        <f>IF(B52="","",IFERROR(VLOOKUP(B52, PLANTA_BASE!A:R, 5, FALSE), "NO ENCONTRADO EN PLANTA"))</f>
        <v/>
      </c>
      <c r="E52" s="2">
        <f>IF(B52="","",IFERROR(VLOOKUP(B52, PLANTA_BASE!A:R, 6, FALSE), "NO ENCONTRADO EN PLANTA"))</f>
        <v/>
      </c>
      <c r="F52" s="4">
        <f>IF(B52="","",IFERROR(VLOOKUP(B52, PLANTA_BASE!A:R, 8, FALSE), "DOCENTE / FACILITADOR"))</f>
        <v/>
      </c>
      <c r="G52" s="4">
        <f>IF(B52="","",IFERROR(VLOOKUP(B52, PLANTA_BASE!A:R, 9, FALSE), "GENERAL"))</f>
        <v/>
      </c>
      <c r="H52" s="2">
        <f>IF(B52="","",IFERROR(VLOOKUP(B52, PLANTA_BASE!A:R, 17, FALSE), "GENERAL"))</f>
        <v/>
      </c>
    </row>
    <row r="53" ht="20" customHeight="1">
      <c r="A53" s="5">
        <f>IF(B53="","",IFERROR(VLOOKUP(B53, PLANTA_BASE!A:R, 2, FALSE), "NO ENCONTRADO EN PLANTA"))</f>
        <v/>
      </c>
      <c r="B53" s="6" t="inlineStr">
        <is>
          <t>1010165156</t>
        </is>
      </c>
      <c r="C53" s="7" t="inlineStr">
        <is>
          <t>VELA TIBOCHA ANDRES</t>
        </is>
      </c>
      <c r="D53" s="5">
        <f>IF(B53="","",IFERROR(VLOOKUP(B53, PLANTA_BASE!A:R, 5, FALSE), "NO ENCONTRADO EN PLANTA"))</f>
        <v/>
      </c>
      <c r="E53" s="5">
        <f>IF(B53="","",IFERROR(VLOOKUP(B53, PLANTA_BASE!A:R, 6, FALSE), "NO ENCONTRADO EN PLANTA"))</f>
        <v/>
      </c>
      <c r="F53" s="7">
        <f>IF(B53="","",IFERROR(VLOOKUP(B53, PLANTA_BASE!A:R, 8, FALSE), "DOCENTE / FACILITADOR"))</f>
        <v/>
      </c>
      <c r="G53" s="7">
        <f>IF(B53="","",IFERROR(VLOOKUP(B53, PLANTA_BASE!A:R, 9, FALSE), "GENERAL"))</f>
        <v/>
      </c>
      <c r="H53" s="5">
        <f>IF(B53="","",IFERROR(VLOOKUP(B53, PLANTA_BASE!A:R, 17, FALSE), "GENERAL"))</f>
        <v/>
      </c>
    </row>
    <row r="54" ht="20" customHeight="1">
      <c r="A54" s="2">
        <f>IF(B54="","",IFERROR(VLOOKUP(B54, PLANTA_BASE!A:R, 2, FALSE), "NO ENCONTRADO EN PLANTA"))</f>
        <v/>
      </c>
      <c r="B54" s="3" t="inlineStr">
        <is>
          <t>1014279349</t>
        </is>
      </c>
      <c r="C54" s="4" t="inlineStr">
        <is>
          <t>MEDINA SALAZAR ERIKA</t>
        </is>
      </c>
      <c r="D54" s="2">
        <f>IF(B54="","",IFERROR(VLOOKUP(B54, PLANTA_BASE!A:R, 5, FALSE), "NO ENCONTRADO EN PLANTA"))</f>
        <v/>
      </c>
      <c r="E54" s="2">
        <f>IF(B54="","",IFERROR(VLOOKUP(B54, PLANTA_BASE!A:R, 6, FALSE), "NO ENCONTRADO EN PLANTA"))</f>
        <v/>
      </c>
      <c r="F54" s="4">
        <f>IF(B54="","",IFERROR(VLOOKUP(B54, PLANTA_BASE!A:R, 8, FALSE), "DOCENTE / FACILITADOR"))</f>
        <v/>
      </c>
      <c r="G54" s="4">
        <f>IF(B54="","",IFERROR(VLOOKUP(B54, PLANTA_BASE!A:R, 9, FALSE), "GENERAL"))</f>
        <v/>
      </c>
      <c r="H54" s="2">
        <f>IF(B54="","",IFERROR(VLOOKUP(B54, PLANTA_BASE!A:R, 17, FALSE), "GENERAL"))</f>
        <v/>
      </c>
    </row>
    <row r="55" ht="20" customHeight="1">
      <c r="A55" s="5">
        <f>IF(B55="","",IFERROR(VLOOKUP(B55, PLANTA_BASE!A:R, 2, FALSE), "NO ENCONTRADO EN PLANTA"))</f>
        <v/>
      </c>
      <c r="B55" s="6" t="inlineStr">
        <is>
          <t>1072699908</t>
        </is>
      </c>
      <c r="C55" s="7" t="inlineStr">
        <is>
          <t>AREVALO DANIEL</t>
        </is>
      </c>
      <c r="D55" s="5">
        <f>IF(B55="","",IFERROR(VLOOKUP(B55, PLANTA_BASE!A:R, 5, FALSE), "NO ENCONTRADO EN PLANTA"))</f>
        <v/>
      </c>
      <c r="E55" s="5">
        <f>IF(B55="","",IFERROR(VLOOKUP(B55, PLANTA_BASE!A:R, 6, FALSE), "NO ENCONTRADO EN PLANTA"))</f>
        <v/>
      </c>
      <c r="F55" s="7">
        <f>IF(B55="","",IFERROR(VLOOKUP(B55, PLANTA_BASE!A:R, 8, FALSE), "DOCENTE / FACILITADOR"))</f>
        <v/>
      </c>
      <c r="G55" s="7">
        <f>IF(B55="","",IFERROR(VLOOKUP(B55, PLANTA_BASE!A:R, 9, FALSE), "GENERAL"))</f>
        <v/>
      </c>
      <c r="H55" s="5">
        <f>IF(B55="","",IFERROR(VLOOKUP(B55, PLANTA_BASE!A:R, 17, FALSE), "GENERAL"))</f>
        <v/>
      </c>
    </row>
    <row r="56" ht="20" customHeight="1">
      <c r="A56" s="2">
        <f>IF(B56="","",IFERROR(VLOOKUP(B56, PLANTA_BASE!A:R, 2, FALSE), "NO ENCONTRADO EN PLANTA"))</f>
        <v/>
      </c>
      <c r="B56" s="3" t="inlineStr">
        <is>
          <t>79864150</t>
        </is>
      </c>
      <c r="C56" s="4" t="inlineStr">
        <is>
          <t>GONZALEZ ALVARO</t>
        </is>
      </c>
      <c r="D56" s="2">
        <f>IF(B56="","",IFERROR(VLOOKUP(B56, PLANTA_BASE!A:R, 5, FALSE), "NO ENCONTRADO EN PLANTA"))</f>
        <v/>
      </c>
      <c r="E56" s="2">
        <f>IF(B56="","",IFERROR(VLOOKUP(B56, PLANTA_BASE!A:R, 6, FALSE), "NO ENCONTRADO EN PLANTA"))</f>
        <v/>
      </c>
      <c r="F56" s="4">
        <f>IF(B56="","",IFERROR(VLOOKUP(B56, PLANTA_BASE!A:R, 8, FALSE), "DOCENTE / FACILITADOR"))</f>
        <v/>
      </c>
      <c r="G56" s="4">
        <f>IF(B56="","",IFERROR(VLOOKUP(B56, PLANTA_BASE!A:R, 9, FALSE), "GENERAL"))</f>
        <v/>
      </c>
      <c r="H56" s="2">
        <f>IF(B56="","",IFERROR(VLOOKUP(B56, PLANTA_BASE!A:R, 17, FALSE), "GENERAL"))</f>
        <v/>
      </c>
    </row>
    <row r="57" ht="20" customHeight="1">
      <c r="A57" s="5">
        <f>IF(B57="","",IFERROR(VLOOKUP(B57, PLANTA_BASE!A:R, 2, FALSE), "NO ENCONTRADO EN PLANTA"))</f>
        <v/>
      </c>
      <c r="B57" s="6" t="inlineStr">
        <is>
          <t>52479406</t>
        </is>
      </c>
      <c r="C57" s="7" t="inlineStr">
        <is>
          <t>HERRERA HERRERA CARMEN MILENA</t>
        </is>
      </c>
      <c r="D57" s="5">
        <f>IF(B57="","",IFERROR(VLOOKUP(B57, PLANTA_BASE!A:R, 5, FALSE), "NO ENCONTRADO EN PLANTA"))</f>
        <v/>
      </c>
      <c r="E57" s="5">
        <f>IF(B57="","",IFERROR(VLOOKUP(B57, PLANTA_BASE!A:R, 6, FALSE), "NO ENCONTRADO EN PLANTA"))</f>
        <v/>
      </c>
      <c r="F57" s="7">
        <f>IF(B57="","",IFERROR(VLOOKUP(B57, PLANTA_BASE!A:R, 8, FALSE), "DOCENTE / FACILITADOR"))</f>
        <v/>
      </c>
      <c r="G57" s="7">
        <f>IF(B57="","",IFERROR(VLOOKUP(B57, PLANTA_BASE!A:R, 9, FALSE), "GENERAL"))</f>
        <v/>
      </c>
      <c r="H57" s="5">
        <f>IF(B57="","",IFERROR(VLOOKUP(B57, PLANTA_BASE!A:R, 17, FALSE), "GENERAL"))</f>
        <v/>
      </c>
    </row>
    <row r="58" ht="20" customHeight="1">
      <c r="A58" s="2">
        <f>IF(B58="","",IFERROR(VLOOKUP(B58, PLANTA_BASE!A:R, 2, FALSE), "NO ENCONTRADO EN PLANTA"))</f>
        <v/>
      </c>
      <c r="B58" s="3" t="inlineStr">
        <is>
          <t>52490497</t>
        </is>
      </c>
      <c r="C58" s="4" t="inlineStr">
        <is>
          <t>RODRIGUEZ GARZON NORMA ESPERANZA</t>
        </is>
      </c>
      <c r="D58" s="2">
        <f>IF(B58="","",IFERROR(VLOOKUP(B58, PLANTA_BASE!A:R, 5, FALSE), "NO ENCONTRADO EN PLANTA"))</f>
        <v/>
      </c>
      <c r="E58" s="2">
        <f>IF(B58="","",IFERROR(VLOOKUP(B58, PLANTA_BASE!A:R, 6, FALSE), "NO ENCONTRADO EN PLANTA"))</f>
        <v/>
      </c>
      <c r="F58" s="4">
        <f>IF(B58="","",IFERROR(VLOOKUP(B58, PLANTA_BASE!A:R, 8, FALSE), "DOCENTE / FACILITADOR"))</f>
        <v/>
      </c>
      <c r="G58" s="4">
        <f>IF(B58="","",IFERROR(VLOOKUP(B58, PLANTA_BASE!A:R, 9, FALSE), "GENERAL"))</f>
        <v/>
      </c>
      <c r="H58" s="2">
        <f>IF(B58="","",IFERROR(VLOOKUP(B58, PLANTA_BASE!A:R, 17, FALSE), "GENERAL"))</f>
        <v/>
      </c>
    </row>
    <row r="59" ht="20" customHeight="1">
      <c r="A59" s="5">
        <f>IF(B59="","",IFERROR(VLOOKUP(B59, PLANTA_BASE!A:R, 2, FALSE), "NO ENCONTRADO EN PLANTA"))</f>
        <v/>
      </c>
      <c r="B59" s="6" t="inlineStr">
        <is>
          <t>51988353</t>
        </is>
      </c>
      <c r="C59" s="7" t="inlineStr">
        <is>
          <t>REYES MARY LUZ</t>
        </is>
      </c>
      <c r="D59" s="5">
        <f>IF(B59="","",IFERROR(VLOOKUP(B59, PLANTA_BASE!A:R, 5, FALSE), "NO ENCONTRADO EN PLANTA"))</f>
        <v/>
      </c>
      <c r="E59" s="5">
        <f>IF(B59="","",IFERROR(VLOOKUP(B59, PLANTA_BASE!A:R, 6, FALSE), "NO ENCONTRADO EN PLANTA"))</f>
        <v/>
      </c>
      <c r="F59" s="7">
        <f>IF(B59="","",IFERROR(VLOOKUP(B59, PLANTA_BASE!A:R, 8, FALSE), "DOCENTE / FACILITADOR"))</f>
        <v/>
      </c>
      <c r="G59" s="7">
        <f>IF(B59="","",IFERROR(VLOOKUP(B59, PLANTA_BASE!A:R, 9, FALSE), "GENERAL"))</f>
        <v/>
      </c>
      <c r="H59" s="5">
        <f>IF(B59="","",IFERROR(VLOOKUP(B59, PLANTA_BASE!A:R, 17, FALSE), "GENERAL"))</f>
        <v/>
      </c>
    </row>
    <row r="60" ht="20" customHeight="1">
      <c r="A60" s="2">
        <f>IF(B60="","",IFERROR(VLOOKUP(B60, PLANTA_BASE!A:R, 2, FALSE), "NO ENCONTRADO EN PLANTA"))</f>
        <v/>
      </c>
      <c r="B60" s="3" t="inlineStr">
        <is>
          <t>79554170</t>
        </is>
      </c>
      <c r="C60" s="4" t="inlineStr">
        <is>
          <t>ROJAS HERNANDEZ MANUEL ANTONIO</t>
        </is>
      </c>
      <c r="D60" s="2">
        <f>IF(B60="","",IFERROR(VLOOKUP(B60, PLANTA_BASE!A:R, 5, FALSE), "NO ENCONTRADO EN PLANTA"))</f>
        <v/>
      </c>
      <c r="E60" s="2">
        <f>IF(B60="","",IFERROR(VLOOKUP(B60, PLANTA_BASE!A:R, 6, FALSE), "NO ENCONTRADO EN PLANTA"))</f>
        <v/>
      </c>
      <c r="F60" s="4">
        <f>IF(B60="","",IFERROR(VLOOKUP(B60, PLANTA_BASE!A:R, 8, FALSE), "DOCENTE / FACILITADOR"))</f>
        <v/>
      </c>
      <c r="G60" s="4">
        <f>IF(B60="","",IFERROR(VLOOKUP(B60, PLANTA_BASE!A:R, 9, FALSE), "GENERAL"))</f>
        <v/>
      </c>
      <c r="H60" s="2">
        <f>IF(B60="","",IFERROR(VLOOKUP(B60, PLANTA_BASE!A:R, 17, FALSE), "GENERAL"))</f>
        <v/>
      </c>
    </row>
    <row r="61" ht="20" customHeight="1">
      <c r="A61" s="5">
        <f>IF(B61="","",IFERROR(VLOOKUP(B61, PLANTA_BASE!A:R, 2, FALSE), "NO ENCONTRADO EN PLANTA"))</f>
        <v/>
      </c>
      <c r="B61" s="6" t="inlineStr">
        <is>
          <t>1022924981</t>
        </is>
      </c>
      <c r="C61" s="7" t="inlineStr">
        <is>
          <t>DE LA HOZ YENIFFER</t>
        </is>
      </c>
      <c r="D61" s="5">
        <f>IF(B61="","",IFERROR(VLOOKUP(B61, PLANTA_BASE!A:R, 5, FALSE), "NO ENCONTRADO EN PLANTA"))</f>
        <v/>
      </c>
      <c r="E61" s="5">
        <f>IF(B61="","",IFERROR(VLOOKUP(B61, PLANTA_BASE!A:R, 6, FALSE), "NO ENCONTRADO EN PLANTA"))</f>
        <v/>
      </c>
      <c r="F61" s="7">
        <f>IF(B61="","",IFERROR(VLOOKUP(B61, PLANTA_BASE!A:R, 8, FALSE), "DOCENTE / FACILITADOR"))</f>
        <v/>
      </c>
      <c r="G61" s="7">
        <f>IF(B61="","",IFERROR(VLOOKUP(B61, PLANTA_BASE!A:R, 9, FALSE), "GENERAL"))</f>
        <v/>
      </c>
      <c r="H61" s="5">
        <f>IF(B61="","",IFERROR(VLOOKUP(B61, PLANTA_BASE!A:R, 17, FALSE), "GENERAL"))</f>
        <v/>
      </c>
    </row>
    <row r="62" ht="20" customHeight="1">
      <c r="A62" s="2">
        <f>IF(B62="","",IFERROR(VLOOKUP(B62, PLANTA_BASE!A:R, 2, FALSE), "NO ENCONTRADO EN PLANTA"))</f>
        <v/>
      </c>
      <c r="B62" s="3" t="inlineStr">
        <is>
          <t>72275487</t>
        </is>
      </c>
      <c r="C62" s="4" t="inlineStr">
        <is>
          <t>MATEUS YECID</t>
        </is>
      </c>
      <c r="D62" s="2">
        <f>IF(B62="","",IFERROR(VLOOKUP(B62, PLANTA_BASE!A:R, 5, FALSE), "NO ENCONTRADO EN PLANTA"))</f>
        <v/>
      </c>
      <c r="E62" s="2">
        <f>IF(B62="","",IFERROR(VLOOKUP(B62, PLANTA_BASE!A:R, 6, FALSE), "NO ENCONTRADO EN PLANTA"))</f>
        <v/>
      </c>
      <c r="F62" s="4">
        <f>IF(B62="","",IFERROR(VLOOKUP(B62, PLANTA_BASE!A:R, 8, FALSE), "DOCENTE / FACILITADOR"))</f>
        <v/>
      </c>
      <c r="G62" s="4">
        <f>IF(B62="","",IFERROR(VLOOKUP(B62, PLANTA_BASE!A:R, 9, FALSE), "GENERAL"))</f>
        <v/>
      </c>
      <c r="H62" s="2">
        <f>IF(B62="","",IFERROR(VLOOKUP(B62, PLANTA_BASE!A:R, 17, FALSE), "GENERAL"))</f>
        <v/>
      </c>
    </row>
    <row r="63" ht="20" customHeight="1">
      <c r="A63" s="5">
        <f>IF(B63="","",IFERROR(VLOOKUP(B63, PLANTA_BASE!A:R, 2, FALSE), "NO ENCONTRADO EN PLANTA"))</f>
        <v/>
      </c>
      <c r="B63" s="6" t="inlineStr">
        <is>
          <t>1030665047</t>
        </is>
      </c>
      <c r="C63" s="7" t="inlineStr">
        <is>
          <t>BAZZANI MENDOZA TATIANA</t>
        </is>
      </c>
      <c r="D63" s="5">
        <f>IF(B63="","",IFERROR(VLOOKUP(B63, PLANTA_BASE!A:R, 5, FALSE), "NO ENCONTRADO EN PLANTA"))</f>
        <v/>
      </c>
      <c r="E63" s="5">
        <f>IF(B63="","",IFERROR(VLOOKUP(B63, PLANTA_BASE!A:R, 6, FALSE), "NO ENCONTRADO EN PLANTA"))</f>
        <v/>
      </c>
      <c r="F63" s="7">
        <f>IF(B63="","",IFERROR(VLOOKUP(B63, PLANTA_BASE!A:R, 8, FALSE), "DOCENTE / FACILITADOR"))</f>
        <v/>
      </c>
      <c r="G63" s="7">
        <f>IF(B63="","",IFERROR(VLOOKUP(B63, PLANTA_BASE!A:R, 9, FALSE), "GENERAL"))</f>
        <v/>
      </c>
      <c r="H63" s="5">
        <f>IF(B63="","",IFERROR(VLOOKUP(B63, PLANTA_BASE!A:R, 17, FALSE), "GENERAL"))</f>
        <v/>
      </c>
    </row>
    <row r="64" ht="20" customHeight="1">
      <c r="A64" s="2">
        <f>IF(B64="","",IFERROR(VLOOKUP(B64, PLANTA_BASE!A:R, 2, FALSE), "NO ENCONTRADO EN PLANTA"))</f>
        <v/>
      </c>
      <c r="B64" s="3" t="inlineStr">
        <is>
          <t>1075676262</t>
        </is>
      </c>
      <c r="C64" s="4" t="inlineStr">
        <is>
          <t>TORRES ESPINOSA DANIELA</t>
        </is>
      </c>
      <c r="D64" s="2">
        <f>IF(B64="","",IFERROR(VLOOKUP(B64, PLANTA_BASE!A:R, 5, FALSE), "NO ENCONTRADO EN PLANTA"))</f>
        <v/>
      </c>
      <c r="E64" s="2">
        <f>IF(B64="","",IFERROR(VLOOKUP(B64, PLANTA_BASE!A:R, 6, FALSE), "NO ENCONTRADO EN PLANTA"))</f>
        <v/>
      </c>
      <c r="F64" s="4">
        <f>IF(B64="","",IFERROR(VLOOKUP(B64, PLANTA_BASE!A:R, 8, FALSE), "DOCENTE / FACILITADOR"))</f>
        <v/>
      </c>
      <c r="G64" s="4">
        <f>IF(B64="","",IFERROR(VLOOKUP(B64, PLANTA_BASE!A:R, 9, FALSE), "GENERAL"))</f>
        <v/>
      </c>
      <c r="H64" s="2">
        <f>IF(B64="","",IFERROR(VLOOKUP(B64, PLANTA_BASE!A:R, 17, FALSE), "GENERAL"))</f>
        <v/>
      </c>
    </row>
    <row r="65" ht="20" customHeight="1">
      <c r="A65" s="5">
        <f>IF(B65="","",IFERROR(VLOOKUP(B65, PLANTA_BASE!A:R, 2, FALSE), "NO ENCONTRADO EN PLANTA"))</f>
        <v/>
      </c>
      <c r="B65" s="6" t="inlineStr">
        <is>
          <t>1026272735</t>
        </is>
      </c>
      <c r="C65" s="7" t="inlineStr">
        <is>
          <t>REYES CATOLICO LEONARDO</t>
        </is>
      </c>
      <c r="D65" s="5">
        <f>IF(B65="","",IFERROR(VLOOKUP(B65, PLANTA_BASE!A:R, 5, FALSE), "NO ENCONTRADO EN PLANTA"))</f>
        <v/>
      </c>
      <c r="E65" s="5">
        <f>IF(B65="","",IFERROR(VLOOKUP(B65, PLANTA_BASE!A:R, 6, FALSE), "NO ENCONTRADO EN PLANTA"))</f>
        <v/>
      </c>
      <c r="F65" s="7">
        <f>IF(B65="","",IFERROR(VLOOKUP(B65, PLANTA_BASE!A:R, 8, FALSE), "DOCENTE / FACILITADOR"))</f>
        <v/>
      </c>
      <c r="G65" s="7">
        <f>IF(B65="","",IFERROR(VLOOKUP(B65, PLANTA_BASE!A:R, 9, FALSE), "GENERAL"))</f>
        <v/>
      </c>
      <c r="H65" s="5">
        <f>IF(B65="","",IFERROR(VLOOKUP(B65, PLANTA_BASE!A:R, 17, FALSE), "GENERAL"))</f>
        <v/>
      </c>
    </row>
    <row r="66" ht="20" customHeight="1">
      <c r="A66" s="2">
        <f>IF(B66="","",IFERROR(VLOOKUP(B66, PLANTA_BASE!A:R, 2, FALSE), "NO ENCONTRADO EN PLANTA"))</f>
        <v/>
      </c>
      <c r="B66" s="3" t="inlineStr">
        <is>
          <t>1023962810</t>
        </is>
      </c>
      <c r="C66" s="4" t="inlineStr">
        <is>
          <t>GUALDRIA SANDOVAL CAMILA ANDREA</t>
        </is>
      </c>
      <c r="D66" s="2">
        <f>IF(B66="","",IFERROR(VLOOKUP(B66, PLANTA_BASE!A:R, 5, FALSE), "NO ENCONTRADO EN PLANTA"))</f>
        <v/>
      </c>
      <c r="E66" s="2">
        <f>IF(B66="","",IFERROR(VLOOKUP(B66, PLANTA_BASE!A:R, 6, FALSE), "NO ENCONTRADO EN PLANTA"))</f>
        <v/>
      </c>
      <c r="F66" s="4">
        <f>IF(B66="","",IFERROR(VLOOKUP(B66, PLANTA_BASE!A:R, 8, FALSE), "DOCENTE / FACILITADOR"))</f>
        <v/>
      </c>
      <c r="G66" s="4">
        <f>IF(B66="","",IFERROR(VLOOKUP(B66, PLANTA_BASE!A:R, 9, FALSE), "GENERAL"))</f>
        <v/>
      </c>
      <c r="H66" s="2">
        <f>IF(B66="","",IFERROR(VLOOKUP(B66, PLANTA_BASE!A:R, 17, FALSE), "GENERAL"))</f>
        <v/>
      </c>
    </row>
    <row r="67" ht="20" customHeight="1">
      <c r="A67" s="5">
        <f>IF(B67="","",IFERROR(VLOOKUP(B67, PLANTA_BASE!A:R, 2, FALSE), "NO ENCONTRADO EN PLANTA"))</f>
        <v/>
      </c>
      <c r="B67" s="6" t="inlineStr">
        <is>
          <t>18263061</t>
        </is>
      </c>
      <c r="C67" s="7" t="inlineStr">
        <is>
          <t>RUIZ RAMIREZ JONATHAN EDUARDO</t>
        </is>
      </c>
      <c r="D67" s="5">
        <f>IF(B67="","",IFERROR(VLOOKUP(B67, PLANTA_BASE!A:R, 5, FALSE), "NO ENCONTRADO EN PLANTA"))</f>
        <v/>
      </c>
      <c r="E67" s="5">
        <f>IF(B67="","",IFERROR(VLOOKUP(B67, PLANTA_BASE!A:R, 6, FALSE), "NO ENCONTRADO EN PLANTA"))</f>
        <v/>
      </c>
      <c r="F67" s="7">
        <f>IF(B67="","",IFERROR(VLOOKUP(B67, PLANTA_BASE!A:R, 8, FALSE), "DOCENTE / FACILITADOR"))</f>
        <v/>
      </c>
      <c r="G67" s="7">
        <f>IF(B67="","",IFERROR(VLOOKUP(B67, PLANTA_BASE!A:R, 9, FALSE), "GENERAL"))</f>
        <v/>
      </c>
      <c r="H67" s="5">
        <f>IF(B67="","",IFERROR(VLOOKUP(B67, PLANTA_BASE!A:R, 17, FALSE), "GENERAL"))</f>
        <v/>
      </c>
    </row>
    <row r="68" ht="20" customHeight="1">
      <c r="A68" s="2">
        <f>IF(B68="","",IFERROR(VLOOKUP(B68, PLANTA_BASE!A:R, 2, FALSE), "NO ENCONTRADO EN PLANTA"))</f>
        <v/>
      </c>
      <c r="B68" s="3" t="inlineStr">
        <is>
          <t>79958162</t>
        </is>
      </c>
      <c r="C68" s="4" t="inlineStr">
        <is>
          <t>ROZO DAVID</t>
        </is>
      </c>
      <c r="D68" s="2">
        <f>IF(B68="","",IFERROR(VLOOKUP(B68, PLANTA_BASE!A:R, 5, FALSE), "NO ENCONTRADO EN PLANTA"))</f>
        <v/>
      </c>
      <c r="E68" s="2">
        <f>IF(B68="","",IFERROR(VLOOKUP(B68, PLANTA_BASE!A:R, 6, FALSE), "NO ENCONTRADO EN PLANTA"))</f>
        <v/>
      </c>
      <c r="F68" s="4">
        <f>IF(B68="","",IFERROR(VLOOKUP(B68, PLANTA_BASE!A:R, 8, FALSE), "DOCENTE / FACILITADOR"))</f>
        <v/>
      </c>
      <c r="G68" s="4">
        <f>IF(B68="","",IFERROR(VLOOKUP(B68, PLANTA_BASE!A:R, 9, FALSE), "GENERAL"))</f>
        <v/>
      </c>
      <c r="H68" s="2">
        <f>IF(B68="","",IFERROR(VLOOKUP(B68, PLANTA_BASE!A:R, 17, FALSE), "GENERAL"))</f>
        <v/>
      </c>
    </row>
    <row r="69" ht="20" customHeight="1">
      <c r="A69" s="5">
        <f>IF(B69="","",IFERROR(VLOOKUP(B69, PLANTA_BASE!A:R, 2, FALSE), "NO ENCONTRADO EN PLANTA"))</f>
        <v/>
      </c>
      <c r="B69" s="6" t="inlineStr">
        <is>
          <t>39578035</t>
        </is>
      </c>
      <c r="C69" s="7" t="inlineStr">
        <is>
          <t>CHACON ROCHA CHARLIE PAOLA</t>
        </is>
      </c>
      <c r="D69" s="5">
        <f>IF(B69="","",IFERROR(VLOOKUP(B69, PLANTA_BASE!A:R, 5, FALSE), "NO ENCONTRADO EN PLANTA"))</f>
        <v/>
      </c>
      <c r="E69" s="5">
        <f>IF(B69="","",IFERROR(VLOOKUP(B69, PLANTA_BASE!A:R, 6, FALSE), "NO ENCONTRADO EN PLANTA"))</f>
        <v/>
      </c>
      <c r="F69" s="7">
        <f>IF(B69="","",IFERROR(VLOOKUP(B69, PLANTA_BASE!A:R, 8, FALSE), "DOCENTE / FACILITADOR"))</f>
        <v/>
      </c>
      <c r="G69" s="7">
        <f>IF(B69="","",IFERROR(VLOOKUP(B69, PLANTA_BASE!A:R, 9, FALSE), "GENERAL"))</f>
        <v/>
      </c>
      <c r="H69" s="5">
        <f>IF(B69="","",IFERROR(VLOOKUP(B69, PLANTA_BASE!A:R, 17, FALSE), "GENERAL"))</f>
        <v/>
      </c>
    </row>
    <row r="70" ht="20" customHeight="1">
      <c r="A70" s="2">
        <f>IF(B70="","",IFERROR(VLOOKUP(B70, PLANTA_BASE!A:R, 2, FALSE), "NO ENCONTRADO EN PLANTA"))</f>
        <v/>
      </c>
      <c r="B70" s="3" t="inlineStr">
        <is>
          <t>52219581</t>
        </is>
      </c>
      <c r="C70" s="4" t="inlineStr">
        <is>
          <t>D’LUYZ MONSALVE PAOLA ANDREA</t>
        </is>
      </c>
      <c r="D70" s="2">
        <f>IF(B70="","",IFERROR(VLOOKUP(B70, PLANTA_BASE!A:R, 5, FALSE), "NO ENCONTRADO EN PLANTA"))</f>
        <v/>
      </c>
      <c r="E70" s="2">
        <f>IF(B70="","",IFERROR(VLOOKUP(B70, PLANTA_BASE!A:R, 6, FALSE), "NO ENCONTRADO EN PLANTA"))</f>
        <v/>
      </c>
      <c r="F70" s="4">
        <f>IF(B70="","",IFERROR(VLOOKUP(B70, PLANTA_BASE!A:R, 8, FALSE), "DOCENTE / FACILITADOR"))</f>
        <v/>
      </c>
      <c r="G70" s="4">
        <f>IF(B70="","",IFERROR(VLOOKUP(B70, PLANTA_BASE!A:R, 9, FALSE), "GENERAL"))</f>
        <v/>
      </c>
      <c r="H70" s="2">
        <f>IF(B70="","",IFERROR(VLOOKUP(B70, PLANTA_BASE!A:R, 17, FALSE), "GENERAL"))</f>
        <v/>
      </c>
    </row>
    <row r="71" ht="20" customHeight="1">
      <c r="A71" s="5">
        <f>IF(B71="","",IFERROR(VLOOKUP(B71, PLANTA_BASE!A:R, 2, FALSE), "NO ENCONTRADO EN PLANTA"))</f>
        <v/>
      </c>
      <c r="B71" s="6" t="inlineStr">
        <is>
          <t>1032497655</t>
        </is>
      </c>
      <c r="C71" s="7" t="inlineStr">
        <is>
          <t>SANABRIA NICOLAS</t>
        </is>
      </c>
      <c r="D71" s="5">
        <f>IF(B71="","",IFERROR(VLOOKUP(B71, PLANTA_BASE!A:R, 5, FALSE), "NO ENCONTRADO EN PLANTA"))</f>
        <v/>
      </c>
      <c r="E71" s="5">
        <f>IF(B71="","",IFERROR(VLOOKUP(B71, PLANTA_BASE!A:R, 6, FALSE), "NO ENCONTRADO EN PLANTA"))</f>
        <v/>
      </c>
      <c r="F71" s="7">
        <f>IF(B71="","",IFERROR(VLOOKUP(B71, PLANTA_BASE!A:R, 8, FALSE), "DOCENTE / FACILITADOR"))</f>
        <v/>
      </c>
      <c r="G71" s="7">
        <f>IF(B71="","",IFERROR(VLOOKUP(B71, PLANTA_BASE!A:R, 9, FALSE), "GENERAL"))</f>
        <v/>
      </c>
      <c r="H71" s="5">
        <f>IF(B71="","",IFERROR(VLOOKUP(B71, PLANTA_BASE!A:R, 17, FALSE), "GENERAL"))</f>
        <v/>
      </c>
    </row>
    <row r="72" ht="20" customHeight="1">
      <c r="A72" s="2">
        <f>IF(B72="","",IFERROR(VLOOKUP(B72, PLANTA_BASE!A:R, 2, FALSE), "NO ENCONTRADO EN PLANTA"))</f>
        <v/>
      </c>
      <c r="B72" s="3" t="inlineStr">
        <is>
          <t>1121936350</t>
        </is>
      </c>
      <c r="C72" s="4" t="inlineStr">
        <is>
          <t>SAAVEDRA JUAN</t>
        </is>
      </c>
      <c r="D72" s="2">
        <f>IF(B72="","",IFERROR(VLOOKUP(B72, PLANTA_BASE!A:R, 5, FALSE), "NO ENCONTRADO EN PLANTA"))</f>
        <v/>
      </c>
      <c r="E72" s="2">
        <f>IF(B72="","",IFERROR(VLOOKUP(B72, PLANTA_BASE!A:R, 6, FALSE), "NO ENCONTRADO EN PLANTA"))</f>
        <v/>
      </c>
      <c r="F72" s="4">
        <f>IF(B72="","",IFERROR(VLOOKUP(B72, PLANTA_BASE!A:R, 8, FALSE), "DOCENTE / FACILITADOR"))</f>
        <v/>
      </c>
      <c r="G72" s="4">
        <f>IF(B72="","",IFERROR(VLOOKUP(B72, PLANTA_BASE!A:R, 9, FALSE), "GENERAL"))</f>
        <v/>
      </c>
      <c r="H72" s="2">
        <f>IF(B72="","",IFERROR(VLOOKUP(B72, PLANTA_BASE!A:R, 17, FALSE), "GENERAL"))</f>
        <v/>
      </c>
    </row>
    <row r="73" ht="20" customHeight="1">
      <c r="A73" s="5">
        <f>IF(B73="","",IFERROR(VLOOKUP(B73, PLANTA_BASE!A:R, 2, FALSE), "NO ENCONTRADO EN PLANTA"))</f>
        <v/>
      </c>
      <c r="B73" s="6" t="inlineStr">
        <is>
          <t>1020733601</t>
        </is>
      </c>
      <c r="C73" s="7" t="inlineStr">
        <is>
          <t>GOMEZ MENDOZA CHARLY</t>
        </is>
      </c>
      <c r="D73" s="5">
        <f>IF(B73="","",IFERROR(VLOOKUP(B73, PLANTA_BASE!A:R, 5, FALSE), "NO ENCONTRADO EN PLANTA"))</f>
        <v/>
      </c>
      <c r="E73" s="5">
        <f>IF(B73="","",IFERROR(VLOOKUP(B73, PLANTA_BASE!A:R, 6, FALSE), "NO ENCONTRADO EN PLANTA"))</f>
        <v/>
      </c>
      <c r="F73" s="7">
        <f>IF(B73="","",IFERROR(VLOOKUP(B73, PLANTA_BASE!A:R, 8, FALSE), "DOCENTE / FACILITADOR"))</f>
        <v/>
      </c>
      <c r="G73" s="7">
        <f>IF(B73="","",IFERROR(VLOOKUP(B73, PLANTA_BASE!A:R, 9, FALSE), "GENERAL"))</f>
        <v/>
      </c>
      <c r="H73" s="5">
        <f>IF(B73="","",IFERROR(VLOOKUP(B73, PLANTA_BASE!A:R, 17, FALSE), "GENERAL"))</f>
        <v/>
      </c>
    </row>
    <row r="74" ht="20" customHeight="1">
      <c r="A74" s="2">
        <f>IF(B74="","",IFERROR(VLOOKUP(B74, PLANTA_BASE!A:R, 2, FALSE), "NO ENCONTRADO EN PLANTA"))</f>
        <v/>
      </c>
      <c r="B74" s="3" t="inlineStr">
        <is>
          <t>1032363391</t>
        </is>
      </c>
      <c r="C74" s="4" t="inlineStr">
        <is>
          <t>HERNANDEZ JENNY</t>
        </is>
      </c>
      <c r="D74" s="2">
        <f>IF(B74="","",IFERROR(VLOOKUP(B74, PLANTA_BASE!A:R, 5, FALSE), "NO ENCONTRADO EN PLANTA"))</f>
        <v/>
      </c>
      <c r="E74" s="2">
        <f>IF(B74="","",IFERROR(VLOOKUP(B74, PLANTA_BASE!A:R, 6, FALSE), "NO ENCONTRADO EN PLANTA"))</f>
        <v/>
      </c>
      <c r="F74" s="4">
        <f>IF(B74="","",IFERROR(VLOOKUP(B74, PLANTA_BASE!A:R, 8, FALSE), "DOCENTE / FACILITADOR"))</f>
        <v/>
      </c>
      <c r="G74" s="4">
        <f>IF(B74="","",IFERROR(VLOOKUP(B74, PLANTA_BASE!A:R, 9, FALSE), "GENERAL"))</f>
        <v/>
      </c>
      <c r="H74" s="2">
        <f>IF(B74="","",IFERROR(VLOOKUP(B74, PLANTA_BASE!A:R, 17, FALSE), "GENERAL"))</f>
        <v/>
      </c>
    </row>
    <row r="75" ht="20" customHeight="1">
      <c r="A75" s="5">
        <f>IF(B75="","",IFERROR(VLOOKUP(B75, PLANTA_BASE!A:R, 2, FALSE), "NO ENCONTRADO EN PLANTA"))</f>
        <v/>
      </c>
      <c r="B75" s="6" t="inlineStr">
        <is>
          <t>1022930402</t>
        </is>
      </c>
      <c r="C75" s="7" t="inlineStr">
        <is>
          <t>HEREDIA MARTIN JUAN PABLO</t>
        </is>
      </c>
      <c r="D75" s="5">
        <f>IF(B75="","",IFERROR(VLOOKUP(B75, PLANTA_BASE!A:R, 5, FALSE), "NO ENCONTRADO EN PLANTA"))</f>
        <v/>
      </c>
      <c r="E75" s="5">
        <f>IF(B75="","",IFERROR(VLOOKUP(B75, PLANTA_BASE!A:R, 6, FALSE), "NO ENCONTRADO EN PLANTA"))</f>
        <v/>
      </c>
      <c r="F75" s="7">
        <f>IF(B75="","",IFERROR(VLOOKUP(B75, PLANTA_BASE!A:R, 8, FALSE), "DOCENTE / FACILITADOR"))</f>
        <v/>
      </c>
      <c r="G75" s="7">
        <f>IF(B75="","",IFERROR(VLOOKUP(B75, PLANTA_BASE!A:R, 9, FALSE), "GENERAL"))</f>
        <v/>
      </c>
      <c r="H75" s="5">
        <f>IF(B75="","",IFERROR(VLOOKUP(B75, PLANTA_BASE!A:R, 17, FALSE), "GENERAL"))</f>
        <v/>
      </c>
    </row>
    <row r="76" ht="20" customHeight="1">
      <c r="A76" s="2">
        <f>IF(B76="","",IFERROR(VLOOKUP(B76, PLANTA_BASE!A:R, 2, FALSE), "NO ENCONTRADO EN PLANTA"))</f>
        <v/>
      </c>
      <c r="B76" s="3" t="inlineStr">
        <is>
          <t>79882755</t>
        </is>
      </c>
      <c r="C76" s="4" t="inlineStr">
        <is>
          <t>MARTINEZ OLMER</t>
        </is>
      </c>
      <c r="D76" s="2">
        <f>IF(B76="","",IFERROR(VLOOKUP(B76, PLANTA_BASE!A:R, 5, FALSE), "NO ENCONTRADO EN PLANTA"))</f>
        <v/>
      </c>
      <c r="E76" s="2">
        <f>IF(B76="","",IFERROR(VLOOKUP(B76, PLANTA_BASE!A:R, 6, FALSE), "NO ENCONTRADO EN PLANTA"))</f>
        <v/>
      </c>
      <c r="F76" s="4">
        <f>IF(B76="","",IFERROR(VLOOKUP(B76, PLANTA_BASE!A:R, 8, FALSE), "DOCENTE / FACILITADOR"))</f>
        <v/>
      </c>
      <c r="G76" s="4">
        <f>IF(B76="","",IFERROR(VLOOKUP(B76, PLANTA_BASE!A:R, 9, FALSE), "GENERAL"))</f>
        <v/>
      </c>
      <c r="H76" s="2">
        <f>IF(B76="","",IFERROR(VLOOKUP(B76, PLANTA_BASE!A:R, 17, FALSE), "GENERAL"))</f>
        <v/>
      </c>
    </row>
    <row r="77" ht="20" customHeight="1">
      <c r="A77" s="5">
        <f>IF(B77="","",IFERROR(VLOOKUP(B77, PLANTA_BASE!A:R, 2, FALSE), "NO ENCONTRADO EN PLANTA"))</f>
        <v/>
      </c>
      <c r="B77" s="6" t="inlineStr">
        <is>
          <t>1013678613</t>
        </is>
      </c>
      <c r="C77" s="7" t="inlineStr">
        <is>
          <t>SANCHEZ JOHAN</t>
        </is>
      </c>
      <c r="D77" s="5">
        <f>IF(B77="","",IFERROR(VLOOKUP(B77, PLANTA_BASE!A:R, 5, FALSE), "NO ENCONTRADO EN PLANTA"))</f>
        <v/>
      </c>
      <c r="E77" s="5">
        <f>IF(B77="","",IFERROR(VLOOKUP(B77, PLANTA_BASE!A:R, 6, FALSE), "NO ENCONTRADO EN PLANTA"))</f>
        <v/>
      </c>
      <c r="F77" s="7">
        <f>IF(B77="","",IFERROR(VLOOKUP(B77, PLANTA_BASE!A:R, 8, FALSE), "DOCENTE / FACILITADOR"))</f>
        <v/>
      </c>
      <c r="G77" s="7">
        <f>IF(B77="","",IFERROR(VLOOKUP(B77, PLANTA_BASE!A:R, 9, FALSE), "GENERAL"))</f>
        <v/>
      </c>
      <c r="H77" s="5">
        <f>IF(B77="","",IFERROR(VLOOKUP(B77, PLANTA_BASE!A:R, 17, FALSE), "GENERAL"))</f>
        <v/>
      </c>
    </row>
    <row r="78" ht="20" customHeight="1">
      <c r="A78" s="2">
        <f>IF(B78="","",IFERROR(VLOOKUP(B78, PLANTA_BASE!A:R, 2, FALSE), "NO ENCONTRADO EN PLANTA"))</f>
        <v/>
      </c>
      <c r="B78" s="3" t="inlineStr">
        <is>
          <t>80932302</t>
        </is>
      </c>
      <c r="C78" s="4" t="inlineStr">
        <is>
          <t>UYAZAN JOHN</t>
        </is>
      </c>
      <c r="D78" s="2">
        <f>IF(B78="","",IFERROR(VLOOKUP(B78, PLANTA_BASE!A:R, 5, FALSE), "NO ENCONTRADO EN PLANTA"))</f>
        <v/>
      </c>
      <c r="E78" s="2">
        <f>IF(B78="","",IFERROR(VLOOKUP(B78, PLANTA_BASE!A:R, 6, FALSE), "NO ENCONTRADO EN PLANTA"))</f>
        <v/>
      </c>
      <c r="F78" s="4">
        <f>IF(B78="","",IFERROR(VLOOKUP(B78, PLANTA_BASE!A:R, 8, FALSE), "DOCENTE / FACILITADOR"))</f>
        <v/>
      </c>
      <c r="G78" s="4">
        <f>IF(B78="","",IFERROR(VLOOKUP(B78, PLANTA_BASE!A:R, 9, FALSE), "GENERAL"))</f>
        <v/>
      </c>
      <c r="H78" s="2">
        <f>IF(B78="","",IFERROR(VLOOKUP(B78, PLANTA_BASE!A:R, 17, FALSE), "GENERAL"))</f>
        <v/>
      </c>
    </row>
    <row r="79" ht="20" customHeight="1">
      <c r="A79" s="5">
        <f>IF(B79="","",IFERROR(VLOOKUP(B79, PLANTA_BASE!A:R, 2, FALSE), "NO ENCONTRADO EN PLANTA"))</f>
        <v/>
      </c>
      <c r="B79" s="6" t="inlineStr">
        <is>
          <t>1018497058</t>
        </is>
      </c>
      <c r="C79" s="7" t="inlineStr">
        <is>
          <t>ANDRADE MIGUEL</t>
        </is>
      </c>
      <c r="D79" s="5">
        <f>IF(B79="","",IFERROR(VLOOKUP(B79, PLANTA_BASE!A:R, 5, FALSE), "NO ENCONTRADO EN PLANTA"))</f>
        <v/>
      </c>
      <c r="E79" s="5">
        <f>IF(B79="","",IFERROR(VLOOKUP(B79, PLANTA_BASE!A:R, 6, FALSE), "NO ENCONTRADO EN PLANTA"))</f>
        <v/>
      </c>
      <c r="F79" s="7">
        <f>IF(B79="","",IFERROR(VLOOKUP(B79, PLANTA_BASE!A:R, 8, FALSE), "DOCENTE / FACILITADOR"))</f>
        <v/>
      </c>
      <c r="G79" s="7">
        <f>IF(B79="","",IFERROR(VLOOKUP(B79, PLANTA_BASE!A:R, 9, FALSE), "GENERAL"))</f>
        <v/>
      </c>
      <c r="H79" s="5">
        <f>IF(B79="","",IFERROR(VLOOKUP(B79, PLANTA_BASE!A:R, 17, FALSE), "GENERAL"))</f>
        <v/>
      </c>
    </row>
    <row r="80" ht="20" customHeight="1">
      <c r="A80" s="2">
        <f>IF(B80="","",IFERROR(VLOOKUP(B80, PLANTA_BASE!A:R, 2, FALSE), "NO ENCONTRADO EN PLANTA"))</f>
        <v/>
      </c>
      <c r="B80" s="3" t="inlineStr">
        <is>
          <t>28554711</t>
        </is>
      </c>
      <c r="C80" s="4" t="inlineStr">
        <is>
          <t>GONZALEZ ANGELICA</t>
        </is>
      </c>
      <c r="D80" s="2">
        <f>IF(B80="","",IFERROR(VLOOKUP(B80, PLANTA_BASE!A:R, 5, FALSE), "NO ENCONTRADO EN PLANTA"))</f>
        <v/>
      </c>
      <c r="E80" s="2">
        <f>IF(B80="","",IFERROR(VLOOKUP(B80, PLANTA_BASE!A:R, 6, FALSE), "NO ENCONTRADO EN PLANTA"))</f>
        <v/>
      </c>
      <c r="F80" s="4">
        <f>IF(B80="","",IFERROR(VLOOKUP(B80, PLANTA_BASE!A:R, 8, FALSE), "DOCENTE / FACILITADOR"))</f>
        <v/>
      </c>
      <c r="G80" s="4">
        <f>IF(B80="","",IFERROR(VLOOKUP(B80, PLANTA_BASE!A:R, 9, FALSE), "GENERAL"))</f>
        <v/>
      </c>
      <c r="H80" s="2">
        <f>IF(B80="","",IFERROR(VLOOKUP(B80, PLANTA_BASE!A:R, 17, FALSE), "GENERAL"))</f>
        <v/>
      </c>
    </row>
    <row r="81" ht="20" customHeight="1">
      <c r="A81" s="5">
        <f>IF(B81="","",IFERROR(VLOOKUP(B81, PLANTA_BASE!A:R, 2, FALSE), "NO ENCONTRADO EN PLANTA"))</f>
        <v/>
      </c>
      <c r="B81" s="6" t="inlineStr">
        <is>
          <t>79367346</t>
        </is>
      </c>
      <c r="C81" s="7" t="inlineStr">
        <is>
          <t>DUARTE RODRIGUEZ MANUEL</t>
        </is>
      </c>
      <c r="D81" s="5">
        <f>IF(B81="","",IFERROR(VLOOKUP(B81, PLANTA_BASE!A:R, 5, FALSE), "NO ENCONTRADO EN PLANTA"))</f>
        <v/>
      </c>
      <c r="E81" s="5">
        <f>IF(B81="","",IFERROR(VLOOKUP(B81, PLANTA_BASE!A:R, 6, FALSE), "NO ENCONTRADO EN PLANTA"))</f>
        <v/>
      </c>
      <c r="F81" s="7">
        <f>IF(B81="","",IFERROR(VLOOKUP(B81, PLANTA_BASE!A:R, 8, FALSE), "DOCENTE / FACILITADOR"))</f>
        <v/>
      </c>
      <c r="G81" s="7">
        <f>IF(B81="","",IFERROR(VLOOKUP(B81, PLANTA_BASE!A:R, 9, FALSE), "GENERAL"))</f>
        <v/>
      </c>
      <c r="H81" s="5">
        <f>IF(B81="","",IFERROR(VLOOKUP(B81, PLANTA_BASE!A:R, 17, FALSE), "GENERAL"))</f>
        <v/>
      </c>
    </row>
    <row r="82" ht="20" customHeight="1">
      <c r="A82" s="2">
        <f>IF(B82="","",IFERROR(VLOOKUP(B82, PLANTA_BASE!A:R, 2, FALSE), "NO ENCONTRADO EN PLANTA"))</f>
        <v/>
      </c>
      <c r="B82" s="3" t="inlineStr">
        <is>
          <t>38285307</t>
        </is>
      </c>
      <c r="C82" s="4" t="inlineStr">
        <is>
          <t>ALFONSO ORTIZ ADRIANA DEL ROCIO</t>
        </is>
      </c>
      <c r="D82" s="2">
        <f>IF(B82="","",IFERROR(VLOOKUP(B82, PLANTA_BASE!A:R, 5, FALSE), "NO ENCONTRADO EN PLANTA"))</f>
        <v/>
      </c>
      <c r="E82" s="2">
        <f>IF(B82="","",IFERROR(VLOOKUP(B82, PLANTA_BASE!A:R, 6, FALSE), "NO ENCONTRADO EN PLANTA"))</f>
        <v/>
      </c>
      <c r="F82" s="4">
        <f>IF(B82="","",IFERROR(VLOOKUP(B82, PLANTA_BASE!A:R, 8, FALSE), "DOCENTE / FACILITADOR"))</f>
        <v/>
      </c>
      <c r="G82" s="4">
        <f>IF(B82="","",IFERROR(VLOOKUP(B82, PLANTA_BASE!A:R, 9, FALSE), "GENERAL"))</f>
        <v/>
      </c>
      <c r="H82" s="2">
        <f>IF(B82="","",IFERROR(VLOOKUP(B82, PLANTA_BASE!A:R, 17, FALSE), "GENERAL"))</f>
        <v/>
      </c>
    </row>
    <row r="83" ht="20" customHeight="1">
      <c r="A83" s="5">
        <f>IF(B83="","",IFERROR(VLOOKUP(B83, PLANTA_BASE!A:R, 2, FALSE), "NO ENCONTRADO EN PLANTA"))</f>
        <v/>
      </c>
      <c r="B83" s="6" t="inlineStr">
        <is>
          <t>1031139139</t>
        </is>
      </c>
      <c r="C83" s="7" t="inlineStr">
        <is>
          <t>PARRA CATHERINE</t>
        </is>
      </c>
      <c r="D83" s="5">
        <f>IF(B83="","",IFERROR(VLOOKUP(B83, PLANTA_BASE!A:R, 5, FALSE), "NO ENCONTRADO EN PLANTA"))</f>
        <v/>
      </c>
      <c r="E83" s="5">
        <f>IF(B83="","",IFERROR(VLOOKUP(B83, PLANTA_BASE!A:R, 6, FALSE), "NO ENCONTRADO EN PLANTA"))</f>
        <v/>
      </c>
      <c r="F83" s="7">
        <f>IF(B83="","",IFERROR(VLOOKUP(B83, PLANTA_BASE!A:R, 8, FALSE), "DOCENTE / FACILITADOR"))</f>
        <v/>
      </c>
      <c r="G83" s="7">
        <f>IF(B83="","",IFERROR(VLOOKUP(B83, PLANTA_BASE!A:R, 9, FALSE), "GENERAL"))</f>
        <v/>
      </c>
      <c r="H83" s="5">
        <f>IF(B83="","",IFERROR(VLOOKUP(B83, PLANTA_BASE!A:R, 17, FALSE), "GENERAL"))</f>
        <v/>
      </c>
    </row>
    <row r="84" ht="20" customHeight="1">
      <c r="A84" s="2">
        <f>IF(B84="","",IFERROR(VLOOKUP(B84, PLANTA_BASE!A:R, 2, FALSE), "NO ENCONTRADO EN PLANTA"))</f>
        <v/>
      </c>
      <c r="B84" s="3" t="inlineStr">
        <is>
          <t>52440420</t>
        </is>
      </c>
      <c r="C84" s="4" t="inlineStr">
        <is>
          <t>SARMIENTO NINO NOHORA SABINA</t>
        </is>
      </c>
      <c r="D84" s="2">
        <f>IF(B84="","",IFERROR(VLOOKUP(B84, PLANTA_BASE!A:R, 5, FALSE), "NO ENCONTRADO EN PLANTA"))</f>
        <v/>
      </c>
      <c r="E84" s="2">
        <f>IF(B84="","",IFERROR(VLOOKUP(B84, PLANTA_BASE!A:R, 6, FALSE), "NO ENCONTRADO EN PLANTA"))</f>
        <v/>
      </c>
      <c r="F84" s="4">
        <f>IF(B84="","",IFERROR(VLOOKUP(B84, PLANTA_BASE!A:R, 8, FALSE), "DOCENTE / FACILITADOR"))</f>
        <v/>
      </c>
      <c r="G84" s="4">
        <f>IF(B84="","",IFERROR(VLOOKUP(B84, PLANTA_BASE!A:R, 9, FALSE), "GENERAL"))</f>
        <v/>
      </c>
      <c r="H84" s="2">
        <f>IF(B84="","",IFERROR(VLOOKUP(B84, PLANTA_BASE!A:R, 17, FALSE), "GENERAL"))</f>
        <v/>
      </c>
    </row>
    <row r="85" ht="20" customHeight="1">
      <c r="A85" s="5">
        <f>IF(B85="","",IFERROR(VLOOKUP(B85, PLANTA_BASE!A:R, 2, FALSE), "NO ENCONTRADO EN PLANTA"))</f>
        <v/>
      </c>
      <c r="B85" s="6" t="inlineStr">
        <is>
          <t>52362834</t>
        </is>
      </c>
      <c r="C85" s="7" t="inlineStr">
        <is>
          <t>RINCON GARCIA ANGELICA</t>
        </is>
      </c>
      <c r="D85" s="5">
        <f>IF(B85="","",IFERROR(VLOOKUP(B85, PLANTA_BASE!A:R, 5, FALSE), "NO ENCONTRADO EN PLANTA"))</f>
        <v/>
      </c>
      <c r="E85" s="5">
        <f>IF(B85="","",IFERROR(VLOOKUP(B85, PLANTA_BASE!A:R, 6, FALSE), "NO ENCONTRADO EN PLANTA"))</f>
        <v/>
      </c>
      <c r="F85" s="7">
        <f>IF(B85="","",IFERROR(VLOOKUP(B85, PLANTA_BASE!A:R, 8, FALSE), "DOCENTE / FACILITADOR"))</f>
        <v/>
      </c>
      <c r="G85" s="7">
        <f>IF(B85="","",IFERROR(VLOOKUP(B85, PLANTA_BASE!A:R, 9, FALSE), "GENERAL"))</f>
        <v/>
      </c>
      <c r="H85" s="5">
        <f>IF(B85="","",IFERROR(VLOOKUP(B85, PLANTA_BASE!A:R, 17, FALSE), "GENERAL"))</f>
        <v/>
      </c>
    </row>
    <row r="86" ht="20" customHeight="1">
      <c r="A86" s="2">
        <f>IF(B86="","",IFERROR(VLOOKUP(B86, PLANTA_BASE!A:R, 2, FALSE), "NO ENCONTRADO EN PLANTA"))</f>
        <v/>
      </c>
      <c r="B86" s="3" t="inlineStr">
        <is>
          <t>1098674380</t>
        </is>
      </c>
      <c r="C86" s="4" t="inlineStr">
        <is>
          <t>SAENZ GONZALEZ LAURA VANESSA</t>
        </is>
      </c>
      <c r="D86" s="2">
        <f>IF(B86="","",IFERROR(VLOOKUP(B86, PLANTA_BASE!A:R, 5, FALSE), "NO ENCONTRADO EN PLANTA"))</f>
        <v/>
      </c>
      <c r="E86" s="2">
        <f>IF(B86="","",IFERROR(VLOOKUP(B86, PLANTA_BASE!A:R, 6, FALSE), "NO ENCONTRADO EN PLANTA"))</f>
        <v/>
      </c>
      <c r="F86" s="4">
        <f>IF(B86="","",IFERROR(VLOOKUP(B86, PLANTA_BASE!A:R, 8, FALSE), "DOCENTE / FACILITADOR"))</f>
        <v/>
      </c>
      <c r="G86" s="4">
        <f>IF(B86="","",IFERROR(VLOOKUP(B86, PLANTA_BASE!A:R, 9, FALSE), "GENERAL"))</f>
        <v/>
      </c>
      <c r="H86" s="2">
        <f>IF(B86="","",IFERROR(VLOOKUP(B86, PLANTA_BASE!A:R, 17, FALSE), "GENERAL"))</f>
        <v/>
      </c>
    </row>
    <row r="87" ht="20" customHeight="1">
      <c r="A87" s="5">
        <f>IF(B87="","",IFERROR(VLOOKUP(B87, PLANTA_BASE!A:R, 2, FALSE), "NO ENCONTRADO EN PLANTA"))</f>
        <v/>
      </c>
      <c r="B87" s="6" t="inlineStr">
        <is>
          <t>1031139927</t>
        </is>
      </c>
      <c r="C87" s="7" t="inlineStr">
        <is>
          <t>RODRIGUEZ ZAPATA DANILO ESTEBAN</t>
        </is>
      </c>
      <c r="D87" s="5">
        <f>IF(B87="","",IFERROR(VLOOKUP(B87, PLANTA_BASE!A:R, 5, FALSE), "NO ENCONTRADO EN PLANTA"))</f>
        <v/>
      </c>
      <c r="E87" s="5">
        <f>IF(B87="","",IFERROR(VLOOKUP(B87, PLANTA_BASE!A:R, 6, FALSE), "NO ENCONTRADO EN PLANTA"))</f>
        <v/>
      </c>
      <c r="F87" s="7">
        <f>IF(B87="","",IFERROR(VLOOKUP(B87, PLANTA_BASE!A:R, 8, FALSE), "DOCENTE / FACILITADOR"))</f>
        <v/>
      </c>
      <c r="G87" s="7">
        <f>IF(B87="","",IFERROR(VLOOKUP(B87, PLANTA_BASE!A:R, 9, FALSE), "GENERAL"))</f>
        <v/>
      </c>
      <c r="H87" s="5">
        <f>IF(B87="","",IFERROR(VLOOKUP(B87, PLANTA_BASE!A:R, 17, FALSE), "GENERAL"))</f>
        <v/>
      </c>
    </row>
    <row r="88" ht="20" customHeight="1">
      <c r="A88" s="2">
        <f>IF(B88="","",IFERROR(VLOOKUP(B88, PLANTA_BASE!A:R, 2, FALSE), "NO ENCONTRADO EN PLANTA"))</f>
        <v/>
      </c>
      <c r="B88" s="3" t="inlineStr">
        <is>
          <t>1026306580</t>
        </is>
      </c>
      <c r="C88" s="4" t="inlineStr">
        <is>
          <t>RODRIGUEZ PENA SEBASTIAN</t>
        </is>
      </c>
      <c r="D88" s="2">
        <f>IF(B88="","",IFERROR(VLOOKUP(B88, PLANTA_BASE!A:R, 5, FALSE), "NO ENCONTRADO EN PLANTA"))</f>
        <v/>
      </c>
      <c r="E88" s="2">
        <f>IF(B88="","",IFERROR(VLOOKUP(B88, PLANTA_BASE!A:R, 6, FALSE), "NO ENCONTRADO EN PLANTA"))</f>
        <v/>
      </c>
      <c r="F88" s="4">
        <f>IF(B88="","",IFERROR(VLOOKUP(B88, PLANTA_BASE!A:R, 8, FALSE), "DOCENTE / FACILITADOR"))</f>
        <v/>
      </c>
      <c r="G88" s="4">
        <f>IF(B88="","",IFERROR(VLOOKUP(B88, PLANTA_BASE!A:R, 9, FALSE), "GENERAL"))</f>
        <v/>
      </c>
      <c r="H88" s="2">
        <f>IF(B88="","",IFERROR(VLOOKUP(B88, PLANTA_BASE!A:R, 17, FALSE), "GENERAL"))</f>
        <v/>
      </c>
    </row>
    <row r="89" ht="20" customHeight="1">
      <c r="A89" s="5">
        <f>IF(B89="","",IFERROR(VLOOKUP(B89, PLANTA_BASE!A:R, 2, FALSE), "NO ENCONTRADO EN PLANTA"))</f>
        <v/>
      </c>
      <c r="B89" s="6" t="inlineStr">
        <is>
          <t>52749247</t>
        </is>
      </c>
      <c r="C89" s="7" t="inlineStr">
        <is>
          <t>QUINTERO POVEDA AURA LUCIA</t>
        </is>
      </c>
      <c r="D89" s="5">
        <f>IF(B89="","",IFERROR(VLOOKUP(B89, PLANTA_BASE!A:R, 5, FALSE), "NO ENCONTRADO EN PLANTA"))</f>
        <v/>
      </c>
      <c r="E89" s="5">
        <f>IF(B89="","",IFERROR(VLOOKUP(B89, PLANTA_BASE!A:R, 6, FALSE), "NO ENCONTRADO EN PLANTA"))</f>
        <v/>
      </c>
      <c r="F89" s="7">
        <f>IF(B89="","",IFERROR(VLOOKUP(B89, PLANTA_BASE!A:R, 8, FALSE), "DOCENTE / FACILITADOR"))</f>
        <v/>
      </c>
      <c r="G89" s="7">
        <f>IF(B89="","",IFERROR(VLOOKUP(B89, PLANTA_BASE!A:R, 9, FALSE), "GENERAL"))</f>
        <v/>
      </c>
      <c r="H89" s="5">
        <f>IF(B89="","",IFERROR(VLOOKUP(B89, PLANTA_BASE!A:R, 17, FALSE), "GENERAL"))</f>
        <v/>
      </c>
    </row>
    <row r="90" ht="20" customHeight="1">
      <c r="A90" s="2">
        <f>IF(B90="","",IFERROR(VLOOKUP(B90, PLANTA_BASE!A:R, 2, FALSE), "NO ENCONTRADO EN PLANTA"))</f>
        <v/>
      </c>
      <c r="B90" s="3" t="inlineStr">
        <is>
          <t>16463452</t>
        </is>
      </c>
      <c r="C90" s="4" t="inlineStr">
        <is>
          <t>CHOIS MURIEL JORGE ANDRES</t>
        </is>
      </c>
      <c r="D90" s="2">
        <f>IF(B90="","",IFERROR(VLOOKUP(B90, PLANTA_BASE!A:R, 5, FALSE), "NO ENCONTRADO EN PLANTA"))</f>
        <v/>
      </c>
      <c r="E90" s="2">
        <f>IF(B90="","",IFERROR(VLOOKUP(B90, PLANTA_BASE!A:R, 6, FALSE), "NO ENCONTRADO EN PLANTA"))</f>
        <v/>
      </c>
      <c r="F90" s="4">
        <f>IF(B90="","",IFERROR(VLOOKUP(B90, PLANTA_BASE!A:R, 8, FALSE), "DOCENTE / FACILITADOR"))</f>
        <v/>
      </c>
      <c r="G90" s="4">
        <f>IF(B90="","",IFERROR(VLOOKUP(B90, PLANTA_BASE!A:R, 9, FALSE), "GENERAL"))</f>
        <v/>
      </c>
      <c r="H90" s="2">
        <f>IF(B90="","",IFERROR(VLOOKUP(B90, PLANTA_BASE!A:R, 17, FALSE), "GENERAL"))</f>
        <v/>
      </c>
    </row>
    <row r="91" ht="20" customHeight="1">
      <c r="A91" s="5">
        <f>IF(B91="","",IFERROR(VLOOKUP(B91, PLANTA_BASE!A:R, 2, FALSE), "NO ENCONTRADO EN PLANTA"))</f>
        <v/>
      </c>
      <c r="B91" s="6" t="inlineStr">
        <is>
          <t>1032411981</t>
        </is>
      </c>
      <c r="C91" s="7" t="inlineStr">
        <is>
          <t>GIOVANNI GIOVANNI GUTIERREZ MARTINEZ</t>
        </is>
      </c>
      <c r="D91" s="5">
        <f>IF(B91="","",IFERROR(VLOOKUP(B91, PLANTA_BASE!A:R, 5, FALSE), "NO ENCONTRADO EN PLANTA"))</f>
        <v/>
      </c>
      <c r="E91" s="5">
        <f>IF(B91="","",IFERROR(VLOOKUP(B91, PLANTA_BASE!A:R, 6, FALSE), "NO ENCONTRADO EN PLANTA"))</f>
        <v/>
      </c>
      <c r="F91" s="7">
        <f>IF(B91="","",IFERROR(VLOOKUP(B91, PLANTA_BASE!A:R, 8, FALSE), "DOCENTE / FACILITADOR"))</f>
        <v/>
      </c>
      <c r="G91" s="7">
        <f>IF(B91="","",IFERROR(VLOOKUP(B91, PLANTA_BASE!A:R, 9, FALSE), "GENERAL"))</f>
        <v/>
      </c>
      <c r="H91" s="5">
        <f>IF(B91="","",IFERROR(VLOOKUP(B91, PLANTA_BASE!A:R, 17, FALSE), "GENERAL"))</f>
        <v/>
      </c>
    </row>
    <row r="92" ht="20" customHeight="1">
      <c r="A92" s="2">
        <f>IF(B92="","",IFERROR(VLOOKUP(B92, PLANTA_BASE!A:R, 2, FALSE), "NO ENCONTRADO EN PLANTA"))</f>
        <v/>
      </c>
      <c r="B92" s="3" t="inlineStr">
        <is>
          <t>1013589965</t>
        </is>
      </c>
      <c r="C92" s="4" t="inlineStr">
        <is>
          <t>QUIROGA BERASTEGUI DIANA MILENA</t>
        </is>
      </c>
      <c r="D92" s="2">
        <f>IF(B92="","",IFERROR(VLOOKUP(B92, PLANTA_BASE!A:R, 5, FALSE), "NO ENCONTRADO EN PLANTA"))</f>
        <v/>
      </c>
      <c r="E92" s="2">
        <f>IF(B92="","",IFERROR(VLOOKUP(B92, PLANTA_BASE!A:R, 6, FALSE), "NO ENCONTRADO EN PLANTA"))</f>
        <v/>
      </c>
      <c r="F92" s="4">
        <f>IF(B92="","",IFERROR(VLOOKUP(B92, PLANTA_BASE!A:R, 8, FALSE), "DOCENTE / FACILITADOR"))</f>
        <v/>
      </c>
      <c r="G92" s="4">
        <f>IF(B92="","",IFERROR(VLOOKUP(B92, PLANTA_BASE!A:R, 9, FALSE), "GENERAL"))</f>
        <v/>
      </c>
      <c r="H92" s="2">
        <f>IF(B92="","",IFERROR(VLOOKUP(B92, PLANTA_BASE!A:R, 17, FALSE), "GENERAL"))</f>
        <v/>
      </c>
    </row>
    <row r="93" ht="20" customHeight="1">
      <c r="A93" s="5">
        <f>IF(B93="","",IFERROR(VLOOKUP(B93, PLANTA_BASE!A:R, 2, FALSE), "NO ENCONTRADO EN PLANTA"))</f>
        <v/>
      </c>
      <c r="B93" s="6" t="inlineStr">
        <is>
          <t>1016002948</t>
        </is>
      </c>
      <c r="C93" s="7" t="inlineStr">
        <is>
          <t>SANCHEZ MONJE LESLY YULIANA</t>
        </is>
      </c>
      <c r="D93" s="5">
        <f>IF(B93="","",IFERROR(VLOOKUP(B93, PLANTA_BASE!A:R, 5, FALSE), "NO ENCONTRADO EN PLANTA"))</f>
        <v/>
      </c>
      <c r="E93" s="5">
        <f>IF(B93="","",IFERROR(VLOOKUP(B93, PLANTA_BASE!A:R, 6, FALSE), "NO ENCONTRADO EN PLANTA"))</f>
        <v/>
      </c>
      <c r="F93" s="7">
        <f>IF(B93="","",IFERROR(VLOOKUP(B93, PLANTA_BASE!A:R, 8, FALSE), "DOCENTE / FACILITADOR"))</f>
        <v/>
      </c>
      <c r="G93" s="7">
        <f>IF(B93="","",IFERROR(VLOOKUP(B93, PLANTA_BASE!A:R, 9, FALSE), "GENERAL"))</f>
        <v/>
      </c>
      <c r="H93" s="5">
        <f>IF(B93="","",IFERROR(VLOOKUP(B93, PLANTA_BASE!A:R, 17, FALSE), "GENERAL"))</f>
        <v/>
      </c>
    </row>
    <row r="94" ht="20" customHeight="1">
      <c r="A94" s="2">
        <f>IF(B94="","",IFERROR(VLOOKUP(B94, PLANTA_BASE!A:R, 2, FALSE), "NO ENCONTRADO EN PLANTA"))</f>
        <v/>
      </c>
      <c r="B94" s="3" t="inlineStr">
        <is>
          <t>80497374</t>
        </is>
      </c>
      <c r="C94" s="4" t="inlineStr">
        <is>
          <t>MARTINEZ LUENGAS JOSE GERARDO</t>
        </is>
      </c>
      <c r="D94" s="2">
        <f>IF(B94="","",IFERROR(VLOOKUP(B94, PLANTA_BASE!A:R, 5, FALSE), "NO ENCONTRADO EN PLANTA"))</f>
        <v/>
      </c>
      <c r="E94" s="2">
        <f>IF(B94="","",IFERROR(VLOOKUP(B94, PLANTA_BASE!A:R, 6, FALSE), "NO ENCONTRADO EN PLANTA"))</f>
        <v/>
      </c>
      <c r="F94" s="4">
        <f>IF(B94="","",IFERROR(VLOOKUP(B94, PLANTA_BASE!A:R, 8, FALSE), "DOCENTE / FACILITADOR"))</f>
        <v/>
      </c>
      <c r="G94" s="4">
        <f>IF(B94="","",IFERROR(VLOOKUP(B94, PLANTA_BASE!A:R, 9, FALSE), "GENERAL"))</f>
        <v/>
      </c>
      <c r="H94" s="2">
        <f>IF(B94="","",IFERROR(VLOOKUP(B94, PLANTA_BASE!A:R, 17, FALSE), "GENERAL"))</f>
        <v/>
      </c>
    </row>
    <row r="95" ht="20" customHeight="1">
      <c r="A95" s="5">
        <f>IF(B95="","",IFERROR(VLOOKUP(B95, PLANTA_BASE!A:R, 2, FALSE), "NO ENCONTRADO EN PLANTA"))</f>
        <v/>
      </c>
      <c r="B95" s="6" t="inlineStr">
        <is>
          <t>1012431075</t>
        </is>
      </c>
      <c r="C95" s="7" t="inlineStr">
        <is>
          <t>CIFUENTES JESSICA</t>
        </is>
      </c>
      <c r="D95" s="5">
        <f>IF(B95="","",IFERROR(VLOOKUP(B95, PLANTA_BASE!A:R, 5, FALSE), "NO ENCONTRADO EN PLANTA"))</f>
        <v/>
      </c>
      <c r="E95" s="5">
        <f>IF(B95="","",IFERROR(VLOOKUP(B95, PLANTA_BASE!A:R, 6, FALSE), "NO ENCONTRADO EN PLANTA"))</f>
        <v/>
      </c>
      <c r="F95" s="7">
        <f>IF(B95="","",IFERROR(VLOOKUP(B95, PLANTA_BASE!A:R, 8, FALSE), "DOCENTE / FACILITADOR"))</f>
        <v/>
      </c>
      <c r="G95" s="7">
        <f>IF(B95="","",IFERROR(VLOOKUP(B95, PLANTA_BASE!A:R, 9, FALSE), "GENERAL"))</f>
        <v/>
      </c>
      <c r="H95" s="5">
        <f>IF(B95="","",IFERROR(VLOOKUP(B95, PLANTA_BASE!A:R, 17, FALSE), "GENERAL"))</f>
        <v/>
      </c>
    </row>
    <row r="96" ht="20" customHeight="1">
      <c r="A96" s="2">
        <f>IF(B96="","",IFERROR(VLOOKUP(B96, PLANTA_BASE!A:R, 2, FALSE), "NO ENCONTRADO EN PLANTA"))</f>
        <v/>
      </c>
      <c r="B96" s="3" t="inlineStr">
        <is>
          <t>1010221623</t>
        </is>
      </c>
      <c r="C96" s="4" t="inlineStr">
        <is>
          <t>MAYORGA OSCAR I</t>
        </is>
      </c>
      <c r="D96" s="2">
        <f>IF(B96="","",IFERROR(VLOOKUP(B96, PLANTA_BASE!A:R, 5, FALSE), "NO ENCONTRADO EN PLANTA"))</f>
        <v/>
      </c>
      <c r="E96" s="2">
        <f>IF(B96="","",IFERROR(VLOOKUP(B96, PLANTA_BASE!A:R, 6, FALSE), "NO ENCONTRADO EN PLANTA"))</f>
        <v/>
      </c>
      <c r="F96" s="4">
        <f>IF(B96="","",IFERROR(VLOOKUP(B96, PLANTA_BASE!A:R, 8, FALSE), "DOCENTE / FACILITADOR"))</f>
        <v/>
      </c>
      <c r="G96" s="4">
        <f>IF(B96="","",IFERROR(VLOOKUP(B96, PLANTA_BASE!A:R, 9, FALSE), "GENERAL"))</f>
        <v/>
      </c>
      <c r="H96" s="2">
        <f>IF(B96="","",IFERROR(VLOOKUP(B96, PLANTA_BASE!A:R, 17, FALSE), "GENERAL"))</f>
        <v/>
      </c>
    </row>
    <row r="97" ht="20" customHeight="1">
      <c r="A97" s="5">
        <f>IF(B97="","",IFERROR(VLOOKUP(B97, PLANTA_BASE!A:R, 2, FALSE), "NO ENCONTRADO EN PLANTA"))</f>
        <v/>
      </c>
      <c r="B97" s="6" t="inlineStr">
        <is>
          <t>1061819460</t>
        </is>
      </c>
      <c r="C97" s="7" t="inlineStr">
        <is>
          <t>ZUNIGA MELO SANTIAGO ALEJANDRO</t>
        </is>
      </c>
      <c r="D97" s="5">
        <f>IF(B97="","",IFERROR(VLOOKUP(B97, PLANTA_BASE!A:R, 5, FALSE), "NO ENCONTRADO EN PLANTA"))</f>
        <v/>
      </c>
      <c r="E97" s="5">
        <f>IF(B97="","",IFERROR(VLOOKUP(B97, PLANTA_BASE!A:R, 6, FALSE), "NO ENCONTRADO EN PLANTA"))</f>
        <v/>
      </c>
      <c r="F97" s="7">
        <f>IF(B97="","",IFERROR(VLOOKUP(B97, PLANTA_BASE!A:R, 8, FALSE), "DOCENTE / FACILITADOR"))</f>
        <v/>
      </c>
      <c r="G97" s="7">
        <f>IF(B97="","",IFERROR(VLOOKUP(B97, PLANTA_BASE!A:R, 9, FALSE), "GENERAL"))</f>
        <v/>
      </c>
      <c r="H97" s="5">
        <f>IF(B97="","",IFERROR(VLOOKUP(B97, PLANTA_BASE!A:R, 17, FALSE), "GENERAL"))</f>
        <v/>
      </c>
    </row>
    <row r="98" ht="20" customHeight="1">
      <c r="A98" s="2">
        <f>IF(B98="","",IFERROR(VLOOKUP(B98, PLANTA_BASE!A:R, 2, FALSE), "NO ENCONTRADO EN PLANTA"))</f>
        <v/>
      </c>
      <c r="B98" s="3" t="inlineStr">
        <is>
          <t>1032424495</t>
        </is>
      </c>
      <c r="C98" s="4" t="inlineStr">
        <is>
          <t>BAQUERO SAENZ JULIETH ESMERALDA</t>
        </is>
      </c>
      <c r="D98" s="2">
        <f>IF(B98="","",IFERROR(VLOOKUP(B98, PLANTA_BASE!A:R, 5, FALSE), "NO ENCONTRADO EN PLANTA"))</f>
        <v/>
      </c>
      <c r="E98" s="2">
        <f>IF(B98="","",IFERROR(VLOOKUP(B98, PLANTA_BASE!A:R, 6, FALSE), "NO ENCONTRADO EN PLANTA"))</f>
        <v/>
      </c>
      <c r="F98" s="4">
        <f>IF(B98="","",IFERROR(VLOOKUP(B98, PLANTA_BASE!A:R, 8, FALSE), "DOCENTE / FACILITADOR"))</f>
        <v/>
      </c>
      <c r="G98" s="4">
        <f>IF(B98="","",IFERROR(VLOOKUP(B98, PLANTA_BASE!A:R, 9, FALSE), "GENERAL"))</f>
        <v/>
      </c>
      <c r="H98" s="2">
        <f>IF(B98="","",IFERROR(VLOOKUP(B98, PLANTA_BASE!A:R, 17, FALSE), "GENERAL"))</f>
        <v/>
      </c>
    </row>
    <row r="99" ht="20" customHeight="1">
      <c r="A99" s="5">
        <f>IF(B99="","",IFERROR(VLOOKUP(B99, PLANTA_BASE!A:R, 2, FALSE), "NO ENCONTRADO EN PLANTA"))</f>
        <v/>
      </c>
      <c r="B99" s="6" t="inlineStr">
        <is>
          <t>1015425219</t>
        </is>
      </c>
      <c r="C99" s="7" t="inlineStr">
        <is>
          <t>ROMAN CINDY</t>
        </is>
      </c>
      <c r="D99" s="5">
        <f>IF(B99="","",IFERROR(VLOOKUP(B99, PLANTA_BASE!A:R, 5, FALSE), "NO ENCONTRADO EN PLANTA"))</f>
        <v/>
      </c>
      <c r="E99" s="5">
        <f>IF(B99="","",IFERROR(VLOOKUP(B99, PLANTA_BASE!A:R, 6, FALSE), "NO ENCONTRADO EN PLANTA"))</f>
        <v/>
      </c>
      <c r="F99" s="7">
        <f>IF(B99="","",IFERROR(VLOOKUP(B99, PLANTA_BASE!A:R, 8, FALSE), "DOCENTE / FACILITADOR"))</f>
        <v/>
      </c>
      <c r="G99" s="7">
        <f>IF(B99="","",IFERROR(VLOOKUP(B99, PLANTA_BASE!A:R, 9, FALSE), "GENERAL"))</f>
        <v/>
      </c>
      <c r="H99" s="5">
        <f>IF(B99="","",IFERROR(VLOOKUP(B99, PLANTA_BASE!A:R, 17, FALSE), "GENERAL"))</f>
        <v/>
      </c>
    </row>
    <row r="100" ht="20" customHeight="1">
      <c r="A100" s="2">
        <f>IF(B100="","",IFERROR(VLOOKUP(B100, PLANTA_BASE!A:R, 2, FALSE), "NO ENCONTRADO EN PLANTA"))</f>
        <v/>
      </c>
      <c r="B100" s="3" t="inlineStr">
        <is>
          <t>1067954816</t>
        </is>
      </c>
      <c r="C100" s="4" t="inlineStr">
        <is>
          <t>TAPIA WILLIAM</t>
        </is>
      </c>
      <c r="D100" s="2">
        <f>IF(B100="","",IFERROR(VLOOKUP(B100, PLANTA_BASE!A:R, 5, FALSE), "NO ENCONTRADO EN PLANTA"))</f>
        <v/>
      </c>
      <c r="E100" s="2">
        <f>IF(B100="","",IFERROR(VLOOKUP(B100, PLANTA_BASE!A:R, 6, FALSE), "NO ENCONTRADO EN PLANTA"))</f>
        <v/>
      </c>
      <c r="F100" s="4">
        <f>IF(B100="","",IFERROR(VLOOKUP(B100, PLANTA_BASE!A:R, 8, FALSE), "DOCENTE / FACILITADOR"))</f>
        <v/>
      </c>
      <c r="G100" s="4">
        <f>IF(B100="","",IFERROR(VLOOKUP(B100, PLANTA_BASE!A:R, 9, FALSE), "GENERAL"))</f>
        <v/>
      </c>
      <c r="H100" s="2">
        <f>IF(B100="","",IFERROR(VLOOKUP(B100, PLANTA_BASE!A:R, 17, FALSE), "GENERAL"))</f>
        <v/>
      </c>
    </row>
    <row r="101" ht="20" customHeight="1">
      <c r="A101" s="5">
        <f>IF(B101="","",IFERROR(VLOOKUP(B101, PLANTA_BASE!A:R, 2, FALSE), "NO ENCONTRADO EN PLANTA"))</f>
        <v/>
      </c>
      <c r="B101" s="6" t="inlineStr">
        <is>
          <t>1031141366</t>
        </is>
      </c>
      <c r="C101" s="7" t="inlineStr">
        <is>
          <t>CELY JULIAN</t>
        </is>
      </c>
      <c r="D101" s="5">
        <f>IF(B101="","",IFERROR(VLOOKUP(B101, PLANTA_BASE!A:R, 5, FALSE), "NO ENCONTRADO EN PLANTA"))</f>
        <v/>
      </c>
      <c r="E101" s="5">
        <f>IF(B101="","",IFERROR(VLOOKUP(B101, PLANTA_BASE!A:R, 6, FALSE), "NO ENCONTRADO EN PLANTA"))</f>
        <v/>
      </c>
      <c r="F101" s="7">
        <f>IF(B101="","",IFERROR(VLOOKUP(B101, PLANTA_BASE!A:R, 8, FALSE), "DOCENTE / FACILITADOR"))</f>
        <v/>
      </c>
      <c r="G101" s="7">
        <f>IF(B101="","",IFERROR(VLOOKUP(B101, PLANTA_BASE!A:R, 9, FALSE), "GENERAL"))</f>
        <v/>
      </c>
      <c r="H101" s="5">
        <f>IF(B101="","",IFERROR(VLOOKUP(B101, PLANTA_BASE!A:R, 17, FALSE), "GENERAL"))</f>
        <v/>
      </c>
    </row>
    <row r="102" ht="20" customHeight="1">
      <c r="A102" s="2">
        <f>IF(B102="","",IFERROR(VLOOKUP(B102, PLANTA_BASE!A:R, 2, FALSE), "NO ENCONTRADO EN PLANTA"))</f>
        <v/>
      </c>
      <c r="B102" s="3" t="inlineStr">
        <is>
          <t>1070959485</t>
        </is>
      </c>
      <c r="C102" s="4" t="inlineStr">
        <is>
          <t>DUENAS MORA ANGIE PAOLA</t>
        </is>
      </c>
      <c r="D102" s="2">
        <f>IF(B102="","",IFERROR(VLOOKUP(B102, PLANTA_BASE!A:R, 5, FALSE), "NO ENCONTRADO EN PLANTA"))</f>
        <v/>
      </c>
      <c r="E102" s="2">
        <f>IF(B102="","",IFERROR(VLOOKUP(B102, PLANTA_BASE!A:R, 6, FALSE), "NO ENCONTRADO EN PLANTA"))</f>
        <v/>
      </c>
      <c r="F102" s="4">
        <f>IF(B102="","",IFERROR(VLOOKUP(B102, PLANTA_BASE!A:R, 8, FALSE), "DOCENTE / FACILITADOR"))</f>
        <v/>
      </c>
      <c r="G102" s="4">
        <f>IF(B102="","",IFERROR(VLOOKUP(B102, PLANTA_BASE!A:R, 9, FALSE), "GENERAL"))</f>
        <v/>
      </c>
      <c r="H102" s="2">
        <f>IF(B102="","",IFERROR(VLOOKUP(B102, PLANTA_BASE!A:R, 17, FALSE), "GENERAL"))</f>
        <v/>
      </c>
    </row>
    <row r="103" ht="20" customHeight="1">
      <c r="A103" s="5">
        <f>IF(B103="","",IFERROR(VLOOKUP(B103, PLANTA_BASE!A:R, 2, FALSE), "NO ENCONTRADO EN PLANTA"))</f>
        <v/>
      </c>
      <c r="B103" s="6" t="inlineStr">
        <is>
          <t>1032461201</t>
        </is>
      </c>
      <c r="C103" s="7" t="inlineStr">
        <is>
          <t>BARRETO TORRES MARLEY GISEL</t>
        </is>
      </c>
      <c r="D103" s="5">
        <f>IF(B103="","",IFERROR(VLOOKUP(B103, PLANTA_BASE!A:R, 5, FALSE), "NO ENCONTRADO EN PLANTA"))</f>
        <v/>
      </c>
      <c r="E103" s="5">
        <f>IF(B103="","",IFERROR(VLOOKUP(B103, PLANTA_BASE!A:R, 6, FALSE), "NO ENCONTRADO EN PLANTA"))</f>
        <v/>
      </c>
      <c r="F103" s="7">
        <f>IF(B103="","",IFERROR(VLOOKUP(B103, PLANTA_BASE!A:R, 8, FALSE), "DOCENTE / FACILITADOR"))</f>
        <v/>
      </c>
      <c r="G103" s="7">
        <f>IF(B103="","",IFERROR(VLOOKUP(B103, PLANTA_BASE!A:R, 9, FALSE), "GENERAL"))</f>
        <v/>
      </c>
      <c r="H103" s="5">
        <f>IF(B103="","",IFERROR(VLOOKUP(B103, PLANTA_BASE!A:R, 17, FALSE), "GENERAL"))</f>
        <v/>
      </c>
    </row>
    <row r="104" ht="20" customHeight="1">
      <c r="A104" s="2">
        <f>IF(B104="","",IFERROR(VLOOKUP(B104, PLANTA_BASE!A:R, 2, FALSE), "NO ENCONTRADO EN PLANTA"))</f>
        <v/>
      </c>
      <c r="B104" s="3" t="inlineStr">
        <is>
          <t>1010209895</t>
        </is>
      </c>
      <c r="C104" s="4" t="inlineStr">
        <is>
          <t>VILLAMIL BUSTOS MIGUEL ANGEL</t>
        </is>
      </c>
      <c r="D104" s="2">
        <f>IF(B104="","",IFERROR(VLOOKUP(B104, PLANTA_BASE!A:R, 5, FALSE), "NO ENCONTRADO EN PLANTA"))</f>
        <v/>
      </c>
      <c r="E104" s="2">
        <f>IF(B104="","",IFERROR(VLOOKUP(B104, PLANTA_BASE!A:R, 6, FALSE), "NO ENCONTRADO EN PLANTA"))</f>
        <v/>
      </c>
      <c r="F104" s="4">
        <f>IF(B104="","",IFERROR(VLOOKUP(B104, PLANTA_BASE!A:R, 8, FALSE), "DOCENTE / FACILITADOR"))</f>
        <v/>
      </c>
      <c r="G104" s="4">
        <f>IF(B104="","",IFERROR(VLOOKUP(B104, PLANTA_BASE!A:R, 9, FALSE), "GENERAL"))</f>
        <v/>
      </c>
      <c r="H104" s="2">
        <f>IF(B104="","",IFERROR(VLOOKUP(B104, PLANTA_BASE!A:R, 17, FALSE), "GENERAL"))</f>
        <v/>
      </c>
    </row>
    <row r="105" ht="20" customHeight="1">
      <c r="A105" s="5">
        <f>IF(B105="","",IFERROR(VLOOKUP(B105, PLANTA_BASE!A:R, 2, FALSE), "NO ENCONTRADO EN PLANTA"))</f>
        <v/>
      </c>
      <c r="B105" s="6" t="inlineStr">
        <is>
          <t>52890946</t>
        </is>
      </c>
      <c r="C105" s="7" t="inlineStr">
        <is>
          <t>SILVA MEJIA LAURA SUSANA</t>
        </is>
      </c>
      <c r="D105" s="5">
        <f>IF(B105="","",IFERROR(VLOOKUP(B105, PLANTA_BASE!A:R, 5, FALSE), "NO ENCONTRADO EN PLANTA"))</f>
        <v/>
      </c>
      <c r="E105" s="5">
        <f>IF(B105="","",IFERROR(VLOOKUP(B105, PLANTA_BASE!A:R, 6, FALSE), "NO ENCONTRADO EN PLANTA"))</f>
        <v/>
      </c>
      <c r="F105" s="7">
        <f>IF(B105="","",IFERROR(VLOOKUP(B105, PLANTA_BASE!A:R, 8, FALSE), "DOCENTE / FACILITADOR"))</f>
        <v/>
      </c>
      <c r="G105" s="7">
        <f>IF(B105="","",IFERROR(VLOOKUP(B105, PLANTA_BASE!A:R, 9, FALSE), "GENERAL"))</f>
        <v/>
      </c>
      <c r="H105" s="5">
        <f>IF(B105="","",IFERROR(VLOOKUP(B105, PLANTA_BASE!A:R, 17, FALSE), "GENERAL"))</f>
        <v/>
      </c>
    </row>
    <row r="106" ht="20" customHeight="1">
      <c r="A106" s="2">
        <f>IF(B106="","",IFERROR(VLOOKUP(B106, PLANTA_BASE!A:R, 2, FALSE), "NO ENCONTRADO EN PLANTA"))</f>
        <v/>
      </c>
      <c r="B106" s="3" t="inlineStr">
        <is>
          <t>79837700</t>
        </is>
      </c>
      <c r="C106" s="4" t="inlineStr">
        <is>
          <t>MUNOZ ORTIZ ALEXANDER</t>
        </is>
      </c>
      <c r="D106" s="2">
        <f>IF(B106="","",IFERROR(VLOOKUP(B106, PLANTA_BASE!A:R, 5, FALSE), "NO ENCONTRADO EN PLANTA"))</f>
        <v/>
      </c>
      <c r="E106" s="2">
        <f>IF(B106="","",IFERROR(VLOOKUP(B106, PLANTA_BASE!A:R, 6, FALSE), "NO ENCONTRADO EN PLANTA"))</f>
        <v/>
      </c>
      <c r="F106" s="4">
        <f>IF(B106="","",IFERROR(VLOOKUP(B106, PLANTA_BASE!A:R, 8, FALSE), "DOCENTE / FACILITADOR"))</f>
        <v/>
      </c>
      <c r="G106" s="4">
        <f>IF(B106="","",IFERROR(VLOOKUP(B106, PLANTA_BASE!A:R, 9, FALSE), "GENERAL"))</f>
        <v/>
      </c>
      <c r="H106" s="2">
        <f>IF(B106="","",IFERROR(VLOOKUP(B106, PLANTA_BASE!A:R, 17, FALSE), "GENERAL"))</f>
        <v/>
      </c>
    </row>
    <row r="107" ht="20" customHeight="1">
      <c r="A107" s="5">
        <f>IF(B107="","",IFERROR(VLOOKUP(B107, PLANTA_BASE!A:R, 2, FALSE), "NO ENCONTRADO EN PLANTA"))</f>
        <v/>
      </c>
      <c r="B107" s="6" t="inlineStr">
        <is>
          <t>79510750</t>
        </is>
      </c>
      <c r="C107" s="7" t="inlineStr">
        <is>
          <t>GUEVARA WILFREDO</t>
        </is>
      </c>
      <c r="D107" s="5">
        <f>IF(B107="","",IFERROR(VLOOKUP(B107, PLANTA_BASE!A:R, 5, FALSE), "NO ENCONTRADO EN PLANTA"))</f>
        <v/>
      </c>
      <c r="E107" s="5">
        <f>IF(B107="","",IFERROR(VLOOKUP(B107, PLANTA_BASE!A:R, 6, FALSE), "NO ENCONTRADO EN PLANTA"))</f>
        <v/>
      </c>
      <c r="F107" s="7">
        <f>IF(B107="","",IFERROR(VLOOKUP(B107, PLANTA_BASE!A:R, 8, FALSE), "DOCENTE / FACILITADOR"))</f>
        <v/>
      </c>
      <c r="G107" s="7">
        <f>IF(B107="","",IFERROR(VLOOKUP(B107, PLANTA_BASE!A:R, 9, FALSE), "GENERAL"))</f>
        <v/>
      </c>
      <c r="H107" s="5">
        <f>IF(B107="","",IFERROR(VLOOKUP(B107, PLANTA_BASE!A:R, 17, FALSE), "GENERAL"))</f>
        <v/>
      </c>
    </row>
    <row r="108" ht="20" customHeight="1">
      <c r="A108" s="2">
        <f>IF(B108="","",IFERROR(VLOOKUP(B108, PLANTA_BASE!A:R, 2, FALSE), "NO ENCONTRADO EN PLANTA"))</f>
        <v/>
      </c>
      <c r="B108" s="3" t="inlineStr">
        <is>
          <t>1032481595</t>
        </is>
      </c>
      <c r="C108" s="4" t="inlineStr">
        <is>
          <t>UMANA GUEVARA JONNY ALEXANDER</t>
        </is>
      </c>
      <c r="D108" s="2">
        <f>IF(B108="","",IFERROR(VLOOKUP(B108, PLANTA_BASE!A:R, 5, FALSE), "NO ENCONTRADO EN PLANTA"))</f>
        <v/>
      </c>
      <c r="E108" s="2">
        <f>IF(B108="","",IFERROR(VLOOKUP(B108, PLANTA_BASE!A:R, 6, FALSE), "NO ENCONTRADO EN PLANTA"))</f>
        <v/>
      </c>
      <c r="F108" s="4">
        <f>IF(B108="","",IFERROR(VLOOKUP(B108, PLANTA_BASE!A:R, 8, FALSE), "DOCENTE / FACILITADOR"))</f>
        <v/>
      </c>
      <c r="G108" s="4">
        <f>IF(B108="","",IFERROR(VLOOKUP(B108, PLANTA_BASE!A:R, 9, FALSE), "GENERAL"))</f>
        <v/>
      </c>
      <c r="H108" s="2">
        <f>IF(B108="","",IFERROR(VLOOKUP(B108, PLANTA_BASE!A:R, 17, FALSE), "GENERAL"))</f>
        <v/>
      </c>
    </row>
    <row r="109" ht="20" customHeight="1">
      <c r="A109" s="5">
        <f>IF(B109="","",IFERROR(VLOOKUP(B109, PLANTA_BASE!A:R, 2, FALSE), "NO ENCONTRADO EN PLANTA"))</f>
        <v/>
      </c>
      <c r="B109" s="6" t="inlineStr">
        <is>
          <t>80223287</t>
        </is>
      </c>
      <c r="C109" s="7" t="inlineStr">
        <is>
          <t>PINEDA SORIANO MARIO</t>
        </is>
      </c>
      <c r="D109" s="5">
        <f>IF(B109="","",IFERROR(VLOOKUP(B109, PLANTA_BASE!A:R, 5, FALSE), "NO ENCONTRADO EN PLANTA"))</f>
        <v/>
      </c>
      <c r="E109" s="5">
        <f>IF(B109="","",IFERROR(VLOOKUP(B109, PLANTA_BASE!A:R, 6, FALSE), "NO ENCONTRADO EN PLANTA"))</f>
        <v/>
      </c>
      <c r="F109" s="7">
        <f>IF(B109="","",IFERROR(VLOOKUP(B109, PLANTA_BASE!A:R, 8, FALSE), "DOCENTE / FACILITADOR"))</f>
        <v/>
      </c>
      <c r="G109" s="7">
        <f>IF(B109="","",IFERROR(VLOOKUP(B109, PLANTA_BASE!A:R, 9, FALSE), "GENERAL"))</f>
        <v/>
      </c>
      <c r="H109" s="5">
        <f>IF(B109="","",IFERROR(VLOOKUP(B109, PLANTA_BASE!A:R, 17, FALSE), "GENERAL"))</f>
        <v/>
      </c>
    </row>
    <row r="110" ht="20" customHeight="1">
      <c r="A110" s="2">
        <f>IF(B110="","",IFERROR(VLOOKUP(B110, PLANTA_BASE!A:R, 2, FALSE), "NO ENCONTRADO EN PLANTA"))</f>
        <v/>
      </c>
      <c r="B110" s="3" t="inlineStr">
        <is>
          <t>80098581</t>
        </is>
      </c>
      <c r="C110" s="4" t="inlineStr">
        <is>
          <t>FORERO RODRIGUEZ JUAN CARLOS</t>
        </is>
      </c>
      <c r="D110" s="2">
        <f>IF(B110="","",IFERROR(VLOOKUP(B110, PLANTA_BASE!A:R, 5, FALSE), "NO ENCONTRADO EN PLANTA"))</f>
        <v/>
      </c>
      <c r="E110" s="2">
        <f>IF(B110="","",IFERROR(VLOOKUP(B110, PLANTA_BASE!A:R, 6, FALSE), "NO ENCONTRADO EN PLANTA"))</f>
        <v/>
      </c>
      <c r="F110" s="4">
        <f>IF(B110="","",IFERROR(VLOOKUP(B110, PLANTA_BASE!A:R, 8, FALSE), "DOCENTE / FACILITADOR"))</f>
        <v/>
      </c>
      <c r="G110" s="4">
        <f>IF(B110="","",IFERROR(VLOOKUP(B110, PLANTA_BASE!A:R, 9, FALSE), "GENERAL"))</f>
        <v/>
      </c>
      <c r="H110" s="2">
        <f>IF(B110="","",IFERROR(VLOOKUP(B110, PLANTA_BASE!A:R, 17, FALSE), "GENERAL"))</f>
        <v/>
      </c>
    </row>
    <row r="111" ht="20" customHeight="1">
      <c r="A111" s="5">
        <f>IF(B111="","",IFERROR(VLOOKUP(B111, PLANTA_BASE!A:R, 2, FALSE), "NO ENCONTRADO EN PLANTA"))</f>
        <v/>
      </c>
      <c r="B111" s="6" t="inlineStr">
        <is>
          <t>80110361</t>
        </is>
      </c>
      <c r="C111" s="7" t="inlineStr">
        <is>
          <t>TAUTIVA GOMEZ JAIME ANDRES</t>
        </is>
      </c>
      <c r="D111" s="5">
        <f>IF(B111="","",IFERROR(VLOOKUP(B111, PLANTA_BASE!A:R, 5, FALSE), "NO ENCONTRADO EN PLANTA"))</f>
        <v/>
      </c>
      <c r="E111" s="5">
        <f>IF(B111="","",IFERROR(VLOOKUP(B111, PLANTA_BASE!A:R, 6, FALSE), "NO ENCONTRADO EN PLANTA"))</f>
        <v/>
      </c>
      <c r="F111" s="7">
        <f>IF(B111="","",IFERROR(VLOOKUP(B111, PLANTA_BASE!A:R, 8, FALSE), "DOCENTE / FACILITADOR"))</f>
        <v/>
      </c>
      <c r="G111" s="7">
        <f>IF(B111="","",IFERROR(VLOOKUP(B111, PLANTA_BASE!A:R, 9, FALSE), "GENERAL"))</f>
        <v/>
      </c>
      <c r="H111" s="5">
        <f>IF(B111="","",IFERROR(VLOOKUP(B111, PLANTA_BASE!A:R, 17, FALSE), "GENERAL"))</f>
        <v/>
      </c>
    </row>
    <row r="112" ht="20" customHeight="1">
      <c r="A112" s="2">
        <f>IF(B112="","",IFERROR(VLOOKUP(B112, PLANTA_BASE!A:R, 2, FALSE), "NO ENCONTRADO EN PLANTA"))</f>
        <v/>
      </c>
      <c r="B112" s="3" t="inlineStr">
        <is>
          <t>1015460105</t>
        </is>
      </c>
      <c r="C112" s="4" t="inlineStr">
        <is>
          <t>GOMEZ SERGIO</t>
        </is>
      </c>
      <c r="D112" s="2">
        <f>IF(B112="","",IFERROR(VLOOKUP(B112, PLANTA_BASE!A:R, 5, FALSE), "NO ENCONTRADO EN PLANTA"))</f>
        <v/>
      </c>
      <c r="E112" s="2">
        <f>IF(B112="","",IFERROR(VLOOKUP(B112, PLANTA_BASE!A:R, 6, FALSE), "NO ENCONTRADO EN PLANTA"))</f>
        <v/>
      </c>
      <c r="F112" s="4">
        <f>IF(B112="","",IFERROR(VLOOKUP(B112, PLANTA_BASE!A:R, 8, FALSE), "DOCENTE / FACILITADOR"))</f>
        <v/>
      </c>
      <c r="G112" s="4">
        <f>IF(B112="","",IFERROR(VLOOKUP(B112, PLANTA_BASE!A:R, 9, FALSE), "GENERAL"))</f>
        <v/>
      </c>
      <c r="H112" s="2">
        <f>IF(B112="","",IFERROR(VLOOKUP(B112, PLANTA_BASE!A:R, 17, FALSE), "GENERAL"))</f>
        <v/>
      </c>
    </row>
    <row r="113" ht="20" customHeight="1">
      <c r="A113" s="5">
        <f>IF(B113="","",IFERROR(VLOOKUP(B113, PLANTA_BASE!A:R, 2, FALSE), "NO ENCONTRADO EN PLANTA"))</f>
        <v/>
      </c>
      <c r="B113" s="6" t="inlineStr">
        <is>
          <t>1013628967</t>
        </is>
      </c>
      <c r="C113" s="7" t="inlineStr">
        <is>
          <t>QUINTERO AMAYA EDWARD LEONARDO</t>
        </is>
      </c>
      <c r="D113" s="5">
        <f>IF(B113="","",IFERROR(VLOOKUP(B113, PLANTA_BASE!A:R, 5, FALSE), "NO ENCONTRADO EN PLANTA"))</f>
        <v/>
      </c>
      <c r="E113" s="5">
        <f>IF(B113="","",IFERROR(VLOOKUP(B113, PLANTA_BASE!A:R, 6, FALSE), "NO ENCONTRADO EN PLANTA"))</f>
        <v/>
      </c>
      <c r="F113" s="7">
        <f>IF(B113="","",IFERROR(VLOOKUP(B113, PLANTA_BASE!A:R, 8, FALSE), "DOCENTE / FACILITADOR"))</f>
        <v/>
      </c>
      <c r="G113" s="7">
        <f>IF(B113="","",IFERROR(VLOOKUP(B113, PLANTA_BASE!A:R, 9, FALSE), "GENERAL"))</f>
        <v/>
      </c>
      <c r="H113" s="5">
        <f>IF(B113="","",IFERROR(VLOOKUP(B113, PLANTA_BASE!A:R, 17, FALSE), "GENERAL"))</f>
        <v/>
      </c>
    </row>
    <row r="114" ht="20" customHeight="1">
      <c r="A114" s="2">
        <f>IF(B114="","",IFERROR(VLOOKUP(B114, PLANTA_BASE!A:R, 2, FALSE), "NO ENCONTRADO EN PLANTA"))</f>
        <v/>
      </c>
      <c r="B114" s="3" t="inlineStr">
        <is>
          <t>1031162225</t>
        </is>
      </c>
      <c r="C114" s="4" t="inlineStr">
        <is>
          <t>PORTUGUEZ RODRIGUEZ ANGEL LEONARDO</t>
        </is>
      </c>
      <c r="D114" s="2">
        <f>IF(B114="","",IFERROR(VLOOKUP(B114, PLANTA_BASE!A:R, 5, FALSE), "NO ENCONTRADO EN PLANTA"))</f>
        <v/>
      </c>
      <c r="E114" s="2">
        <f>IF(B114="","",IFERROR(VLOOKUP(B114, PLANTA_BASE!A:R, 6, FALSE), "NO ENCONTRADO EN PLANTA"))</f>
        <v/>
      </c>
      <c r="F114" s="4">
        <f>IF(B114="","",IFERROR(VLOOKUP(B114, PLANTA_BASE!A:R, 8, FALSE), "DOCENTE / FACILITADOR"))</f>
        <v/>
      </c>
      <c r="G114" s="4">
        <f>IF(B114="","",IFERROR(VLOOKUP(B114, PLANTA_BASE!A:R, 9, FALSE), "GENERAL"))</f>
        <v/>
      </c>
      <c r="H114" s="2">
        <f>IF(B114="","",IFERROR(VLOOKUP(B114, PLANTA_BASE!A:R, 17, FALSE), "GENERAL"))</f>
        <v/>
      </c>
    </row>
    <row r="115" ht="20" customHeight="1">
      <c r="A115" s="5">
        <f>IF(B115="","",IFERROR(VLOOKUP(B115, PLANTA_BASE!A:R, 2, FALSE), "NO ENCONTRADO EN PLANTA"))</f>
        <v/>
      </c>
      <c r="B115" s="6" t="inlineStr">
        <is>
          <t>1073179884</t>
        </is>
      </c>
      <c r="C115" s="7" t="inlineStr">
        <is>
          <t>VILLARRAGA LENNIS</t>
        </is>
      </c>
      <c r="D115" s="5">
        <f>IF(B115="","",IFERROR(VLOOKUP(B115, PLANTA_BASE!A:R, 5, FALSE), "NO ENCONTRADO EN PLANTA"))</f>
        <v/>
      </c>
      <c r="E115" s="5">
        <f>IF(B115="","",IFERROR(VLOOKUP(B115, PLANTA_BASE!A:R, 6, FALSE), "NO ENCONTRADO EN PLANTA"))</f>
        <v/>
      </c>
      <c r="F115" s="7">
        <f>IF(B115="","",IFERROR(VLOOKUP(B115, PLANTA_BASE!A:R, 8, FALSE), "DOCENTE / FACILITADOR"))</f>
        <v/>
      </c>
      <c r="G115" s="7">
        <f>IF(B115="","",IFERROR(VLOOKUP(B115, PLANTA_BASE!A:R, 9, FALSE), "GENERAL"))</f>
        <v/>
      </c>
      <c r="H115" s="5">
        <f>IF(B115="","",IFERROR(VLOOKUP(B115, PLANTA_BASE!A:R, 17, FALSE), "GENERAL"))</f>
        <v/>
      </c>
    </row>
    <row r="116" ht="20" customHeight="1">
      <c r="A116" s="2">
        <f>IF(B116="","",IFERROR(VLOOKUP(B116, PLANTA_BASE!A:R, 2, FALSE), "NO ENCONTRADO EN PLANTA"))</f>
        <v/>
      </c>
      <c r="B116" s="3" t="inlineStr">
        <is>
          <t>1091595049</t>
        </is>
      </c>
      <c r="C116" s="4" t="inlineStr">
        <is>
          <t>GALVIS NELSON</t>
        </is>
      </c>
      <c r="D116" s="2">
        <f>IF(B116="","",IFERROR(VLOOKUP(B116, PLANTA_BASE!A:R, 5, FALSE), "NO ENCONTRADO EN PLANTA"))</f>
        <v/>
      </c>
      <c r="E116" s="2">
        <f>IF(B116="","",IFERROR(VLOOKUP(B116, PLANTA_BASE!A:R, 6, FALSE), "NO ENCONTRADO EN PLANTA"))</f>
        <v/>
      </c>
      <c r="F116" s="4">
        <f>IF(B116="","",IFERROR(VLOOKUP(B116, PLANTA_BASE!A:R, 8, FALSE), "DOCENTE / FACILITADOR"))</f>
        <v/>
      </c>
      <c r="G116" s="4">
        <f>IF(B116="","",IFERROR(VLOOKUP(B116, PLANTA_BASE!A:R, 9, FALSE), "GENERAL"))</f>
        <v/>
      </c>
      <c r="H116" s="2">
        <f>IF(B116="","",IFERROR(VLOOKUP(B116, PLANTA_BASE!A:R, 17, FALSE), "GENERAL"))</f>
        <v/>
      </c>
    </row>
    <row r="117" ht="20" customHeight="1">
      <c r="A117" s="5">
        <f>IF(B117="","",IFERROR(VLOOKUP(B117, PLANTA_BASE!A:R, 2, FALSE), "NO ENCONTRADO EN PLANTA"))</f>
        <v/>
      </c>
      <c r="B117" s="6" t="inlineStr">
        <is>
          <t>1032370242</t>
        </is>
      </c>
      <c r="C117" s="7" t="inlineStr">
        <is>
          <t>VILLA MARTINEZ JUAN ALEJANDRO</t>
        </is>
      </c>
      <c r="D117" s="5">
        <f>IF(B117="","",IFERROR(VLOOKUP(B117, PLANTA_BASE!A:R, 5, FALSE), "NO ENCONTRADO EN PLANTA"))</f>
        <v/>
      </c>
      <c r="E117" s="5">
        <f>IF(B117="","",IFERROR(VLOOKUP(B117, PLANTA_BASE!A:R, 6, FALSE), "NO ENCONTRADO EN PLANTA"))</f>
        <v/>
      </c>
      <c r="F117" s="7">
        <f>IF(B117="","",IFERROR(VLOOKUP(B117, PLANTA_BASE!A:R, 8, FALSE), "DOCENTE / FACILITADOR"))</f>
        <v/>
      </c>
      <c r="G117" s="7">
        <f>IF(B117="","",IFERROR(VLOOKUP(B117, PLANTA_BASE!A:R, 9, FALSE), "GENERAL"))</f>
        <v/>
      </c>
      <c r="H117" s="5">
        <f>IF(B117="","",IFERROR(VLOOKUP(B117, PLANTA_BASE!A:R, 17, FALSE), "GENERAL"))</f>
        <v/>
      </c>
    </row>
    <row r="118" ht="20" customHeight="1">
      <c r="A118" s="2">
        <f>IF(B118="","",IFERROR(VLOOKUP(B118, PLANTA_BASE!A:R, 2, FALSE), "NO ENCONTRADO EN PLANTA"))</f>
        <v/>
      </c>
      <c r="B118" s="3" t="inlineStr">
        <is>
          <t>1233912982</t>
        </is>
      </c>
      <c r="C118" s="4" t="inlineStr">
        <is>
          <t>MAYORGA CABRERA JOAN SEBASTIAN</t>
        </is>
      </c>
      <c r="D118" s="2">
        <f>IF(B118="","",IFERROR(VLOOKUP(B118, PLANTA_BASE!A:R, 5, FALSE), "NO ENCONTRADO EN PLANTA"))</f>
        <v/>
      </c>
      <c r="E118" s="2">
        <f>IF(B118="","",IFERROR(VLOOKUP(B118, PLANTA_BASE!A:R, 6, FALSE), "NO ENCONTRADO EN PLANTA"))</f>
        <v/>
      </c>
      <c r="F118" s="4">
        <f>IF(B118="","",IFERROR(VLOOKUP(B118, PLANTA_BASE!A:R, 8, FALSE), "DOCENTE / FACILITADOR"))</f>
        <v/>
      </c>
      <c r="G118" s="4">
        <f>IF(B118="","",IFERROR(VLOOKUP(B118, PLANTA_BASE!A:R, 9, FALSE), "GENERAL"))</f>
        <v/>
      </c>
      <c r="H118" s="2">
        <f>IF(B118="","",IFERROR(VLOOKUP(B118, PLANTA_BASE!A:R, 17, FALSE), "GENERAL"))</f>
        <v/>
      </c>
    </row>
    <row r="119" ht="20" customHeight="1">
      <c r="A119" s="5">
        <f>IF(B119="","",IFERROR(VLOOKUP(B119, PLANTA_BASE!A:R, 2, FALSE), "NO ENCONTRADO EN PLANTA"))</f>
        <v/>
      </c>
      <c r="B119" s="6" t="inlineStr">
        <is>
          <t>52998146</t>
        </is>
      </c>
      <c r="C119" s="7" t="inlineStr">
        <is>
          <t>BERNAL ELIZABETH</t>
        </is>
      </c>
      <c r="D119" s="5">
        <f>IF(B119="","",IFERROR(VLOOKUP(B119, PLANTA_BASE!A:R, 5, FALSE), "NO ENCONTRADO EN PLANTA"))</f>
        <v/>
      </c>
      <c r="E119" s="5">
        <f>IF(B119="","",IFERROR(VLOOKUP(B119, PLANTA_BASE!A:R, 6, FALSE), "NO ENCONTRADO EN PLANTA"))</f>
        <v/>
      </c>
      <c r="F119" s="7">
        <f>IF(B119="","",IFERROR(VLOOKUP(B119, PLANTA_BASE!A:R, 8, FALSE), "DOCENTE / FACILITADOR"))</f>
        <v/>
      </c>
      <c r="G119" s="7">
        <f>IF(B119="","",IFERROR(VLOOKUP(B119, PLANTA_BASE!A:R, 9, FALSE), "GENERAL"))</f>
        <v/>
      </c>
      <c r="H119" s="5">
        <f>IF(B119="","",IFERROR(VLOOKUP(B119, PLANTA_BASE!A:R, 17, FALSE), "GENERAL"))</f>
        <v/>
      </c>
    </row>
    <row r="120" ht="20" customHeight="1">
      <c r="A120" s="2">
        <f>IF(B120="","",IFERROR(VLOOKUP(B120, PLANTA_BASE!A:R, 2, FALSE), "NO ENCONTRADO EN PLANTA"))</f>
        <v/>
      </c>
      <c r="B120" s="3" t="inlineStr">
        <is>
          <t>1022356564</t>
        </is>
      </c>
      <c r="C120" s="4" t="inlineStr">
        <is>
          <t>CARRILLO MAHECHA KAREN LORENA</t>
        </is>
      </c>
      <c r="D120" s="2">
        <f>IF(B120="","",IFERROR(VLOOKUP(B120, PLANTA_BASE!A:R, 5, FALSE), "NO ENCONTRADO EN PLANTA"))</f>
        <v/>
      </c>
      <c r="E120" s="2">
        <f>IF(B120="","",IFERROR(VLOOKUP(B120, PLANTA_BASE!A:R, 6, FALSE), "NO ENCONTRADO EN PLANTA"))</f>
        <v/>
      </c>
      <c r="F120" s="4">
        <f>IF(B120="","",IFERROR(VLOOKUP(B120, PLANTA_BASE!A:R, 8, FALSE), "DOCENTE / FACILITADOR"))</f>
        <v/>
      </c>
      <c r="G120" s="4">
        <f>IF(B120="","",IFERROR(VLOOKUP(B120, PLANTA_BASE!A:R, 9, FALSE), "GENERAL"))</f>
        <v/>
      </c>
      <c r="H120" s="2">
        <f>IF(B120="","",IFERROR(VLOOKUP(B120, PLANTA_BASE!A:R, 17, FALSE), "GENERAL"))</f>
        <v/>
      </c>
    </row>
    <row r="121" ht="20" customHeight="1">
      <c r="A121" s="5">
        <f>IF(B121="","",IFERROR(VLOOKUP(B121, PLANTA_BASE!A:R, 2, FALSE), "NO ENCONTRADO EN PLANTA"))</f>
        <v/>
      </c>
      <c r="B121" s="6" t="inlineStr">
        <is>
          <t>1032415074</t>
        </is>
      </c>
      <c r="C121" s="7" t="inlineStr">
        <is>
          <t>ROBLEDO GIOVANNY</t>
        </is>
      </c>
      <c r="D121" s="5">
        <f>IF(B121="","",IFERROR(VLOOKUP(B121, PLANTA_BASE!A:R, 5, FALSE), "NO ENCONTRADO EN PLANTA"))</f>
        <v/>
      </c>
      <c r="E121" s="5">
        <f>IF(B121="","",IFERROR(VLOOKUP(B121, PLANTA_BASE!A:R, 6, FALSE), "NO ENCONTRADO EN PLANTA"))</f>
        <v/>
      </c>
      <c r="F121" s="7">
        <f>IF(B121="","",IFERROR(VLOOKUP(B121, PLANTA_BASE!A:R, 8, FALSE), "DOCENTE / FACILITADOR"))</f>
        <v/>
      </c>
      <c r="G121" s="7">
        <f>IF(B121="","",IFERROR(VLOOKUP(B121, PLANTA_BASE!A:R, 9, FALSE), "GENERAL"))</f>
        <v/>
      </c>
      <c r="H121" s="5">
        <f>IF(B121="","",IFERROR(VLOOKUP(B121, PLANTA_BASE!A:R, 17, FALSE), "GENERAL"))</f>
        <v/>
      </c>
    </row>
    <row r="122" ht="20" customHeight="1">
      <c r="A122" s="2">
        <f>IF(B122="","",IFERROR(VLOOKUP(B122, PLANTA_BASE!A:R, 2, FALSE), "NO ENCONTRADO EN PLANTA"))</f>
        <v/>
      </c>
      <c r="B122" s="3" t="inlineStr">
        <is>
          <t>1010235547</t>
        </is>
      </c>
      <c r="C122" s="4" t="inlineStr">
        <is>
          <t>MARTINEZ PLAZAS LINA MARIA</t>
        </is>
      </c>
      <c r="D122" s="2">
        <f>IF(B122="","",IFERROR(VLOOKUP(B122, PLANTA_BASE!A:R, 5, FALSE), "NO ENCONTRADO EN PLANTA"))</f>
        <v/>
      </c>
      <c r="E122" s="2">
        <f>IF(B122="","",IFERROR(VLOOKUP(B122, PLANTA_BASE!A:R, 6, FALSE), "NO ENCONTRADO EN PLANTA"))</f>
        <v/>
      </c>
      <c r="F122" s="4">
        <f>IF(B122="","",IFERROR(VLOOKUP(B122, PLANTA_BASE!A:R, 8, FALSE), "DOCENTE / FACILITADOR"))</f>
        <v/>
      </c>
      <c r="G122" s="4">
        <f>IF(B122="","",IFERROR(VLOOKUP(B122, PLANTA_BASE!A:R, 9, FALSE), "GENERAL"))</f>
        <v/>
      </c>
      <c r="H122" s="2">
        <f>IF(B122="","",IFERROR(VLOOKUP(B122, PLANTA_BASE!A:R, 17, FALSE), "GENERAL"))</f>
        <v/>
      </c>
    </row>
    <row r="123" ht="20" customHeight="1">
      <c r="A123" s="5">
        <f>IF(B123="","",IFERROR(VLOOKUP(B123, PLANTA_BASE!A:R, 2, FALSE), "NO ENCONTRADO EN PLANTA"))</f>
        <v/>
      </c>
      <c r="B123" s="6" t="inlineStr">
        <is>
          <t>1018420536</t>
        </is>
      </c>
      <c r="C123" s="7" t="inlineStr">
        <is>
          <t>RODRIGUEZ GINA MILENA</t>
        </is>
      </c>
      <c r="D123" s="5">
        <f>IF(B123="","",IFERROR(VLOOKUP(B123, PLANTA_BASE!A:R, 5, FALSE), "NO ENCONTRADO EN PLANTA"))</f>
        <v/>
      </c>
      <c r="E123" s="5">
        <f>IF(B123="","",IFERROR(VLOOKUP(B123, PLANTA_BASE!A:R, 6, FALSE), "NO ENCONTRADO EN PLANTA"))</f>
        <v/>
      </c>
      <c r="F123" s="7">
        <f>IF(B123="","",IFERROR(VLOOKUP(B123, PLANTA_BASE!A:R, 8, FALSE), "DOCENTE / FACILITADOR"))</f>
        <v/>
      </c>
      <c r="G123" s="7">
        <f>IF(B123="","",IFERROR(VLOOKUP(B123, PLANTA_BASE!A:R, 9, FALSE), "GENERAL"))</f>
        <v/>
      </c>
      <c r="H123" s="5">
        <f>IF(B123="","",IFERROR(VLOOKUP(B123, PLANTA_BASE!A:R, 17, FALSE), "GENERAL"))</f>
        <v/>
      </c>
    </row>
    <row r="124" ht="20" customHeight="1">
      <c r="A124" s="2">
        <f>IF(B124="","",IFERROR(VLOOKUP(B124, PLANTA_BASE!A:R, 2, FALSE), "NO ENCONTRADO EN PLANTA"))</f>
        <v/>
      </c>
      <c r="B124" s="3" t="inlineStr">
        <is>
          <t>1016041421</t>
        </is>
      </c>
      <c r="C124" s="4" t="inlineStr">
        <is>
          <t>RINCON GALAN JULIAN DAVID</t>
        </is>
      </c>
      <c r="D124" s="2">
        <f>IF(B124="","",IFERROR(VLOOKUP(B124, PLANTA_BASE!A:R, 5, FALSE), "NO ENCONTRADO EN PLANTA"))</f>
        <v/>
      </c>
      <c r="E124" s="2">
        <f>IF(B124="","",IFERROR(VLOOKUP(B124, PLANTA_BASE!A:R, 6, FALSE), "NO ENCONTRADO EN PLANTA"))</f>
        <v/>
      </c>
      <c r="F124" s="4">
        <f>IF(B124="","",IFERROR(VLOOKUP(B124, PLANTA_BASE!A:R, 8, FALSE), "DOCENTE / FACILITADOR"))</f>
        <v/>
      </c>
      <c r="G124" s="4">
        <f>IF(B124="","",IFERROR(VLOOKUP(B124, PLANTA_BASE!A:R, 9, FALSE), "GENERAL"))</f>
        <v/>
      </c>
      <c r="H124" s="2">
        <f>IF(B124="","",IFERROR(VLOOKUP(B124, PLANTA_BASE!A:R, 17, FALSE), "GENERAL"))</f>
        <v/>
      </c>
    </row>
    <row r="125" ht="20" customHeight="1">
      <c r="A125" s="5">
        <f>IF(B125="","",IFERROR(VLOOKUP(B125, PLANTA_BASE!A:R, 2, FALSE), "NO ENCONTRADO EN PLANTA"))</f>
        <v/>
      </c>
      <c r="B125" s="6" t="inlineStr">
        <is>
          <t>80882570</t>
        </is>
      </c>
      <c r="C125" s="7" t="inlineStr">
        <is>
          <t>GARRIDO ANDRES</t>
        </is>
      </c>
      <c r="D125" s="5">
        <f>IF(B125="","",IFERROR(VLOOKUP(B125, PLANTA_BASE!A:R, 5, FALSE), "NO ENCONTRADO EN PLANTA"))</f>
        <v/>
      </c>
      <c r="E125" s="5">
        <f>IF(B125="","",IFERROR(VLOOKUP(B125, PLANTA_BASE!A:R, 6, FALSE), "NO ENCONTRADO EN PLANTA"))</f>
        <v/>
      </c>
      <c r="F125" s="7">
        <f>IF(B125="","",IFERROR(VLOOKUP(B125, PLANTA_BASE!A:R, 8, FALSE), "DOCENTE / FACILITADOR"))</f>
        <v/>
      </c>
      <c r="G125" s="7">
        <f>IF(B125="","",IFERROR(VLOOKUP(B125, PLANTA_BASE!A:R, 9, FALSE), "GENERAL"))</f>
        <v/>
      </c>
      <c r="H125" s="5">
        <f>IF(B125="","",IFERROR(VLOOKUP(B125, PLANTA_BASE!A:R, 17, FALSE), "GENERAL"))</f>
        <v/>
      </c>
    </row>
    <row r="126" ht="20" customHeight="1">
      <c r="A126" s="2">
        <f>IF(B126="","",IFERROR(VLOOKUP(B126, PLANTA_BASE!A:R, 2, FALSE), "NO ENCONTRADO EN PLANTA"))</f>
        <v/>
      </c>
      <c r="B126" s="3" t="inlineStr">
        <is>
          <t>1022418409</t>
        </is>
      </c>
      <c r="C126" s="4" t="inlineStr">
        <is>
          <t>HILARION JIMENEZ LAURA</t>
        </is>
      </c>
      <c r="D126" s="2">
        <f>IF(B126="","",IFERROR(VLOOKUP(B126, PLANTA_BASE!A:R, 5, FALSE), "NO ENCONTRADO EN PLANTA"))</f>
        <v/>
      </c>
      <c r="E126" s="2">
        <f>IF(B126="","",IFERROR(VLOOKUP(B126, PLANTA_BASE!A:R, 6, FALSE), "NO ENCONTRADO EN PLANTA"))</f>
        <v/>
      </c>
      <c r="F126" s="4">
        <f>IF(B126="","",IFERROR(VLOOKUP(B126, PLANTA_BASE!A:R, 8, FALSE), "DOCENTE / FACILITADOR"))</f>
        <v/>
      </c>
      <c r="G126" s="4">
        <f>IF(B126="","",IFERROR(VLOOKUP(B126, PLANTA_BASE!A:R, 9, FALSE), "GENERAL"))</f>
        <v/>
      </c>
      <c r="H126" s="2">
        <f>IF(B126="","",IFERROR(VLOOKUP(B126, PLANTA_BASE!A:R, 17, FALSE), "GENERAL"))</f>
        <v/>
      </c>
    </row>
    <row r="127" ht="20" customHeight="1">
      <c r="A127" s="5">
        <f>IF(B127="","",IFERROR(VLOOKUP(B127, PLANTA_BASE!A:R, 2, FALSE), "NO ENCONTRADO EN PLANTA"))</f>
        <v/>
      </c>
      <c r="B127" s="6" t="inlineStr">
        <is>
          <t>1026577555</t>
        </is>
      </c>
      <c r="C127" s="7" t="inlineStr">
        <is>
          <t>ORTIZ RODRIGUEZ ERIKA</t>
        </is>
      </c>
      <c r="D127" s="5">
        <f>IF(B127="","",IFERROR(VLOOKUP(B127, PLANTA_BASE!A:R, 5, FALSE), "NO ENCONTRADO EN PLANTA"))</f>
        <v/>
      </c>
      <c r="E127" s="5">
        <f>IF(B127="","",IFERROR(VLOOKUP(B127, PLANTA_BASE!A:R, 6, FALSE), "NO ENCONTRADO EN PLANTA"))</f>
        <v/>
      </c>
      <c r="F127" s="7">
        <f>IF(B127="","",IFERROR(VLOOKUP(B127, PLANTA_BASE!A:R, 8, FALSE), "DOCENTE / FACILITADOR"))</f>
        <v/>
      </c>
      <c r="G127" s="7">
        <f>IF(B127="","",IFERROR(VLOOKUP(B127, PLANTA_BASE!A:R, 9, FALSE), "GENERAL"))</f>
        <v/>
      </c>
      <c r="H127" s="5">
        <f>IF(B127="","",IFERROR(VLOOKUP(B127, PLANTA_BASE!A:R, 17, FALSE), "GENERAL"))</f>
        <v/>
      </c>
    </row>
    <row r="128" ht="20" customHeight="1">
      <c r="A128" s="2">
        <f>IF(B128="","",IFERROR(VLOOKUP(B128, PLANTA_BASE!A:R, 2, FALSE), "NO ENCONTRADO EN PLANTA"))</f>
        <v/>
      </c>
      <c r="B128" s="3" t="inlineStr">
        <is>
          <t>1016031612</t>
        </is>
      </c>
      <c r="C128" s="4" t="inlineStr">
        <is>
          <t>VARGAS BERNAL DIANA FERNANDA</t>
        </is>
      </c>
      <c r="D128" s="2">
        <f>IF(B128="","",IFERROR(VLOOKUP(B128, PLANTA_BASE!A:R, 5, FALSE), "NO ENCONTRADO EN PLANTA"))</f>
        <v/>
      </c>
      <c r="E128" s="2">
        <f>IF(B128="","",IFERROR(VLOOKUP(B128, PLANTA_BASE!A:R, 6, FALSE), "NO ENCONTRADO EN PLANTA"))</f>
        <v/>
      </c>
      <c r="F128" s="4">
        <f>IF(B128="","",IFERROR(VLOOKUP(B128, PLANTA_BASE!A:R, 8, FALSE), "DOCENTE / FACILITADOR"))</f>
        <v/>
      </c>
      <c r="G128" s="4">
        <f>IF(B128="","",IFERROR(VLOOKUP(B128, PLANTA_BASE!A:R, 9, FALSE), "GENERAL"))</f>
        <v/>
      </c>
      <c r="H128" s="2">
        <f>IF(B128="","",IFERROR(VLOOKUP(B128, PLANTA_BASE!A:R, 17, FALSE), "GENERAL"))</f>
        <v/>
      </c>
    </row>
    <row r="129" ht="20" customHeight="1">
      <c r="A129" s="5">
        <f>IF(B129="","",IFERROR(VLOOKUP(B129, PLANTA_BASE!A:R, 2, FALSE), "NO ENCONTRADO EN PLANTA"))</f>
        <v/>
      </c>
      <c r="B129" s="6" t="inlineStr">
        <is>
          <t>80767663</t>
        </is>
      </c>
      <c r="C129" s="7" t="inlineStr">
        <is>
          <t>OLIVARES DIEGO</t>
        </is>
      </c>
      <c r="D129" s="5">
        <f>IF(B129="","",IFERROR(VLOOKUP(B129, PLANTA_BASE!A:R, 5, FALSE), "NO ENCONTRADO EN PLANTA"))</f>
        <v/>
      </c>
      <c r="E129" s="5">
        <f>IF(B129="","",IFERROR(VLOOKUP(B129, PLANTA_BASE!A:R, 6, FALSE), "NO ENCONTRADO EN PLANTA"))</f>
        <v/>
      </c>
      <c r="F129" s="7">
        <f>IF(B129="","",IFERROR(VLOOKUP(B129, PLANTA_BASE!A:R, 8, FALSE), "DOCENTE / FACILITADOR"))</f>
        <v/>
      </c>
      <c r="G129" s="7">
        <f>IF(B129="","",IFERROR(VLOOKUP(B129, PLANTA_BASE!A:R, 9, FALSE), "GENERAL"))</f>
        <v/>
      </c>
      <c r="H129" s="5">
        <f>IF(B129="","",IFERROR(VLOOKUP(B129, PLANTA_BASE!A:R, 17, FALSE), "GENERAL"))</f>
        <v/>
      </c>
    </row>
    <row r="130" ht="20" customHeight="1">
      <c r="A130" s="2">
        <f>IF(B130="","",IFERROR(VLOOKUP(B130, PLANTA_BASE!A:R, 2, FALSE), "NO ENCONTRADO EN PLANTA"))</f>
        <v/>
      </c>
      <c r="B130" s="3" t="inlineStr">
        <is>
          <t>52125067</t>
        </is>
      </c>
      <c r="C130" s="4" t="inlineStr">
        <is>
          <t>SOLER HUERTAS MARIA EUGENIA</t>
        </is>
      </c>
      <c r="D130" s="2">
        <f>IF(B130="","",IFERROR(VLOOKUP(B130, PLANTA_BASE!A:R, 5, FALSE), "NO ENCONTRADO EN PLANTA"))</f>
        <v/>
      </c>
      <c r="E130" s="2">
        <f>IF(B130="","",IFERROR(VLOOKUP(B130, PLANTA_BASE!A:R, 6, FALSE), "NO ENCONTRADO EN PLANTA"))</f>
        <v/>
      </c>
      <c r="F130" s="4">
        <f>IF(B130="","",IFERROR(VLOOKUP(B130, PLANTA_BASE!A:R, 8, FALSE), "DOCENTE / FACILITADOR"))</f>
        <v/>
      </c>
      <c r="G130" s="4">
        <f>IF(B130="","",IFERROR(VLOOKUP(B130, PLANTA_BASE!A:R, 9, FALSE), "GENERAL"))</f>
        <v/>
      </c>
      <c r="H130" s="2">
        <f>IF(B130="","",IFERROR(VLOOKUP(B130, PLANTA_BASE!A:R, 17, FALSE), "GENERAL"))</f>
        <v/>
      </c>
    </row>
    <row r="131" ht="20" customHeight="1">
      <c r="A131" s="5">
        <f>IF(B131="","",IFERROR(VLOOKUP(B131, PLANTA_BASE!A:R, 2, FALSE), "NO ENCONTRADO EN PLANTA"))</f>
        <v/>
      </c>
      <c r="B131" s="6" t="inlineStr">
        <is>
          <t>52438963</t>
        </is>
      </c>
      <c r="C131" s="7" t="inlineStr">
        <is>
          <t>BUENHOMBRE ASTRID</t>
        </is>
      </c>
      <c r="D131" s="5">
        <f>IF(B131="","",IFERROR(VLOOKUP(B131, PLANTA_BASE!A:R, 5, FALSE), "NO ENCONTRADO EN PLANTA"))</f>
        <v/>
      </c>
      <c r="E131" s="5">
        <f>IF(B131="","",IFERROR(VLOOKUP(B131, PLANTA_BASE!A:R, 6, FALSE), "NO ENCONTRADO EN PLANTA"))</f>
        <v/>
      </c>
      <c r="F131" s="7">
        <f>IF(B131="","",IFERROR(VLOOKUP(B131, PLANTA_BASE!A:R, 8, FALSE), "DOCENTE / FACILITADOR"))</f>
        <v/>
      </c>
      <c r="G131" s="7">
        <f>IF(B131="","",IFERROR(VLOOKUP(B131, PLANTA_BASE!A:R, 9, FALSE), "GENERAL"))</f>
        <v/>
      </c>
      <c r="H131" s="5">
        <f>IF(B131="","",IFERROR(VLOOKUP(B131, PLANTA_BASE!A:R, 17, FALSE), "GENERAL"))</f>
        <v/>
      </c>
    </row>
    <row r="132" ht="20" customHeight="1">
      <c r="A132" s="2">
        <f>IF(B132="","",IFERROR(VLOOKUP(B132, PLANTA_BASE!A:R, 2, FALSE), "NO ENCONTRADO EN PLANTA"))</f>
        <v/>
      </c>
      <c r="B132" s="3" t="inlineStr">
        <is>
          <t>80048433</t>
        </is>
      </c>
      <c r="C132" s="4" t="inlineStr">
        <is>
          <t>SALAZAR CESAR</t>
        </is>
      </c>
      <c r="D132" s="2">
        <f>IF(B132="","",IFERROR(VLOOKUP(B132, PLANTA_BASE!A:R, 5, FALSE), "NO ENCONTRADO EN PLANTA"))</f>
        <v/>
      </c>
      <c r="E132" s="2">
        <f>IF(B132="","",IFERROR(VLOOKUP(B132, PLANTA_BASE!A:R, 6, FALSE), "NO ENCONTRADO EN PLANTA"))</f>
        <v/>
      </c>
      <c r="F132" s="4">
        <f>IF(B132="","",IFERROR(VLOOKUP(B132, PLANTA_BASE!A:R, 8, FALSE), "DOCENTE / FACILITADOR"))</f>
        <v/>
      </c>
      <c r="G132" s="4">
        <f>IF(B132="","",IFERROR(VLOOKUP(B132, PLANTA_BASE!A:R, 9, FALSE), "GENERAL"))</f>
        <v/>
      </c>
      <c r="H132" s="2">
        <f>IF(B132="","",IFERROR(VLOOKUP(B132, PLANTA_BASE!A:R, 17, FALSE), "GENERAL"))</f>
        <v/>
      </c>
    </row>
    <row r="133" ht="20" customHeight="1">
      <c r="A133" s="5">
        <f>IF(B133="","",IFERROR(VLOOKUP(B133, PLANTA_BASE!A:R, 2, FALSE), "NO ENCONTRADO EN PLANTA"))</f>
        <v/>
      </c>
      <c r="B133" s="6" t="inlineStr">
        <is>
          <t>65740443</t>
        </is>
      </c>
      <c r="C133" s="7" t="inlineStr">
        <is>
          <t>DURAN BARBOSA LILIANA PATRICIA</t>
        </is>
      </c>
      <c r="D133" s="5">
        <f>IF(B133="","",IFERROR(VLOOKUP(B133, PLANTA_BASE!A:R, 5, FALSE), "NO ENCONTRADO EN PLANTA"))</f>
        <v/>
      </c>
      <c r="E133" s="5">
        <f>IF(B133="","",IFERROR(VLOOKUP(B133, PLANTA_BASE!A:R, 6, FALSE), "NO ENCONTRADO EN PLANTA"))</f>
        <v/>
      </c>
      <c r="F133" s="7">
        <f>IF(B133="","",IFERROR(VLOOKUP(B133, PLANTA_BASE!A:R, 8, FALSE), "DOCENTE / FACILITADOR"))</f>
        <v/>
      </c>
      <c r="G133" s="7">
        <f>IF(B133="","",IFERROR(VLOOKUP(B133, PLANTA_BASE!A:R, 9, FALSE), "GENERAL"))</f>
        <v/>
      </c>
      <c r="H133" s="5">
        <f>IF(B133="","",IFERROR(VLOOKUP(B133, PLANTA_BASE!A:R, 17, FALSE), "GENERAL"))</f>
        <v/>
      </c>
    </row>
    <row r="134" ht="20" customHeight="1">
      <c r="A134" s="2">
        <f>IF(B134="","",IFERROR(VLOOKUP(B134, PLANTA_BASE!A:R, 2, FALSE), "NO ENCONTRADO EN PLANTA"))</f>
        <v/>
      </c>
      <c r="B134" s="3" t="inlineStr">
        <is>
          <t>1032385583</t>
        </is>
      </c>
      <c r="C134" s="4" t="inlineStr">
        <is>
          <t>CUERVO BERNAL JOHANNA CAROLINA</t>
        </is>
      </c>
      <c r="D134" s="2">
        <f>IF(B134="","",IFERROR(VLOOKUP(B134, PLANTA_BASE!A:R, 5, FALSE), "NO ENCONTRADO EN PLANTA"))</f>
        <v/>
      </c>
      <c r="E134" s="2">
        <f>IF(B134="","",IFERROR(VLOOKUP(B134, PLANTA_BASE!A:R, 6, FALSE), "NO ENCONTRADO EN PLANTA"))</f>
        <v/>
      </c>
      <c r="F134" s="4">
        <f>IF(B134="","",IFERROR(VLOOKUP(B134, PLANTA_BASE!A:R, 8, FALSE), "DOCENTE / FACILITADOR"))</f>
        <v/>
      </c>
      <c r="G134" s="4">
        <f>IF(B134="","",IFERROR(VLOOKUP(B134, PLANTA_BASE!A:R, 9, FALSE), "GENERAL"))</f>
        <v/>
      </c>
      <c r="H134" s="2">
        <f>IF(B134="","",IFERROR(VLOOKUP(B134, PLANTA_BASE!A:R, 17, FALSE), "GENERAL"))</f>
        <v/>
      </c>
    </row>
    <row r="135" ht="20" customHeight="1">
      <c r="A135" s="5">
        <f>IF(B135="","",IFERROR(VLOOKUP(B135, PLANTA_BASE!A:R, 2, FALSE), "NO ENCONTRADO EN PLANTA"))</f>
        <v/>
      </c>
      <c r="B135" s="6" t="inlineStr">
        <is>
          <t>1022360816</t>
        </is>
      </c>
      <c r="C135" s="7" t="inlineStr">
        <is>
          <t>HIGUERA SANCHEZ JESSICA PAOLA</t>
        </is>
      </c>
      <c r="D135" s="5">
        <f>IF(B135="","",IFERROR(VLOOKUP(B135, PLANTA_BASE!A:R, 5, FALSE), "NO ENCONTRADO EN PLANTA"))</f>
        <v/>
      </c>
      <c r="E135" s="5">
        <f>IF(B135="","",IFERROR(VLOOKUP(B135, PLANTA_BASE!A:R, 6, FALSE), "NO ENCONTRADO EN PLANTA"))</f>
        <v/>
      </c>
      <c r="F135" s="7">
        <f>IF(B135="","",IFERROR(VLOOKUP(B135, PLANTA_BASE!A:R, 8, FALSE), "DOCENTE / FACILITADOR"))</f>
        <v/>
      </c>
      <c r="G135" s="7">
        <f>IF(B135="","",IFERROR(VLOOKUP(B135, PLANTA_BASE!A:R, 9, FALSE), "GENERAL"))</f>
        <v/>
      </c>
      <c r="H135" s="5">
        <f>IF(B135="","",IFERROR(VLOOKUP(B135, PLANTA_BASE!A:R, 17, FALSE), "GENERAL"))</f>
        <v/>
      </c>
    </row>
    <row r="136" ht="20" customHeight="1">
      <c r="A136" s="2">
        <f>IF(B136="","",IFERROR(VLOOKUP(B136, PLANTA_BASE!A:R, 2, FALSE), "NO ENCONTRADO EN PLANTA"))</f>
        <v/>
      </c>
      <c r="B136" s="3" t="inlineStr">
        <is>
          <t>79460238</t>
        </is>
      </c>
      <c r="C136" s="4" t="inlineStr">
        <is>
          <t>CHAPARRO MEDINA JORGE E</t>
        </is>
      </c>
      <c r="D136" s="2">
        <f>IF(B136="","",IFERROR(VLOOKUP(B136, PLANTA_BASE!A:R, 5, FALSE), "NO ENCONTRADO EN PLANTA"))</f>
        <v/>
      </c>
      <c r="E136" s="2">
        <f>IF(B136="","",IFERROR(VLOOKUP(B136, PLANTA_BASE!A:R, 6, FALSE), "NO ENCONTRADO EN PLANTA"))</f>
        <v/>
      </c>
      <c r="F136" s="4">
        <f>IF(B136="","",IFERROR(VLOOKUP(B136, PLANTA_BASE!A:R, 8, FALSE), "DOCENTE / FACILITADOR"))</f>
        <v/>
      </c>
      <c r="G136" s="4">
        <f>IF(B136="","",IFERROR(VLOOKUP(B136, PLANTA_BASE!A:R, 9, FALSE), "GENERAL"))</f>
        <v/>
      </c>
      <c r="H136" s="2">
        <f>IF(B136="","",IFERROR(VLOOKUP(B136, PLANTA_BASE!A:R, 17, FALSE), "GENERAL"))</f>
        <v/>
      </c>
    </row>
    <row r="137" ht="20" customHeight="1">
      <c r="A137" s="5">
        <f>IF(B137="","",IFERROR(VLOOKUP(B137, PLANTA_BASE!A:R, 2, FALSE), "NO ENCONTRADO EN PLANTA"))</f>
        <v/>
      </c>
      <c r="B137" s="6" t="inlineStr">
        <is>
          <t>80170838</t>
        </is>
      </c>
      <c r="C137" s="7" t="inlineStr">
        <is>
          <t>SEGURA GIL FELIX EDUARDO</t>
        </is>
      </c>
      <c r="D137" s="5">
        <f>IF(B137="","",IFERROR(VLOOKUP(B137, PLANTA_BASE!A:R, 5, FALSE), "NO ENCONTRADO EN PLANTA"))</f>
        <v/>
      </c>
      <c r="E137" s="5">
        <f>IF(B137="","",IFERROR(VLOOKUP(B137, PLANTA_BASE!A:R, 6, FALSE), "NO ENCONTRADO EN PLANTA"))</f>
        <v/>
      </c>
      <c r="F137" s="7">
        <f>IF(B137="","",IFERROR(VLOOKUP(B137, PLANTA_BASE!A:R, 8, FALSE), "DOCENTE / FACILITADOR"))</f>
        <v/>
      </c>
      <c r="G137" s="7">
        <f>IF(B137="","",IFERROR(VLOOKUP(B137, PLANTA_BASE!A:R, 9, FALSE), "GENERAL"))</f>
        <v/>
      </c>
      <c r="H137" s="5">
        <f>IF(B137="","",IFERROR(VLOOKUP(B137, PLANTA_BASE!A:R, 17, FALSE), "GENERAL"))</f>
        <v/>
      </c>
    </row>
    <row r="138" ht="20" customHeight="1">
      <c r="A138" s="2">
        <f>IF(B138="","",IFERROR(VLOOKUP(B138, PLANTA_BASE!A:R, 2, FALSE), "NO ENCONTRADO EN PLANTA"))</f>
        <v/>
      </c>
      <c r="B138" s="3" t="inlineStr">
        <is>
          <t>79731123</t>
        </is>
      </c>
      <c r="C138" s="4" t="inlineStr">
        <is>
          <t>CASTELLANOS NANEZ OSCAR MAURICIO</t>
        </is>
      </c>
      <c r="D138" s="2">
        <f>IF(B138="","",IFERROR(VLOOKUP(B138, PLANTA_BASE!A:R, 5, FALSE), "NO ENCONTRADO EN PLANTA"))</f>
        <v/>
      </c>
      <c r="E138" s="2">
        <f>IF(B138="","",IFERROR(VLOOKUP(B138, PLANTA_BASE!A:R, 6, FALSE), "NO ENCONTRADO EN PLANTA"))</f>
        <v/>
      </c>
      <c r="F138" s="4">
        <f>IF(B138="","",IFERROR(VLOOKUP(B138, PLANTA_BASE!A:R, 8, FALSE), "DOCENTE / FACILITADOR"))</f>
        <v/>
      </c>
      <c r="G138" s="4">
        <f>IF(B138="","",IFERROR(VLOOKUP(B138, PLANTA_BASE!A:R, 9, FALSE), "GENERAL"))</f>
        <v/>
      </c>
      <c r="H138" s="2">
        <f>IF(B138="","",IFERROR(VLOOKUP(B138, PLANTA_BASE!A:R, 17, FALSE), "GENERAL"))</f>
        <v/>
      </c>
    </row>
    <row r="139" ht="20" customHeight="1">
      <c r="A139" s="5">
        <f>IF(B139="","",IFERROR(VLOOKUP(B139, PLANTA_BASE!A:R, 2, FALSE), "NO ENCONTRADO EN PLANTA"))</f>
        <v/>
      </c>
      <c r="B139" s="6" t="inlineStr">
        <is>
          <t>1071987725</t>
        </is>
      </c>
      <c r="C139" s="7" t="inlineStr">
        <is>
          <t>JUDITH SANCHEZ ADRIANA</t>
        </is>
      </c>
      <c r="D139" s="5">
        <f>IF(B139="","",IFERROR(VLOOKUP(B139, PLANTA_BASE!A:R, 5, FALSE), "NO ENCONTRADO EN PLANTA"))</f>
        <v/>
      </c>
      <c r="E139" s="5">
        <f>IF(B139="","",IFERROR(VLOOKUP(B139, PLANTA_BASE!A:R, 6, FALSE), "NO ENCONTRADO EN PLANTA"))</f>
        <v/>
      </c>
      <c r="F139" s="7">
        <f>IF(B139="","",IFERROR(VLOOKUP(B139, PLANTA_BASE!A:R, 8, FALSE), "DOCENTE / FACILITADOR"))</f>
        <v/>
      </c>
      <c r="G139" s="7">
        <f>IF(B139="","",IFERROR(VLOOKUP(B139, PLANTA_BASE!A:R, 9, FALSE), "GENERAL"))</f>
        <v/>
      </c>
      <c r="H139" s="5">
        <f>IF(B139="","",IFERROR(VLOOKUP(B139, PLANTA_BASE!A:R, 17, FALSE), "GENERAL"))</f>
        <v/>
      </c>
    </row>
    <row r="140" ht="20" customHeight="1">
      <c r="A140" s="2">
        <f>IF(B140="","",IFERROR(VLOOKUP(B140, PLANTA_BASE!A:R, 2, FALSE), "NO ENCONTRADO EN PLANTA"))</f>
        <v/>
      </c>
      <c r="B140" s="3" t="inlineStr">
        <is>
          <t>79962408</t>
        </is>
      </c>
      <c r="C140" s="4" t="inlineStr">
        <is>
          <t>RODRIGUEZ ROJAS MANUEL ALEJANDRO</t>
        </is>
      </c>
      <c r="D140" s="2">
        <f>IF(B140="","",IFERROR(VLOOKUP(B140, PLANTA_BASE!A:R, 5, FALSE), "NO ENCONTRADO EN PLANTA"))</f>
        <v/>
      </c>
      <c r="E140" s="2">
        <f>IF(B140="","",IFERROR(VLOOKUP(B140, PLANTA_BASE!A:R, 6, FALSE), "NO ENCONTRADO EN PLANTA"))</f>
        <v/>
      </c>
      <c r="F140" s="4">
        <f>IF(B140="","",IFERROR(VLOOKUP(B140, PLANTA_BASE!A:R, 8, FALSE), "DOCENTE / FACILITADOR"))</f>
        <v/>
      </c>
      <c r="G140" s="4">
        <f>IF(B140="","",IFERROR(VLOOKUP(B140, PLANTA_BASE!A:R, 9, FALSE), "GENERAL"))</f>
        <v/>
      </c>
      <c r="H140" s="2">
        <f>IF(B140="","",IFERROR(VLOOKUP(B140, PLANTA_BASE!A:R, 17, FALSE), "GENERAL"))</f>
        <v/>
      </c>
    </row>
    <row r="141" ht="20" customHeight="1">
      <c r="A141" s="5">
        <f>IF(B141="","",IFERROR(VLOOKUP(B141, PLANTA_BASE!A:R, 2, FALSE), "NO ENCONTRADO EN PLANTA"))</f>
        <v/>
      </c>
      <c r="B141" s="6" t="inlineStr">
        <is>
          <t>1012363348</t>
        </is>
      </c>
      <c r="C141" s="7" t="inlineStr">
        <is>
          <t>TIQUE CATANO ERIKA GINEY</t>
        </is>
      </c>
      <c r="D141" s="5">
        <f>IF(B141="","",IFERROR(VLOOKUP(B141, PLANTA_BASE!A:R, 5, FALSE), "NO ENCONTRADO EN PLANTA"))</f>
        <v/>
      </c>
      <c r="E141" s="5">
        <f>IF(B141="","",IFERROR(VLOOKUP(B141, PLANTA_BASE!A:R, 6, FALSE), "NO ENCONTRADO EN PLANTA"))</f>
        <v/>
      </c>
      <c r="F141" s="7">
        <f>IF(B141="","",IFERROR(VLOOKUP(B141, PLANTA_BASE!A:R, 8, FALSE), "DOCENTE / FACILITADOR"))</f>
        <v/>
      </c>
      <c r="G141" s="7">
        <f>IF(B141="","",IFERROR(VLOOKUP(B141, PLANTA_BASE!A:R, 9, FALSE), "GENERAL"))</f>
        <v/>
      </c>
      <c r="H141" s="5">
        <f>IF(B141="","",IFERROR(VLOOKUP(B141, PLANTA_BASE!A:R, 17, FALSE), "GENERAL"))</f>
        <v/>
      </c>
    </row>
    <row r="142" ht="20" customHeight="1">
      <c r="A142" s="2">
        <f>IF(B142="","",IFERROR(VLOOKUP(B142, PLANTA_BASE!A:R, 2, FALSE), "NO ENCONTRADO EN PLANTA"))</f>
        <v/>
      </c>
      <c r="B142" s="3" t="inlineStr">
        <is>
          <t>1000939795</t>
        </is>
      </c>
      <c r="C142" s="4" t="inlineStr">
        <is>
          <t>NINO CASALLAS LUZ ANGELA</t>
        </is>
      </c>
      <c r="D142" s="2">
        <f>IF(B142="","",IFERROR(VLOOKUP(B142, PLANTA_BASE!A:R, 5, FALSE), "NO ENCONTRADO EN PLANTA"))</f>
        <v/>
      </c>
      <c r="E142" s="2">
        <f>IF(B142="","",IFERROR(VLOOKUP(B142, PLANTA_BASE!A:R, 6, FALSE), "NO ENCONTRADO EN PLANTA"))</f>
        <v/>
      </c>
      <c r="F142" s="4">
        <f>IF(B142="","",IFERROR(VLOOKUP(B142, PLANTA_BASE!A:R, 8, FALSE), "DOCENTE / FACILITADOR"))</f>
        <v/>
      </c>
      <c r="G142" s="4">
        <f>IF(B142="","",IFERROR(VLOOKUP(B142, PLANTA_BASE!A:R, 9, FALSE), "GENERAL"))</f>
        <v/>
      </c>
      <c r="H142" s="2">
        <f>IF(B142="","",IFERROR(VLOOKUP(B142, PLANTA_BASE!A:R, 17, FALSE), "GENERAL"))</f>
        <v/>
      </c>
    </row>
    <row r="143" ht="20" customHeight="1">
      <c r="A143" s="5">
        <f>IF(B143="","",IFERROR(VLOOKUP(B143, PLANTA_BASE!A:R, 2, FALSE), "NO ENCONTRADO EN PLANTA"))</f>
        <v/>
      </c>
      <c r="B143" s="6" t="inlineStr">
        <is>
          <t>1110498938</t>
        </is>
      </c>
      <c r="C143" s="7" t="inlineStr">
        <is>
          <t>GOMEZ GAMEZ CHARLINE GUISELY</t>
        </is>
      </c>
      <c r="D143" s="5">
        <f>IF(B143="","",IFERROR(VLOOKUP(B143, PLANTA_BASE!A:R, 5, FALSE), "NO ENCONTRADO EN PLANTA"))</f>
        <v/>
      </c>
      <c r="E143" s="5">
        <f>IF(B143="","",IFERROR(VLOOKUP(B143, PLANTA_BASE!A:R, 6, FALSE), "NO ENCONTRADO EN PLANTA"))</f>
        <v/>
      </c>
      <c r="F143" s="7">
        <f>IF(B143="","",IFERROR(VLOOKUP(B143, PLANTA_BASE!A:R, 8, FALSE), "DOCENTE / FACILITADOR"))</f>
        <v/>
      </c>
      <c r="G143" s="7">
        <f>IF(B143="","",IFERROR(VLOOKUP(B143, PLANTA_BASE!A:R, 9, FALSE), "GENERAL"))</f>
        <v/>
      </c>
      <c r="H143" s="5">
        <f>IF(B143="","",IFERROR(VLOOKUP(B143, PLANTA_BASE!A:R, 17, FALSE), "GENERAL"))</f>
        <v/>
      </c>
    </row>
    <row r="144" ht="20" customHeight="1">
      <c r="A144" s="2">
        <f>IF(B144="","",IFERROR(VLOOKUP(B144, PLANTA_BASE!A:R, 2, FALSE), "NO ENCONTRADO EN PLANTA"))</f>
        <v/>
      </c>
      <c r="B144" s="3" t="inlineStr">
        <is>
          <t>1018430455</t>
        </is>
      </c>
      <c r="C144" s="4" t="inlineStr">
        <is>
          <t>BUENDIA FRANCISCO JAVIER</t>
        </is>
      </c>
      <c r="D144" s="2">
        <f>IF(B144="","",IFERROR(VLOOKUP(B144, PLANTA_BASE!A:R, 5, FALSE), "NO ENCONTRADO EN PLANTA"))</f>
        <v/>
      </c>
      <c r="E144" s="2">
        <f>IF(B144="","",IFERROR(VLOOKUP(B144, PLANTA_BASE!A:R, 6, FALSE), "NO ENCONTRADO EN PLANTA"))</f>
        <v/>
      </c>
      <c r="F144" s="4">
        <f>IF(B144="","",IFERROR(VLOOKUP(B144, PLANTA_BASE!A:R, 8, FALSE), "DOCENTE / FACILITADOR"))</f>
        <v/>
      </c>
      <c r="G144" s="4">
        <f>IF(B144="","",IFERROR(VLOOKUP(B144, PLANTA_BASE!A:R, 9, FALSE), "GENERAL"))</f>
        <v/>
      </c>
      <c r="H144" s="2">
        <f>IF(B144="","",IFERROR(VLOOKUP(B144, PLANTA_BASE!A:R, 17, FALSE), "GENERAL"))</f>
        <v/>
      </c>
    </row>
    <row r="145" ht="20" customHeight="1">
      <c r="A145" s="5">
        <f>IF(B145="","",IFERROR(VLOOKUP(B145, PLANTA_BASE!A:R, 2, FALSE), "NO ENCONTRADO EN PLANTA"))</f>
        <v/>
      </c>
      <c r="B145" s="6" t="inlineStr">
        <is>
          <t>1022332404</t>
        </is>
      </c>
      <c r="C145" s="7" t="inlineStr">
        <is>
          <t>GONZALEZ ANDREA</t>
        </is>
      </c>
      <c r="D145" s="5">
        <f>IF(B145="","",IFERROR(VLOOKUP(B145, PLANTA_BASE!A:R, 5, FALSE), "NO ENCONTRADO EN PLANTA"))</f>
        <v/>
      </c>
      <c r="E145" s="5">
        <f>IF(B145="","",IFERROR(VLOOKUP(B145, PLANTA_BASE!A:R, 6, FALSE), "NO ENCONTRADO EN PLANTA"))</f>
        <v/>
      </c>
      <c r="F145" s="7">
        <f>IF(B145="","",IFERROR(VLOOKUP(B145, PLANTA_BASE!A:R, 8, FALSE), "DOCENTE / FACILITADOR"))</f>
        <v/>
      </c>
      <c r="G145" s="7">
        <f>IF(B145="","",IFERROR(VLOOKUP(B145, PLANTA_BASE!A:R, 9, FALSE), "GENERAL"))</f>
        <v/>
      </c>
      <c r="H145" s="5">
        <f>IF(B145="","",IFERROR(VLOOKUP(B145, PLANTA_BASE!A:R, 17, FALSE), "GENERAL"))</f>
        <v/>
      </c>
    </row>
    <row r="146" ht="20" customHeight="1">
      <c r="A146" s="2">
        <f>IF(B146="","",IFERROR(VLOOKUP(B146, PLANTA_BASE!A:R, 2, FALSE), "NO ENCONTRADO EN PLANTA"))</f>
        <v/>
      </c>
      <c r="B146" s="3" t="inlineStr">
        <is>
          <t>1023908278</t>
        </is>
      </c>
      <c r="C146" s="4" t="inlineStr">
        <is>
          <t>AREVALO LARA LAURA NATALI</t>
        </is>
      </c>
      <c r="D146" s="2">
        <f>IF(B146="","",IFERROR(VLOOKUP(B146, PLANTA_BASE!A:R, 5, FALSE), "NO ENCONTRADO EN PLANTA"))</f>
        <v/>
      </c>
      <c r="E146" s="2">
        <f>IF(B146="","",IFERROR(VLOOKUP(B146, PLANTA_BASE!A:R, 6, FALSE), "NO ENCONTRADO EN PLANTA"))</f>
        <v/>
      </c>
      <c r="F146" s="4">
        <f>IF(B146="","",IFERROR(VLOOKUP(B146, PLANTA_BASE!A:R, 8, FALSE), "DOCENTE / FACILITADOR"))</f>
        <v/>
      </c>
      <c r="G146" s="4">
        <f>IF(B146="","",IFERROR(VLOOKUP(B146, PLANTA_BASE!A:R, 9, FALSE), "GENERAL"))</f>
        <v/>
      </c>
      <c r="H146" s="2">
        <f>IF(B146="","",IFERROR(VLOOKUP(B146, PLANTA_BASE!A:R, 17, FALSE), "GENERAL"))</f>
        <v/>
      </c>
    </row>
    <row r="147" ht="20" customHeight="1">
      <c r="A147" s="5">
        <f>IF(B147="","",IFERROR(VLOOKUP(B147, PLANTA_BASE!A:R, 2, FALSE), "NO ENCONTRADO EN PLANTA"))</f>
        <v/>
      </c>
      <c r="B147" s="6" t="inlineStr">
        <is>
          <t>1032404011</t>
        </is>
      </c>
      <c r="C147" s="7" t="inlineStr">
        <is>
          <t>PEDRAZA ZIPA LINA ANDREA</t>
        </is>
      </c>
      <c r="D147" s="5">
        <f>IF(B147="","",IFERROR(VLOOKUP(B147, PLANTA_BASE!A:R, 5, FALSE), "NO ENCONTRADO EN PLANTA"))</f>
        <v/>
      </c>
      <c r="E147" s="5">
        <f>IF(B147="","",IFERROR(VLOOKUP(B147, PLANTA_BASE!A:R, 6, FALSE), "NO ENCONTRADO EN PLANTA"))</f>
        <v/>
      </c>
      <c r="F147" s="7">
        <f>IF(B147="","",IFERROR(VLOOKUP(B147, PLANTA_BASE!A:R, 8, FALSE), "DOCENTE / FACILITADOR"))</f>
        <v/>
      </c>
      <c r="G147" s="7">
        <f>IF(B147="","",IFERROR(VLOOKUP(B147, PLANTA_BASE!A:R, 9, FALSE), "GENERAL"))</f>
        <v/>
      </c>
      <c r="H147" s="5">
        <f>IF(B147="","",IFERROR(VLOOKUP(B147, PLANTA_BASE!A:R, 17, FALSE), "GENERAL"))</f>
        <v/>
      </c>
    </row>
    <row r="148" ht="20" customHeight="1">
      <c r="A148" s="2">
        <f>IF(B148="","",IFERROR(VLOOKUP(B148, PLANTA_BASE!A:R, 2, FALSE), "NO ENCONTRADO EN PLANTA"))</f>
        <v/>
      </c>
      <c r="B148" s="3" t="inlineStr">
        <is>
          <t>52524226</t>
        </is>
      </c>
      <c r="C148" s="4" t="inlineStr">
        <is>
          <t>FERNANDEZ ECHEVERRI MAGDA PAOLA</t>
        </is>
      </c>
      <c r="D148" s="2">
        <f>IF(B148="","",IFERROR(VLOOKUP(B148, PLANTA_BASE!A:R, 5, FALSE), "NO ENCONTRADO EN PLANTA"))</f>
        <v/>
      </c>
      <c r="E148" s="2">
        <f>IF(B148="","",IFERROR(VLOOKUP(B148, PLANTA_BASE!A:R, 6, FALSE), "NO ENCONTRADO EN PLANTA"))</f>
        <v/>
      </c>
      <c r="F148" s="4">
        <f>IF(B148="","",IFERROR(VLOOKUP(B148, PLANTA_BASE!A:R, 8, FALSE), "DOCENTE / FACILITADOR"))</f>
        <v/>
      </c>
      <c r="G148" s="4">
        <f>IF(B148="","",IFERROR(VLOOKUP(B148, PLANTA_BASE!A:R, 9, FALSE), "GENERAL"))</f>
        <v/>
      </c>
      <c r="H148" s="2">
        <f>IF(B148="","",IFERROR(VLOOKUP(B148, PLANTA_BASE!A:R, 17, FALSE), "GENERAL"))</f>
        <v/>
      </c>
    </row>
    <row r="149" ht="20" customHeight="1">
      <c r="A149" s="5">
        <f>IF(B149="","",IFERROR(VLOOKUP(B149, PLANTA_BASE!A:R, 2, FALSE), "NO ENCONTRADO EN PLANTA"))</f>
        <v/>
      </c>
      <c r="B149" s="6" t="inlineStr">
        <is>
          <t>1022387200</t>
        </is>
      </c>
      <c r="C149" s="7" t="inlineStr">
        <is>
          <t>PARDO MUNOZ INGRID SHIRLEY</t>
        </is>
      </c>
      <c r="D149" s="5">
        <f>IF(B149="","",IFERROR(VLOOKUP(B149, PLANTA_BASE!A:R, 5, FALSE), "NO ENCONTRADO EN PLANTA"))</f>
        <v/>
      </c>
      <c r="E149" s="5">
        <f>IF(B149="","",IFERROR(VLOOKUP(B149, PLANTA_BASE!A:R, 6, FALSE), "NO ENCONTRADO EN PLANTA"))</f>
        <v/>
      </c>
      <c r="F149" s="7">
        <f>IF(B149="","",IFERROR(VLOOKUP(B149, PLANTA_BASE!A:R, 8, FALSE), "DOCENTE / FACILITADOR"))</f>
        <v/>
      </c>
      <c r="G149" s="7">
        <f>IF(B149="","",IFERROR(VLOOKUP(B149, PLANTA_BASE!A:R, 9, FALSE), "GENERAL"))</f>
        <v/>
      </c>
      <c r="H149" s="5">
        <f>IF(B149="","",IFERROR(VLOOKUP(B149, PLANTA_BASE!A:R, 17, FALSE), "GENERAL"))</f>
        <v/>
      </c>
    </row>
    <row r="150" ht="20" customHeight="1">
      <c r="A150" s="2">
        <f>IF(B150="","",IFERROR(VLOOKUP(B150, PLANTA_BASE!A:R, 2, FALSE), "NO ENCONTRADO EN PLANTA"))</f>
        <v/>
      </c>
      <c r="B150" s="3" t="inlineStr">
        <is>
          <t>52276496</t>
        </is>
      </c>
      <c r="C150" s="4" t="inlineStr">
        <is>
          <t>IBAGON ROJAS LILIANA</t>
        </is>
      </c>
      <c r="D150" s="2">
        <f>IF(B150="","",IFERROR(VLOOKUP(B150, PLANTA_BASE!A:R, 5, FALSE), "NO ENCONTRADO EN PLANTA"))</f>
        <v/>
      </c>
      <c r="E150" s="2">
        <f>IF(B150="","",IFERROR(VLOOKUP(B150, PLANTA_BASE!A:R, 6, FALSE), "NO ENCONTRADO EN PLANTA"))</f>
        <v/>
      </c>
      <c r="F150" s="4">
        <f>IF(B150="","",IFERROR(VLOOKUP(B150, PLANTA_BASE!A:R, 8, FALSE), "DOCENTE / FACILITADOR"))</f>
        <v/>
      </c>
      <c r="G150" s="4">
        <f>IF(B150="","",IFERROR(VLOOKUP(B150, PLANTA_BASE!A:R, 9, FALSE), "GENERAL"))</f>
        <v/>
      </c>
      <c r="H150" s="2">
        <f>IF(B150="","",IFERROR(VLOOKUP(B150, PLANTA_BASE!A:R, 17, FALSE), "GENERAL"))</f>
        <v/>
      </c>
    </row>
    <row r="151" ht="20" customHeight="1">
      <c r="A151" s="5">
        <f>IF(B151="","",IFERROR(VLOOKUP(B151, PLANTA_BASE!A:R, 2, FALSE), "NO ENCONTRADO EN PLANTA"))</f>
        <v/>
      </c>
      <c r="B151" s="6" t="inlineStr">
        <is>
          <t>1233901588</t>
        </is>
      </c>
      <c r="C151" s="7" t="inlineStr">
        <is>
          <t>MINU CARLOS</t>
        </is>
      </c>
      <c r="D151" s="5">
        <f>IF(B151="","",IFERROR(VLOOKUP(B151, PLANTA_BASE!A:R, 5, FALSE), "NO ENCONTRADO EN PLANTA"))</f>
        <v/>
      </c>
      <c r="E151" s="5">
        <f>IF(B151="","",IFERROR(VLOOKUP(B151, PLANTA_BASE!A:R, 6, FALSE), "NO ENCONTRADO EN PLANTA"))</f>
        <v/>
      </c>
      <c r="F151" s="7">
        <f>IF(B151="","",IFERROR(VLOOKUP(B151, PLANTA_BASE!A:R, 8, FALSE), "DOCENTE / FACILITADOR"))</f>
        <v/>
      </c>
      <c r="G151" s="7">
        <f>IF(B151="","",IFERROR(VLOOKUP(B151, PLANTA_BASE!A:R, 9, FALSE), "GENERAL"))</f>
        <v/>
      </c>
      <c r="H151" s="5">
        <f>IF(B151="","",IFERROR(VLOOKUP(B151, PLANTA_BASE!A:R, 17, FALSE), "GENERAL"))</f>
        <v/>
      </c>
    </row>
    <row r="152" ht="20" customHeight="1">
      <c r="A152" s="2">
        <f>IF(B152="","",IFERROR(VLOOKUP(B152, PLANTA_BASE!A:R, 2, FALSE), "NO ENCONTRADO EN PLANTA"))</f>
        <v/>
      </c>
      <c r="B152" s="3" t="inlineStr">
        <is>
          <t>80047265</t>
        </is>
      </c>
      <c r="C152" s="4" t="inlineStr">
        <is>
          <t>CAMACHO RUIZ LEONARDO</t>
        </is>
      </c>
      <c r="D152" s="2">
        <f>IF(B152="","",IFERROR(VLOOKUP(B152, PLANTA_BASE!A:R, 5, FALSE), "NO ENCONTRADO EN PLANTA"))</f>
        <v/>
      </c>
      <c r="E152" s="2">
        <f>IF(B152="","",IFERROR(VLOOKUP(B152, PLANTA_BASE!A:R, 6, FALSE), "NO ENCONTRADO EN PLANTA"))</f>
        <v/>
      </c>
      <c r="F152" s="4">
        <f>IF(B152="","",IFERROR(VLOOKUP(B152, PLANTA_BASE!A:R, 8, FALSE), "DOCENTE / FACILITADOR"))</f>
        <v/>
      </c>
      <c r="G152" s="4">
        <f>IF(B152="","",IFERROR(VLOOKUP(B152, PLANTA_BASE!A:R, 9, FALSE), "GENERAL"))</f>
        <v/>
      </c>
      <c r="H152" s="2">
        <f>IF(B152="","",IFERROR(VLOOKUP(B152, PLANTA_BASE!A:R, 17, FALSE), "GENERAL"))</f>
        <v/>
      </c>
    </row>
    <row r="153" ht="20" customHeight="1">
      <c r="A153" s="5">
        <f>IF(B153="","",IFERROR(VLOOKUP(B153, PLANTA_BASE!A:R, 2, FALSE), "NO ENCONTRADO EN PLANTA"))</f>
        <v/>
      </c>
      <c r="B153" s="6" t="inlineStr">
        <is>
          <t>80034626</t>
        </is>
      </c>
      <c r="C153" s="7" t="inlineStr">
        <is>
          <t>BERNAL GONZALEZ FREDDY ALEJANDRO</t>
        </is>
      </c>
      <c r="D153" s="5">
        <f>IF(B153="","",IFERROR(VLOOKUP(B153, PLANTA_BASE!A:R, 5, FALSE), "NO ENCONTRADO EN PLANTA"))</f>
        <v/>
      </c>
      <c r="E153" s="5">
        <f>IF(B153="","",IFERROR(VLOOKUP(B153, PLANTA_BASE!A:R, 6, FALSE), "NO ENCONTRADO EN PLANTA"))</f>
        <v/>
      </c>
      <c r="F153" s="7">
        <f>IF(B153="","",IFERROR(VLOOKUP(B153, PLANTA_BASE!A:R, 8, FALSE), "DOCENTE / FACILITADOR"))</f>
        <v/>
      </c>
      <c r="G153" s="7">
        <f>IF(B153="","",IFERROR(VLOOKUP(B153, PLANTA_BASE!A:R, 9, FALSE), "GENERAL"))</f>
        <v/>
      </c>
      <c r="H153" s="5">
        <f>IF(B153="","",IFERROR(VLOOKUP(B153, PLANTA_BASE!A:R, 17, FALSE), "GENERAL"))</f>
        <v/>
      </c>
    </row>
    <row r="154" ht="20" customHeight="1">
      <c r="A154" s="2">
        <f>IF(B154="","",IFERROR(VLOOKUP(B154, PLANTA_BASE!A:R, 2, FALSE), "NO ENCONTRADO EN PLANTA"))</f>
        <v/>
      </c>
      <c r="B154" s="3" t="inlineStr">
        <is>
          <t>52761309</t>
        </is>
      </c>
      <c r="C154" s="4" t="inlineStr">
        <is>
          <t>CARRANZA ANGIE</t>
        </is>
      </c>
      <c r="D154" s="2">
        <f>IF(B154="","",IFERROR(VLOOKUP(B154, PLANTA_BASE!A:R, 5, FALSE), "NO ENCONTRADO EN PLANTA"))</f>
        <v/>
      </c>
      <c r="E154" s="2">
        <f>IF(B154="","",IFERROR(VLOOKUP(B154, PLANTA_BASE!A:R, 6, FALSE), "NO ENCONTRADO EN PLANTA"))</f>
        <v/>
      </c>
      <c r="F154" s="4">
        <f>IF(B154="","",IFERROR(VLOOKUP(B154, PLANTA_BASE!A:R, 8, FALSE), "DOCENTE / FACILITADOR"))</f>
        <v/>
      </c>
      <c r="G154" s="4">
        <f>IF(B154="","",IFERROR(VLOOKUP(B154, PLANTA_BASE!A:R, 9, FALSE), "GENERAL"))</f>
        <v/>
      </c>
      <c r="H154" s="2">
        <f>IF(B154="","",IFERROR(VLOOKUP(B154, PLANTA_BASE!A:R, 17, FALSE), "GENERAL"))</f>
        <v/>
      </c>
    </row>
    <row r="155" ht="20" customHeight="1">
      <c r="A155" s="5">
        <f>IF(B155="","",IFERROR(VLOOKUP(B155, PLANTA_BASE!A:R, 2, FALSE), "NO ENCONTRADO EN PLANTA"))</f>
        <v/>
      </c>
      <c r="B155" s="6" t="inlineStr">
        <is>
          <t>11321690</t>
        </is>
      </c>
      <c r="C155" s="7" t="inlineStr">
        <is>
          <t>FUERTES NIETO HERNANDO</t>
        </is>
      </c>
      <c r="D155" s="5">
        <f>IF(B155="","",IFERROR(VLOOKUP(B155, PLANTA_BASE!A:R, 5, FALSE), "NO ENCONTRADO EN PLANTA"))</f>
        <v/>
      </c>
      <c r="E155" s="5">
        <f>IF(B155="","",IFERROR(VLOOKUP(B155, PLANTA_BASE!A:R, 6, FALSE), "NO ENCONTRADO EN PLANTA"))</f>
        <v/>
      </c>
      <c r="F155" s="7">
        <f>IF(B155="","",IFERROR(VLOOKUP(B155, PLANTA_BASE!A:R, 8, FALSE), "DOCENTE / FACILITADOR"))</f>
        <v/>
      </c>
      <c r="G155" s="7">
        <f>IF(B155="","",IFERROR(VLOOKUP(B155, PLANTA_BASE!A:R, 9, FALSE), "GENERAL"))</f>
        <v/>
      </c>
      <c r="H155" s="5">
        <f>IF(B155="","",IFERROR(VLOOKUP(B155, PLANTA_BASE!A:R, 17, FALSE), "GENERAL"))</f>
        <v/>
      </c>
    </row>
    <row r="156" ht="20" customHeight="1">
      <c r="A156" s="2">
        <f>IF(B156="","",IFERROR(VLOOKUP(B156, PLANTA_BASE!A:R, 2, FALSE), "NO ENCONTRADO EN PLANTA"))</f>
        <v/>
      </c>
      <c r="B156" s="3" t="inlineStr">
        <is>
          <t>1030539124</t>
        </is>
      </c>
      <c r="C156" s="4" t="inlineStr">
        <is>
          <t>HUERTAS LADY</t>
        </is>
      </c>
      <c r="D156" s="2">
        <f>IF(B156="","",IFERROR(VLOOKUP(B156, PLANTA_BASE!A:R, 5, FALSE), "NO ENCONTRADO EN PLANTA"))</f>
        <v/>
      </c>
      <c r="E156" s="2">
        <f>IF(B156="","",IFERROR(VLOOKUP(B156, PLANTA_BASE!A:R, 6, FALSE), "NO ENCONTRADO EN PLANTA"))</f>
        <v/>
      </c>
      <c r="F156" s="4">
        <f>IF(B156="","",IFERROR(VLOOKUP(B156, PLANTA_BASE!A:R, 8, FALSE), "DOCENTE / FACILITADOR"))</f>
        <v/>
      </c>
      <c r="G156" s="4">
        <f>IF(B156="","",IFERROR(VLOOKUP(B156, PLANTA_BASE!A:R, 9, FALSE), "GENERAL"))</f>
        <v/>
      </c>
      <c r="H156" s="2">
        <f>IF(B156="","",IFERROR(VLOOKUP(B156, PLANTA_BASE!A:R, 17, FALSE), "GENERAL"))</f>
        <v/>
      </c>
    </row>
    <row r="157" ht="20" customHeight="1">
      <c r="A157" s="5">
        <f>IF(B157="","",IFERROR(VLOOKUP(B157, PLANTA_BASE!A:R, 2, FALSE), "NO ENCONTRADO EN PLANTA"))</f>
        <v/>
      </c>
      <c r="B157" s="6" t="inlineStr">
        <is>
          <t>1015433548</t>
        </is>
      </c>
      <c r="C157" s="7" t="inlineStr">
        <is>
          <t>CONTRERAS SUAREZ JUAN SEBASTIAN</t>
        </is>
      </c>
      <c r="D157" s="5">
        <f>IF(B157="","",IFERROR(VLOOKUP(B157, PLANTA_BASE!A:R, 5, FALSE), "NO ENCONTRADO EN PLANTA"))</f>
        <v/>
      </c>
      <c r="E157" s="5">
        <f>IF(B157="","",IFERROR(VLOOKUP(B157, PLANTA_BASE!A:R, 6, FALSE), "NO ENCONTRADO EN PLANTA"))</f>
        <v/>
      </c>
      <c r="F157" s="7">
        <f>IF(B157="","",IFERROR(VLOOKUP(B157, PLANTA_BASE!A:R, 8, FALSE), "DOCENTE / FACILITADOR"))</f>
        <v/>
      </c>
      <c r="G157" s="7">
        <f>IF(B157="","",IFERROR(VLOOKUP(B157, PLANTA_BASE!A:R, 9, FALSE), "GENERAL"))</f>
        <v/>
      </c>
      <c r="H157" s="5">
        <f>IF(B157="","",IFERROR(VLOOKUP(B157, PLANTA_BASE!A:R, 17, FALSE), "GENERAL"))</f>
        <v/>
      </c>
    </row>
    <row r="158" ht="20" customHeight="1">
      <c r="A158" s="2">
        <f>IF(B158="","",IFERROR(VLOOKUP(B158, PLANTA_BASE!A:R, 2, FALSE), "NO ENCONTRADO EN PLANTA"))</f>
        <v/>
      </c>
      <c r="B158" s="3" t="inlineStr">
        <is>
          <t>79884207</t>
        </is>
      </c>
      <c r="C158" s="4" t="inlineStr">
        <is>
          <t>BAEZ PALENCIA CARLOS MAURICIO</t>
        </is>
      </c>
      <c r="D158" s="2">
        <f>IF(B158="","",IFERROR(VLOOKUP(B158, PLANTA_BASE!A:R, 5, FALSE), "NO ENCONTRADO EN PLANTA"))</f>
        <v/>
      </c>
      <c r="E158" s="2">
        <f>IF(B158="","",IFERROR(VLOOKUP(B158, PLANTA_BASE!A:R, 6, FALSE), "NO ENCONTRADO EN PLANTA"))</f>
        <v/>
      </c>
      <c r="F158" s="4">
        <f>IF(B158="","",IFERROR(VLOOKUP(B158, PLANTA_BASE!A:R, 8, FALSE), "DOCENTE / FACILITADOR"))</f>
        <v/>
      </c>
      <c r="G158" s="4">
        <f>IF(B158="","",IFERROR(VLOOKUP(B158, PLANTA_BASE!A:R, 9, FALSE), "GENERAL"))</f>
        <v/>
      </c>
      <c r="H158" s="2">
        <f>IF(B158="","",IFERROR(VLOOKUP(B158, PLANTA_BASE!A:R, 17, FALSE), "GENERAL"))</f>
        <v/>
      </c>
    </row>
    <row r="159" ht="20" customHeight="1">
      <c r="A159" s="5">
        <f>IF(B159="","",IFERROR(VLOOKUP(B159, PLANTA_BASE!A:R, 2, FALSE), "NO ENCONTRADO EN PLANTA"))</f>
        <v/>
      </c>
      <c r="B159" s="6" t="inlineStr">
        <is>
          <t>52828470</t>
        </is>
      </c>
      <c r="C159" s="7" t="inlineStr">
        <is>
          <t>YAYA ZULMA</t>
        </is>
      </c>
      <c r="D159" s="5">
        <f>IF(B159="","",IFERROR(VLOOKUP(B159, PLANTA_BASE!A:R, 5, FALSE), "NO ENCONTRADO EN PLANTA"))</f>
        <v/>
      </c>
      <c r="E159" s="5">
        <f>IF(B159="","",IFERROR(VLOOKUP(B159, PLANTA_BASE!A:R, 6, FALSE), "NO ENCONTRADO EN PLANTA"))</f>
        <v/>
      </c>
      <c r="F159" s="7">
        <f>IF(B159="","",IFERROR(VLOOKUP(B159, PLANTA_BASE!A:R, 8, FALSE), "DOCENTE / FACILITADOR"))</f>
        <v/>
      </c>
      <c r="G159" s="7">
        <f>IF(B159="","",IFERROR(VLOOKUP(B159, PLANTA_BASE!A:R, 9, FALSE), "GENERAL"))</f>
        <v/>
      </c>
      <c r="H159" s="5">
        <f>IF(B159="","",IFERROR(VLOOKUP(B159, PLANTA_BASE!A:R, 17, FALSE), "GENERAL"))</f>
        <v/>
      </c>
    </row>
    <row r="160" ht="20" customHeight="1">
      <c r="A160" s="2">
        <f>IF(B160="","",IFERROR(VLOOKUP(B160, PLANTA_BASE!A:R, 2, FALSE), "NO ENCONTRADO EN PLANTA"))</f>
        <v/>
      </c>
      <c r="B160" s="3" t="inlineStr">
        <is>
          <t>80041636</t>
        </is>
      </c>
      <c r="C160" s="4" t="inlineStr">
        <is>
          <t>BONILLA GOMEZ MANUEL ALEJANDRO</t>
        </is>
      </c>
      <c r="D160" s="2">
        <f>IF(B160="","",IFERROR(VLOOKUP(B160, PLANTA_BASE!A:R, 5, FALSE), "NO ENCONTRADO EN PLANTA"))</f>
        <v/>
      </c>
      <c r="E160" s="2">
        <f>IF(B160="","",IFERROR(VLOOKUP(B160, PLANTA_BASE!A:R, 6, FALSE), "NO ENCONTRADO EN PLANTA"))</f>
        <v/>
      </c>
      <c r="F160" s="4">
        <f>IF(B160="","",IFERROR(VLOOKUP(B160, PLANTA_BASE!A:R, 8, FALSE), "DOCENTE / FACILITADOR"))</f>
        <v/>
      </c>
      <c r="G160" s="4">
        <f>IF(B160="","",IFERROR(VLOOKUP(B160, PLANTA_BASE!A:R, 9, FALSE), "GENERAL"))</f>
        <v/>
      </c>
      <c r="H160" s="2">
        <f>IF(B160="","",IFERROR(VLOOKUP(B160, PLANTA_BASE!A:R, 17, FALSE), "GENERAL"))</f>
        <v/>
      </c>
    </row>
    <row r="161" ht="20" customHeight="1">
      <c r="A161" s="5">
        <f>IF(B161="","",IFERROR(VLOOKUP(B161, PLANTA_BASE!A:R, 2, FALSE), "NO ENCONTRADO EN PLANTA"))</f>
        <v/>
      </c>
      <c r="B161" s="6" t="inlineStr">
        <is>
          <t>1032469434</t>
        </is>
      </c>
      <c r="C161" s="7" t="inlineStr">
        <is>
          <t>QUINTERO MORA IVAN ANDRES</t>
        </is>
      </c>
      <c r="D161" s="5">
        <f>IF(B161="","",IFERROR(VLOOKUP(B161, PLANTA_BASE!A:R, 5, FALSE), "NO ENCONTRADO EN PLANTA"))</f>
        <v/>
      </c>
      <c r="E161" s="5">
        <f>IF(B161="","",IFERROR(VLOOKUP(B161, PLANTA_BASE!A:R, 6, FALSE), "NO ENCONTRADO EN PLANTA"))</f>
        <v/>
      </c>
      <c r="F161" s="7">
        <f>IF(B161="","",IFERROR(VLOOKUP(B161, PLANTA_BASE!A:R, 8, FALSE), "DOCENTE / FACILITADOR"))</f>
        <v/>
      </c>
      <c r="G161" s="7">
        <f>IF(B161="","",IFERROR(VLOOKUP(B161, PLANTA_BASE!A:R, 9, FALSE), "GENERAL"))</f>
        <v/>
      </c>
      <c r="H161" s="5">
        <f>IF(B161="","",IFERROR(VLOOKUP(B161, PLANTA_BASE!A:R, 17, FALSE), "GENERAL"))</f>
        <v/>
      </c>
    </row>
    <row r="162" ht="20" customHeight="1">
      <c r="A162" s="2">
        <f>IF(B162="","",IFERROR(VLOOKUP(B162, PLANTA_BASE!A:R, 2, FALSE), "NO ENCONTRADO EN PLANTA"))</f>
        <v/>
      </c>
      <c r="B162" s="3" t="inlineStr">
        <is>
          <t>79948014</t>
        </is>
      </c>
      <c r="C162" s="4" t="inlineStr">
        <is>
          <t>CAMARGO ANDRES</t>
        </is>
      </c>
      <c r="D162" s="2">
        <f>IF(B162="","",IFERROR(VLOOKUP(B162, PLANTA_BASE!A:R, 5, FALSE), "NO ENCONTRADO EN PLANTA"))</f>
        <v/>
      </c>
      <c r="E162" s="2">
        <f>IF(B162="","",IFERROR(VLOOKUP(B162, PLANTA_BASE!A:R, 6, FALSE), "NO ENCONTRADO EN PLANTA"))</f>
        <v/>
      </c>
      <c r="F162" s="4">
        <f>IF(B162="","",IFERROR(VLOOKUP(B162, PLANTA_BASE!A:R, 8, FALSE), "DOCENTE / FACILITADOR"))</f>
        <v/>
      </c>
      <c r="G162" s="4">
        <f>IF(B162="","",IFERROR(VLOOKUP(B162, PLANTA_BASE!A:R, 9, FALSE), "GENERAL"))</f>
        <v/>
      </c>
      <c r="H162" s="2">
        <f>IF(B162="","",IFERROR(VLOOKUP(B162, PLANTA_BASE!A:R, 17, FALSE), "GENERAL"))</f>
        <v/>
      </c>
    </row>
    <row r="163" ht="20" customHeight="1">
      <c r="A163" s="5">
        <f>IF(B163="","",IFERROR(VLOOKUP(B163, PLANTA_BASE!A:R, 2, FALSE), "NO ENCONTRADO EN PLANTA"))</f>
        <v/>
      </c>
      <c r="B163" s="6" t="inlineStr">
        <is>
          <t>1018421944</t>
        </is>
      </c>
      <c r="C163" s="7" t="inlineStr">
        <is>
          <t>JACOME ALVARO</t>
        </is>
      </c>
      <c r="D163" s="5">
        <f>IF(B163="","",IFERROR(VLOOKUP(B163, PLANTA_BASE!A:R, 5, FALSE), "NO ENCONTRADO EN PLANTA"))</f>
        <v/>
      </c>
      <c r="E163" s="5">
        <f>IF(B163="","",IFERROR(VLOOKUP(B163, PLANTA_BASE!A:R, 6, FALSE), "NO ENCONTRADO EN PLANTA"))</f>
        <v/>
      </c>
      <c r="F163" s="7">
        <f>IF(B163="","",IFERROR(VLOOKUP(B163, PLANTA_BASE!A:R, 8, FALSE), "DOCENTE / FACILITADOR"))</f>
        <v/>
      </c>
      <c r="G163" s="7">
        <f>IF(B163="","",IFERROR(VLOOKUP(B163, PLANTA_BASE!A:R, 9, FALSE), "GENERAL"))</f>
        <v/>
      </c>
      <c r="H163" s="5">
        <f>IF(B163="","",IFERROR(VLOOKUP(B163, PLANTA_BASE!A:R, 17, FALSE), "GENERAL"))</f>
        <v/>
      </c>
    </row>
    <row r="164" ht="20" customHeight="1">
      <c r="A164" s="2">
        <f>IF(B164="","",IFERROR(VLOOKUP(B164, PLANTA_BASE!A:R, 2, FALSE), "NO ENCONTRADO EN PLANTA"))</f>
        <v/>
      </c>
      <c r="B164" s="3" t="inlineStr">
        <is>
          <t>52435589</t>
        </is>
      </c>
      <c r="C164" s="4" t="inlineStr">
        <is>
          <t>MORENO GARCIA SANDRA MILENA</t>
        </is>
      </c>
      <c r="D164" s="2">
        <f>IF(B164="","",IFERROR(VLOOKUP(B164, PLANTA_BASE!A:R, 5, FALSE), "NO ENCONTRADO EN PLANTA"))</f>
        <v/>
      </c>
      <c r="E164" s="2">
        <f>IF(B164="","",IFERROR(VLOOKUP(B164, PLANTA_BASE!A:R, 6, FALSE), "NO ENCONTRADO EN PLANTA"))</f>
        <v/>
      </c>
      <c r="F164" s="4">
        <f>IF(B164="","",IFERROR(VLOOKUP(B164, PLANTA_BASE!A:R, 8, FALSE), "DOCENTE / FACILITADOR"))</f>
        <v/>
      </c>
      <c r="G164" s="4">
        <f>IF(B164="","",IFERROR(VLOOKUP(B164, PLANTA_BASE!A:R, 9, FALSE), "GENERAL"))</f>
        <v/>
      </c>
      <c r="H164" s="2">
        <f>IF(B164="","",IFERROR(VLOOKUP(B164, PLANTA_BASE!A:R, 17, FALSE), "GENERAL"))</f>
        <v/>
      </c>
    </row>
    <row r="165" ht="20" customHeight="1">
      <c r="A165" s="5">
        <f>IF(B165="","",IFERROR(VLOOKUP(B165, PLANTA_BASE!A:R, 2, FALSE), "NO ENCONTRADO EN PLANTA"))</f>
        <v/>
      </c>
      <c r="B165" s="6" t="inlineStr">
        <is>
          <t>1193559475</t>
        </is>
      </c>
      <c r="C165" s="7" t="inlineStr">
        <is>
          <t>BERNAL JULIAN</t>
        </is>
      </c>
      <c r="D165" s="5">
        <f>IF(B165="","",IFERROR(VLOOKUP(B165, PLANTA_BASE!A:R, 5, FALSE), "NO ENCONTRADO EN PLANTA"))</f>
        <v/>
      </c>
      <c r="E165" s="5">
        <f>IF(B165="","",IFERROR(VLOOKUP(B165, PLANTA_BASE!A:R, 6, FALSE), "NO ENCONTRADO EN PLANTA"))</f>
        <v/>
      </c>
      <c r="F165" s="7">
        <f>IF(B165="","",IFERROR(VLOOKUP(B165, PLANTA_BASE!A:R, 8, FALSE), "DOCENTE / FACILITADOR"))</f>
        <v/>
      </c>
      <c r="G165" s="7">
        <f>IF(B165="","",IFERROR(VLOOKUP(B165, PLANTA_BASE!A:R, 9, FALSE), "GENERAL"))</f>
        <v/>
      </c>
      <c r="H165" s="5">
        <f>IF(B165="","",IFERROR(VLOOKUP(B165, PLANTA_BASE!A:R, 17, FALSE), "GENERAL"))</f>
        <v/>
      </c>
    </row>
    <row r="166" ht="20" customHeight="1">
      <c r="A166" s="2">
        <f>IF(B166="","",IFERROR(VLOOKUP(B166, PLANTA_BASE!A:R, 2, FALSE), "NO ENCONTRADO EN PLANTA"))</f>
        <v/>
      </c>
      <c r="B166" s="3" t="inlineStr">
        <is>
          <t>1032364466</t>
        </is>
      </c>
      <c r="C166" s="4" t="inlineStr">
        <is>
          <t>BARRERA ANGEL JUAN SEBASTIAN</t>
        </is>
      </c>
      <c r="D166" s="2">
        <f>IF(B166="","",IFERROR(VLOOKUP(B166, PLANTA_BASE!A:R, 5, FALSE), "NO ENCONTRADO EN PLANTA"))</f>
        <v/>
      </c>
      <c r="E166" s="2">
        <f>IF(B166="","",IFERROR(VLOOKUP(B166, PLANTA_BASE!A:R, 6, FALSE), "NO ENCONTRADO EN PLANTA"))</f>
        <v/>
      </c>
      <c r="F166" s="4">
        <f>IF(B166="","",IFERROR(VLOOKUP(B166, PLANTA_BASE!A:R, 8, FALSE), "DOCENTE / FACILITADOR"))</f>
        <v/>
      </c>
      <c r="G166" s="4">
        <f>IF(B166="","",IFERROR(VLOOKUP(B166, PLANTA_BASE!A:R, 9, FALSE), "GENERAL"))</f>
        <v/>
      </c>
      <c r="H166" s="2">
        <f>IF(B166="","",IFERROR(VLOOKUP(B166, PLANTA_BASE!A:R, 17, FALSE), "GENERAL"))</f>
        <v/>
      </c>
    </row>
    <row r="167" ht="20" customHeight="1">
      <c r="A167" s="5">
        <f>IF(B167="","",IFERROR(VLOOKUP(B167, PLANTA_BASE!A:R, 2, FALSE), "NO ENCONTRADO EN PLANTA"))</f>
        <v/>
      </c>
      <c r="B167" s="6" t="inlineStr">
        <is>
          <t>1072714323</t>
        </is>
      </c>
      <c r="C167" s="7" t="inlineStr">
        <is>
          <t>ESGUERRA BUITRAGO DIEGO ALEJANDRO</t>
        </is>
      </c>
      <c r="D167" s="5">
        <f>IF(B167="","",IFERROR(VLOOKUP(B167, PLANTA_BASE!A:R, 5, FALSE), "NO ENCONTRADO EN PLANTA"))</f>
        <v/>
      </c>
      <c r="E167" s="5">
        <f>IF(B167="","",IFERROR(VLOOKUP(B167, PLANTA_BASE!A:R, 6, FALSE), "NO ENCONTRADO EN PLANTA"))</f>
        <v/>
      </c>
      <c r="F167" s="7">
        <f>IF(B167="","",IFERROR(VLOOKUP(B167, PLANTA_BASE!A:R, 8, FALSE), "DOCENTE / FACILITADOR"))</f>
        <v/>
      </c>
      <c r="G167" s="7">
        <f>IF(B167="","",IFERROR(VLOOKUP(B167, PLANTA_BASE!A:R, 9, FALSE), "GENERAL"))</f>
        <v/>
      </c>
      <c r="H167" s="5">
        <f>IF(B167="","",IFERROR(VLOOKUP(B167, PLANTA_BASE!A:R, 17, FALSE), "GENERAL"))</f>
        <v/>
      </c>
    </row>
    <row r="168" ht="20" customHeight="1">
      <c r="A168" s="2">
        <f>IF(B168="","",IFERROR(VLOOKUP(B168, PLANTA_BASE!A:R, 2, FALSE), "NO ENCONTRADO EN PLANTA"))</f>
        <v/>
      </c>
      <c r="B168" s="3" t="inlineStr">
        <is>
          <t>4377227</t>
        </is>
      </c>
      <c r="C168" s="4" t="inlineStr">
        <is>
          <t>CASTRO JARAMILLO FRANCISCO ALEJANDRO</t>
        </is>
      </c>
      <c r="D168" s="2">
        <f>IF(B168="","",IFERROR(VLOOKUP(B168, PLANTA_BASE!A:R, 5, FALSE), "NO ENCONTRADO EN PLANTA"))</f>
        <v/>
      </c>
      <c r="E168" s="2">
        <f>IF(B168="","",IFERROR(VLOOKUP(B168, PLANTA_BASE!A:R, 6, FALSE), "NO ENCONTRADO EN PLANTA"))</f>
        <v/>
      </c>
      <c r="F168" s="4">
        <f>IF(B168="","",IFERROR(VLOOKUP(B168, PLANTA_BASE!A:R, 8, FALSE), "DOCENTE / FACILITADOR"))</f>
        <v/>
      </c>
      <c r="G168" s="4">
        <f>IF(B168="","",IFERROR(VLOOKUP(B168, PLANTA_BASE!A:R, 9, FALSE), "GENERAL"))</f>
        <v/>
      </c>
      <c r="H168" s="2">
        <f>IF(B168="","",IFERROR(VLOOKUP(B168, PLANTA_BASE!A:R, 17, FALSE), "GENERAL"))</f>
        <v/>
      </c>
    </row>
    <row r="169" ht="20" customHeight="1">
      <c r="A169" s="5">
        <f>IF(B169="","",IFERROR(VLOOKUP(B169, PLANTA_BASE!A:R, 2, FALSE), "NO ENCONTRADO EN PLANTA"))</f>
        <v/>
      </c>
      <c r="B169" s="6" t="inlineStr">
        <is>
          <t>88031423</t>
        </is>
      </c>
      <c r="C169" s="7" t="inlineStr">
        <is>
          <t>TARAZONA BLANCO ELKIN MAURICIO</t>
        </is>
      </c>
      <c r="D169" s="5">
        <f>IF(B169="","",IFERROR(VLOOKUP(B169, PLANTA_BASE!A:R, 5, FALSE), "NO ENCONTRADO EN PLANTA"))</f>
        <v/>
      </c>
      <c r="E169" s="5">
        <f>IF(B169="","",IFERROR(VLOOKUP(B169, PLANTA_BASE!A:R, 6, FALSE), "NO ENCONTRADO EN PLANTA"))</f>
        <v/>
      </c>
      <c r="F169" s="7">
        <f>IF(B169="","",IFERROR(VLOOKUP(B169, PLANTA_BASE!A:R, 8, FALSE), "DOCENTE / FACILITADOR"))</f>
        <v/>
      </c>
      <c r="G169" s="7">
        <f>IF(B169="","",IFERROR(VLOOKUP(B169, PLANTA_BASE!A:R, 9, FALSE), "GENERAL"))</f>
        <v/>
      </c>
      <c r="H169" s="5">
        <f>IF(B169="","",IFERROR(VLOOKUP(B169, PLANTA_BASE!A:R, 17, FALSE), "GENERAL"))</f>
        <v/>
      </c>
    </row>
    <row r="170" ht="20" customHeight="1">
      <c r="A170" s="2">
        <f>IF(B170="","",IFERROR(VLOOKUP(B170, PLANTA_BASE!A:R, 2, FALSE), "NO ENCONTRADO EN PLANTA"))</f>
        <v/>
      </c>
      <c r="B170" s="3" t="inlineStr">
        <is>
          <t>1005106691</t>
        </is>
      </c>
      <c r="C170" s="4" t="inlineStr">
        <is>
          <t>MENA LOBO ANA MARIA</t>
        </is>
      </c>
      <c r="D170" s="2">
        <f>IF(B170="","",IFERROR(VLOOKUP(B170, PLANTA_BASE!A:R, 5, FALSE), "NO ENCONTRADO EN PLANTA"))</f>
        <v/>
      </c>
      <c r="E170" s="2">
        <f>IF(B170="","",IFERROR(VLOOKUP(B170, PLANTA_BASE!A:R, 6, FALSE), "NO ENCONTRADO EN PLANTA"))</f>
        <v/>
      </c>
      <c r="F170" s="4">
        <f>IF(B170="","",IFERROR(VLOOKUP(B170, PLANTA_BASE!A:R, 8, FALSE), "DOCENTE / FACILITADOR"))</f>
        <v/>
      </c>
      <c r="G170" s="4">
        <f>IF(B170="","",IFERROR(VLOOKUP(B170, PLANTA_BASE!A:R, 9, FALSE), "GENERAL"))</f>
        <v/>
      </c>
      <c r="H170" s="2">
        <f>IF(B170="","",IFERROR(VLOOKUP(B170, PLANTA_BASE!A:R, 17, FALSE), "GENERAL"))</f>
        <v/>
      </c>
    </row>
    <row r="171" ht="20" customHeight="1">
      <c r="A171" s="5">
        <f>IF(B171="","",IFERROR(VLOOKUP(B171, PLANTA_BASE!A:R, 2, FALSE), "NO ENCONTRADO EN PLANTA"))</f>
        <v/>
      </c>
      <c r="B171" s="6" t="inlineStr">
        <is>
          <t>52372495</t>
        </is>
      </c>
      <c r="C171" s="7" t="inlineStr">
        <is>
          <t>CASALLAS ROJAS LEILA RUTH</t>
        </is>
      </c>
      <c r="D171" s="5">
        <f>IF(B171="","",IFERROR(VLOOKUP(B171, PLANTA_BASE!A:R, 5, FALSE), "NO ENCONTRADO EN PLANTA"))</f>
        <v/>
      </c>
      <c r="E171" s="5">
        <f>IF(B171="","",IFERROR(VLOOKUP(B171, PLANTA_BASE!A:R, 6, FALSE), "NO ENCONTRADO EN PLANTA"))</f>
        <v/>
      </c>
      <c r="F171" s="7">
        <f>IF(B171="","",IFERROR(VLOOKUP(B171, PLANTA_BASE!A:R, 8, FALSE), "DOCENTE / FACILITADOR"))</f>
        <v/>
      </c>
      <c r="G171" s="7">
        <f>IF(B171="","",IFERROR(VLOOKUP(B171, PLANTA_BASE!A:R, 9, FALSE), "GENERAL"))</f>
        <v/>
      </c>
      <c r="H171" s="5">
        <f>IF(B171="","",IFERROR(VLOOKUP(B171, PLANTA_BASE!A:R, 17, FALSE), "GENERAL"))</f>
        <v/>
      </c>
    </row>
    <row r="172" ht="20" customHeight="1">
      <c r="A172" s="2">
        <f>IF(B172="","",IFERROR(VLOOKUP(B172, PLANTA_BASE!A:R, 2, FALSE), "NO ENCONTRADO EN PLANTA"))</f>
        <v/>
      </c>
      <c r="B172" s="3" t="inlineStr">
        <is>
          <t>79793636</t>
        </is>
      </c>
      <c r="C172" s="4" t="inlineStr">
        <is>
          <t>CHABUR ORLANDO</t>
        </is>
      </c>
      <c r="D172" s="2">
        <f>IF(B172="","",IFERROR(VLOOKUP(B172, PLANTA_BASE!A:R, 5, FALSE), "NO ENCONTRADO EN PLANTA"))</f>
        <v/>
      </c>
      <c r="E172" s="2">
        <f>IF(B172="","",IFERROR(VLOOKUP(B172, PLANTA_BASE!A:R, 6, FALSE), "NO ENCONTRADO EN PLANTA"))</f>
        <v/>
      </c>
      <c r="F172" s="4">
        <f>IF(B172="","",IFERROR(VLOOKUP(B172, PLANTA_BASE!A:R, 8, FALSE), "DOCENTE / FACILITADOR"))</f>
        <v/>
      </c>
      <c r="G172" s="4">
        <f>IF(B172="","",IFERROR(VLOOKUP(B172, PLANTA_BASE!A:R, 9, FALSE), "GENERAL"))</f>
        <v/>
      </c>
      <c r="H172" s="2">
        <f>IF(B172="","",IFERROR(VLOOKUP(B172, PLANTA_BASE!A:R, 17, FALSE), "GENERAL"))</f>
        <v/>
      </c>
    </row>
    <row r="173" ht="20" customHeight="1">
      <c r="A173" s="5">
        <f>IF(B173="","",IFERROR(VLOOKUP(B173, PLANTA_BASE!A:R, 2, FALSE), "NO ENCONTRADO EN PLANTA"))</f>
        <v/>
      </c>
      <c r="B173" s="6" t="inlineStr">
        <is>
          <t>1023890926</t>
        </is>
      </c>
      <c r="C173" s="7" t="inlineStr">
        <is>
          <t>RAMOS BOHORQUEZ MAURICIO ENRIQUE</t>
        </is>
      </c>
      <c r="D173" s="5">
        <f>IF(B173="","",IFERROR(VLOOKUP(B173, PLANTA_BASE!A:R, 5, FALSE), "NO ENCONTRADO EN PLANTA"))</f>
        <v/>
      </c>
      <c r="E173" s="5">
        <f>IF(B173="","",IFERROR(VLOOKUP(B173, PLANTA_BASE!A:R, 6, FALSE), "NO ENCONTRADO EN PLANTA"))</f>
        <v/>
      </c>
      <c r="F173" s="7">
        <f>IF(B173="","",IFERROR(VLOOKUP(B173, PLANTA_BASE!A:R, 8, FALSE), "DOCENTE / FACILITADOR"))</f>
        <v/>
      </c>
      <c r="G173" s="7">
        <f>IF(B173="","",IFERROR(VLOOKUP(B173, PLANTA_BASE!A:R, 9, FALSE), "GENERAL"))</f>
        <v/>
      </c>
      <c r="H173" s="5">
        <f>IF(B173="","",IFERROR(VLOOKUP(B173, PLANTA_BASE!A:R, 17, FALSE), "GENERAL"))</f>
        <v/>
      </c>
    </row>
    <row r="174" ht="20" customHeight="1">
      <c r="A174" s="2">
        <f>IF(B174="","",IFERROR(VLOOKUP(B174, PLANTA_BASE!A:R, 2, FALSE), "NO ENCONTRADO EN PLANTA"))</f>
        <v/>
      </c>
      <c r="B174" s="3" t="inlineStr">
        <is>
          <t>1018458766</t>
        </is>
      </c>
      <c r="C174" s="4" t="inlineStr">
        <is>
          <t>GONZALEZ  MENJURA CAROL NATALY</t>
        </is>
      </c>
      <c r="D174" s="2">
        <f>IF(B174="","",IFERROR(VLOOKUP(B174, PLANTA_BASE!A:R, 5, FALSE), "NO ENCONTRADO EN PLANTA"))</f>
        <v/>
      </c>
      <c r="E174" s="2">
        <f>IF(B174="","",IFERROR(VLOOKUP(B174, PLANTA_BASE!A:R, 6, FALSE), "NO ENCONTRADO EN PLANTA"))</f>
        <v/>
      </c>
      <c r="F174" s="4">
        <f>IF(B174="","",IFERROR(VLOOKUP(B174, PLANTA_BASE!A:R, 8, FALSE), "DOCENTE / FACILITADOR"))</f>
        <v/>
      </c>
      <c r="G174" s="4">
        <f>IF(B174="","",IFERROR(VLOOKUP(B174, PLANTA_BASE!A:R, 9, FALSE), "GENERAL"))</f>
        <v/>
      </c>
      <c r="H174" s="2">
        <f>IF(B174="","",IFERROR(VLOOKUP(B174, PLANTA_BASE!A:R, 17, FALSE), "GENERAL"))</f>
        <v/>
      </c>
    </row>
    <row r="175" ht="20" customHeight="1">
      <c r="A175" s="5">
        <f>IF(B175="","",IFERROR(VLOOKUP(B175, PLANTA_BASE!A:R, 2, FALSE), "NO ENCONTRADO EN PLANTA"))</f>
        <v/>
      </c>
      <c r="B175" s="6" t="inlineStr">
        <is>
          <t>1093749509</t>
        </is>
      </c>
      <c r="C175" s="7" t="inlineStr">
        <is>
          <t>SANABRIA ALARCON RUTH KATHERINE</t>
        </is>
      </c>
      <c r="D175" s="5">
        <f>IF(B175="","",IFERROR(VLOOKUP(B175, PLANTA_BASE!A:R, 5, FALSE), "NO ENCONTRADO EN PLANTA"))</f>
        <v/>
      </c>
      <c r="E175" s="5">
        <f>IF(B175="","",IFERROR(VLOOKUP(B175, PLANTA_BASE!A:R, 6, FALSE), "NO ENCONTRADO EN PLANTA"))</f>
        <v/>
      </c>
      <c r="F175" s="7">
        <f>IF(B175="","",IFERROR(VLOOKUP(B175, PLANTA_BASE!A:R, 8, FALSE), "DOCENTE / FACILITADOR"))</f>
        <v/>
      </c>
      <c r="G175" s="7">
        <f>IF(B175="","",IFERROR(VLOOKUP(B175, PLANTA_BASE!A:R, 9, FALSE), "GENERAL"))</f>
        <v/>
      </c>
      <c r="H175" s="5">
        <f>IF(B175="","",IFERROR(VLOOKUP(B175, PLANTA_BASE!A:R, 17, FALSE), "GENERAL"))</f>
        <v/>
      </c>
    </row>
    <row r="176" ht="20" customHeight="1">
      <c r="A176" s="2">
        <f>IF(B176="","",IFERROR(VLOOKUP(B176, PLANTA_BASE!A:R, 2, FALSE), "NO ENCONTRADO EN PLANTA"))</f>
        <v/>
      </c>
      <c r="B176" s="3" t="inlineStr">
        <is>
          <t>79713987</t>
        </is>
      </c>
      <c r="C176" s="4" t="inlineStr">
        <is>
          <t>CASAS CASTRO PEDRO PABLO</t>
        </is>
      </c>
      <c r="D176" s="2">
        <f>IF(B176="","",IFERROR(VLOOKUP(B176, PLANTA_BASE!A:R, 5, FALSE), "NO ENCONTRADO EN PLANTA"))</f>
        <v/>
      </c>
      <c r="E176" s="2">
        <f>IF(B176="","",IFERROR(VLOOKUP(B176, PLANTA_BASE!A:R, 6, FALSE), "NO ENCONTRADO EN PLANTA"))</f>
        <v/>
      </c>
      <c r="F176" s="4">
        <f>IF(B176="","",IFERROR(VLOOKUP(B176, PLANTA_BASE!A:R, 8, FALSE), "DOCENTE / FACILITADOR"))</f>
        <v/>
      </c>
      <c r="G176" s="4">
        <f>IF(B176="","",IFERROR(VLOOKUP(B176, PLANTA_BASE!A:R, 9, FALSE), "GENERAL"))</f>
        <v/>
      </c>
      <c r="H176" s="2">
        <f>IF(B176="","",IFERROR(VLOOKUP(B176, PLANTA_BASE!A:R, 17, FALSE), "GENERAL"))</f>
        <v/>
      </c>
    </row>
    <row r="177" ht="20" customHeight="1">
      <c r="A177" s="5">
        <f>IF(B177="","",IFERROR(VLOOKUP(B177, PLANTA_BASE!A:R, 2, FALSE), "NO ENCONTRADO EN PLANTA"))</f>
        <v/>
      </c>
      <c r="B177" s="6" t="inlineStr">
        <is>
          <t>80274104</t>
        </is>
      </c>
      <c r="C177" s="7" t="inlineStr">
        <is>
          <t>LOPEZ FERNANDEZ JUAN FRANCISCO</t>
        </is>
      </c>
      <c r="D177" s="5">
        <f>IF(B177="","",IFERROR(VLOOKUP(B177, PLANTA_BASE!A:R, 5, FALSE), "NO ENCONTRADO EN PLANTA"))</f>
        <v/>
      </c>
      <c r="E177" s="5">
        <f>IF(B177="","",IFERROR(VLOOKUP(B177, PLANTA_BASE!A:R, 6, FALSE), "NO ENCONTRADO EN PLANTA"))</f>
        <v/>
      </c>
      <c r="F177" s="7">
        <f>IF(B177="","",IFERROR(VLOOKUP(B177, PLANTA_BASE!A:R, 8, FALSE), "DOCENTE / FACILITADOR"))</f>
        <v/>
      </c>
      <c r="G177" s="7">
        <f>IF(B177="","",IFERROR(VLOOKUP(B177, PLANTA_BASE!A:R, 9, FALSE), "GENERAL"))</f>
        <v/>
      </c>
      <c r="H177" s="5">
        <f>IF(B177="","",IFERROR(VLOOKUP(B177, PLANTA_BASE!A:R, 17, FALSE), "GENERAL"))</f>
        <v/>
      </c>
    </row>
    <row r="178" ht="20" customHeight="1">
      <c r="A178" s="2">
        <f>IF(B178="","",IFERROR(VLOOKUP(B178, PLANTA_BASE!A:R, 2, FALSE), "NO ENCONTRADO EN PLANTA"))</f>
        <v/>
      </c>
      <c r="B178" s="3" t="inlineStr">
        <is>
          <t>1014262560</t>
        </is>
      </c>
      <c r="C178" s="4" t="inlineStr">
        <is>
          <t>CARDENAS BARRERA SERGIO NICOLAS</t>
        </is>
      </c>
      <c r="D178" s="2">
        <f>IF(B178="","",IFERROR(VLOOKUP(B178, PLANTA_BASE!A:R, 5, FALSE), "NO ENCONTRADO EN PLANTA"))</f>
        <v/>
      </c>
      <c r="E178" s="2">
        <f>IF(B178="","",IFERROR(VLOOKUP(B178, PLANTA_BASE!A:R, 6, FALSE), "NO ENCONTRADO EN PLANTA"))</f>
        <v/>
      </c>
      <c r="F178" s="4">
        <f>IF(B178="","",IFERROR(VLOOKUP(B178, PLANTA_BASE!A:R, 8, FALSE), "DOCENTE / FACILITADOR"))</f>
        <v/>
      </c>
      <c r="G178" s="4">
        <f>IF(B178="","",IFERROR(VLOOKUP(B178, PLANTA_BASE!A:R, 9, FALSE), "GENERAL"))</f>
        <v/>
      </c>
      <c r="H178" s="2">
        <f>IF(B178="","",IFERROR(VLOOKUP(B178, PLANTA_BASE!A:R, 17, FALSE), "GENERAL"))</f>
        <v/>
      </c>
    </row>
    <row r="179" ht="20" customHeight="1">
      <c r="A179" s="5">
        <f>IF(B179="","",IFERROR(VLOOKUP(B179, PLANTA_BASE!A:R, 2, FALSE), "NO ENCONTRADO EN PLANTA"))</f>
        <v/>
      </c>
      <c r="B179" s="6" t="inlineStr">
        <is>
          <t>1031156129</t>
        </is>
      </c>
      <c r="C179" s="7" t="inlineStr">
        <is>
          <t>BECERRA JULIAN CAMILO</t>
        </is>
      </c>
      <c r="D179" s="5">
        <f>IF(B179="","",IFERROR(VLOOKUP(B179, PLANTA_BASE!A:R, 5, FALSE), "NO ENCONTRADO EN PLANTA"))</f>
        <v/>
      </c>
      <c r="E179" s="5">
        <f>IF(B179="","",IFERROR(VLOOKUP(B179, PLANTA_BASE!A:R, 6, FALSE), "NO ENCONTRADO EN PLANTA"))</f>
        <v/>
      </c>
      <c r="F179" s="7">
        <f>IF(B179="","",IFERROR(VLOOKUP(B179, PLANTA_BASE!A:R, 8, FALSE), "DOCENTE / FACILITADOR"))</f>
        <v/>
      </c>
      <c r="G179" s="7">
        <f>IF(B179="","",IFERROR(VLOOKUP(B179, PLANTA_BASE!A:R, 9, FALSE), "GENERAL"))</f>
        <v/>
      </c>
      <c r="H179" s="5">
        <f>IF(B179="","",IFERROR(VLOOKUP(B179, PLANTA_BASE!A:R, 17, FALSE), "GENERAL"))</f>
        <v/>
      </c>
    </row>
    <row r="180" ht="20" customHeight="1">
      <c r="A180" s="2">
        <f>IF(B180="","",IFERROR(VLOOKUP(B180, PLANTA_BASE!A:R, 2, FALSE), "NO ENCONTRADO EN PLANTA"))</f>
        <v/>
      </c>
      <c r="B180" s="3" t="inlineStr">
        <is>
          <t>1033779677</t>
        </is>
      </c>
      <c r="C180" s="4" t="inlineStr">
        <is>
          <t>CARDENAS JEAN CARLO</t>
        </is>
      </c>
      <c r="D180" s="2">
        <f>IF(B180="","",IFERROR(VLOOKUP(B180, PLANTA_BASE!A:R, 5, FALSE), "NO ENCONTRADO EN PLANTA"))</f>
        <v/>
      </c>
      <c r="E180" s="2">
        <f>IF(B180="","",IFERROR(VLOOKUP(B180, PLANTA_BASE!A:R, 6, FALSE), "NO ENCONTRADO EN PLANTA"))</f>
        <v/>
      </c>
      <c r="F180" s="4">
        <f>IF(B180="","",IFERROR(VLOOKUP(B180, PLANTA_BASE!A:R, 8, FALSE), "DOCENTE / FACILITADOR"))</f>
        <v/>
      </c>
      <c r="G180" s="4">
        <f>IF(B180="","",IFERROR(VLOOKUP(B180, PLANTA_BASE!A:R, 9, FALSE), "GENERAL"))</f>
        <v/>
      </c>
      <c r="H180" s="2">
        <f>IF(B180="","",IFERROR(VLOOKUP(B180, PLANTA_BASE!A:R, 17, FALSE), "GENERAL"))</f>
        <v/>
      </c>
    </row>
    <row r="181" ht="20" customHeight="1">
      <c r="A181" s="5">
        <f>IF(B181="","",IFERROR(VLOOKUP(B181, PLANTA_BASE!A:R, 2, FALSE), "NO ENCONTRADO EN PLANTA"))</f>
        <v/>
      </c>
      <c r="B181" s="6" t="inlineStr">
        <is>
          <t>1014292801</t>
        </is>
      </c>
      <c r="C181" s="7" t="inlineStr">
        <is>
          <t>CARDENAS OSCAR</t>
        </is>
      </c>
      <c r="D181" s="5">
        <f>IF(B181="","",IFERROR(VLOOKUP(B181, PLANTA_BASE!A:R, 5, FALSE), "NO ENCONTRADO EN PLANTA"))</f>
        <v/>
      </c>
      <c r="E181" s="5">
        <f>IF(B181="","",IFERROR(VLOOKUP(B181, PLANTA_BASE!A:R, 6, FALSE), "NO ENCONTRADO EN PLANTA"))</f>
        <v/>
      </c>
      <c r="F181" s="7">
        <f>IF(B181="","",IFERROR(VLOOKUP(B181, PLANTA_BASE!A:R, 8, FALSE), "DOCENTE / FACILITADOR"))</f>
        <v/>
      </c>
      <c r="G181" s="7">
        <f>IF(B181="","",IFERROR(VLOOKUP(B181, PLANTA_BASE!A:R, 9, FALSE), "GENERAL"))</f>
        <v/>
      </c>
      <c r="H181" s="5">
        <f>IF(B181="","",IFERROR(VLOOKUP(B181, PLANTA_BASE!A:R, 17, FALSE), "GENERAL"))</f>
        <v/>
      </c>
    </row>
    <row r="182" ht="20" customHeight="1">
      <c r="A182" s="2">
        <f>IF(B182="","",IFERROR(VLOOKUP(B182, PLANTA_BASE!A:R, 2, FALSE), "NO ENCONTRADO EN PLANTA"))</f>
        <v/>
      </c>
      <c r="B182" s="3" t="inlineStr">
        <is>
          <t>1023024759</t>
        </is>
      </c>
      <c r="C182" s="4" t="inlineStr">
        <is>
          <t>MARTINEZ GONZALEZ BEBSY DANIELA</t>
        </is>
      </c>
      <c r="D182" s="2">
        <f>IF(B182="","",IFERROR(VLOOKUP(B182, PLANTA_BASE!A:R, 5, FALSE), "NO ENCONTRADO EN PLANTA"))</f>
        <v/>
      </c>
      <c r="E182" s="2">
        <f>IF(B182="","",IFERROR(VLOOKUP(B182, PLANTA_BASE!A:R, 6, FALSE), "NO ENCONTRADO EN PLANTA"))</f>
        <v/>
      </c>
      <c r="F182" s="4">
        <f>IF(B182="","",IFERROR(VLOOKUP(B182, PLANTA_BASE!A:R, 8, FALSE), "DOCENTE / FACILITADOR"))</f>
        <v/>
      </c>
      <c r="G182" s="4">
        <f>IF(B182="","",IFERROR(VLOOKUP(B182, PLANTA_BASE!A:R, 9, FALSE), "GENERAL"))</f>
        <v/>
      </c>
      <c r="H182" s="2">
        <f>IF(B182="","",IFERROR(VLOOKUP(B182, PLANTA_BASE!A:R, 17, FALSE), "GENERAL"))</f>
        <v/>
      </c>
    </row>
    <row r="183" ht="20" customHeight="1">
      <c r="A183" s="5">
        <f>IF(B183="","",IFERROR(VLOOKUP(B183, PLANTA_BASE!A:R, 2, FALSE), "NO ENCONTRADO EN PLANTA"))</f>
        <v/>
      </c>
      <c r="B183" s="6" t="inlineStr">
        <is>
          <t>79876950</t>
        </is>
      </c>
      <c r="C183" s="7" t="inlineStr">
        <is>
          <t>MURILLO DAZA DANILO</t>
        </is>
      </c>
      <c r="D183" s="5">
        <f>IF(B183="","",IFERROR(VLOOKUP(B183, PLANTA_BASE!A:R, 5, FALSE), "NO ENCONTRADO EN PLANTA"))</f>
        <v/>
      </c>
      <c r="E183" s="5">
        <f>IF(B183="","",IFERROR(VLOOKUP(B183, PLANTA_BASE!A:R, 6, FALSE), "NO ENCONTRADO EN PLANTA"))</f>
        <v/>
      </c>
      <c r="F183" s="7">
        <f>IF(B183="","",IFERROR(VLOOKUP(B183, PLANTA_BASE!A:R, 8, FALSE), "DOCENTE / FACILITADOR"))</f>
        <v/>
      </c>
      <c r="G183" s="7">
        <f>IF(B183="","",IFERROR(VLOOKUP(B183, PLANTA_BASE!A:R, 9, FALSE), "GENERAL"))</f>
        <v/>
      </c>
      <c r="H183" s="5">
        <f>IF(B183="","",IFERROR(VLOOKUP(B183, PLANTA_BASE!A:R, 17, FALSE), "GENERAL"))</f>
        <v/>
      </c>
    </row>
    <row r="184" ht="20" customHeight="1">
      <c r="A184" s="2">
        <f>IF(B184="","",IFERROR(VLOOKUP(B184, PLANTA_BASE!A:R, 2, FALSE), "NO ENCONTRADO EN PLANTA"))</f>
        <v/>
      </c>
      <c r="B184" s="3" t="inlineStr">
        <is>
          <t>74084459</t>
        </is>
      </c>
      <c r="C184" s="4" t="inlineStr">
        <is>
          <t>BARRERA JUAN FERNANDO</t>
        </is>
      </c>
      <c r="D184" s="2">
        <f>IF(B184="","",IFERROR(VLOOKUP(B184, PLANTA_BASE!A:R, 5, FALSE), "NO ENCONTRADO EN PLANTA"))</f>
        <v/>
      </c>
      <c r="E184" s="2">
        <f>IF(B184="","",IFERROR(VLOOKUP(B184, PLANTA_BASE!A:R, 6, FALSE), "NO ENCONTRADO EN PLANTA"))</f>
        <v/>
      </c>
      <c r="F184" s="4">
        <f>IF(B184="","",IFERROR(VLOOKUP(B184, PLANTA_BASE!A:R, 8, FALSE), "DOCENTE / FACILITADOR"))</f>
        <v/>
      </c>
      <c r="G184" s="4">
        <f>IF(B184="","",IFERROR(VLOOKUP(B184, PLANTA_BASE!A:R, 9, FALSE), "GENERAL"))</f>
        <v/>
      </c>
      <c r="H184" s="2">
        <f>IF(B184="","",IFERROR(VLOOKUP(B184, PLANTA_BASE!A:R, 17, FALSE), "GENERAL"))</f>
        <v/>
      </c>
    </row>
    <row r="185" ht="20" customHeight="1">
      <c r="A185" s="5">
        <f>IF(B185="","",IFERROR(VLOOKUP(B185, PLANTA_BASE!A:R, 2, FALSE), "NO ENCONTRADO EN PLANTA"))</f>
        <v/>
      </c>
      <c r="B185" s="6" t="inlineStr">
        <is>
          <t>79732034</t>
        </is>
      </c>
      <c r="C185" s="7" t="inlineStr">
        <is>
          <t>BARONA RICARDO</t>
        </is>
      </c>
      <c r="D185" s="5">
        <f>IF(B185="","",IFERROR(VLOOKUP(B185, PLANTA_BASE!A:R, 5, FALSE), "NO ENCONTRADO EN PLANTA"))</f>
        <v/>
      </c>
      <c r="E185" s="5">
        <f>IF(B185="","",IFERROR(VLOOKUP(B185, PLANTA_BASE!A:R, 6, FALSE), "NO ENCONTRADO EN PLANTA"))</f>
        <v/>
      </c>
      <c r="F185" s="7">
        <f>IF(B185="","",IFERROR(VLOOKUP(B185, PLANTA_BASE!A:R, 8, FALSE), "DOCENTE / FACILITADOR"))</f>
        <v/>
      </c>
      <c r="G185" s="7">
        <f>IF(B185="","",IFERROR(VLOOKUP(B185, PLANTA_BASE!A:R, 9, FALSE), "GENERAL"))</f>
        <v/>
      </c>
      <c r="H185" s="5">
        <f>IF(B185="","",IFERROR(VLOOKUP(B185, PLANTA_BASE!A:R, 17, FALSE), "GENERAL"))</f>
        <v/>
      </c>
    </row>
    <row r="186" ht="20" customHeight="1">
      <c r="A186" s="2">
        <f>IF(B186="","",IFERROR(VLOOKUP(B186, PLANTA_BASE!A:R, 2, FALSE), "NO ENCONTRADO EN PLANTA"))</f>
        <v/>
      </c>
      <c r="B186" s="3" t="inlineStr">
        <is>
          <t>79633831</t>
        </is>
      </c>
      <c r="C186" s="4" t="inlineStr">
        <is>
          <t>NAVAS GONZALEZ NICOLAS BERNARDO</t>
        </is>
      </c>
      <c r="D186" s="2">
        <f>IF(B186="","",IFERROR(VLOOKUP(B186, PLANTA_BASE!A:R, 5, FALSE), "NO ENCONTRADO EN PLANTA"))</f>
        <v/>
      </c>
      <c r="E186" s="2">
        <f>IF(B186="","",IFERROR(VLOOKUP(B186, PLANTA_BASE!A:R, 6, FALSE), "NO ENCONTRADO EN PLANTA"))</f>
        <v/>
      </c>
      <c r="F186" s="4">
        <f>IF(B186="","",IFERROR(VLOOKUP(B186, PLANTA_BASE!A:R, 8, FALSE), "DOCENTE / FACILITADOR"))</f>
        <v/>
      </c>
      <c r="G186" s="4">
        <f>IF(B186="","",IFERROR(VLOOKUP(B186, PLANTA_BASE!A:R, 9, FALSE), "GENERAL"))</f>
        <v/>
      </c>
      <c r="H186" s="2">
        <f>IF(B186="","",IFERROR(VLOOKUP(B186, PLANTA_BASE!A:R, 17, FALSE), "GENERAL"))</f>
        <v/>
      </c>
    </row>
    <row r="187" ht="20" customHeight="1">
      <c r="A187" s="5">
        <f>IF(B187="","",IFERROR(VLOOKUP(B187, PLANTA_BASE!A:R, 2, FALSE), "NO ENCONTRADO EN PLANTA"))</f>
        <v/>
      </c>
      <c r="B187" s="6" t="inlineStr">
        <is>
          <t>80415486</t>
        </is>
      </c>
      <c r="C187" s="7" t="inlineStr">
        <is>
          <t>CARRILLO SANTIAGO</t>
        </is>
      </c>
      <c r="D187" s="5">
        <f>IF(B187="","",IFERROR(VLOOKUP(B187, PLANTA_BASE!A:R, 5, FALSE), "NO ENCONTRADO EN PLANTA"))</f>
        <v/>
      </c>
      <c r="E187" s="5">
        <f>IF(B187="","",IFERROR(VLOOKUP(B187, PLANTA_BASE!A:R, 6, FALSE), "NO ENCONTRADO EN PLANTA"))</f>
        <v/>
      </c>
      <c r="F187" s="7">
        <f>IF(B187="","",IFERROR(VLOOKUP(B187, PLANTA_BASE!A:R, 8, FALSE), "DOCENTE / FACILITADOR"))</f>
        <v/>
      </c>
      <c r="G187" s="7">
        <f>IF(B187="","",IFERROR(VLOOKUP(B187, PLANTA_BASE!A:R, 9, FALSE), "GENERAL"))</f>
        <v/>
      </c>
      <c r="H187" s="5">
        <f>IF(B187="","",IFERROR(VLOOKUP(B187, PLANTA_BASE!A:R, 17, FALSE), "GENERAL"))</f>
        <v/>
      </c>
    </row>
    <row r="188" ht="20" customHeight="1">
      <c r="A188" s="2">
        <f>IF(B188="","",IFERROR(VLOOKUP(B188, PLANTA_BASE!A:R, 2, FALSE), "NO ENCONTRADO EN PLANTA"))</f>
        <v/>
      </c>
      <c r="B188" s="3" t="inlineStr">
        <is>
          <t>79468775</t>
        </is>
      </c>
      <c r="C188" s="4" t="inlineStr">
        <is>
          <t>RICO AREVALO CARLOS FERNANDO</t>
        </is>
      </c>
      <c r="D188" s="2">
        <f>IF(B188="","",IFERROR(VLOOKUP(B188, PLANTA_BASE!A:R, 5, FALSE), "NO ENCONTRADO EN PLANTA"))</f>
        <v/>
      </c>
      <c r="E188" s="2">
        <f>IF(B188="","",IFERROR(VLOOKUP(B188, PLANTA_BASE!A:R, 6, FALSE), "NO ENCONTRADO EN PLANTA"))</f>
        <v/>
      </c>
      <c r="F188" s="4">
        <f>IF(B188="","",IFERROR(VLOOKUP(B188, PLANTA_BASE!A:R, 8, FALSE), "DOCENTE / FACILITADOR"))</f>
        <v/>
      </c>
      <c r="G188" s="4">
        <f>IF(B188="","",IFERROR(VLOOKUP(B188, PLANTA_BASE!A:R, 9, FALSE), "GENERAL"))</f>
        <v/>
      </c>
      <c r="H188" s="2">
        <f>IF(B188="","",IFERROR(VLOOKUP(B188, PLANTA_BASE!A:R, 17, FALSE), "GENERAL"))</f>
        <v/>
      </c>
    </row>
    <row r="189" ht="20" customHeight="1">
      <c r="A189" s="5">
        <f>IF(B189="","",IFERROR(VLOOKUP(B189, PLANTA_BASE!A:R, 2, FALSE), "NO ENCONTRADO EN PLANTA"))</f>
        <v/>
      </c>
      <c r="B189" s="6" t="inlineStr">
        <is>
          <t>1023899660</t>
        </is>
      </c>
      <c r="C189" s="7" t="inlineStr">
        <is>
          <t>HOYOS HERNANDEZ JYNA PAOLA</t>
        </is>
      </c>
      <c r="D189" s="5">
        <f>IF(B189="","",IFERROR(VLOOKUP(B189, PLANTA_BASE!A:R, 5, FALSE), "NO ENCONTRADO EN PLANTA"))</f>
        <v/>
      </c>
      <c r="E189" s="5">
        <f>IF(B189="","",IFERROR(VLOOKUP(B189, PLANTA_BASE!A:R, 6, FALSE), "NO ENCONTRADO EN PLANTA"))</f>
        <v/>
      </c>
      <c r="F189" s="7">
        <f>IF(B189="","",IFERROR(VLOOKUP(B189, PLANTA_BASE!A:R, 8, FALSE), "DOCENTE / FACILITADOR"))</f>
        <v/>
      </c>
      <c r="G189" s="7">
        <f>IF(B189="","",IFERROR(VLOOKUP(B189, PLANTA_BASE!A:R, 9, FALSE), "GENERAL"))</f>
        <v/>
      </c>
      <c r="H189" s="5">
        <f>IF(B189="","",IFERROR(VLOOKUP(B189, PLANTA_BASE!A:R, 17, FALSE), "GENERAL"))</f>
        <v/>
      </c>
    </row>
    <row r="190" ht="20" customHeight="1">
      <c r="A190" s="2">
        <f>IF(B190="","",IFERROR(VLOOKUP(B190, PLANTA_BASE!A:R, 2, FALSE), "NO ENCONTRADO EN PLANTA"))</f>
        <v/>
      </c>
      <c r="B190" s="3" t="inlineStr">
        <is>
          <t>7174306</t>
        </is>
      </c>
      <c r="C190" s="4" t="inlineStr">
        <is>
          <t>MEDINA ALVAREZ GERARDO ANTONIO</t>
        </is>
      </c>
      <c r="D190" s="2">
        <f>IF(B190="","",IFERROR(VLOOKUP(B190, PLANTA_BASE!A:R, 5, FALSE), "NO ENCONTRADO EN PLANTA"))</f>
        <v/>
      </c>
      <c r="E190" s="2">
        <f>IF(B190="","",IFERROR(VLOOKUP(B190, PLANTA_BASE!A:R, 6, FALSE), "NO ENCONTRADO EN PLANTA"))</f>
        <v/>
      </c>
      <c r="F190" s="4">
        <f>IF(B190="","",IFERROR(VLOOKUP(B190, PLANTA_BASE!A:R, 8, FALSE), "DOCENTE / FACILITADOR"))</f>
        <v/>
      </c>
      <c r="G190" s="4">
        <f>IF(B190="","",IFERROR(VLOOKUP(B190, PLANTA_BASE!A:R, 9, FALSE), "GENERAL"))</f>
        <v/>
      </c>
      <c r="H190" s="2">
        <f>IF(B190="","",IFERROR(VLOOKUP(B190, PLANTA_BASE!A:R, 17, FALSE), "GENERAL"))</f>
        <v/>
      </c>
    </row>
    <row r="191" ht="20" customHeight="1">
      <c r="A191" s="5">
        <f>IF(B191="","",IFERROR(VLOOKUP(B191, PLANTA_BASE!A:R, 2, FALSE), "NO ENCONTRADO EN PLANTA"))</f>
        <v/>
      </c>
      <c r="B191" s="6" t="inlineStr">
        <is>
          <t>80141029</t>
        </is>
      </c>
      <c r="C191" s="7" t="inlineStr">
        <is>
          <t>GARZON HERNANDEZ WALTER EDGARDO</t>
        </is>
      </c>
      <c r="D191" s="5">
        <f>IF(B191="","",IFERROR(VLOOKUP(B191, PLANTA_BASE!A:R, 5, FALSE), "NO ENCONTRADO EN PLANTA"))</f>
        <v/>
      </c>
      <c r="E191" s="5">
        <f>IF(B191="","",IFERROR(VLOOKUP(B191, PLANTA_BASE!A:R, 6, FALSE), "NO ENCONTRADO EN PLANTA"))</f>
        <v/>
      </c>
      <c r="F191" s="7">
        <f>IF(B191="","",IFERROR(VLOOKUP(B191, PLANTA_BASE!A:R, 8, FALSE), "DOCENTE / FACILITADOR"))</f>
        <v/>
      </c>
      <c r="G191" s="7">
        <f>IF(B191="","",IFERROR(VLOOKUP(B191, PLANTA_BASE!A:R, 9, FALSE), "GENERAL"))</f>
        <v/>
      </c>
      <c r="H191" s="5">
        <f>IF(B191="","",IFERROR(VLOOKUP(B191, PLANTA_BASE!A:R, 17, FALSE), "GENERAL"))</f>
        <v/>
      </c>
    </row>
    <row r="192" ht="20" customHeight="1">
      <c r="A192" s="2">
        <f>IF(B192="","",IFERROR(VLOOKUP(B192, PLANTA_BASE!A:R, 2, FALSE), "NO ENCONTRADO EN PLANTA"))</f>
        <v/>
      </c>
      <c r="B192" s="3" t="inlineStr">
        <is>
          <t>1001285535</t>
        </is>
      </c>
      <c r="C192" s="4" t="inlineStr">
        <is>
          <t>NUNEZ JULIAN</t>
        </is>
      </c>
      <c r="D192" s="2">
        <f>IF(B192="","",IFERROR(VLOOKUP(B192, PLANTA_BASE!A:R, 5, FALSE), "NO ENCONTRADO EN PLANTA"))</f>
        <v/>
      </c>
      <c r="E192" s="2">
        <f>IF(B192="","",IFERROR(VLOOKUP(B192, PLANTA_BASE!A:R, 6, FALSE), "NO ENCONTRADO EN PLANTA"))</f>
        <v/>
      </c>
      <c r="F192" s="4">
        <f>IF(B192="","",IFERROR(VLOOKUP(B192, PLANTA_BASE!A:R, 8, FALSE), "DOCENTE / FACILITADOR"))</f>
        <v/>
      </c>
      <c r="G192" s="4">
        <f>IF(B192="","",IFERROR(VLOOKUP(B192, PLANTA_BASE!A:R, 9, FALSE), "GENERAL"))</f>
        <v/>
      </c>
      <c r="H192" s="2">
        <f>IF(B192="","",IFERROR(VLOOKUP(B192, PLANTA_BASE!A:R, 17, FALSE), "GENERAL"))</f>
        <v/>
      </c>
    </row>
    <row r="193" ht="20" customHeight="1">
      <c r="A193" s="5">
        <f>IF(B193="","",IFERROR(VLOOKUP(B193, PLANTA_BASE!A:R, 2, FALSE), "NO ENCONTRADO EN PLANTA"))</f>
        <v/>
      </c>
      <c r="B193" s="6" t="inlineStr">
        <is>
          <t>1010194126</t>
        </is>
      </c>
      <c r="C193" s="7" t="inlineStr">
        <is>
          <t>MOLANO JESSICA</t>
        </is>
      </c>
      <c r="D193" s="5">
        <f>IF(B193="","",IFERROR(VLOOKUP(B193, PLANTA_BASE!A:R, 5, FALSE), "NO ENCONTRADO EN PLANTA"))</f>
        <v/>
      </c>
      <c r="E193" s="5">
        <f>IF(B193="","",IFERROR(VLOOKUP(B193, PLANTA_BASE!A:R, 6, FALSE), "NO ENCONTRADO EN PLANTA"))</f>
        <v/>
      </c>
      <c r="F193" s="7">
        <f>IF(B193="","",IFERROR(VLOOKUP(B193, PLANTA_BASE!A:R, 8, FALSE), "DOCENTE / FACILITADOR"))</f>
        <v/>
      </c>
      <c r="G193" s="7">
        <f>IF(B193="","",IFERROR(VLOOKUP(B193, PLANTA_BASE!A:R, 9, FALSE), "GENERAL"))</f>
        <v/>
      </c>
      <c r="H193" s="5">
        <f>IF(B193="","",IFERROR(VLOOKUP(B193, PLANTA_BASE!A:R, 17, FALSE), "GENERAL"))</f>
        <v/>
      </c>
    </row>
    <row r="194" ht="20" customHeight="1">
      <c r="A194" s="2">
        <f>IF(B194="","",IFERROR(VLOOKUP(B194, PLANTA_BASE!A:R, 2, FALSE), "NO ENCONTRADO EN PLANTA"))</f>
        <v/>
      </c>
      <c r="B194" s="3" t="inlineStr">
        <is>
          <t>1014230294</t>
        </is>
      </c>
      <c r="C194" s="4" t="inlineStr">
        <is>
          <t>PATINO MORA ALEJANDRA</t>
        </is>
      </c>
      <c r="D194" s="2">
        <f>IF(B194="","",IFERROR(VLOOKUP(B194, PLANTA_BASE!A:R, 5, FALSE), "NO ENCONTRADO EN PLANTA"))</f>
        <v/>
      </c>
      <c r="E194" s="2">
        <f>IF(B194="","",IFERROR(VLOOKUP(B194, PLANTA_BASE!A:R, 6, FALSE), "NO ENCONTRADO EN PLANTA"))</f>
        <v/>
      </c>
      <c r="F194" s="4">
        <f>IF(B194="","",IFERROR(VLOOKUP(B194, PLANTA_BASE!A:R, 8, FALSE), "DOCENTE / FACILITADOR"))</f>
        <v/>
      </c>
      <c r="G194" s="4">
        <f>IF(B194="","",IFERROR(VLOOKUP(B194, PLANTA_BASE!A:R, 9, FALSE), "GENERAL"))</f>
        <v/>
      </c>
      <c r="H194" s="2">
        <f>IF(B194="","",IFERROR(VLOOKUP(B194, PLANTA_BASE!A:R, 17, FALSE), "GENERAL"))</f>
        <v/>
      </c>
    </row>
    <row r="195" ht="20" customHeight="1">
      <c r="A195" s="5">
        <f>IF(B195="","",IFERROR(VLOOKUP(B195, PLANTA_BASE!A:R, 2, FALSE), "NO ENCONTRADO EN PLANTA"))</f>
        <v/>
      </c>
      <c r="B195" s="6" t="inlineStr">
        <is>
          <t>1075217087</t>
        </is>
      </c>
      <c r="C195" s="7" t="inlineStr">
        <is>
          <t>CONDE CAPERA ANDREA DEL PILAR</t>
        </is>
      </c>
      <c r="D195" s="5">
        <f>IF(B195="","",IFERROR(VLOOKUP(B195, PLANTA_BASE!A:R, 5, FALSE), "NO ENCONTRADO EN PLANTA"))</f>
        <v/>
      </c>
      <c r="E195" s="5">
        <f>IF(B195="","",IFERROR(VLOOKUP(B195, PLANTA_BASE!A:R, 6, FALSE), "NO ENCONTRADO EN PLANTA"))</f>
        <v/>
      </c>
      <c r="F195" s="7">
        <f>IF(B195="","",IFERROR(VLOOKUP(B195, PLANTA_BASE!A:R, 8, FALSE), "DOCENTE / FACILITADOR"))</f>
        <v/>
      </c>
      <c r="G195" s="7">
        <f>IF(B195="","",IFERROR(VLOOKUP(B195, PLANTA_BASE!A:R, 9, FALSE), "GENERAL"))</f>
        <v/>
      </c>
      <c r="H195" s="5">
        <f>IF(B195="","",IFERROR(VLOOKUP(B195, PLANTA_BASE!A:R, 17, FALSE), "GENERAL"))</f>
        <v/>
      </c>
    </row>
    <row r="196" ht="20" customHeight="1">
      <c r="A196" s="2">
        <f>IF(B196="","",IFERROR(VLOOKUP(B196, PLANTA_BASE!A:R, 2, FALSE), "NO ENCONTRADO EN PLANTA"))</f>
        <v/>
      </c>
      <c r="B196" s="3" t="inlineStr">
        <is>
          <t>1030699910</t>
        </is>
      </c>
      <c r="C196" s="4" t="inlineStr">
        <is>
          <t>PAEZ DANIEL</t>
        </is>
      </c>
      <c r="D196" s="2">
        <f>IF(B196="","",IFERROR(VLOOKUP(B196, PLANTA_BASE!A:R, 5, FALSE), "NO ENCONTRADO EN PLANTA"))</f>
        <v/>
      </c>
      <c r="E196" s="2">
        <f>IF(B196="","",IFERROR(VLOOKUP(B196, PLANTA_BASE!A:R, 6, FALSE), "NO ENCONTRADO EN PLANTA"))</f>
        <v/>
      </c>
      <c r="F196" s="4">
        <f>IF(B196="","",IFERROR(VLOOKUP(B196, PLANTA_BASE!A:R, 8, FALSE), "DOCENTE / FACILITADOR"))</f>
        <v/>
      </c>
      <c r="G196" s="4">
        <f>IF(B196="","",IFERROR(VLOOKUP(B196, PLANTA_BASE!A:R, 9, FALSE), "GENERAL"))</f>
        <v/>
      </c>
      <c r="H196" s="2">
        <f>IF(B196="","",IFERROR(VLOOKUP(B196, PLANTA_BASE!A:R, 17, FALSE), "GENERAL"))</f>
        <v/>
      </c>
    </row>
    <row r="197" ht="20" customHeight="1">
      <c r="A197" s="5">
        <f>IF(B197="","",IFERROR(VLOOKUP(B197, PLANTA_BASE!A:R, 2, FALSE), "NO ENCONTRADO EN PLANTA"))</f>
        <v/>
      </c>
      <c r="B197" s="6" t="inlineStr">
        <is>
          <t>80802834</t>
        </is>
      </c>
      <c r="C197" s="7" t="inlineStr">
        <is>
          <t>PRIETO DAVID</t>
        </is>
      </c>
      <c r="D197" s="5">
        <f>IF(B197="","",IFERROR(VLOOKUP(B197, PLANTA_BASE!A:R, 5, FALSE), "NO ENCONTRADO EN PLANTA"))</f>
        <v/>
      </c>
      <c r="E197" s="5">
        <f>IF(B197="","",IFERROR(VLOOKUP(B197, PLANTA_BASE!A:R, 6, FALSE), "NO ENCONTRADO EN PLANTA"))</f>
        <v/>
      </c>
      <c r="F197" s="7">
        <f>IF(B197="","",IFERROR(VLOOKUP(B197, PLANTA_BASE!A:R, 8, FALSE), "DOCENTE / FACILITADOR"))</f>
        <v/>
      </c>
      <c r="G197" s="7">
        <f>IF(B197="","",IFERROR(VLOOKUP(B197, PLANTA_BASE!A:R, 9, FALSE), "GENERAL"))</f>
        <v/>
      </c>
      <c r="H197" s="5">
        <f>IF(B197="","",IFERROR(VLOOKUP(B197, PLANTA_BASE!A:R, 17, FALSE), "GENERAL"))</f>
        <v/>
      </c>
    </row>
    <row r="198" ht="20" customHeight="1">
      <c r="A198" s="2">
        <f>IF(B198="","",IFERROR(VLOOKUP(B198, PLANTA_BASE!A:R, 2, FALSE), "NO ENCONTRADO EN PLANTA"))</f>
        <v/>
      </c>
      <c r="B198" s="3" t="inlineStr">
        <is>
          <t>80732722</t>
        </is>
      </c>
      <c r="C198" s="4" t="inlineStr">
        <is>
          <t>MORENO AVILA WILLIAM GIOVANNI</t>
        </is>
      </c>
      <c r="D198" s="2">
        <f>IF(B198="","",IFERROR(VLOOKUP(B198, PLANTA_BASE!A:R, 5, FALSE), "NO ENCONTRADO EN PLANTA"))</f>
        <v/>
      </c>
      <c r="E198" s="2">
        <f>IF(B198="","",IFERROR(VLOOKUP(B198, PLANTA_BASE!A:R, 6, FALSE), "NO ENCONTRADO EN PLANTA"))</f>
        <v/>
      </c>
      <c r="F198" s="4">
        <f>IF(B198="","",IFERROR(VLOOKUP(B198, PLANTA_BASE!A:R, 8, FALSE), "DOCENTE / FACILITADOR"))</f>
        <v/>
      </c>
      <c r="G198" s="4">
        <f>IF(B198="","",IFERROR(VLOOKUP(B198, PLANTA_BASE!A:R, 9, FALSE), "GENERAL"))</f>
        <v/>
      </c>
      <c r="H198" s="2">
        <f>IF(B198="","",IFERROR(VLOOKUP(B198, PLANTA_BASE!A:R, 17, FALSE), "GENERAL"))</f>
        <v/>
      </c>
    </row>
    <row r="199" ht="20" customHeight="1">
      <c r="A199" s="5">
        <f>IF(B199="","",IFERROR(VLOOKUP(B199, PLANTA_BASE!A:R, 2, FALSE), "NO ENCONTRADO EN PLANTA"))</f>
        <v/>
      </c>
      <c r="B199" s="6" t="inlineStr">
        <is>
          <t>1233492600</t>
        </is>
      </c>
      <c r="C199" s="7" t="inlineStr">
        <is>
          <t>CASTELLON RAMIREZ LENARD ANDRES</t>
        </is>
      </c>
      <c r="D199" s="5">
        <f>IF(B199="","",IFERROR(VLOOKUP(B199, PLANTA_BASE!A:R, 5, FALSE), "NO ENCONTRADO EN PLANTA"))</f>
        <v/>
      </c>
      <c r="E199" s="5">
        <f>IF(B199="","",IFERROR(VLOOKUP(B199, PLANTA_BASE!A:R, 6, FALSE), "NO ENCONTRADO EN PLANTA"))</f>
        <v/>
      </c>
      <c r="F199" s="7">
        <f>IF(B199="","",IFERROR(VLOOKUP(B199, PLANTA_BASE!A:R, 8, FALSE), "DOCENTE / FACILITADOR"))</f>
        <v/>
      </c>
      <c r="G199" s="7">
        <f>IF(B199="","",IFERROR(VLOOKUP(B199, PLANTA_BASE!A:R, 9, FALSE), "GENERAL"))</f>
        <v/>
      </c>
      <c r="H199" s="5">
        <f>IF(B199="","",IFERROR(VLOOKUP(B199, PLANTA_BASE!A:R, 17, FALSE), "GENERAL"))</f>
        <v/>
      </c>
    </row>
    <row r="200" ht="20" customHeight="1">
      <c r="A200" s="2">
        <f>IF(B200="","",IFERROR(VLOOKUP(B200, PLANTA_BASE!A:R, 2, FALSE), "NO ENCONTRADO EN PLANTA"))</f>
        <v/>
      </c>
      <c r="B200" s="3" t="inlineStr">
        <is>
          <t>80241945</t>
        </is>
      </c>
      <c r="C200" s="4" t="inlineStr">
        <is>
          <t>ORBEGOZO WILLIAM</t>
        </is>
      </c>
      <c r="D200" s="2">
        <f>IF(B200="","",IFERROR(VLOOKUP(B200, PLANTA_BASE!A:R, 5, FALSE), "NO ENCONTRADO EN PLANTA"))</f>
        <v/>
      </c>
      <c r="E200" s="2">
        <f>IF(B200="","",IFERROR(VLOOKUP(B200, PLANTA_BASE!A:R, 6, FALSE), "NO ENCONTRADO EN PLANTA"))</f>
        <v/>
      </c>
      <c r="F200" s="4">
        <f>IF(B200="","",IFERROR(VLOOKUP(B200, PLANTA_BASE!A:R, 8, FALSE), "DOCENTE / FACILITADOR"))</f>
        <v/>
      </c>
      <c r="G200" s="4">
        <f>IF(B200="","",IFERROR(VLOOKUP(B200, PLANTA_BASE!A:R, 9, FALSE), "GENERAL"))</f>
        <v/>
      </c>
      <c r="H200" s="2">
        <f>IF(B200="","",IFERROR(VLOOKUP(B200, PLANTA_BASE!A:R, 17, FALSE), "GENERAL"))</f>
        <v/>
      </c>
    </row>
    <row r="201" ht="20" customHeight="1">
      <c r="A201" s="5">
        <f>IF(B201="","",IFERROR(VLOOKUP(B201, PLANTA_BASE!A:R, 2, FALSE), "NO ENCONTRADO EN PLANTA"))</f>
        <v/>
      </c>
      <c r="B201" s="6" t="inlineStr">
        <is>
          <t>1033769811</t>
        </is>
      </c>
      <c r="C201" s="7" t="inlineStr">
        <is>
          <t>CALDERON ALISON</t>
        </is>
      </c>
      <c r="D201" s="5">
        <f>IF(B201="","",IFERROR(VLOOKUP(B201, PLANTA_BASE!A:R, 5, FALSE), "NO ENCONTRADO EN PLANTA"))</f>
        <v/>
      </c>
      <c r="E201" s="5">
        <f>IF(B201="","",IFERROR(VLOOKUP(B201, PLANTA_BASE!A:R, 6, FALSE), "NO ENCONTRADO EN PLANTA"))</f>
        <v/>
      </c>
      <c r="F201" s="7">
        <f>IF(B201="","",IFERROR(VLOOKUP(B201, PLANTA_BASE!A:R, 8, FALSE), "DOCENTE / FACILITADOR"))</f>
        <v/>
      </c>
      <c r="G201" s="7">
        <f>IF(B201="","",IFERROR(VLOOKUP(B201, PLANTA_BASE!A:R, 9, FALSE), "GENERAL"))</f>
        <v/>
      </c>
      <c r="H201" s="5">
        <f>IF(B201="","",IFERROR(VLOOKUP(B201, PLANTA_BASE!A:R, 17, FALSE), "GENERAL"))</f>
        <v/>
      </c>
    </row>
    <row r="202" ht="20" customHeight="1">
      <c r="A202" s="2">
        <f>IF(B202="","",IFERROR(VLOOKUP(B202, PLANTA_BASE!A:R, 2, FALSE), "NO ENCONTRADO EN PLANTA"))</f>
        <v/>
      </c>
      <c r="B202" s="3" t="inlineStr">
        <is>
          <t>80797663</t>
        </is>
      </c>
      <c r="C202" s="4" t="inlineStr">
        <is>
          <t>BAYONA ALEJANDRO</t>
        </is>
      </c>
      <c r="D202" s="2">
        <f>IF(B202="","",IFERROR(VLOOKUP(B202, PLANTA_BASE!A:R, 5, FALSE), "NO ENCONTRADO EN PLANTA"))</f>
        <v/>
      </c>
      <c r="E202" s="2">
        <f>IF(B202="","",IFERROR(VLOOKUP(B202, PLANTA_BASE!A:R, 6, FALSE), "NO ENCONTRADO EN PLANTA"))</f>
        <v/>
      </c>
      <c r="F202" s="4">
        <f>IF(B202="","",IFERROR(VLOOKUP(B202, PLANTA_BASE!A:R, 8, FALSE), "DOCENTE / FACILITADOR"))</f>
        <v/>
      </c>
      <c r="G202" s="4">
        <f>IF(B202="","",IFERROR(VLOOKUP(B202, PLANTA_BASE!A:R, 9, FALSE), "GENERAL"))</f>
        <v/>
      </c>
      <c r="H202" s="2">
        <f>IF(B202="","",IFERROR(VLOOKUP(B202, PLANTA_BASE!A:R, 17, FALSE), "GENERAL"))</f>
        <v/>
      </c>
    </row>
    <row r="203" ht="20" customHeight="1">
      <c r="A203" s="5">
        <f>IF(B203="","",IFERROR(VLOOKUP(B203, PLANTA_BASE!A:R, 2, FALSE), "NO ENCONTRADO EN PLANTA"))</f>
        <v/>
      </c>
      <c r="B203" s="6" t="inlineStr">
        <is>
          <t>79910923</t>
        </is>
      </c>
      <c r="C203" s="7" t="inlineStr">
        <is>
          <t>MEDINA SAMIR</t>
        </is>
      </c>
      <c r="D203" s="5">
        <f>IF(B203="","",IFERROR(VLOOKUP(B203, PLANTA_BASE!A:R, 5, FALSE), "NO ENCONTRADO EN PLANTA"))</f>
        <v/>
      </c>
      <c r="E203" s="5">
        <f>IF(B203="","",IFERROR(VLOOKUP(B203, PLANTA_BASE!A:R, 6, FALSE), "NO ENCONTRADO EN PLANTA"))</f>
        <v/>
      </c>
      <c r="F203" s="7">
        <f>IF(B203="","",IFERROR(VLOOKUP(B203, PLANTA_BASE!A:R, 8, FALSE), "DOCENTE / FACILITADOR"))</f>
        <v/>
      </c>
      <c r="G203" s="7">
        <f>IF(B203="","",IFERROR(VLOOKUP(B203, PLANTA_BASE!A:R, 9, FALSE), "GENERAL"))</f>
        <v/>
      </c>
      <c r="H203" s="5">
        <f>IF(B203="","",IFERROR(VLOOKUP(B203, PLANTA_BASE!A:R, 17, FALSE), "GENERAL"))</f>
        <v/>
      </c>
    </row>
    <row r="204" ht="20" customHeight="1">
      <c r="A204" s="2">
        <f>IF(B204="","",IFERROR(VLOOKUP(B204, PLANTA_BASE!A:R, 2, FALSE), "NO ENCONTRADO EN PLANTA"))</f>
        <v/>
      </c>
      <c r="B204" s="3" t="inlineStr">
        <is>
          <t>1012450022</t>
        </is>
      </c>
      <c r="C204" s="4" t="inlineStr">
        <is>
          <t>DOMINGUEZ CRUZ IVAN DAVID</t>
        </is>
      </c>
      <c r="D204" s="2">
        <f>IF(B204="","",IFERROR(VLOOKUP(B204, PLANTA_BASE!A:R, 5, FALSE), "NO ENCONTRADO EN PLANTA"))</f>
        <v/>
      </c>
      <c r="E204" s="2">
        <f>IF(B204="","",IFERROR(VLOOKUP(B204, PLANTA_BASE!A:R, 6, FALSE), "NO ENCONTRADO EN PLANTA"))</f>
        <v/>
      </c>
      <c r="F204" s="4">
        <f>IF(B204="","",IFERROR(VLOOKUP(B204, PLANTA_BASE!A:R, 8, FALSE), "DOCENTE / FACILITADOR"))</f>
        <v/>
      </c>
      <c r="G204" s="4">
        <f>IF(B204="","",IFERROR(VLOOKUP(B204, PLANTA_BASE!A:R, 9, FALSE), "GENERAL"))</f>
        <v/>
      </c>
      <c r="H204" s="2">
        <f>IF(B204="","",IFERROR(VLOOKUP(B204, PLANTA_BASE!A:R, 17, FALSE), "GENERAL"))</f>
        <v/>
      </c>
    </row>
    <row r="205" ht="20" customHeight="1">
      <c r="A205" s="5">
        <f>IF(B205="","",IFERROR(VLOOKUP(B205, PLANTA_BASE!A:R, 2, FALSE), "NO ENCONTRADO EN PLANTA"))</f>
        <v/>
      </c>
      <c r="B205" s="6" t="inlineStr">
        <is>
          <t>1032439036</t>
        </is>
      </c>
      <c r="C205" s="7" t="inlineStr">
        <is>
          <t>AGUILERA JORGE IVAN</t>
        </is>
      </c>
      <c r="D205" s="5">
        <f>IF(B205="","",IFERROR(VLOOKUP(B205, PLANTA_BASE!A:R, 5, FALSE), "NO ENCONTRADO EN PLANTA"))</f>
        <v/>
      </c>
      <c r="E205" s="5">
        <f>IF(B205="","",IFERROR(VLOOKUP(B205, PLANTA_BASE!A:R, 6, FALSE), "NO ENCONTRADO EN PLANTA"))</f>
        <v/>
      </c>
      <c r="F205" s="7">
        <f>IF(B205="","",IFERROR(VLOOKUP(B205, PLANTA_BASE!A:R, 8, FALSE), "DOCENTE / FACILITADOR"))</f>
        <v/>
      </c>
      <c r="G205" s="7">
        <f>IF(B205="","",IFERROR(VLOOKUP(B205, PLANTA_BASE!A:R, 9, FALSE), "GENERAL"))</f>
        <v/>
      </c>
      <c r="H205" s="5">
        <f>IF(B205="","",IFERROR(VLOOKUP(B205, PLANTA_BASE!A:R, 17, FALSE), "GENERAL"))</f>
        <v/>
      </c>
    </row>
    <row r="206" ht="20" customHeight="1">
      <c r="A206" s="2">
        <f>IF(B206="","",IFERROR(VLOOKUP(B206, PLANTA_BASE!A:R, 2, FALSE), "NO ENCONTRADO EN PLANTA"))</f>
        <v/>
      </c>
      <c r="B206" s="3" t="inlineStr">
        <is>
          <t>1072431214</t>
        </is>
      </c>
      <c r="C206" s="4" t="inlineStr">
        <is>
          <t>CONTO TRIANA GUILLERMO ANDRES</t>
        </is>
      </c>
      <c r="D206" s="2">
        <f>IF(B206="","",IFERROR(VLOOKUP(B206, PLANTA_BASE!A:R, 5, FALSE), "NO ENCONTRADO EN PLANTA"))</f>
        <v/>
      </c>
      <c r="E206" s="2">
        <f>IF(B206="","",IFERROR(VLOOKUP(B206, PLANTA_BASE!A:R, 6, FALSE), "NO ENCONTRADO EN PLANTA"))</f>
        <v/>
      </c>
      <c r="F206" s="4">
        <f>IF(B206="","",IFERROR(VLOOKUP(B206, PLANTA_BASE!A:R, 8, FALSE), "DOCENTE / FACILITADOR"))</f>
        <v/>
      </c>
      <c r="G206" s="4">
        <f>IF(B206="","",IFERROR(VLOOKUP(B206, PLANTA_BASE!A:R, 9, FALSE), "GENERAL"))</f>
        <v/>
      </c>
      <c r="H206" s="2">
        <f>IF(B206="","",IFERROR(VLOOKUP(B206, PLANTA_BASE!A:R, 17, FALSE), "GENERAL"))</f>
        <v/>
      </c>
    </row>
    <row r="207" ht="20" customHeight="1">
      <c r="A207" s="5">
        <f>IF(B207="","",IFERROR(VLOOKUP(B207, PLANTA_BASE!A:R, 2, FALSE), "NO ENCONTRADO EN PLANTA"))</f>
        <v/>
      </c>
      <c r="B207" s="6" t="inlineStr">
        <is>
          <t>80350939</t>
        </is>
      </c>
      <c r="C207" s="7" t="inlineStr">
        <is>
          <t>ALVAREZ TORRES ANGEL ALBERTO</t>
        </is>
      </c>
      <c r="D207" s="5">
        <f>IF(B207="","",IFERROR(VLOOKUP(B207, PLANTA_BASE!A:R, 5, FALSE), "NO ENCONTRADO EN PLANTA"))</f>
        <v/>
      </c>
      <c r="E207" s="5">
        <f>IF(B207="","",IFERROR(VLOOKUP(B207, PLANTA_BASE!A:R, 6, FALSE), "NO ENCONTRADO EN PLANTA"))</f>
        <v/>
      </c>
      <c r="F207" s="7">
        <f>IF(B207="","",IFERROR(VLOOKUP(B207, PLANTA_BASE!A:R, 8, FALSE), "DOCENTE / FACILITADOR"))</f>
        <v/>
      </c>
      <c r="G207" s="7">
        <f>IF(B207="","",IFERROR(VLOOKUP(B207, PLANTA_BASE!A:R, 9, FALSE), "GENERAL"))</f>
        <v/>
      </c>
      <c r="H207" s="5">
        <f>IF(B207="","",IFERROR(VLOOKUP(B207, PLANTA_BASE!A:R, 17, FALSE), "GENERAL"))</f>
        <v/>
      </c>
    </row>
    <row r="208" ht="20" customHeight="1">
      <c r="A208" s="2">
        <f>IF(B208="","",IFERROR(VLOOKUP(B208, PLANTA_BASE!A:R, 2, FALSE), "NO ENCONTRADO EN PLANTA"))</f>
        <v/>
      </c>
      <c r="B208" s="3" t="inlineStr">
        <is>
          <t>1092345677</t>
        </is>
      </c>
      <c r="C208" s="4" t="inlineStr">
        <is>
          <t>CASTANEDA RINCON ANDRES JULIAN</t>
        </is>
      </c>
      <c r="D208" s="2">
        <f>IF(B208="","",IFERROR(VLOOKUP(B208, PLANTA_BASE!A:R, 5, FALSE), "NO ENCONTRADO EN PLANTA"))</f>
        <v/>
      </c>
      <c r="E208" s="2">
        <f>IF(B208="","",IFERROR(VLOOKUP(B208, PLANTA_BASE!A:R, 6, FALSE), "NO ENCONTRADO EN PLANTA"))</f>
        <v/>
      </c>
      <c r="F208" s="4">
        <f>IF(B208="","",IFERROR(VLOOKUP(B208, PLANTA_BASE!A:R, 8, FALSE), "DOCENTE / FACILITADOR"))</f>
        <v/>
      </c>
      <c r="G208" s="4">
        <f>IF(B208="","",IFERROR(VLOOKUP(B208, PLANTA_BASE!A:R, 9, FALSE), "GENERAL"))</f>
        <v/>
      </c>
      <c r="H208" s="2">
        <f>IF(B208="","",IFERROR(VLOOKUP(B208, PLANTA_BASE!A:R, 17, FALSE), "GENERAL"))</f>
        <v/>
      </c>
    </row>
    <row r="209" ht="20" customHeight="1">
      <c r="A209" s="5">
        <f>IF(B209="","",IFERROR(VLOOKUP(B209, PLANTA_BASE!A:R, 2, FALSE), "NO ENCONTRADO EN PLANTA"))</f>
        <v/>
      </c>
      <c r="B209" s="6" t="inlineStr">
        <is>
          <t>1098740275</t>
        </is>
      </c>
      <c r="C209" s="7" t="inlineStr">
        <is>
          <t>BARAJAS CABALLERO GIBRAN</t>
        </is>
      </c>
      <c r="D209" s="5">
        <f>IF(B209="","",IFERROR(VLOOKUP(B209, PLANTA_BASE!A:R, 5, FALSE), "NO ENCONTRADO EN PLANTA"))</f>
        <v/>
      </c>
      <c r="E209" s="5">
        <f>IF(B209="","",IFERROR(VLOOKUP(B209, PLANTA_BASE!A:R, 6, FALSE), "NO ENCONTRADO EN PLANTA"))</f>
        <v/>
      </c>
      <c r="F209" s="7">
        <f>IF(B209="","",IFERROR(VLOOKUP(B209, PLANTA_BASE!A:R, 8, FALSE), "DOCENTE / FACILITADOR"))</f>
        <v/>
      </c>
      <c r="G209" s="7">
        <f>IF(B209="","",IFERROR(VLOOKUP(B209, PLANTA_BASE!A:R, 9, FALSE), "GENERAL"))</f>
        <v/>
      </c>
      <c r="H209" s="5">
        <f>IF(B209="","",IFERROR(VLOOKUP(B209, PLANTA_BASE!A:R, 17, FALSE), "GENERAL"))</f>
        <v/>
      </c>
    </row>
    <row r="210" ht="20" customHeight="1">
      <c r="A210" s="2">
        <f>IF(B210="","",IFERROR(VLOOKUP(B210, PLANTA_BASE!A:R, 2, FALSE), "NO ENCONTRADO EN PLANTA"))</f>
        <v/>
      </c>
      <c r="B210" s="3" t="inlineStr">
        <is>
          <t>1070622518</t>
        </is>
      </c>
      <c r="C210" s="4" t="inlineStr">
        <is>
          <t>FLORIAN SALCEDO DANIEL  FERNANDO</t>
        </is>
      </c>
      <c r="D210" s="2">
        <f>IF(B210="","",IFERROR(VLOOKUP(B210, PLANTA_BASE!A:R, 5, FALSE), "NO ENCONTRADO EN PLANTA"))</f>
        <v/>
      </c>
      <c r="E210" s="2">
        <f>IF(B210="","",IFERROR(VLOOKUP(B210, PLANTA_BASE!A:R, 6, FALSE), "NO ENCONTRADO EN PLANTA"))</f>
        <v/>
      </c>
      <c r="F210" s="4">
        <f>IF(B210="","",IFERROR(VLOOKUP(B210, PLANTA_BASE!A:R, 8, FALSE), "DOCENTE / FACILITADOR"))</f>
        <v/>
      </c>
      <c r="G210" s="4">
        <f>IF(B210="","",IFERROR(VLOOKUP(B210, PLANTA_BASE!A:R, 9, FALSE), "GENERAL"))</f>
        <v/>
      </c>
      <c r="H210" s="2">
        <f>IF(B210="","",IFERROR(VLOOKUP(B210, PLANTA_BASE!A:R, 17, FALSE), "GENERAL"))</f>
        <v/>
      </c>
    </row>
    <row r="211" ht="20" customHeight="1">
      <c r="A211" s="5">
        <f>IF(B211="","",IFERROR(VLOOKUP(B211, PLANTA_BASE!A:R, 2, FALSE), "NO ENCONTRADO EN PLANTA"))</f>
        <v/>
      </c>
      <c r="B211" s="6" t="inlineStr">
        <is>
          <t>1001198453</t>
        </is>
      </c>
      <c r="C211" s="7" t="inlineStr">
        <is>
          <t>GARCIA DIANA</t>
        </is>
      </c>
      <c r="D211" s="5">
        <f>IF(B211="","",IFERROR(VLOOKUP(B211, PLANTA_BASE!A:R, 5, FALSE), "NO ENCONTRADO EN PLANTA"))</f>
        <v/>
      </c>
      <c r="E211" s="5">
        <f>IF(B211="","",IFERROR(VLOOKUP(B211, PLANTA_BASE!A:R, 6, FALSE), "NO ENCONTRADO EN PLANTA"))</f>
        <v/>
      </c>
      <c r="F211" s="7">
        <f>IF(B211="","",IFERROR(VLOOKUP(B211, PLANTA_BASE!A:R, 8, FALSE), "DOCENTE / FACILITADOR"))</f>
        <v/>
      </c>
      <c r="G211" s="7">
        <f>IF(B211="","",IFERROR(VLOOKUP(B211, PLANTA_BASE!A:R, 9, FALSE), "GENERAL"))</f>
        <v/>
      </c>
      <c r="H211" s="5">
        <f>IF(B211="","",IFERROR(VLOOKUP(B211, PLANTA_BASE!A:R, 17, FALSE), "GENERAL"))</f>
        <v/>
      </c>
    </row>
    <row r="212" ht="20" customHeight="1">
      <c r="A212" s="2">
        <f>IF(B212="","",IFERROR(VLOOKUP(B212, PLANTA_BASE!A:R, 2, FALSE), "NO ENCONTRADO EN PLANTA"))</f>
        <v/>
      </c>
      <c r="B212" s="3" t="inlineStr">
        <is>
          <t>1023872081</t>
        </is>
      </c>
      <c r="C212" s="4" t="inlineStr">
        <is>
          <t>PENA HENRY</t>
        </is>
      </c>
      <c r="D212" s="2">
        <f>IF(B212="","",IFERROR(VLOOKUP(B212, PLANTA_BASE!A:R, 5, FALSE), "NO ENCONTRADO EN PLANTA"))</f>
        <v/>
      </c>
      <c r="E212" s="2">
        <f>IF(B212="","",IFERROR(VLOOKUP(B212, PLANTA_BASE!A:R, 6, FALSE), "NO ENCONTRADO EN PLANTA"))</f>
        <v/>
      </c>
      <c r="F212" s="4">
        <f>IF(B212="","",IFERROR(VLOOKUP(B212, PLANTA_BASE!A:R, 8, FALSE), "DOCENTE / FACILITADOR"))</f>
        <v/>
      </c>
      <c r="G212" s="4">
        <f>IF(B212="","",IFERROR(VLOOKUP(B212, PLANTA_BASE!A:R, 9, FALSE), "GENERAL"))</f>
        <v/>
      </c>
      <c r="H212" s="2">
        <f>IF(B212="","",IFERROR(VLOOKUP(B212, PLANTA_BASE!A:R, 17, FALSE), "GENERAL"))</f>
        <v/>
      </c>
    </row>
    <row r="213" ht="20" customHeight="1">
      <c r="A213" s="5">
        <f>IF(B213="","",IFERROR(VLOOKUP(B213, PLANTA_BASE!A:R, 2, FALSE), "NO ENCONTRADO EN PLANTA"))</f>
        <v/>
      </c>
      <c r="B213" s="6" t="inlineStr">
        <is>
          <t>1010178247</t>
        </is>
      </c>
      <c r="C213" s="7" t="inlineStr">
        <is>
          <t>HOYOS BUCHELI JUAN SEBASTIAN</t>
        </is>
      </c>
      <c r="D213" s="5">
        <f>IF(B213="","",IFERROR(VLOOKUP(B213, PLANTA_BASE!A:R, 5, FALSE), "NO ENCONTRADO EN PLANTA"))</f>
        <v/>
      </c>
      <c r="E213" s="5">
        <f>IF(B213="","",IFERROR(VLOOKUP(B213, PLANTA_BASE!A:R, 6, FALSE), "NO ENCONTRADO EN PLANTA"))</f>
        <v/>
      </c>
      <c r="F213" s="7">
        <f>IF(B213="","",IFERROR(VLOOKUP(B213, PLANTA_BASE!A:R, 8, FALSE), "DOCENTE / FACILITADOR"))</f>
        <v/>
      </c>
      <c r="G213" s="7">
        <f>IF(B213="","",IFERROR(VLOOKUP(B213, PLANTA_BASE!A:R, 9, FALSE), "GENERAL"))</f>
        <v/>
      </c>
      <c r="H213" s="5">
        <f>IF(B213="","",IFERROR(VLOOKUP(B213, PLANTA_BASE!A:R, 17, FALSE), "GENERAL"))</f>
        <v/>
      </c>
    </row>
    <row r="214" ht="20" customHeight="1">
      <c r="A214" s="2">
        <f>IF(B214="","",IFERROR(VLOOKUP(B214, PLANTA_BASE!A:R, 2, FALSE), "NO ENCONTRADO EN PLANTA"))</f>
        <v/>
      </c>
      <c r="B214" s="3" t="inlineStr">
        <is>
          <t>1030666008</t>
        </is>
      </c>
      <c r="C214" s="4" t="inlineStr">
        <is>
          <t>MONTES SERGIO NICOLAS</t>
        </is>
      </c>
      <c r="D214" s="2">
        <f>IF(B214="","",IFERROR(VLOOKUP(B214, PLANTA_BASE!A:R, 5, FALSE), "NO ENCONTRADO EN PLANTA"))</f>
        <v/>
      </c>
      <c r="E214" s="2">
        <f>IF(B214="","",IFERROR(VLOOKUP(B214, PLANTA_BASE!A:R, 6, FALSE), "NO ENCONTRADO EN PLANTA"))</f>
        <v/>
      </c>
      <c r="F214" s="4">
        <f>IF(B214="","",IFERROR(VLOOKUP(B214, PLANTA_BASE!A:R, 8, FALSE), "DOCENTE / FACILITADOR"))</f>
        <v/>
      </c>
      <c r="G214" s="4">
        <f>IF(B214="","",IFERROR(VLOOKUP(B214, PLANTA_BASE!A:R, 9, FALSE), "GENERAL"))</f>
        <v/>
      </c>
      <c r="H214" s="2">
        <f>IF(B214="","",IFERROR(VLOOKUP(B214, PLANTA_BASE!A:R, 17, FALSE), "GENERAL"))</f>
        <v/>
      </c>
    </row>
    <row r="215" ht="20" customHeight="1">
      <c r="A215" s="5">
        <f>IF(B215="","",IFERROR(VLOOKUP(B215, PLANTA_BASE!A:R, 2, FALSE), "NO ENCONTRADO EN PLANTA"))</f>
        <v/>
      </c>
      <c r="B215" s="6" t="inlineStr">
        <is>
          <t>1001066769</t>
        </is>
      </c>
      <c r="C215" s="7" t="inlineStr">
        <is>
          <t>SANABRIA SOFIA</t>
        </is>
      </c>
      <c r="D215" s="5">
        <f>IF(B215="","",IFERROR(VLOOKUP(B215, PLANTA_BASE!A:R, 5, FALSE), "NO ENCONTRADO EN PLANTA"))</f>
        <v/>
      </c>
      <c r="E215" s="5">
        <f>IF(B215="","",IFERROR(VLOOKUP(B215, PLANTA_BASE!A:R, 6, FALSE), "NO ENCONTRADO EN PLANTA"))</f>
        <v/>
      </c>
      <c r="F215" s="7">
        <f>IF(B215="","",IFERROR(VLOOKUP(B215, PLANTA_BASE!A:R, 8, FALSE), "DOCENTE / FACILITADOR"))</f>
        <v/>
      </c>
      <c r="G215" s="7">
        <f>IF(B215="","",IFERROR(VLOOKUP(B215, PLANTA_BASE!A:R, 9, FALSE), "GENERAL"))</f>
        <v/>
      </c>
      <c r="H215" s="5">
        <f>IF(B215="","",IFERROR(VLOOKUP(B215, PLANTA_BASE!A:R, 17, FALSE), "GENERAL"))</f>
        <v/>
      </c>
    </row>
    <row r="216" ht="20" customHeight="1">
      <c r="A216" s="2">
        <f>IF(B216="","",IFERROR(VLOOKUP(B216, PLANTA_BASE!A:R, 2, FALSE), "NO ENCONTRADO EN PLANTA"))</f>
        <v/>
      </c>
      <c r="B216" s="3" t="inlineStr">
        <is>
          <t>1022401925</t>
        </is>
      </c>
      <c r="C216" s="4" t="inlineStr">
        <is>
          <t>DUENAS DAVID</t>
        </is>
      </c>
      <c r="D216" s="2">
        <f>IF(B216="","",IFERROR(VLOOKUP(B216, PLANTA_BASE!A:R, 5, FALSE), "NO ENCONTRADO EN PLANTA"))</f>
        <v/>
      </c>
      <c r="E216" s="2">
        <f>IF(B216="","",IFERROR(VLOOKUP(B216, PLANTA_BASE!A:R, 6, FALSE), "NO ENCONTRADO EN PLANTA"))</f>
        <v/>
      </c>
      <c r="F216" s="4">
        <f>IF(B216="","",IFERROR(VLOOKUP(B216, PLANTA_BASE!A:R, 8, FALSE), "DOCENTE / FACILITADOR"))</f>
        <v/>
      </c>
      <c r="G216" s="4">
        <f>IF(B216="","",IFERROR(VLOOKUP(B216, PLANTA_BASE!A:R, 9, FALSE), "GENERAL"))</f>
        <v/>
      </c>
      <c r="H216" s="2">
        <f>IF(B216="","",IFERROR(VLOOKUP(B216, PLANTA_BASE!A:R, 17, FALSE), "GENERAL"))</f>
        <v/>
      </c>
    </row>
    <row r="217" ht="20" customHeight="1">
      <c r="A217" s="5">
        <f>IF(B217="","",IFERROR(VLOOKUP(B217, PLANTA_BASE!A:R, 2, FALSE), "NO ENCONTRADO EN PLANTA"))</f>
        <v/>
      </c>
      <c r="B217" s="6" t="inlineStr">
        <is>
          <t>1072711668</t>
        </is>
      </c>
      <c r="C217" s="7" t="inlineStr">
        <is>
          <t>CORTES SILVA ANDER</t>
        </is>
      </c>
      <c r="D217" s="5">
        <f>IF(B217="","",IFERROR(VLOOKUP(B217, PLANTA_BASE!A:R, 5, FALSE), "NO ENCONTRADO EN PLANTA"))</f>
        <v/>
      </c>
      <c r="E217" s="5">
        <f>IF(B217="","",IFERROR(VLOOKUP(B217, PLANTA_BASE!A:R, 6, FALSE), "NO ENCONTRADO EN PLANTA"))</f>
        <v/>
      </c>
      <c r="F217" s="7">
        <f>IF(B217="","",IFERROR(VLOOKUP(B217, PLANTA_BASE!A:R, 8, FALSE), "DOCENTE / FACILITADOR"))</f>
        <v/>
      </c>
      <c r="G217" s="7">
        <f>IF(B217="","",IFERROR(VLOOKUP(B217, PLANTA_BASE!A:R, 9, FALSE), "GENERAL"))</f>
        <v/>
      </c>
      <c r="H217" s="5">
        <f>IF(B217="","",IFERROR(VLOOKUP(B217, PLANTA_BASE!A:R, 17, FALSE), "GENERAL"))</f>
        <v/>
      </c>
    </row>
    <row r="218" ht="20" customHeight="1">
      <c r="A218" s="2">
        <f>IF(B218="","",IFERROR(VLOOKUP(B218, PLANTA_BASE!A:R, 2, FALSE), "NO ENCONTRADO EN PLANTA"))</f>
        <v/>
      </c>
      <c r="B218" s="3" t="inlineStr">
        <is>
          <t>1010235173</t>
        </is>
      </c>
      <c r="C218" s="4" t="inlineStr">
        <is>
          <t>BOHORQUEZ PINEROS GABRIELA VALENTINA</t>
        </is>
      </c>
      <c r="D218" s="2">
        <f>IF(B218="","",IFERROR(VLOOKUP(B218, PLANTA_BASE!A:R, 5, FALSE), "NO ENCONTRADO EN PLANTA"))</f>
        <v/>
      </c>
      <c r="E218" s="2">
        <f>IF(B218="","",IFERROR(VLOOKUP(B218, PLANTA_BASE!A:R, 6, FALSE), "NO ENCONTRADO EN PLANTA"))</f>
        <v/>
      </c>
      <c r="F218" s="4">
        <f>IF(B218="","",IFERROR(VLOOKUP(B218, PLANTA_BASE!A:R, 8, FALSE), "DOCENTE / FACILITADOR"))</f>
        <v/>
      </c>
      <c r="G218" s="4">
        <f>IF(B218="","",IFERROR(VLOOKUP(B218, PLANTA_BASE!A:R, 9, FALSE), "GENERAL"))</f>
        <v/>
      </c>
      <c r="H218" s="2">
        <f>IF(B218="","",IFERROR(VLOOKUP(B218, PLANTA_BASE!A:R, 17, FALSE), "GENERAL"))</f>
        <v/>
      </c>
    </row>
    <row r="219" ht="20" customHeight="1">
      <c r="A219" s="5">
        <f>IF(B219="","",IFERROR(VLOOKUP(B219, PLANTA_BASE!A:R, 2, FALSE), "NO ENCONTRADO EN PLANTA"))</f>
        <v/>
      </c>
      <c r="B219" s="6" t="inlineStr">
        <is>
          <t>1032427213</t>
        </is>
      </c>
      <c r="C219" s="7" t="inlineStr">
        <is>
          <t>CASTELLANOS JAQUELINE</t>
        </is>
      </c>
      <c r="D219" s="5">
        <f>IF(B219="","",IFERROR(VLOOKUP(B219, PLANTA_BASE!A:R, 5, FALSE), "NO ENCONTRADO EN PLANTA"))</f>
        <v/>
      </c>
      <c r="E219" s="5">
        <f>IF(B219="","",IFERROR(VLOOKUP(B219, PLANTA_BASE!A:R, 6, FALSE), "NO ENCONTRADO EN PLANTA"))</f>
        <v/>
      </c>
      <c r="F219" s="7">
        <f>IF(B219="","",IFERROR(VLOOKUP(B219, PLANTA_BASE!A:R, 8, FALSE), "DOCENTE / FACILITADOR"))</f>
        <v/>
      </c>
      <c r="G219" s="7">
        <f>IF(B219="","",IFERROR(VLOOKUP(B219, PLANTA_BASE!A:R, 9, FALSE), "GENERAL"))</f>
        <v/>
      </c>
      <c r="H219" s="5">
        <f>IF(B219="","",IFERROR(VLOOKUP(B219, PLANTA_BASE!A:R, 17, FALSE), "GENERAL"))</f>
        <v/>
      </c>
    </row>
    <row r="220" ht="20" customHeight="1">
      <c r="A220" s="2">
        <f>IF(B220="","",IFERROR(VLOOKUP(B220, PLANTA_BASE!A:R, 2, FALSE), "NO ENCONTRADO EN PLANTA"))</f>
        <v/>
      </c>
      <c r="B220" s="3" t="inlineStr">
        <is>
          <t>1013588243</t>
        </is>
      </c>
      <c r="C220" s="4" t="inlineStr">
        <is>
          <t>LAVERDE DONOSO MANUEL LEONARDO</t>
        </is>
      </c>
      <c r="D220" s="2">
        <f>IF(B220="","",IFERROR(VLOOKUP(B220, PLANTA_BASE!A:R, 5, FALSE), "NO ENCONTRADO EN PLANTA"))</f>
        <v/>
      </c>
      <c r="E220" s="2">
        <f>IF(B220="","",IFERROR(VLOOKUP(B220, PLANTA_BASE!A:R, 6, FALSE), "NO ENCONTRADO EN PLANTA"))</f>
        <v/>
      </c>
      <c r="F220" s="4">
        <f>IF(B220="","",IFERROR(VLOOKUP(B220, PLANTA_BASE!A:R, 8, FALSE), "DOCENTE / FACILITADOR"))</f>
        <v/>
      </c>
      <c r="G220" s="4">
        <f>IF(B220="","",IFERROR(VLOOKUP(B220, PLANTA_BASE!A:R, 9, FALSE), "GENERAL"))</f>
        <v/>
      </c>
      <c r="H220" s="2">
        <f>IF(B220="","",IFERROR(VLOOKUP(B220, PLANTA_BASE!A:R, 17, FALSE), "GENERAL"))</f>
        <v/>
      </c>
    </row>
    <row r="221" ht="20" customHeight="1">
      <c r="A221" s="5">
        <f>IF(B221="","",IFERROR(VLOOKUP(B221, PLANTA_BASE!A:R, 2, FALSE), "NO ENCONTRADO EN PLANTA"))</f>
        <v/>
      </c>
      <c r="B221" s="6" t="inlineStr">
        <is>
          <t>1052409524</t>
        </is>
      </c>
      <c r="C221" s="7" t="inlineStr">
        <is>
          <t>RODRIGUEZ JOHAN FELIPE</t>
        </is>
      </c>
      <c r="D221" s="5">
        <f>IF(B221="","",IFERROR(VLOOKUP(B221, PLANTA_BASE!A:R, 5, FALSE), "NO ENCONTRADO EN PLANTA"))</f>
        <v/>
      </c>
      <c r="E221" s="5">
        <f>IF(B221="","",IFERROR(VLOOKUP(B221, PLANTA_BASE!A:R, 6, FALSE), "NO ENCONTRADO EN PLANTA"))</f>
        <v/>
      </c>
      <c r="F221" s="7">
        <f>IF(B221="","",IFERROR(VLOOKUP(B221, PLANTA_BASE!A:R, 8, FALSE), "DOCENTE / FACILITADOR"))</f>
        <v/>
      </c>
      <c r="G221" s="7">
        <f>IF(B221="","",IFERROR(VLOOKUP(B221, PLANTA_BASE!A:R, 9, FALSE), "GENERAL"))</f>
        <v/>
      </c>
      <c r="H221" s="5">
        <f>IF(B221="","",IFERROR(VLOOKUP(B221, PLANTA_BASE!A:R, 17, FALSE), "GENERAL"))</f>
        <v/>
      </c>
    </row>
    <row r="222" ht="20" customHeight="1">
      <c r="A222" s="2">
        <f>IF(B222="","",IFERROR(VLOOKUP(B222, PLANTA_BASE!A:R, 2, FALSE), "NO ENCONTRADO EN PLANTA"))</f>
        <v/>
      </c>
      <c r="B222" s="3" t="inlineStr">
        <is>
          <t>1030640485</t>
        </is>
      </c>
      <c r="C222" s="4" t="inlineStr">
        <is>
          <t>VALERO ROMERO ADRIANA</t>
        </is>
      </c>
      <c r="D222" s="2">
        <f>IF(B222="","",IFERROR(VLOOKUP(B222, PLANTA_BASE!A:R, 5, FALSE), "NO ENCONTRADO EN PLANTA"))</f>
        <v/>
      </c>
      <c r="E222" s="2">
        <f>IF(B222="","",IFERROR(VLOOKUP(B222, PLANTA_BASE!A:R, 6, FALSE), "NO ENCONTRADO EN PLANTA"))</f>
        <v/>
      </c>
      <c r="F222" s="4">
        <f>IF(B222="","",IFERROR(VLOOKUP(B222, PLANTA_BASE!A:R, 8, FALSE), "DOCENTE / FACILITADOR"))</f>
        <v/>
      </c>
      <c r="G222" s="4">
        <f>IF(B222="","",IFERROR(VLOOKUP(B222, PLANTA_BASE!A:R, 9, FALSE), "GENERAL"))</f>
        <v/>
      </c>
      <c r="H222" s="2">
        <f>IF(B222="","",IFERROR(VLOOKUP(B222, PLANTA_BASE!A:R, 17, FALSE), "GENERAL"))</f>
        <v/>
      </c>
    </row>
    <row r="223" ht="20" customHeight="1">
      <c r="A223" s="5">
        <f>IF(B223="","",IFERROR(VLOOKUP(B223, PLANTA_BASE!A:R, 2, FALSE), "NO ENCONTRADO EN PLANTA"))</f>
        <v/>
      </c>
      <c r="B223" s="6" t="inlineStr">
        <is>
          <t>39810178</t>
        </is>
      </c>
      <c r="C223" s="7" t="inlineStr">
        <is>
          <t>LOPEZ ALBARRACIN LUZ DARY</t>
        </is>
      </c>
      <c r="D223" s="5">
        <f>IF(B223="","",IFERROR(VLOOKUP(B223, PLANTA_BASE!A:R, 5, FALSE), "NO ENCONTRADO EN PLANTA"))</f>
        <v/>
      </c>
      <c r="E223" s="5">
        <f>IF(B223="","",IFERROR(VLOOKUP(B223, PLANTA_BASE!A:R, 6, FALSE), "NO ENCONTRADO EN PLANTA"))</f>
        <v/>
      </c>
      <c r="F223" s="7">
        <f>IF(B223="","",IFERROR(VLOOKUP(B223, PLANTA_BASE!A:R, 8, FALSE), "DOCENTE / FACILITADOR"))</f>
        <v/>
      </c>
      <c r="G223" s="7">
        <f>IF(B223="","",IFERROR(VLOOKUP(B223, PLANTA_BASE!A:R, 9, FALSE), "GENERAL"))</f>
        <v/>
      </c>
      <c r="H223" s="5">
        <f>IF(B223="","",IFERROR(VLOOKUP(B223, PLANTA_BASE!A:R, 17, FALSE), "GENERAL"))</f>
        <v/>
      </c>
    </row>
    <row r="224" ht="20" customHeight="1">
      <c r="A224" s="2">
        <f>IF(B224="","",IFERROR(VLOOKUP(B224, PLANTA_BASE!A:R, 2, FALSE), "NO ENCONTRADO EN PLANTA"))</f>
        <v/>
      </c>
      <c r="B224" s="3" t="inlineStr">
        <is>
          <t>1030653098</t>
        </is>
      </c>
      <c r="C224" s="4" t="inlineStr">
        <is>
          <t>MORENO QUIROGA PAULA DANIELA</t>
        </is>
      </c>
      <c r="D224" s="2">
        <f>IF(B224="","",IFERROR(VLOOKUP(B224, PLANTA_BASE!A:R, 5, FALSE), "NO ENCONTRADO EN PLANTA"))</f>
        <v/>
      </c>
      <c r="E224" s="2">
        <f>IF(B224="","",IFERROR(VLOOKUP(B224, PLANTA_BASE!A:R, 6, FALSE), "NO ENCONTRADO EN PLANTA"))</f>
        <v/>
      </c>
      <c r="F224" s="4">
        <f>IF(B224="","",IFERROR(VLOOKUP(B224, PLANTA_BASE!A:R, 8, FALSE), "DOCENTE / FACILITADOR"))</f>
        <v/>
      </c>
      <c r="G224" s="4">
        <f>IF(B224="","",IFERROR(VLOOKUP(B224, PLANTA_BASE!A:R, 9, FALSE), "GENERAL"))</f>
        <v/>
      </c>
      <c r="H224" s="2">
        <f>IF(B224="","",IFERROR(VLOOKUP(B224, PLANTA_BASE!A:R, 17, FALSE), "GENERAL"))</f>
        <v/>
      </c>
    </row>
    <row r="225" ht="20" customHeight="1">
      <c r="A225" s="5">
        <f>IF(B225="","",IFERROR(VLOOKUP(B225, PLANTA_BASE!A:R, 2, FALSE), "NO ENCONTRADO EN PLANTA"))</f>
        <v/>
      </c>
      <c r="B225" s="6" t="inlineStr">
        <is>
          <t>1032476792</t>
        </is>
      </c>
      <c r="C225" s="7" t="inlineStr">
        <is>
          <t>GOMEZ DIAZ JUAN MANUEL</t>
        </is>
      </c>
      <c r="D225" s="5">
        <f>IF(B225="","",IFERROR(VLOOKUP(B225, PLANTA_BASE!A:R, 5, FALSE), "NO ENCONTRADO EN PLANTA"))</f>
        <v/>
      </c>
      <c r="E225" s="5">
        <f>IF(B225="","",IFERROR(VLOOKUP(B225, PLANTA_BASE!A:R, 6, FALSE), "NO ENCONTRADO EN PLANTA"))</f>
        <v/>
      </c>
      <c r="F225" s="7">
        <f>IF(B225="","",IFERROR(VLOOKUP(B225, PLANTA_BASE!A:R, 8, FALSE), "DOCENTE / FACILITADOR"))</f>
        <v/>
      </c>
      <c r="G225" s="7">
        <f>IF(B225="","",IFERROR(VLOOKUP(B225, PLANTA_BASE!A:R, 9, FALSE), "GENERAL"))</f>
        <v/>
      </c>
      <c r="H225" s="5">
        <f>IF(B225="","",IFERROR(VLOOKUP(B225, PLANTA_BASE!A:R, 17, FALSE), "GENERAL"))</f>
        <v/>
      </c>
    </row>
    <row r="226" ht="20" customHeight="1">
      <c r="A226" s="2">
        <f>IF(B226="","",IFERROR(VLOOKUP(B226, PLANTA_BASE!A:R, 2, FALSE), "NO ENCONTRADO EN PLANTA"))</f>
        <v/>
      </c>
      <c r="B226" s="3" t="inlineStr">
        <is>
          <t>1026287497</t>
        </is>
      </c>
      <c r="C226" s="4" t="inlineStr">
        <is>
          <t>PORTILLO CATHERINE</t>
        </is>
      </c>
      <c r="D226" s="2">
        <f>IF(B226="","",IFERROR(VLOOKUP(B226, PLANTA_BASE!A:R, 5, FALSE), "NO ENCONTRADO EN PLANTA"))</f>
        <v/>
      </c>
      <c r="E226" s="2">
        <f>IF(B226="","",IFERROR(VLOOKUP(B226, PLANTA_BASE!A:R, 6, FALSE), "NO ENCONTRADO EN PLANTA"))</f>
        <v/>
      </c>
      <c r="F226" s="4">
        <f>IF(B226="","",IFERROR(VLOOKUP(B226, PLANTA_BASE!A:R, 8, FALSE), "DOCENTE / FACILITADOR"))</f>
        <v/>
      </c>
      <c r="G226" s="4">
        <f>IF(B226="","",IFERROR(VLOOKUP(B226, PLANTA_BASE!A:R, 9, FALSE), "GENERAL"))</f>
        <v/>
      </c>
      <c r="H226" s="2">
        <f>IF(B226="","",IFERROR(VLOOKUP(B226, PLANTA_BASE!A:R, 17, FALSE), "GENERAL"))</f>
        <v/>
      </c>
    </row>
    <row r="227" ht="20" customHeight="1">
      <c r="A227" s="5">
        <f>IF(B227="","",IFERROR(VLOOKUP(B227, PLANTA_BASE!A:R, 2, FALSE), "NO ENCONTRADO EN PLANTA"))</f>
        <v/>
      </c>
      <c r="B227" s="6" t="inlineStr">
        <is>
          <t>1140901643</t>
        </is>
      </c>
      <c r="C227" s="7" t="inlineStr">
        <is>
          <t>CARO TEJERA ANDRES FELIPE</t>
        </is>
      </c>
      <c r="D227" s="5">
        <f>IF(B227="","",IFERROR(VLOOKUP(B227, PLANTA_BASE!A:R, 5, FALSE), "NO ENCONTRADO EN PLANTA"))</f>
        <v/>
      </c>
      <c r="E227" s="5">
        <f>IF(B227="","",IFERROR(VLOOKUP(B227, PLANTA_BASE!A:R, 6, FALSE), "NO ENCONTRADO EN PLANTA"))</f>
        <v/>
      </c>
      <c r="F227" s="7">
        <f>IF(B227="","",IFERROR(VLOOKUP(B227, PLANTA_BASE!A:R, 8, FALSE), "DOCENTE / FACILITADOR"))</f>
        <v/>
      </c>
      <c r="G227" s="7">
        <f>IF(B227="","",IFERROR(VLOOKUP(B227, PLANTA_BASE!A:R, 9, FALSE), "GENERAL"))</f>
        <v/>
      </c>
      <c r="H227" s="5">
        <f>IF(B227="","",IFERROR(VLOOKUP(B227, PLANTA_BASE!A:R, 17, FALSE), "GENERAL"))</f>
        <v/>
      </c>
    </row>
    <row r="228" ht="20" customHeight="1">
      <c r="A228" s="2">
        <f>IF(B228="","",IFERROR(VLOOKUP(B228, PLANTA_BASE!A:R, 2, FALSE), "NO ENCONTRADO EN PLANTA"))</f>
        <v/>
      </c>
      <c r="B228" s="3" t="inlineStr">
        <is>
          <t>1032443752</t>
        </is>
      </c>
      <c r="C228" s="4" t="inlineStr">
        <is>
          <t>LARA RODRIGUEZ SANDRA MILENA</t>
        </is>
      </c>
      <c r="D228" s="2">
        <f>IF(B228="","",IFERROR(VLOOKUP(B228, PLANTA_BASE!A:R, 5, FALSE), "NO ENCONTRADO EN PLANTA"))</f>
        <v/>
      </c>
      <c r="E228" s="2">
        <f>IF(B228="","",IFERROR(VLOOKUP(B228, PLANTA_BASE!A:R, 6, FALSE), "NO ENCONTRADO EN PLANTA"))</f>
        <v/>
      </c>
      <c r="F228" s="4">
        <f>IF(B228="","",IFERROR(VLOOKUP(B228, PLANTA_BASE!A:R, 8, FALSE), "DOCENTE / FACILITADOR"))</f>
        <v/>
      </c>
      <c r="G228" s="4">
        <f>IF(B228="","",IFERROR(VLOOKUP(B228, PLANTA_BASE!A:R, 9, FALSE), "GENERAL"))</f>
        <v/>
      </c>
      <c r="H228" s="2">
        <f>IF(B228="","",IFERROR(VLOOKUP(B228, PLANTA_BASE!A:R, 17, FALSE), "GENERAL"))</f>
        <v/>
      </c>
    </row>
    <row r="229" ht="20" customHeight="1">
      <c r="A229" s="5">
        <f>IF(B229="","",IFERROR(VLOOKUP(B229, PLANTA_BASE!A:R, 2, FALSE), "NO ENCONTRADO EN PLANTA"))</f>
        <v/>
      </c>
      <c r="B229" s="6" t="inlineStr">
        <is>
          <t>80472066</t>
        </is>
      </c>
      <c r="C229" s="7" t="inlineStr">
        <is>
          <t>HERNANDEZ DANIEL</t>
        </is>
      </c>
      <c r="D229" s="5">
        <f>IF(B229="","",IFERROR(VLOOKUP(B229, PLANTA_BASE!A:R, 5, FALSE), "NO ENCONTRADO EN PLANTA"))</f>
        <v/>
      </c>
      <c r="E229" s="5">
        <f>IF(B229="","",IFERROR(VLOOKUP(B229, PLANTA_BASE!A:R, 6, FALSE), "NO ENCONTRADO EN PLANTA"))</f>
        <v/>
      </c>
      <c r="F229" s="7">
        <f>IF(B229="","",IFERROR(VLOOKUP(B229, PLANTA_BASE!A:R, 8, FALSE), "DOCENTE / FACILITADOR"))</f>
        <v/>
      </c>
      <c r="G229" s="7">
        <f>IF(B229="","",IFERROR(VLOOKUP(B229, PLANTA_BASE!A:R, 9, FALSE), "GENERAL"))</f>
        <v/>
      </c>
      <c r="H229" s="5">
        <f>IF(B229="","",IFERROR(VLOOKUP(B229, PLANTA_BASE!A:R, 17, FALSE), "GENERAL"))</f>
        <v/>
      </c>
    </row>
    <row r="230" ht="20" customHeight="1">
      <c r="A230" s="2">
        <f>IF(B230="","",IFERROR(VLOOKUP(B230, PLANTA_BASE!A:R, 2, FALSE), "NO ENCONTRADO EN PLANTA"))</f>
        <v/>
      </c>
      <c r="B230" s="3" t="inlineStr">
        <is>
          <t>65786864</t>
        </is>
      </c>
      <c r="C230" s="4" t="inlineStr">
        <is>
          <t>MEDINA CASTANEDA YAMILE</t>
        </is>
      </c>
      <c r="D230" s="2">
        <f>IF(B230="","",IFERROR(VLOOKUP(B230, PLANTA_BASE!A:R, 5, FALSE), "NO ENCONTRADO EN PLANTA"))</f>
        <v/>
      </c>
      <c r="E230" s="2">
        <f>IF(B230="","",IFERROR(VLOOKUP(B230, PLANTA_BASE!A:R, 6, FALSE), "NO ENCONTRADO EN PLANTA"))</f>
        <v/>
      </c>
      <c r="F230" s="4">
        <f>IF(B230="","",IFERROR(VLOOKUP(B230, PLANTA_BASE!A:R, 8, FALSE), "DOCENTE / FACILITADOR"))</f>
        <v/>
      </c>
      <c r="G230" s="4">
        <f>IF(B230="","",IFERROR(VLOOKUP(B230, PLANTA_BASE!A:R, 9, FALSE), "GENERAL"))</f>
        <v/>
      </c>
      <c r="H230" s="2">
        <f>IF(B230="","",IFERROR(VLOOKUP(B230, PLANTA_BASE!A:R, 17, FALSE), "GENERAL"))</f>
        <v/>
      </c>
    </row>
    <row r="231" ht="20" customHeight="1">
      <c r="A231" s="5">
        <f>IF(B231="","",IFERROR(VLOOKUP(B231, PLANTA_BASE!A:R, 2, FALSE), "NO ENCONTRADO EN PLANTA"))</f>
        <v/>
      </c>
      <c r="B231" s="6" t="inlineStr">
        <is>
          <t>80214679</t>
        </is>
      </c>
      <c r="C231" s="7" t="inlineStr">
        <is>
          <t>SALINAS TACUMA ENRIQUE</t>
        </is>
      </c>
      <c r="D231" s="5">
        <f>IF(B231="","",IFERROR(VLOOKUP(B231, PLANTA_BASE!A:R, 5, FALSE), "NO ENCONTRADO EN PLANTA"))</f>
        <v/>
      </c>
      <c r="E231" s="5">
        <f>IF(B231="","",IFERROR(VLOOKUP(B231, PLANTA_BASE!A:R, 6, FALSE), "NO ENCONTRADO EN PLANTA"))</f>
        <v/>
      </c>
      <c r="F231" s="7">
        <f>IF(B231="","",IFERROR(VLOOKUP(B231, PLANTA_BASE!A:R, 8, FALSE), "DOCENTE / FACILITADOR"))</f>
        <v/>
      </c>
      <c r="G231" s="7">
        <f>IF(B231="","",IFERROR(VLOOKUP(B231, PLANTA_BASE!A:R, 9, FALSE), "GENERAL"))</f>
        <v/>
      </c>
      <c r="H231" s="5">
        <f>IF(B231="","",IFERROR(VLOOKUP(B231, PLANTA_BASE!A:R, 17, FALSE), "GENERAL"))</f>
        <v/>
      </c>
    </row>
    <row r="232" ht="20" customHeight="1">
      <c r="A232" s="2">
        <f>IF(B232="","",IFERROR(VLOOKUP(B232, PLANTA_BASE!A:R, 2, FALSE), "NO ENCONTRADO EN PLANTA"))</f>
        <v/>
      </c>
      <c r="B232" s="3" t="inlineStr">
        <is>
          <t>1033686550</t>
        </is>
      </c>
      <c r="C232" s="4" t="inlineStr">
        <is>
          <t>BATERO MANSO DIEGO FERNANDO</t>
        </is>
      </c>
      <c r="D232" s="2">
        <f>IF(B232="","",IFERROR(VLOOKUP(B232, PLANTA_BASE!A:R, 5, FALSE), "NO ENCONTRADO EN PLANTA"))</f>
        <v/>
      </c>
      <c r="E232" s="2">
        <f>IF(B232="","",IFERROR(VLOOKUP(B232, PLANTA_BASE!A:R, 6, FALSE), "NO ENCONTRADO EN PLANTA"))</f>
        <v/>
      </c>
      <c r="F232" s="4">
        <f>IF(B232="","",IFERROR(VLOOKUP(B232, PLANTA_BASE!A:R, 8, FALSE), "DOCENTE / FACILITADOR"))</f>
        <v/>
      </c>
      <c r="G232" s="4">
        <f>IF(B232="","",IFERROR(VLOOKUP(B232, PLANTA_BASE!A:R, 9, FALSE), "GENERAL"))</f>
        <v/>
      </c>
      <c r="H232" s="2">
        <f>IF(B232="","",IFERROR(VLOOKUP(B232, PLANTA_BASE!A:R, 17, FALSE), "GENERAL"))</f>
        <v/>
      </c>
    </row>
    <row r="233" ht="20" customHeight="1">
      <c r="A233" s="5">
        <f>IF(B233="","",IFERROR(VLOOKUP(B233, PLANTA_BASE!A:R, 2, FALSE), "NO ENCONTRADO EN PLANTA"))</f>
        <v/>
      </c>
      <c r="B233" s="6" t="inlineStr">
        <is>
          <t>1010179348</t>
        </is>
      </c>
      <c r="C233" s="7" t="inlineStr">
        <is>
          <t>CAMACHO OSORIO JUAN CAMILO</t>
        </is>
      </c>
      <c r="D233" s="5">
        <f>IF(B233="","",IFERROR(VLOOKUP(B233, PLANTA_BASE!A:R, 5, FALSE), "NO ENCONTRADO EN PLANTA"))</f>
        <v/>
      </c>
      <c r="E233" s="5">
        <f>IF(B233="","",IFERROR(VLOOKUP(B233, PLANTA_BASE!A:R, 6, FALSE), "NO ENCONTRADO EN PLANTA"))</f>
        <v/>
      </c>
      <c r="F233" s="7">
        <f>IF(B233="","",IFERROR(VLOOKUP(B233, PLANTA_BASE!A:R, 8, FALSE), "DOCENTE / FACILITADOR"))</f>
        <v/>
      </c>
      <c r="G233" s="7">
        <f>IF(B233="","",IFERROR(VLOOKUP(B233, PLANTA_BASE!A:R, 9, FALSE), "GENERAL"))</f>
        <v/>
      </c>
      <c r="H233" s="5">
        <f>IF(B233="","",IFERROR(VLOOKUP(B233, PLANTA_BASE!A:R, 17, FALSE), "GENERAL"))</f>
        <v/>
      </c>
    </row>
    <row r="234" ht="20" customHeight="1">
      <c r="A234" s="2">
        <f>IF(B234="","",IFERROR(VLOOKUP(B234, PLANTA_BASE!A:R, 2, FALSE), "NO ENCONTRADO EN PLANTA"))</f>
        <v/>
      </c>
      <c r="B234" s="3" t="inlineStr">
        <is>
          <t>1018498480</t>
        </is>
      </c>
      <c r="C234" s="4" t="inlineStr">
        <is>
          <t>AGATON DARIO</t>
        </is>
      </c>
      <c r="D234" s="2">
        <f>IF(B234="","",IFERROR(VLOOKUP(B234, PLANTA_BASE!A:R, 5, FALSE), "NO ENCONTRADO EN PLANTA"))</f>
        <v/>
      </c>
      <c r="E234" s="2">
        <f>IF(B234="","",IFERROR(VLOOKUP(B234, PLANTA_BASE!A:R, 6, FALSE), "NO ENCONTRADO EN PLANTA"))</f>
        <v/>
      </c>
      <c r="F234" s="4">
        <f>IF(B234="","",IFERROR(VLOOKUP(B234, PLANTA_BASE!A:R, 8, FALSE), "DOCENTE / FACILITADOR"))</f>
        <v/>
      </c>
      <c r="G234" s="4">
        <f>IF(B234="","",IFERROR(VLOOKUP(B234, PLANTA_BASE!A:R, 9, FALSE), "GENERAL"))</f>
        <v/>
      </c>
      <c r="H234" s="2">
        <f>IF(B234="","",IFERROR(VLOOKUP(B234, PLANTA_BASE!A:R, 17, FALSE), "GENERAL"))</f>
        <v/>
      </c>
    </row>
    <row r="235" ht="20" customHeight="1">
      <c r="A235" s="5">
        <f>IF(B235="","",IFERROR(VLOOKUP(B235, PLANTA_BASE!A:R, 2, FALSE), "NO ENCONTRADO EN PLANTA"))</f>
        <v/>
      </c>
      <c r="B235" s="6" t="inlineStr">
        <is>
          <t>1013623928</t>
        </is>
      </c>
      <c r="C235" s="7" t="inlineStr">
        <is>
          <t>BEJARANO HANS</t>
        </is>
      </c>
      <c r="D235" s="5">
        <f>IF(B235="","",IFERROR(VLOOKUP(B235, PLANTA_BASE!A:R, 5, FALSE), "NO ENCONTRADO EN PLANTA"))</f>
        <v/>
      </c>
      <c r="E235" s="5">
        <f>IF(B235="","",IFERROR(VLOOKUP(B235, PLANTA_BASE!A:R, 6, FALSE), "NO ENCONTRADO EN PLANTA"))</f>
        <v/>
      </c>
      <c r="F235" s="7">
        <f>IF(B235="","",IFERROR(VLOOKUP(B235, PLANTA_BASE!A:R, 8, FALSE), "DOCENTE / FACILITADOR"))</f>
        <v/>
      </c>
      <c r="G235" s="7">
        <f>IF(B235="","",IFERROR(VLOOKUP(B235, PLANTA_BASE!A:R, 9, FALSE), "GENERAL"))</f>
        <v/>
      </c>
      <c r="H235" s="5">
        <f>IF(B235="","",IFERROR(VLOOKUP(B235, PLANTA_BASE!A:R, 17, FALSE), "GENERAL"))</f>
        <v/>
      </c>
    </row>
    <row r="236" ht="20" customHeight="1">
      <c r="A236" s="2">
        <f>IF(B236="","",IFERROR(VLOOKUP(B236, PLANTA_BASE!A:R, 2, FALSE), "NO ENCONTRADO EN PLANTA"))</f>
        <v/>
      </c>
      <c r="B236" s="3" t="inlineStr">
        <is>
          <t>80099289</t>
        </is>
      </c>
      <c r="C236" s="4" t="inlineStr">
        <is>
          <t>SOTELO ANDRES</t>
        </is>
      </c>
      <c r="D236" s="2">
        <f>IF(B236="","",IFERROR(VLOOKUP(B236, PLANTA_BASE!A:R, 5, FALSE), "NO ENCONTRADO EN PLANTA"))</f>
        <v/>
      </c>
      <c r="E236" s="2">
        <f>IF(B236="","",IFERROR(VLOOKUP(B236, PLANTA_BASE!A:R, 6, FALSE), "NO ENCONTRADO EN PLANTA"))</f>
        <v/>
      </c>
      <c r="F236" s="4">
        <f>IF(B236="","",IFERROR(VLOOKUP(B236, PLANTA_BASE!A:R, 8, FALSE), "DOCENTE / FACILITADOR"))</f>
        <v/>
      </c>
      <c r="G236" s="4">
        <f>IF(B236="","",IFERROR(VLOOKUP(B236, PLANTA_BASE!A:R, 9, FALSE), "GENERAL"))</f>
        <v/>
      </c>
      <c r="H236" s="2">
        <f>IF(B236="","",IFERROR(VLOOKUP(B236, PLANTA_BASE!A:R, 17, FALSE), "GENERAL"))</f>
        <v/>
      </c>
    </row>
    <row r="237" ht="20" customHeight="1">
      <c r="A237" s="5">
        <f>IF(B237="","",IFERROR(VLOOKUP(B237, PLANTA_BASE!A:R, 2, FALSE), "NO ENCONTRADO EN PLANTA"))</f>
        <v/>
      </c>
      <c r="B237" s="6" t="inlineStr">
        <is>
          <t>60326987</t>
        </is>
      </c>
      <c r="C237" s="7" t="inlineStr">
        <is>
          <t>MELO ISCALA BLANCA HAYDEE</t>
        </is>
      </c>
      <c r="D237" s="5">
        <f>IF(B237="","",IFERROR(VLOOKUP(B237, PLANTA_BASE!A:R, 5, FALSE), "NO ENCONTRADO EN PLANTA"))</f>
        <v/>
      </c>
      <c r="E237" s="5">
        <f>IF(B237="","",IFERROR(VLOOKUP(B237, PLANTA_BASE!A:R, 6, FALSE), "NO ENCONTRADO EN PLANTA"))</f>
        <v/>
      </c>
      <c r="F237" s="7">
        <f>IF(B237="","",IFERROR(VLOOKUP(B237, PLANTA_BASE!A:R, 8, FALSE), "DOCENTE / FACILITADOR"))</f>
        <v/>
      </c>
      <c r="G237" s="7">
        <f>IF(B237="","",IFERROR(VLOOKUP(B237, PLANTA_BASE!A:R, 9, FALSE), "GENERAL"))</f>
        <v/>
      </c>
      <c r="H237" s="5">
        <f>IF(B237="","",IFERROR(VLOOKUP(B237, PLANTA_BASE!A:R, 17, FALSE), "GENERAL"))</f>
        <v/>
      </c>
    </row>
    <row r="238" ht="20" customHeight="1">
      <c r="A238" s="2">
        <f>IF(B238="","",IFERROR(VLOOKUP(B238, PLANTA_BASE!A:R, 2, FALSE), "NO ENCONTRADO EN PLANTA"))</f>
        <v/>
      </c>
      <c r="B238" s="3" t="inlineStr">
        <is>
          <t>1075874836</t>
        </is>
      </c>
      <c r="C238" s="4" t="inlineStr">
        <is>
          <t>PINILLA DIEGO</t>
        </is>
      </c>
      <c r="D238" s="2">
        <f>IF(B238="","",IFERROR(VLOOKUP(B238, PLANTA_BASE!A:R, 5, FALSE), "NO ENCONTRADO EN PLANTA"))</f>
        <v/>
      </c>
      <c r="E238" s="2">
        <f>IF(B238="","",IFERROR(VLOOKUP(B238, PLANTA_BASE!A:R, 6, FALSE), "NO ENCONTRADO EN PLANTA"))</f>
        <v/>
      </c>
      <c r="F238" s="4">
        <f>IF(B238="","",IFERROR(VLOOKUP(B238, PLANTA_BASE!A:R, 8, FALSE), "DOCENTE / FACILITADOR"))</f>
        <v/>
      </c>
      <c r="G238" s="4">
        <f>IF(B238="","",IFERROR(VLOOKUP(B238, PLANTA_BASE!A:R, 9, FALSE), "GENERAL"))</f>
        <v/>
      </c>
      <c r="H238" s="2">
        <f>IF(B238="","",IFERROR(VLOOKUP(B238, PLANTA_BASE!A:R, 17, FALSE), "GENERAL"))</f>
        <v/>
      </c>
    </row>
    <row r="239" ht="20" customHeight="1">
      <c r="A239" s="5">
        <f>IF(B239="","",IFERROR(VLOOKUP(B239, PLANTA_BASE!A:R, 2, FALSE), "NO ENCONTRADO EN PLANTA"))</f>
        <v/>
      </c>
      <c r="B239" s="6" t="inlineStr">
        <is>
          <t>53118361</t>
        </is>
      </c>
      <c r="C239" s="7" t="inlineStr">
        <is>
          <t>LOPEZ ZAMBRANO NATHALIA</t>
        </is>
      </c>
      <c r="D239" s="5">
        <f>IF(B239="","",IFERROR(VLOOKUP(B239, PLANTA_BASE!A:R, 5, FALSE), "NO ENCONTRADO EN PLANTA"))</f>
        <v/>
      </c>
      <c r="E239" s="5">
        <f>IF(B239="","",IFERROR(VLOOKUP(B239, PLANTA_BASE!A:R, 6, FALSE), "NO ENCONTRADO EN PLANTA"))</f>
        <v/>
      </c>
      <c r="F239" s="7">
        <f>IF(B239="","",IFERROR(VLOOKUP(B239, PLANTA_BASE!A:R, 8, FALSE), "DOCENTE / FACILITADOR"))</f>
        <v/>
      </c>
      <c r="G239" s="7">
        <f>IF(B239="","",IFERROR(VLOOKUP(B239, PLANTA_BASE!A:R, 9, FALSE), "GENERAL"))</f>
        <v/>
      </c>
      <c r="H239" s="5">
        <f>IF(B239="","",IFERROR(VLOOKUP(B239, PLANTA_BASE!A:R, 17, FALSE), "GENERAL"))</f>
        <v/>
      </c>
    </row>
    <row r="240" ht="20" customHeight="1">
      <c r="A240" s="2">
        <f>IF(B240="","",IFERROR(VLOOKUP(B240, PLANTA_BASE!A:R, 2, FALSE), "NO ENCONTRADO EN PLANTA"))</f>
        <v/>
      </c>
      <c r="B240" s="3" t="inlineStr">
        <is>
          <t>1020806074</t>
        </is>
      </c>
      <c r="C240" s="4" t="inlineStr">
        <is>
          <t>MARTINEZ NICOLAS</t>
        </is>
      </c>
      <c r="D240" s="2">
        <f>IF(B240="","",IFERROR(VLOOKUP(B240, PLANTA_BASE!A:R, 5, FALSE), "NO ENCONTRADO EN PLANTA"))</f>
        <v/>
      </c>
      <c r="E240" s="2">
        <f>IF(B240="","",IFERROR(VLOOKUP(B240, PLANTA_BASE!A:R, 6, FALSE), "NO ENCONTRADO EN PLANTA"))</f>
        <v/>
      </c>
      <c r="F240" s="4">
        <f>IF(B240="","",IFERROR(VLOOKUP(B240, PLANTA_BASE!A:R, 8, FALSE), "DOCENTE / FACILITADOR"))</f>
        <v/>
      </c>
      <c r="G240" s="4">
        <f>IF(B240="","",IFERROR(VLOOKUP(B240, PLANTA_BASE!A:R, 9, FALSE), "GENERAL"))</f>
        <v/>
      </c>
      <c r="H240" s="2">
        <f>IF(B240="","",IFERROR(VLOOKUP(B240, PLANTA_BASE!A:R, 17, FALSE), "GENERAL"))</f>
        <v/>
      </c>
    </row>
    <row r="241" ht="20" customHeight="1">
      <c r="A241" s="5">
        <f>IF(B241="","",IFERROR(VLOOKUP(B241, PLANTA_BASE!A:R, 2, FALSE), "NO ENCONTRADO EN PLANTA"))</f>
        <v/>
      </c>
      <c r="B241" s="6" t="inlineStr">
        <is>
          <t>80165920</t>
        </is>
      </c>
      <c r="C241" s="7" t="inlineStr">
        <is>
          <t>SAAVEDRA COTRINA DEIVER</t>
        </is>
      </c>
      <c r="D241" s="5">
        <f>IF(B241="","",IFERROR(VLOOKUP(B241, PLANTA_BASE!A:R, 5, FALSE), "NO ENCONTRADO EN PLANTA"))</f>
        <v/>
      </c>
      <c r="E241" s="5">
        <f>IF(B241="","",IFERROR(VLOOKUP(B241, PLANTA_BASE!A:R, 6, FALSE), "NO ENCONTRADO EN PLANTA"))</f>
        <v/>
      </c>
      <c r="F241" s="7">
        <f>IF(B241="","",IFERROR(VLOOKUP(B241, PLANTA_BASE!A:R, 8, FALSE), "DOCENTE / FACILITADOR"))</f>
        <v/>
      </c>
      <c r="G241" s="7">
        <f>IF(B241="","",IFERROR(VLOOKUP(B241, PLANTA_BASE!A:R, 9, FALSE), "GENERAL"))</f>
        <v/>
      </c>
      <c r="H241" s="5">
        <f>IF(B241="","",IFERROR(VLOOKUP(B241, PLANTA_BASE!A:R, 17, FALSE), "GENERAL"))</f>
        <v/>
      </c>
    </row>
    <row r="242" ht="20" customHeight="1">
      <c r="A242" s="2">
        <f>IF(B242="","",IFERROR(VLOOKUP(B242, PLANTA_BASE!A:R, 2, FALSE), "NO ENCONTRADO EN PLANTA"))</f>
        <v/>
      </c>
      <c r="B242" s="3" t="inlineStr">
        <is>
          <t>79999330</t>
        </is>
      </c>
      <c r="C242" s="4" t="inlineStr">
        <is>
          <t>ARIAS CHAVARRO LUIS ENRIQUE</t>
        </is>
      </c>
      <c r="D242" s="2">
        <f>IF(B242="","",IFERROR(VLOOKUP(B242, PLANTA_BASE!A:R, 5, FALSE), "NO ENCONTRADO EN PLANTA"))</f>
        <v/>
      </c>
      <c r="E242" s="2">
        <f>IF(B242="","",IFERROR(VLOOKUP(B242, PLANTA_BASE!A:R, 6, FALSE), "NO ENCONTRADO EN PLANTA"))</f>
        <v/>
      </c>
      <c r="F242" s="4">
        <f>IF(B242="","",IFERROR(VLOOKUP(B242, PLANTA_BASE!A:R, 8, FALSE), "DOCENTE / FACILITADOR"))</f>
        <v/>
      </c>
      <c r="G242" s="4">
        <f>IF(B242="","",IFERROR(VLOOKUP(B242, PLANTA_BASE!A:R, 9, FALSE), "GENERAL"))</f>
        <v/>
      </c>
      <c r="H242" s="2">
        <f>IF(B242="","",IFERROR(VLOOKUP(B242, PLANTA_BASE!A:R, 17, FALSE), "GENERAL"))</f>
        <v/>
      </c>
    </row>
    <row r="243" ht="20" customHeight="1">
      <c r="A243" s="5">
        <f>IF(B243="","",IFERROR(VLOOKUP(B243, PLANTA_BASE!A:R, 2, FALSE), "NO ENCONTRADO EN PLANTA"))</f>
        <v/>
      </c>
      <c r="B243" s="6" t="inlineStr">
        <is>
          <t>5825348</t>
        </is>
      </c>
      <c r="C243" s="7" t="inlineStr">
        <is>
          <t>OLAYA BENITEZ EMERSON JASSAN</t>
        </is>
      </c>
      <c r="D243" s="5">
        <f>IF(B243="","",IFERROR(VLOOKUP(B243, PLANTA_BASE!A:R, 5, FALSE), "NO ENCONTRADO EN PLANTA"))</f>
        <v/>
      </c>
      <c r="E243" s="5">
        <f>IF(B243="","",IFERROR(VLOOKUP(B243, PLANTA_BASE!A:R, 6, FALSE), "NO ENCONTRADO EN PLANTA"))</f>
        <v/>
      </c>
      <c r="F243" s="7">
        <f>IF(B243="","",IFERROR(VLOOKUP(B243, PLANTA_BASE!A:R, 8, FALSE), "DOCENTE / FACILITADOR"))</f>
        <v/>
      </c>
      <c r="G243" s="7">
        <f>IF(B243="","",IFERROR(VLOOKUP(B243, PLANTA_BASE!A:R, 9, FALSE), "GENERAL"))</f>
        <v/>
      </c>
      <c r="H243" s="5">
        <f>IF(B243="","",IFERROR(VLOOKUP(B243, PLANTA_BASE!A:R, 17, FALSE), "GENERAL"))</f>
        <v/>
      </c>
    </row>
    <row r="244" ht="20" customHeight="1">
      <c r="A244" s="2">
        <f>IF(B244="","",IFERROR(VLOOKUP(B244, PLANTA_BASE!A:R, 2, FALSE), "NO ENCONTRADO EN PLANTA"))</f>
        <v/>
      </c>
      <c r="B244" s="3" t="inlineStr">
        <is>
          <t>79611219</t>
        </is>
      </c>
      <c r="C244" s="4" t="inlineStr">
        <is>
          <t>ROSAS MARTINEZ GABINO</t>
        </is>
      </c>
      <c r="D244" s="2">
        <f>IF(B244="","",IFERROR(VLOOKUP(B244, PLANTA_BASE!A:R, 5, FALSE), "NO ENCONTRADO EN PLANTA"))</f>
        <v/>
      </c>
      <c r="E244" s="2">
        <f>IF(B244="","",IFERROR(VLOOKUP(B244, PLANTA_BASE!A:R, 6, FALSE), "NO ENCONTRADO EN PLANTA"))</f>
        <v/>
      </c>
      <c r="F244" s="4">
        <f>IF(B244="","",IFERROR(VLOOKUP(B244, PLANTA_BASE!A:R, 8, FALSE), "DOCENTE / FACILITADOR"))</f>
        <v/>
      </c>
      <c r="G244" s="4">
        <f>IF(B244="","",IFERROR(VLOOKUP(B244, PLANTA_BASE!A:R, 9, FALSE), "GENERAL"))</f>
        <v/>
      </c>
      <c r="H244" s="2">
        <f>IF(B244="","",IFERROR(VLOOKUP(B244, PLANTA_BASE!A:R, 17, FALSE), "GENERAL"))</f>
        <v/>
      </c>
    </row>
    <row r="245" ht="20" customHeight="1">
      <c r="A245" s="5">
        <f>IF(B245="","",IFERROR(VLOOKUP(B245, PLANTA_BASE!A:R, 2, FALSE), "NO ENCONTRADO EN PLANTA"))</f>
        <v/>
      </c>
      <c r="B245" s="6" t="inlineStr">
        <is>
          <t>1018456035</t>
        </is>
      </c>
      <c r="C245" s="7" t="inlineStr">
        <is>
          <t>MORA LUISA</t>
        </is>
      </c>
      <c r="D245" s="5">
        <f>IF(B245="","",IFERROR(VLOOKUP(B245, PLANTA_BASE!A:R, 5, FALSE), "NO ENCONTRADO EN PLANTA"))</f>
        <v/>
      </c>
      <c r="E245" s="5">
        <f>IF(B245="","",IFERROR(VLOOKUP(B245, PLANTA_BASE!A:R, 6, FALSE), "NO ENCONTRADO EN PLANTA"))</f>
        <v/>
      </c>
      <c r="F245" s="7">
        <f>IF(B245="","",IFERROR(VLOOKUP(B245, PLANTA_BASE!A:R, 8, FALSE), "DOCENTE / FACILITADOR"))</f>
        <v/>
      </c>
      <c r="G245" s="7">
        <f>IF(B245="","",IFERROR(VLOOKUP(B245, PLANTA_BASE!A:R, 9, FALSE), "GENERAL"))</f>
        <v/>
      </c>
      <c r="H245" s="5">
        <f>IF(B245="","",IFERROR(VLOOKUP(B245, PLANTA_BASE!A:R, 17, FALSE), "GENERAL"))</f>
        <v/>
      </c>
    </row>
    <row r="246" ht="20" customHeight="1">
      <c r="A246" s="2">
        <f>IF(B246="","",IFERROR(VLOOKUP(B246, PLANTA_BASE!A:R, 2, FALSE), "NO ENCONTRADO EN PLANTA"))</f>
        <v/>
      </c>
      <c r="B246" s="3" t="inlineStr">
        <is>
          <t>1010228903</t>
        </is>
      </c>
      <c r="C246" s="4" t="inlineStr">
        <is>
          <t>MORALES JIMENEZ ANDREA</t>
        </is>
      </c>
      <c r="D246" s="2">
        <f>IF(B246="","",IFERROR(VLOOKUP(B246, PLANTA_BASE!A:R, 5, FALSE), "NO ENCONTRADO EN PLANTA"))</f>
        <v/>
      </c>
      <c r="E246" s="2">
        <f>IF(B246="","",IFERROR(VLOOKUP(B246, PLANTA_BASE!A:R, 6, FALSE), "NO ENCONTRADO EN PLANTA"))</f>
        <v/>
      </c>
      <c r="F246" s="4">
        <f>IF(B246="","",IFERROR(VLOOKUP(B246, PLANTA_BASE!A:R, 8, FALSE), "DOCENTE / FACILITADOR"))</f>
        <v/>
      </c>
      <c r="G246" s="4">
        <f>IF(B246="","",IFERROR(VLOOKUP(B246, PLANTA_BASE!A:R, 9, FALSE), "GENERAL"))</f>
        <v/>
      </c>
      <c r="H246" s="2">
        <f>IF(B246="","",IFERROR(VLOOKUP(B246, PLANTA_BASE!A:R, 17, FALSE), "GENERAL"))</f>
        <v/>
      </c>
    </row>
    <row r="247" ht="20" customHeight="1">
      <c r="A247" s="5">
        <f>IF(B247="","",IFERROR(VLOOKUP(B247, PLANTA_BASE!A:R, 2, FALSE), "NO ENCONTRADO EN PLANTA"))</f>
        <v/>
      </c>
      <c r="B247" s="6" t="inlineStr">
        <is>
          <t>1019117268</t>
        </is>
      </c>
      <c r="C247" s="7" t="inlineStr">
        <is>
          <t>LEZAMA VILLAMIL ANGIE KATERINE</t>
        </is>
      </c>
      <c r="D247" s="5">
        <f>IF(B247="","",IFERROR(VLOOKUP(B247, PLANTA_BASE!A:R, 5, FALSE), "NO ENCONTRADO EN PLANTA"))</f>
        <v/>
      </c>
      <c r="E247" s="5">
        <f>IF(B247="","",IFERROR(VLOOKUP(B247, PLANTA_BASE!A:R, 6, FALSE), "NO ENCONTRADO EN PLANTA"))</f>
        <v/>
      </c>
      <c r="F247" s="7">
        <f>IF(B247="","",IFERROR(VLOOKUP(B247, PLANTA_BASE!A:R, 8, FALSE), "DOCENTE / FACILITADOR"))</f>
        <v/>
      </c>
      <c r="G247" s="7">
        <f>IF(B247="","",IFERROR(VLOOKUP(B247, PLANTA_BASE!A:R, 9, FALSE), "GENERAL"))</f>
        <v/>
      </c>
      <c r="H247" s="5">
        <f>IF(B247="","",IFERROR(VLOOKUP(B247, PLANTA_BASE!A:R, 17, FALSE), "GENERAL"))</f>
        <v/>
      </c>
    </row>
    <row r="248" ht="20" customHeight="1">
      <c r="A248" s="2">
        <f>IF(B248="","",IFERROR(VLOOKUP(B248, PLANTA_BASE!A:R, 2, FALSE), "NO ENCONTRADO EN PLANTA"))</f>
        <v/>
      </c>
      <c r="B248" s="3" t="inlineStr">
        <is>
          <t>1013634532</t>
        </is>
      </c>
      <c r="C248" s="4" t="inlineStr">
        <is>
          <t>VIVAS ANA MARIA</t>
        </is>
      </c>
      <c r="D248" s="2">
        <f>IF(B248="","",IFERROR(VLOOKUP(B248, PLANTA_BASE!A:R, 5, FALSE), "NO ENCONTRADO EN PLANTA"))</f>
        <v/>
      </c>
      <c r="E248" s="2">
        <f>IF(B248="","",IFERROR(VLOOKUP(B248, PLANTA_BASE!A:R, 6, FALSE), "NO ENCONTRADO EN PLANTA"))</f>
        <v/>
      </c>
      <c r="F248" s="4">
        <f>IF(B248="","",IFERROR(VLOOKUP(B248, PLANTA_BASE!A:R, 8, FALSE), "DOCENTE / FACILITADOR"))</f>
        <v/>
      </c>
      <c r="G248" s="4">
        <f>IF(B248="","",IFERROR(VLOOKUP(B248, PLANTA_BASE!A:R, 9, FALSE), "GENERAL"))</f>
        <v/>
      </c>
      <c r="H248" s="2">
        <f>IF(B248="","",IFERROR(VLOOKUP(B248, PLANTA_BASE!A:R, 17, FALSE), "GENERAL"))</f>
        <v/>
      </c>
    </row>
    <row r="249" ht="20" customHeight="1">
      <c r="A249" s="5">
        <f>IF(B249="","",IFERROR(VLOOKUP(B249, PLANTA_BASE!A:R, 2, FALSE), "NO ENCONTRADO EN PLANTA"))</f>
        <v/>
      </c>
      <c r="B249" s="6" t="inlineStr">
        <is>
          <t>79905993</t>
        </is>
      </c>
      <c r="C249" s="7" t="inlineStr">
        <is>
          <t>AROCA BERMEO FAIBER ANDREY</t>
        </is>
      </c>
      <c r="D249" s="5">
        <f>IF(B249="","",IFERROR(VLOOKUP(B249, PLANTA_BASE!A:R, 5, FALSE), "NO ENCONTRADO EN PLANTA"))</f>
        <v/>
      </c>
      <c r="E249" s="5">
        <f>IF(B249="","",IFERROR(VLOOKUP(B249, PLANTA_BASE!A:R, 6, FALSE), "NO ENCONTRADO EN PLANTA"))</f>
        <v/>
      </c>
      <c r="F249" s="7">
        <f>IF(B249="","",IFERROR(VLOOKUP(B249, PLANTA_BASE!A:R, 8, FALSE), "DOCENTE / FACILITADOR"))</f>
        <v/>
      </c>
      <c r="G249" s="7">
        <f>IF(B249="","",IFERROR(VLOOKUP(B249, PLANTA_BASE!A:R, 9, FALSE), "GENERAL"))</f>
        <v/>
      </c>
      <c r="H249" s="5">
        <f>IF(B249="","",IFERROR(VLOOKUP(B249, PLANTA_BASE!A:R, 17, FALSE), "GENERAL"))</f>
        <v/>
      </c>
    </row>
    <row r="250" ht="20" customHeight="1">
      <c r="A250" s="2">
        <f>IF(B250="","",IFERROR(VLOOKUP(B250, PLANTA_BASE!A:R, 2, FALSE), "NO ENCONTRADO EN PLANTA"))</f>
        <v/>
      </c>
      <c r="B250" s="3" t="inlineStr">
        <is>
          <t>35413646</t>
        </is>
      </c>
      <c r="C250" s="4" t="inlineStr">
        <is>
          <t>CEDIIEL BRAVO LUZ ELENA</t>
        </is>
      </c>
      <c r="D250" s="2">
        <f>IF(B250="","",IFERROR(VLOOKUP(B250, PLANTA_BASE!A:R, 5, FALSE), "NO ENCONTRADO EN PLANTA"))</f>
        <v/>
      </c>
      <c r="E250" s="2">
        <f>IF(B250="","",IFERROR(VLOOKUP(B250, PLANTA_BASE!A:R, 6, FALSE), "NO ENCONTRADO EN PLANTA"))</f>
        <v/>
      </c>
      <c r="F250" s="4">
        <f>IF(B250="","",IFERROR(VLOOKUP(B250, PLANTA_BASE!A:R, 8, FALSE), "DOCENTE / FACILITADOR"))</f>
        <v/>
      </c>
      <c r="G250" s="4">
        <f>IF(B250="","",IFERROR(VLOOKUP(B250, PLANTA_BASE!A:R, 9, FALSE), "GENERAL"))</f>
        <v/>
      </c>
      <c r="H250" s="2">
        <f>IF(B250="","",IFERROR(VLOOKUP(B250, PLANTA_BASE!A:R, 17, FALSE), "GENERAL"))</f>
        <v/>
      </c>
    </row>
    <row r="251" ht="20" customHeight="1">
      <c r="A251" s="5">
        <f>IF(B251="","",IFERROR(VLOOKUP(B251, PLANTA_BASE!A:R, 2, FALSE), "NO ENCONTRADO EN PLANTA"))</f>
        <v/>
      </c>
      <c r="B251" s="6" t="inlineStr">
        <is>
          <t>41752256</t>
        </is>
      </c>
      <c r="C251" s="7" t="inlineStr">
        <is>
          <t>LEON CHAVEZ FANNY</t>
        </is>
      </c>
      <c r="D251" s="5">
        <f>IF(B251="","",IFERROR(VLOOKUP(B251, PLANTA_BASE!A:R, 5, FALSE), "NO ENCONTRADO EN PLANTA"))</f>
        <v/>
      </c>
      <c r="E251" s="5">
        <f>IF(B251="","",IFERROR(VLOOKUP(B251, PLANTA_BASE!A:R, 6, FALSE), "NO ENCONTRADO EN PLANTA"))</f>
        <v/>
      </c>
      <c r="F251" s="7">
        <f>IF(B251="","",IFERROR(VLOOKUP(B251, PLANTA_BASE!A:R, 8, FALSE), "DOCENTE / FACILITADOR"))</f>
        <v/>
      </c>
      <c r="G251" s="7">
        <f>IF(B251="","",IFERROR(VLOOKUP(B251, PLANTA_BASE!A:R, 9, FALSE), "GENERAL"))</f>
        <v/>
      </c>
      <c r="H251" s="5">
        <f>IF(B251="","",IFERROR(VLOOKUP(B251, PLANTA_BASE!A:R, 17, FALSE), "GENERAL"))</f>
        <v/>
      </c>
    </row>
    <row r="252" ht="20" customHeight="1">
      <c r="A252" s="2">
        <f>IF(B252="","",IFERROR(VLOOKUP(B252, PLANTA_BASE!A:R, 2, FALSE), "NO ENCONTRADO EN PLANTA"))</f>
        <v/>
      </c>
      <c r="B252" s="3" t="inlineStr">
        <is>
          <t>18958510</t>
        </is>
      </c>
      <c r="C252" s="4" t="inlineStr">
        <is>
          <t>MATTOS MEJIA JORGE LUIS</t>
        </is>
      </c>
      <c r="D252" s="2">
        <f>IF(B252="","",IFERROR(VLOOKUP(B252, PLANTA_BASE!A:R, 5, FALSE), "NO ENCONTRADO EN PLANTA"))</f>
        <v/>
      </c>
      <c r="E252" s="2">
        <f>IF(B252="","",IFERROR(VLOOKUP(B252, PLANTA_BASE!A:R, 6, FALSE), "NO ENCONTRADO EN PLANTA"))</f>
        <v/>
      </c>
      <c r="F252" s="4">
        <f>IF(B252="","",IFERROR(VLOOKUP(B252, PLANTA_BASE!A:R, 8, FALSE), "DOCENTE / FACILITADOR"))</f>
        <v/>
      </c>
      <c r="G252" s="4">
        <f>IF(B252="","",IFERROR(VLOOKUP(B252, PLANTA_BASE!A:R, 9, FALSE), "GENERAL"))</f>
        <v/>
      </c>
      <c r="H252" s="2">
        <f>IF(B252="","",IFERROR(VLOOKUP(B252, PLANTA_BASE!A:R, 17, FALSE), "GENERAL"))</f>
        <v/>
      </c>
    </row>
    <row r="253" ht="20" customHeight="1">
      <c r="A253" s="5">
        <f>IF(B253="","",IFERROR(VLOOKUP(B253, PLANTA_BASE!A:R, 2, FALSE), "NO ENCONTRADO EN PLANTA"))</f>
        <v/>
      </c>
      <c r="B253" s="6" t="inlineStr">
        <is>
          <t>1007475970</t>
        </is>
      </c>
      <c r="C253" s="7" t="inlineStr">
        <is>
          <t>RODRIGUEZ SIERRA JULIAN MATEO</t>
        </is>
      </c>
      <c r="D253" s="5">
        <f>IF(B253="","",IFERROR(VLOOKUP(B253, PLANTA_BASE!A:R, 5, FALSE), "NO ENCONTRADO EN PLANTA"))</f>
        <v/>
      </c>
      <c r="E253" s="5">
        <f>IF(B253="","",IFERROR(VLOOKUP(B253, PLANTA_BASE!A:R, 6, FALSE), "NO ENCONTRADO EN PLANTA"))</f>
        <v/>
      </c>
      <c r="F253" s="7">
        <f>IF(B253="","",IFERROR(VLOOKUP(B253, PLANTA_BASE!A:R, 8, FALSE), "DOCENTE / FACILITADOR"))</f>
        <v/>
      </c>
      <c r="G253" s="7">
        <f>IF(B253="","",IFERROR(VLOOKUP(B253, PLANTA_BASE!A:R, 9, FALSE), "GENERAL"))</f>
        <v/>
      </c>
      <c r="H253" s="5">
        <f>IF(B253="","",IFERROR(VLOOKUP(B253, PLANTA_BASE!A:R, 17, FALSE), "GENERAL"))</f>
        <v/>
      </c>
    </row>
    <row r="254" ht="20" customHeight="1">
      <c r="A254" s="2">
        <f>IF(B254="","",IFERROR(VLOOKUP(B254, PLANTA_BASE!A:R, 2, FALSE), "NO ENCONTRADO EN PLANTA"))</f>
        <v/>
      </c>
      <c r="B254" s="3" t="inlineStr">
        <is>
          <t>80068668</t>
        </is>
      </c>
      <c r="C254" s="4" t="inlineStr">
        <is>
          <t>MORENO DANIEL</t>
        </is>
      </c>
      <c r="D254" s="2">
        <f>IF(B254="","",IFERROR(VLOOKUP(B254, PLANTA_BASE!A:R, 5, FALSE), "NO ENCONTRADO EN PLANTA"))</f>
        <v/>
      </c>
      <c r="E254" s="2">
        <f>IF(B254="","",IFERROR(VLOOKUP(B254, PLANTA_BASE!A:R, 6, FALSE), "NO ENCONTRADO EN PLANTA"))</f>
        <v/>
      </c>
      <c r="F254" s="4">
        <f>IF(B254="","",IFERROR(VLOOKUP(B254, PLANTA_BASE!A:R, 8, FALSE), "DOCENTE / FACILITADOR"))</f>
        <v/>
      </c>
      <c r="G254" s="4">
        <f>IF(B254="","",IFERROR(VLOOKUP(B254, PLANTA_BASE!A:R, 9, FALSE), "GENERAL"))</f>
        <v/>
      </c>
      <c r="H254" s="2">
        <f>IF(B254="","",IFERROR(VLOOKUP(B254, PLANTA_BASE!A:R, 17, FALSE), "GENERAL"))</f>
        <v/>
      </c>
    </row>
    <row r="255" ht="20" customHeight="1">
      <c r="A255" s="5">
        <f>IF(B255="","",IFERROR(VLOOKUP(B255, PLANTA_BASE!A:R, 2, FALSE), "NO ENCONTRADO EN PLANTA"))</f>
        <v/>
      </c>
      <c r="B255" s="6" t="inlineStr">
        <is>
          <t>75094569</t>
        </is>
      </c>
      <c r="C255" s="7" t="inlineStr">
        <is>
          <t>ALZATE CARDONA ANDRES FELIPE</t>
        </is>
      </c>
      <c r="D255" s="5">
        <f>IF(B255="","",IFERROR(VLOOKUP(B255, PLANTA_BASE!A:R, 5, FALSE), "NO ENCONTRADO EN PLANTA"))</f>
        <v/>
      </c>
      <c r="E255" s="5">
        <f>IF(B255="","",IFERROR(VLOOKUP(B255, PLANTA_BASE!A:R, 6, FALSE), "NO ENCONTRADO EN PLANTA"))</f>
        <v/>
      </c>
      <c r="F255" s="7">
        <f>IF(B255="","",IFERROR(VLOOKUP(B255, PLANTA_BASE!A:R, 8, FALSE), "DOCENTE / FACILITADOR"))</f>
        <v/>
      </c>
      <c r="G255" s="7">
        <f>IF(B255="","",IFERROR(VLOOKUP(B255, PLANTA_BASE!A:R, 9, FALSE), "GENERAL"))</f>
        <v/>
      </c>
      <c r="H255" s="5">
        <f>IF(B255="","",IFERROR(VLOOKUP(B255, PLANTA_BASE!A:R, 17, FALSE), "GENERAL"))</f>
        <v/>
      </c>
    </row>
    <row r="256" ht="20" customHeight="1">
      <c r="A256" s="2">
        <f>IF(B256="","",IFERROR(VLOOKUP(B256, PLANTA_BASE!A:R, 2, FALSE), "NO ENCONTRADO EN PLANTA"))</f>
        <v/>
      </c>
      <c r="B256" s="3" t="inlineStr">
        <is>
          <t>1147687696</t>
        </is>
      </c>
      <c r="C256" s="4" t="inlineStr">
        <is>
          <t>RODRIGUEZ ADRIANA</t>
        </is>
      </c>
      <c r="D256" s="2">
        <f>IF(B256="","",IFERROR(VLOOKUP(B256, PLANTA_BASE!A:R, 5, FALSE), "NO ENCONTRADO EN PLANTA"))</f>
        <v/>
      </c>
      <c r="E256" s="2">
        <f>IF(B256="","",IFERROR(VLOOKUP(B256, PLANTA_BASE!A:R, 6, FALSE), "NO ENCONTRADO EN PLANTA"))</f>
        <v/>
      </c>
      <c r="F256" s="4">
        <f>IF(B256="","",IFERROR(VLOOKUP(B256, PLANTA_BASE!A:R, 8, FALSE), "DOCENTE / FACILITADOR"))</f>
        <v/>
      </c>
      <c r="G256" s="4">
        <f>IF(B256="","",IFERROR(VLOOKUP(B256, PLANTA_BASE!A:R, 9, FALSE), "GENERAL"))</f>
        <v/>
      </c>
      <c r="H256" s="2">
        <f>IF(B256="","",IFERROR(VLOOKUP(B256, PLANTA_BASE!A:R, 17, FALSE), "GENERAL"))</f>
        <v/>
      </c>
    </row>
    <row r="257" ht="20" customHeight="1">
      <c r="A257" s="5">
        <f>IF(B257="","",IFERROR(VLOOKUP(B257, PLANTA_BASE!A:R, 2, FALSE), "NO ENCONTRADO EN PLANTA"))</f>
        <v/>
      </c>
      <c r="B257" s="6" t="inlineStr">
        <is>
          <t>1001078325</t>
        </is>
      </c>
      <c r="C257" s="7" t="inlineStr">
        <is>
          <t>GUTIERREZ GARCIA JULY CAROLINA</t>
        </is>
      </c>
      <c r="D257" s="5">
        <f>IF(B257="","",IFERROR(VLOOKUP(B257, PLANTA_BASE!A:R, 5, FALSE), "NO ENCONTRADO EN PLANTA"))</f>
        <v/>
      </c>
      <c r="E257" s="5">
        <f>IF(B257="","",IFERROR(VLOOKUP(B257, PLANTA_BASE!A:R, 6, FALSE), "NO ENCONTRADO EN PLANTA"))</f>
        <v/>
      </c>
      <c r="F257" s="7">
        <f>IF(B257="","",IFERROR(VLOOKUP(B257, PLANTA_BASE!A:R, 8, FALSE), "DOCENTE / FACILITADOR"))</f>
        <v/>
      </c>
      <c r="G257" s="7">
        <f>IF(B257="","",IFERROR(VLOOKUP(B257, PLANTA_BASE!A:R, 9, FALSE), "GENERAL"))</f>
        <v/>
      </c>
      <c r="H257" s="5">
        <f>IF(B257="","",IFERROR(VLOOKUP(B257, PLANTA_BASE!A:R, 17, FALSE), "GENERAL"))</f>
        <v/>
      </c>
    </row>
    <row r="258" ht="20" customHeight="1">
      <c r="A258" s="2">
        <f>IF(B258="","",IFERROR(VLOOKUP(B258, PLANTA_BASE!A:R, 2, FALSE), "NO ENCONTRADO EN PLANTA"))</f>
        <v/>
      </c>
      <c r="B258" s="3" t="inlineStr">
        <is>
          <t>94457537</t>
        </is>
      </c>
      <c r="C258" s="4" t="inlineStr">
        <is>
          <t>GONZALEZ DORADO JHON ALEXANDER</t>
        </is>
      </c>
      <c r="D258" s="2">
        <f>IF(B258="","",IFERROR(VLOOKUP(B258, PLANTA_BASE!A:R, 5, FALSE), "NO ENCONTRADO EN PLANTA"))</f>
        <v/>
      </c>
      <c r="E258" s="2">
        <f>IF(B258="","",IFERROR(VLOOKUP(B258, PLANTA_BASE!A:R, 6, FALSE), "NO ENCONTRADO EN PLANTA"))</f>
        <v/>
      </c>
      <c r="F258" s="4">
        <f>IF(B258="","",IFERROR(VLOOKUP(B258, PLANTA_BASE!A:R, 8, FALSE), "DOCENTE / FACILITADOR"))</f>
        <v/>
      </c>
      <c r="G258" s="4">
        <f>IF(B258="","",IFERROR(VLOOKUP(B258, PLANTA_BASE!A:R, 9, FALSE), "GENERAL"))</f>
        <v/>
      </c>
      <c r="H258" s="2">
        <f>IF(B258="","",IFERROR(VLOOKUP(B258, PLANTA_BASE!A:R, 17, FALSE), "GENERAL"))</f>
        <v/>
      </c>
    </row>
    <row r="259" ht="20" customHeight="1">
      <c r="A259" s="5">
        <f>IF(B259="","",IFERROR(VLOOKUP(B259, PLANTA_BASE!A:R, 2, FALSE), "NO ENCONTRADO EN PLANTA"))</f>
        <v/>
      </c>
      <c r="B259" s="6" t="inlineStr">
        <is>
          <t>46454699</t>
        </is>
      </c>
      <c r="C259" s="7" t="inlineStr">
        <is>
          <t>FAJARDO SUA DIANA ASTRID</t>
        </is>
      </c>
      <c r="D259" s="5">
        <f>IF(B259="","",IFERROR(VLOOKUP(B259, PLANTA_BASE!A:R, 5, FALSE), "NO ENCONTRADO EN PLANTA"))</f>
        <v/>
      </c>
      <c r="E259" s="5">
        <f>IF(B259="","",IFERROR(VLOOKUP(B259, PLANTA_BASE!A:R, 6, FALSE), "NO ENCONTRADO EN PLANTA"))</f>
        <v/>
      </c>
      <c r="F259" s="7">
        <f>IF(B259="","",IFERROR(VLOOKUP(B259, PLANTA_BASE!A:R, 8, FALSE), "DOCENTE / FACILITADOR"))</f>
        <v/>
      </c>
      <c r="G259" s="7">
        <f>IF(B259="","",IFERROR(VLOOKUP(B259, PLANTA_BASE!A:R, 9, FALSE), "GENERAL"))</f>
        <v/>
      </c>
      <c r="H259" s="5">
        <f>IF(B259="","",IFERROR(VLOOKUP(B259, PLANTA_BASE!A:R, 17, FALSE), "GENERAL"))</f>
        <v/>
      </c>
    </row>
    <row r="260" ht="20" customHeight="1">
      <c r="A260" s="2">
        <f>IF(B260="","",IFERROR(VLOOKUP(B260, PLANTA_BASE!A:R, 2, FALSE), "NO ENCONTRADO EN PLANTA"))</f>
        <v/>
      </c>
      <c r="B260" s="3" t="inlineStr">
        <is>
          <t>10131355</t>
        </is>
      </c>
      <c r="C260" s="4" t="inlineStr">
        <is>
          <t>GASCA BAZURTO LUIS FERNANDO</t>
        </is>
      </c>
      <c r="D260" s="2">
        <f>IF(B260="","",IFERROR(VLOOKUP(B260, PLANTA_BASE!A:R, 5, FALSE), "NO ENCONTRADO EN PLANTA"))</f>
        <v/>
      </c>
      <c r="E260" s="2">
        <f>IF(B260="","",IFERROR(VLOOKUP(B260, PLANTA_BASE!A:R, 6, FALSE), "NO ENCONTRADO EN PLANTA"))</f>
        <v/>
      </c>
      <c r="F260" s="4">
        <f>IF(B260="","",IFERROR(VLOOKUP(B260, PLANTA_BASE!A:R, 8, FALSE), "DOCENTE / FACILITADOR"))</f>
        <v/>
      </c>
      <c r="G260" s="4">
        <f>IF(B260="","",IFERROR(VLOOKUP(B260, PLANTA_BASE!A:R, 9, FALSE), "GENERAL"))</f>
        <v/>
      </c>
      <c r="H260" s="2">
        <f>IF(B260="","",IFERROR(VLOOKUP(B260, PLANTA_BASE!A:R, 17, FALSE), "GENERAL"))</f>
        <v/>
      </c>
    </row>
    <row r="261" ht="20" customHeight="1">
      <c r="A261" s="5">
        <f>IF(B261="","",IFERROR(VLOOKUP(B261, PLANTA_BASE!A:R, 2, FALSE), "NO ENCONTRADO EN PLANTA"))</f>
        <v/>
      </c>
      <c r="B261" s="6" t="inlineStr">
        <is>
          <t>79223706</t>
        </is>
      </c>
      <c r="C261" s="7" t="inlineStr">
        <is>
          <t>GARRIDO MESA CARLOS ANDRES</t>
        </is>
      </c>
      <c r="D261" s="5">
        <f>IF(B261="","",IFERROR(VLOOKUP(B261, PLANTA_BASE!A:R, 5, FALSE), "NO ENCONTRADO EN PLANTA"))</f>
        <v/>
      </c>
      <c r="E261" s="5">
        <f>IF(B261="","",IFERROR(VLOOKUP(B261, PLANTA_BASE!A:R, 6, FALSE), "NO ENCONTRADO EN PLANTA"))</f>
        <v/>
      </c>
      <c r="F261" s="7">
        <f>IF(B261="","",IFERROR(VLOOKUP(B261, PLANTA_BASE!A:R, 8, FALSE), "DOCENTE / FACILITADOR"))</f>
        <v/>
      </c>
      <c r="G261" s="7">
        <f>IF(B261="","",IFERROR(VLOOKUP(B261, PLANTA_BASE!A:R, 9, FALSE), "GENERAL"))</f>
        <v/>
      </c>
      <c r="H261" s="5">
        <f>IF(B261="","",IFERROR(VLOOKUP(B261, PLANTA_BASE!A:R, 17, FALSE), "GENERAL"))</f>
        <v/>
      </c>
    </row>
    <row r="262" ht="20" customHeight="1">
      <c r="A262" s="2">
        <f>IF(B262="","",IFERROR(VLOOKUP(B262, PLANTA_BASE!A:R, 2, FALSE), "NO ENCONTRADO EN PLANTA"))</f>
        <v/>
      </c>
      <c r="B262" s="3" t="inlineStr">
        <is>
          <t>1098776027</t>
        </is>
      </c>
      <c r="C262" s="4" t="inlineStr">
        <is>
          <t>ARIAS QUINTERO NICOLAS SANTIAGO</t>
        </is>
      </c>
      <c r="D262" s="2">
        <f>IF(B262="","",IFERROR(VLOOKUP(B262, PLANTA_BASE!A:R, 5, FALSE), "NO ENCONTRADO EN PLANTA"))</f>
        <v/>
      </c>
      <c r="E262" s="2">
        <f>IF(B262="","",IFERROR(VLOOKUP(B262, PLANTA_BASE!A:R, 6, FALSE), "NO ENCONTRADO EN PLANTA"))</f>
        <v/>
      </c>
      <c r="F262" s="4">
        <f>IF(B262="","",IFERROR(VLOOKUP(B262, PLANTA_BASE!A:R, 8, FALSE), "DOCENTE / FACILITADOR"))</f>
        <v/>
      </c>
      <c r="G262" s="4">
        <f>IF(B262="","",IFERROR(VLOOKUP(B262, PLANTA_BASE!A:R, 9, FALSE), "GENERAL"))</f>
        <v/>
      </c>
      <c r="H262" s="2">
        <f>IF(B262="","",IFERROR(VLOOKUP(B262, PLANTA_BASE!A:R, 17, FALSE), "GENERAL"))</f>
        <v/>
      </c>
    </row>
    <row r="263" ht="20" customHeight="1">
      <c r="A263" s="5">
        <f>IF(B263="","",IFERROR(VLOOKUP(B263, PLANTA_BASE!A:R, 2, FALSE), "NO ENCONTRADO EN PLANTA"))</f>
        <v/>
      </c>
      <c r="B263" s="6" t="inlineStr">
        <is>
          <t>1107085116</t>
        </is>
      </c>
      <c r="C263" s="7" t="inlineStr">
        <is>
          <t>CHACON CAICEDO BRENDA CAROLINA</t>
        </is>
      </c>
      <c r="D263" s="5">
        <f>IF(B263="","",IFERROR(VLOOKUP(B263, PLANTA_BASE!A:R, 5, FALSE), "NO ENCONTRADO EN PLANTA"))</f>
        <v/>
      </c>
      <c r="E263" s="5">
        <f>IF(B263="","",IFERROR(VLOOKUP(B263, PLANTA_BASE!A:R, 6, FALSE), "NO ENCONTRADO EN PLANTA"))</f>
        <v/>
      </c>
      <c r="F263" s="7">
        <f>IF(B263="","",IFERROR(VLOOKUP(B263, PLANTA_BASE!A:R, 8, FALSE), "DOCENTE / FACILITADOR"))</f>
        <v/>
      </c>
      <c r="G263" s="7">
        <f>IF(B263="","",IFERROR(VLOOKUP(B263, PLANTA_BASE!A:R, 9, FALSE), "GENERAL"))</f>
        <v/>
      </c>
      <c r="H263" s="5">
        <f>IF(B263="","",IFERROR(VLOOKUP(B263, PLANTA_BASE!A:R, 17, FALSE), "GENERAL"))</f>
        <v/>
      </c>
    </row>
    <row r="264" ht="20" customHeight="1">
      <c r="A264" s="2">
        <f>IF(B264="","",IFERROR(VLOOKUP(B264, PLANTA_BASE!A:R, 2, FALSE), "NO ENCONTRADO EN PLANTA"))</f>
        <v/>
      </c>
      <c r="B264" s="3" t="inlineStr">
        <is>
          <t>1020798739</t>
        </is>
      </c>
      <c r="C264" s="4" t="inlineStr">
        <is>
          <t>ESPINEL ALARCON LINA MARIA</t>
        </is>
      </c>
      <c r="D264" s="2">
        <f>IF(B264="","",IFERROR(VLOOKUP(B264, PLANTA_BASE!A:R, 5, FALSE), "NO ENCONTRADO EN PLANTA"))</f>
        <v/>
      </c>
      <c r="E264" s="2">
        <f>IF(B264="","",IFERROR(VLOOKUP(B264, PLANTA_BASE!A:R, 6, FALSE), "NO ENCONTRADO EN PLANTA"))</f>
        <v/>
      </c>
      <c r="F264" s="4">
        <f>IF(B264="","",IFERROR(VLOOKUP(B264, PLANTA_BASE!A:R, 8, FALSE), "DOCENTE / FACILITADOR"))</f>
        <v/>
      </c>
      <c r="G264" s="4">
        <f>IF(B264="","",IFERROR(VLOOKUP(B264, PLANTA_BASE!A:R, 9, FALSE), "GENERAL"))</f>
        <v/>
      </c>
      <c r="H264" s="2">
        <f>IF(B264="","",IFERROR(VLOOKUP(B264, PLANTA_BASE!A:R, 17, FALSE), "GENERAL"))</f>
        <v/>
      </c>
    </row>
    <row r="265" ht="20" customHeight="1">
      <c r="A265" s="5">
        <f>IF(B265="","",IFERROR(VLOOKUP(B265, PLANTA_BASE!A:R, 2, FALSE), "NO ENCONTRADO EN PLANTA"))</f>
        <v/>
      </c>
      <c r="B265" s="6" t="inlineStr">
        <is>
          <t>80013703</t>
        </is>
      </c>
      <c r="C265" s="7" t="inlineStr">
        <is>
          <t>GONZALEZ MONTILLA WILSON</t>
        </is>
      </c>
      <c r="D265" s="5">
        <f>IF(B265="","",IFERROR(VLOOKUP(B265, PLANTA_BASE!A:R, 5, FALSE), "NO ENCONTRADO EN PLANTA"))</f>
        <v/>
      </c>
      <c r="E265" s="5">
        <f>IF(B265="","",IFERROR(VLOOKUP(B265, PLANTA_BASE!A:R, 6, FALSE), "NO ENCONTRADO EN PLANTA"))</f>
        <v/>
      </c>
      <c r="F265" s="7">
        <f>IF(B265="","",IFERROR(VLOOKUP(B265, PLANTA_BASE!A:R, 8, FALSE), "DOCENTE / FACILITADOR"))</f>
        <v/>
      </c>
      <c r="G265" s="7">
        <f>IF(B265="","",IFERROR(VLOOKUP(B265, PLANTA_BASE!A:R, 9, FALSE), "GENERAL"))</f>
        <v/>
      </c>
      <c r="H265" s="5">
        <f>IF(B265="","",IFERROR(VLOOKUP(B265, PLANTA_BASE!A:R, 17, FALSE), "GENERAL"))</f>
        <v/>
      </c>
    </row>
    <row r="266" ht="20" customHeight="1">
      <c r="A266" s="2">
        <f>IF(B266="","",IFERROR(VLOOKUP(B266, PLANTA_BASE!A:R, 2, FALSE), "NO ENCONTRADO EN PLANTA"))</f>
        <v/>
      </c>
      <c r="B266" s="3" t="inlineStr">
        <is>
          <t>1082956866</t>
        </is>
      </c>
      <c r="C266" s="4" t="inlineStr">
        <is>
          <t>NUNEZ LIZ</t>
        </is>
      </c>
      <c r="D266" s="2">
        <f>IF(B266="","",IFERROR(VLOOKUP(B266, PLANTA_BASE!A:R, 5, FALSE), "NO ENCONTRADO EN PLANTA"))</f>
        <v/>
      </c>
      <c r="E266" s="2">
        <f>IF(B266="","",IFERROR(VLOOKUP(B266, PLANTA_BASE!A:R, 6, FALSE), "NO ENCONTRADO EN PLANTA"))</f>
        <v/>
      </c>
      <c r="F266" s="4">
        <f>IF(B266="","",IFERROR(VLOOKUP(B266, PLANTA_BASE!A:R, 8, FALSE), "DOCENTE / FACILITADOR"))</f>
        <v/>
      </c>
      <c r="G266" s="4">
        <f>IF(B266="","",IFERROR(VLOOKUP(B266, PLANTA_BASE!A:R, 9, FALSE), "GENERAL"))</f>
        <v/>
      </c>
      <c r="H266" s="2">
        <f>IF(B266="","",IFERROR(VLOOKUP(B266, PLANTA_BASE!A:R, 17, FALSE), "GENERAL"))</f>
        <v/>
      </c>
    </row>
    <row r="267" ht="20" customHeight="1">
      <c r="A267" s="5">
        <f>IF(B267="","",IFERROR(VLOOKUP(B267, PLANTA_BASE!A:R, 2, FALSE), "NO ENCONTRADO EN PLANTA"))</f>
        <v/>
      </c>
      <c r="B267" s="6" t="inlineStr">
        <is>
          <t>1016040558</t>
        </is>
      </c>
      <c r="C267" s="7" t="inlineStr">
        <is>
          <t>RAMIREZ ACEVEDO ANDRES FELIPE</t>
        </is>
      </c>
      <c r="D267" s="5">
        <f>IF(B267="","",IFERROR(VLOOKUP(B267, PLANTA_BASE!A:R, 5, FALSE), "NO ENCONTRADO EN PLANTA"))</f>
        <v/>
      </c>
      <c r="E267" s="5">
        <f>IF(B267="","",IFERROR(VLOOKUP(B267, PLANTA_BASE!A:R, 6, FALSE), "NO ENCONTRADO EN PLANTA"))</f>
        <v/>
      </c>
      <c r="F267" s="7">
        <f>IF(B267="","",IFERROR(VLOOKUP(B267, PLANTA_BASE!A:R, 8, FALSE), "DOCENTE / FACILITADOR"))</f>
        <v/>
      </c>
      <c r="G267" s="7">
        <f>IF(B267="","",IFERROR(VLOOKUP(B267, PLANTA_BASE!A:R, 9, FALSE), "GENERAL"))</f>
        <v/>
      </c>
      <c r="H267" s="5">
        <f>IF(B267="","",IFERROR(VLOOKUP(B267, PLANTA_BASE!A:R, 17, FALSE), "GENERAL"))</f>
        <v/>
      </c>
    </row>
    <row r="268" ht="20" customHeight="1">
      <c r="A268" s="2">
        <f>IF(B268="","",IFERROR(VLOOKUP(B268, PLANTA_BASE!A:R, 2, FALSE), "NO ENCONTRADO EN PLANTA"))</f>
        <v/>
      </c>
      <c r="B268" s="3" t="inlineStr">
        <is>
          <t>1077973516</t>
        </is>
      </c>
      <c r="C268" s="4" t="inlineStr">
        <is>
          <t>MAHECHA MAHECHA JOSE ALEJANDRO</t>
        </is>
      </c>
      <c r="D268" s="2">
        <f>IF(B268="","",IFERROR(VLOOKUP(B268, PLANTA_BASE!A:R, 5, FALSE), "NO ENCONTRADO EN PLANTA"))</f>
        <v/>
      </c>
      <c r="E268" s="2">
        <f>IF(B268="","",IFERROR(VLOOKUP(B268, PLANTA_BASE!A:R, 6, FALSE), "NO ENCONTRADO EN PLANTA"))</f>
        <v/>
      </c>
      <c r="F268" s="4">
        <f>IF(B268="","",IFERROR(VLOOKUP(B268, PLANTA_BASE!A:R, 8, FALSE), "DOCENTE / FACILITADOR"))</f>
        <v/>
      </c>
      <c r="G268" s="4">
        <f>IF(B268="","",IFERROR(VLOOKUP(B268, PLANTA_BASE!A:R, 9, FALSE), "GENERAL"))</f>
        <v/>
      </c>
      <c r="H268" s="2">
        <f>IF(B268="","",IFERROR(VLOOKUP(B268, PLANTA_BASE!A:R, 17, FALSE), "GENERAL"))</f>
        <v/>
      </c>
    </row>
    <row r="269" ht="20" customHeight="1">
      <c r="A269" s="5">
        <f>IF(B269="","",IFERROR(VLOOKUP(B269, PLANTA_BASE!A:R, 2, FALSE), "NO ENCONTRADO EN PLANTA"))</f>
        <v/>
      </c>
      <c r="B269" s="6" t="inlineStr">
        <is>
          <t>1130670364</t>
        </is>
      </c>
      <c r="C269" s="7" t="inlineStr">
        <is>
          <t>ALBAN JUAN PABLO</t>
        </is>
      </c>
      <c r="D269" s="5">
        <f>IF(B269="","",IFERROR(VLOOKUP(B269, PLANTA_BASE!A:R, 5, FALSE), "NO ENCONTRADO EN PLANTA"))</f>
        <v/>
      </c>
      <c r="E269" s="5">
        <f>IF(B269="","",IFERROR(VLOOKUP(B269, PLANTA_BASE!A:R, 6, FALSE), "NO ENCONTRADO EN PLANTA"))</f>
        <v/>
      </c>
      <c r="F269" s="7">
        <f>IF(B269="","",IFERROR(VLOOKUP(B269, PLANTA_BASE!A:R, 8, FALSE), "DOCENTE / FACILITADOR"))</f>
        <v/>
      </c>
      <c r="G269" s="7">
        <f>IF(B269="","",IFERROR(VLOOKUP(B269, PLANTA_BASE!A:R, 9, FALSE), "GENERAL"))</f>
        <v/>
      </c>
      <c r="H269" s="5">
        <f>IF(B269="","",IFERROR(VLOOKUP(B269, PLANTA_BASE!A:R, 17, FALSE), "GENERAL"))</f>
        <v/>
      </c>
    </row>
    <row r="270" ht="20" customHeight="1">
      <c r="A270" s="2">
        <f>IF(B270="","",IFERROR(VLOOKUP(B270, PLANTA_BASE!A:R, 2, FALSE), "NO ENCONTRADO EN PLANTA"))</f>
        <v/>
      </c>
      <c r="B270" s="3" t="inlineStr">
        <is>
          <t>91269499</t>
        </is>
      </c>
      <c r="C270" s="4" t="inlineStr">
        <is>
          <t>MANTILLA HUGO</t>
        </is>
      </c>
      <c r="D270" s="2">
        <f>IF(B270="","",IFERROR(VLOOKUP(B270, PLANTA_BASE!A:R, 5, FALSE), "NO ENCONTRADO EN PLANTA"))</f>
        <v/>
      </c>
      <c r="E270" s="2">
        <f>IF(B270="","",IFERROR(VLOOKUP(B270, PLANTA_BASE!A:R, 6, FALSE), "NO ENCONTRADO EN PLANTA"))</f>
        <v/>
      </c>
      <c r="F270" s="4">
        <f>IF(B270="","",IFERROR(VLOOKUP(B270, PLANTA_BASE!A:R, 8, FALSE), "DOCENTE / FACILITADOR"))</f>
        <v/>
      </c>
      <c r="G270" s="4">
        <f>IF(B270="","",IFERROR(VLOOKUP(B270, PLANTA_BASE!A:R, 9, FALSE), "GENERAL"))</f>
        <v/>
      </c>
      <c r="H270" s="2">
        <f>IF(B270="","",IFERROR(VLOOKUP(B270, PLANTA_BASE!A:R, 17, FALSE), "GENERAL"))</f>
        <v/>
      </c>
    </row>
    <row r="271" ht="20" customHeight="1">
      <c r="A271" s="5">
        <f>IF(B271="","",IFERROR(VLOOKUP(B271, PLANTA_BASE!A:R, 2, FALSE), "NO ENCONTRADO EN PLANTA"))</f>
        <v/>
      </c>
      <c r="B271" s="6" t="inlineStr">
        <is>
          <t>80658337</t>
        </is>
      </c>
      <c r="C271" s="7" t="inlineStr">
        <is>
          <t>RODRIGUEZ MONTANO OSCAR LIBARDO</t>
        </is>
      </c>
      <c r="D271" s="5">
        <f>IF(B271="","",IFERROR(VLOOKUP(B271, PLANTA_BASE!A:R, 5, FALSE), "NO ENCONTRADO EN PLANTA"))</f>
        <v/>
      </c>
      <c r="E271" s="5">
        <f>IF(B271="","",IFERROR(VLOOKUP(B271, PLANTA_BASE!A:R, 6, FALSE), "NO ENCONTRADO EN PLANTA"))</f>
        <v/>
      </c>
      <c r="F271" s="7">
        <f>IF(B271="","",IFERROR(VLOOKUP(B271, PLANTA_BASE!A:R, 8, FALSE), "DOCENTE / FACILITADOR"))</f>
        <v/>
      </c>
      <c r="G271" s="7">
        <f>IF(B271="","",IFERROR(VLOOKUP(B271, PLANTA_BASE!A:R, 9, FALSE), "GENERAL"))</f>
        <v/>
      </c>
      <c r="H271" s="5">
        <f>IF(B271="","",IFERROR(VLOOKUP(B271, PLANTA_BASE!A:R, 17, FALSE), "GENERAL"))</f>
        <v/>
      </c>
    </row>
    <row r="272" ht="20" customHeight="1">
      <c r="A272" s="2">
        <f>IF(B272="","",IFERROR(VLOOKUP(B272, PLANTA_BASE!A:R, 2, FALSE), "NO ENCONTRADO EN PLANTA"))</f>
        <v/>
      </c>
      <c r="B272" s="3" t="inlineStr">
        <is>
          <t>1014259580</t>
        </is>
      </c>
      <c r="C272" s="4" t="inlineStr">
        <is>
          <t>CASTANEDA GINNA</t>
        </is>
      </c>
      <c r="D272" s="2">
        <f>IF(B272="","",IFERROR(VLOOKUP(B272, PLANTA_BASE!A:R, 5, FALSE), "NO ENCONTRADO EN PLANTA"))</f>
        <v/>
      </c>
      <c r="E272" s="2">
        <f>IF(B272="","",IFERROR(VLOOKUP(B272, PLANTA_BASE!A:R, 6, FALSE), "NO ENCONTRADO EN PLANTA"))</f>
        <v/>
      </c>
      <c r="F272" s="4">
        <f>IF(B272="","",IFERROR(VLOOKUP(B272, PLANTA_BASE!A:R, 8, FALSE), "DOCENTE / FACILITADOR"))</f>
        <v/>
      </c>
      <c r="G272" s="4">
        <f>IF(B272="","",IFERROR(VLOOKUP(B272, PLANTA_BASE!A:R, 9, FALSE), "GENERAL"))</f>
        <v/>
      </c>
      <c r="H272" s="2">
        <f>IF(B272="","",IFERROR(VLOOKUP(B272, PLANTA_BASE!A:R, 17, FALSE), "GENERAL"))</f>
        <v/>
      </c>
    </row>
    <row r="273" ht="20" customHeight="1">
      <c r="A273" s="5">
        <f>IF(B273="","",IFERROR(VLOOKUP(B273, PLANTA_BASE!A:R, 2, FALSE), "NO ENCONTRADO EN PLANTA"))</f>
        <v/>
      </c>
      <c r="B273" s="6" t="inlineStr">
        <is>
          <t>73144425</t>
        </is>
      </c>
      <c r="C273" s="7" t="inlineStr">
        <is>
          <t>ALARCON GERMAN</t>
        </is>
      </c>
      <c r="D273" s="5">
        <f>IF(B273="","",IFERROR(VLOOKUP(B273, PLANTA_BASE!A:R, 5, FALSE), "NO ENCONTRADO EN PLANTA"))</f>
        <v/>
      </c>
      <c r="E273" s="5">
        <f>IF(B273="","",IFERROR(VLOOKUP(B273, PLANTA_BASE!A:R, 6, FALSE), "NO ENCONTRADO EN PLANTA"))</f>
        <v/>
      </c>
      <c r="F273" s="7">
        <f>IF(B273="","",IFERROR(VLOOKUP(B273, PLANTA_BASE!A:R, 8, FALSE), "DOCENTE / FACILITADOR"))</f>
        <v/>
      </c>
      <c r="G273" s="7">
        <f>IF(B273="","",IFERROR(VLOOKUP(B273, PLANTA_BASE!A:R, 9, FALSE), "GENERAL"))</f>
        <v/>
      </c>
      <c r="H273" s="5">
        <f>IF(B273="","",IFERROR(VLOOKUP(B273, PLANTA_BASE!A:R, 17, FALSE), "GENERAL"))</f>
        <v/>
      </c>
    </row>
    <row r="274" ht="20" customHeight="1">
      <c r="A274" s="2">
        <f>IF(B274="","",IFERROR(VLOOKUP(B274, PLANTA_BASE!A:R, 2, FALSE), "NO ENCONTRADO EN PLANTA"))</f>
        <v/>
      </c>
      <c r="B274" s="3" t="inlineStr">
        <is>
          <t>1010237435</t>
        </is>
      </c>
      <c r="C274" s="4" t="inlineStr">
        <is>
          <t>GARIBELLO SANCHEZ LINA MARIA</t>
        </is>
      </c>
      <c r="D274" s="2">
        <f>IF(B274="","",IFERROR(VLOOKUP(B274, PLANTA_BASE!A:R, 5, FALSE), "NO ENCONTRADO EN PLANTA"))</f>
        <v/>
      </c>
      <c r="E274" s="2">
        <f>IF(B274="","",IFERROR(VLOOKUP(B274, PLANTA_BASE!A:R, 6, FALSE), "NO ENCONTRADO EN PLANTA"))</f>
        <v/>
      </c>
      <c r="F274" s="4">
        <f>IF(B274="","",IFERROR(VLOOKUP(B274, PLANTA_BASE!A:R, 8, FALSE), "DOCENTE / FACILITADOR"))</f>
        <v/>
      </c>
      <c r="G274" s="4">
        <f>IF(B274="","",IFERROR(VLOOKUP(B274, PLANTA_BASE!A:R, 9, FALSE), "GENERAL"))</f>
        <v/>
      </c>
      <c r="H274" s="2">
        <f>IF(B274="","",IFERROR(VLOOKUP(B274, PLANTA_BASE!A:R, 17, FALSE), "GENERAL"))</f>
        <v/>
      </c>
    </row>
    <row r="275" ht="20" customHeight="1">
      <c r="A275" s="5">
        <f>IF(B275="","",IFERROR(VLOOKUP(B275, PLANTA_BASE!A:R, 2, FALSE), "NO ENCONTRADO EN PLANTA"))</f>
        <v/>
      </c>
      <c r="B275" s="6" t="inlineStr">
        <is>
          <t>1105691259</t>
        </is>
      </c>
      <c r="C275" s="7" t="inlineStr">
        <is>
          <t>DIAZ NICOLAS</t>
        </is>
      </c>
      <c r="D275" s="5">
        <f>IF(B275="","",IFERROR(VLOOKUP(B275, PLANTA_BASE!A:R, 5, FALSE), "NO ENCONTRADO EN PLANTA"))</f>
        <v/>
      </c>
      <c r="E275" s="5">
        <f>IF(B275="","",IFERROR(VLOOKUP(B275, PLANTA_BASE!A:R, 6, FALSE), "NO ENCONTRADO EN PLANTA"))</f>
        <v/>
      </c>
      <c r="F275" s="7">
        <f>IF(B275="","",IFERROR(VLOOKUP(B275, PLANTA_BASE!A:R, 8, FALSE), "DOCENTE / FACILITADOR"))</f>
        <v/>
      </c>
      <c r="G275" s="7">
        <f>IF(B275="","",IFERROR(VLOOKUP(B275, PLANTA_BASE!A:R, 9, FALSE), "GENERAL"))</f>
        <v/>
      </c>
      <c r="H275" s="5">
        <f>IF(B275="","",IFERROR(VLOOKUP(B275, PLANTA_BASE!A:R, 17, FALSE), "GENERAL"))</f>
        <v/>
      </c>
    </row>
    <row r="276" ht="20" customHeight="1">
      <c r="A276" s="2">
        <f>IF(B276="","",IFERROR(VLOOKUP(B276, PLANTA_BASE!A:R, 2, FALSE), "NO ENCONTRADO EN PLANTA"))</f>
        <v/>
      </c>
      <c r="B276" s="3" t="inlineStr">
        <is>
          <t>80794905</t>
        </is>
      </c>
      <c r="C276" s="4" t="inlineStr">
        <is>
          <t>ACOSTA SANABRIA MIGUEL ANGEL</t>
        </is>
      </c>
      <c r="D276" s="2">
        <f>IF(B276="","",IFERROR(VLOOKUP(B276, PLANTA_BASE!A:R, 5, FALSE), "NO ENCONTRADO EN PLANTA"))</f>
        <v/>
      </c>
      <c r="E276" s="2">
        <f>IF(B276="","",IFERROR(VLOOKUP(B276, PLANTA_BASE!A:R, 6, FALSE), "NO ENCONTRADO EN PLANTA"))</f>
        <v/>
      </c>
      <c r="F276" s="4">
        <f>IF(B276="","",IFERROR(VLOOKUP(B276, PLANTA_BASE!A:R, 8, FALSE), "DOCENTE / FACILITADOR"))</f>
        <v/>
      </c>
      <c r="G276" s="4">
        <f>IF(B276="","",IFERROR(VLOOKUP(B276, PLANTA_BASE!A:R, 9, FALSE), "GENERAL"))</f>
        <v/>
      </c>
      <c r="H276" s="2">
        <f>IF(B276="","",IFERROR(VLOOKUP(B276, PLANTA_BASE!A:R, 17, FALSE), "GENERAL"))</f>
        <v/>
      </c>
    </row>
    <row r="277" ht="20" customHeight="1">
      <c r="A277" s="5">
        <f>IF(B277="","",IFERROR(VLOOKUP(B277, PLANTA_BASE!A:R, 2, FALSE), "NO ENCONTRADO EN PLANTA"))</f>
        <v/>
      </c>
      <c r="B277" s="6" t="inlineStr">
        <is>
          <t>79602436</t>
        </is>
      </c>
      <c r="C277" s="7" t="inlineStr">
        <is>
          <t>ZAFRA ALEJANDRO</t>
        </is>
      </c>
      <c r="D277" s="5">
        <f>IF(B277="","",IFERROR(VLOOKUP(B277, PLANTA_BASE!A:R, 5, FALSE), "NO ENCONTRADO EN PLANTA"))</f>
        <v/>
      </c>
      <c r="E277" s="5">
        <f>IF(B277="","",IFERROR(VLOOKUP(B277, PLANTA_BASE!A:R, 6, FALSE), "NO ENCONTRADO EN PLANTA"))</f>
        <v/>
      </c>
      <c r="F277" s="7">
        <f>IF(B277="","",IFERROR(VLOOKUP(B277, PLANTA_BASE!A:R, 8, FALSE), "DOCENTE / FACILITADOR"))</f>
        <v/>
      </c>
      <c r="G277" s="7">
        <f>IF(B277="","",IFERROR(VLOOKUP(B277, PLANTA_BASE!A:R, 9, FALSE), "GENERAL"))</f>
        <v/>
      </c>
      <c r="H277" s="5">
        <f>IF(B277="","",IFERROR(VLOOKUP(B277, PLANTA_BASE!A:R, 17, FALSE), "GENERAL"))</f>
        <v/>
      </c>
    </row>
    <row r="278" ht="20" customHeight="1">
      <c r="A278" s="2">
        <f>IF(B278="","",IFERROR(VLOOKUP(B278, PLANTA_BASE!A:R, 2, FALSE), "NO ENCONTRADO EN PLANTA"))</f>
        <v/>
      </c>
      <c r="B278" s="3" t="inlineStr">
        <is>
          <t>1067858299</t>
        </is>
      </c>
      <c r="C278" s="4" t="inlineStr">
        <is>
          <t>TOBON GUZMAN JUAN EMILIO</t>
        </is>
      </c>
      <c r="D278" s="2">
        <f>IF(B278="","",IFERROR(VLOOKUP(B278, PLANTA_BASE!A:R, 5, FALSE), "NO ENCONTRADO EN PLANTA"))</f>
        <v/>
      </c>
      <c r="E278" s="2">
        <f>IF(B278="","",IFERROR(VLOOKUP(B278, PLANTA_BASE!A:R, 6, FALSE), "NO ENCONTRADO EN PLANTA"))</f>
        <v/>
      </c>
      <c r="F278" s="4">
        <f>IF(B278="","",IFERROR(VLOOKUP(B278, PLANTA_BASE!A:R, 8, FALSE), "DOCENTE / FACILITADOR"))</f>
        <v/>
      </c>
      <c r="G278" s="4">
        <f>IF(B278="","",IFERROR(VLOOKUP(B278, PLANTA_BASE!A:R, 9, FALSE), "GENERAL"))</f>
        <v/>
      </c>
      <c r="H278" s="2">
        <f>IF(B278="","",IFERROR(VLOOKUP(B278, PLANTA_BASE!A:R, 17, FALSE), "GENERAL"))</f>
        <v/>
      </c>
    </row>
    <row r="279" ht="20" customHeight="1">
      <c r="A279" s="5">
        <f>IF(B279="","",IFERROR(VLOOKUP(B279, PLANTA_BASE!A:R, 2, FALSE), "NO ENCONTRADO EN PLANTA"))</f>
        <v/>
      </c>
      <c r="B279" s="6" t="inlineStr">
        <is>
          <t>1032452593</t>
        </is>
      </c>
      <c r="C279" s="7" t="inlineStr">
        <is>
          <t>BAQUERO GIOVANNI</t>
        </is>
      </c>
      <c r="D279" s="5">
        <f>IF(B279="","",IFERROR(VLOOKUP(B279, PLANTA_BASE!A:R, 5, FALSE), "NO ENCONTRADO EN PLANTA"))</f>
        <v/>
      </c>
      <c r="E279" s="5">
        <f>IF(B279="","",IFERROR(VLOOKUP(B279, PLANTA_BASE!A:R, 6, FALSE), "NO ENCONTRADO EN PLANTA"))</f>
        <v/>
      </c>
      <c r="F279" s="7">
        <f>IF(B279="","",IFERROR(VLOOKUP(B279, PLANTA_BASE!A:R, 8, FALSE), "DOCENTE / FACILITADOR"))</f>
        <v/>
      </c>
      <c r="G279" s="7">
        <f>IF(B279="","",IFERROR(VLOOKUP(B279, PLANTA_BASE!A:R, 9, FALSE), "GENERAL"))</f>
        <v/>
      </c>
      <c r="H279" s="5">
        <f>IF(B279="","",IFERROR(VLOOKUP(B279, PLANTA_BASE!A:R, 17, FALSE), "GENERAL"))</f>
        <v/>
      </c>
    </row>
    <row r="280" ht="20" customHeight="1">
      <c r="A280" s="2">
        <f>IF(B280="","",IFERROR(VLOOKUP(B280, PLANTA_BASE!A:R, 2, FALSE), "NO ENCONTRADO EN PLANTA"))</f>
        <v/>
      </c>
      <c r="B280" s="3" t="inlineStr">
        <is>
          <t>79398865</t>
        </is>
      </c>
      <c r="C280" s="4" t="inlineStr">
        <is>
          <t>79398865 JUAN CARLOS SANCHEZ GAMA</t>
        </is>
      </c>
      <c r="D280" s="2">
        <f>IF(B280="","",IFERROR(VLOOKUP(B280, PLANTA_BASE!A:R, 5, FALSE), "NO ENCONTRADO EN PLANTA"))</f>
        <v/>
      </c>
      <c r="E280" s="2">
        <f>IF(B280="","",IFERROR(VLOOKUP(B280, PLANTA_BASE!A:R, 6, FALSE), "NO ENCONTRADO EN PLANTA"))</f>
        <v/>
      </c>
      <c r="F280" s="4">
        <f>IF(B280="","",IFERROR(VLOOKUP(B280, PLANTA_BASE!A:R, 8, FALSE), "DOCENTE / FACILITADOR"))</f>
        <v/>
      </c>
      <c r="G280" s="4">
        <f>IF(B280="","",IFERROR(VLOOKUP(B280, PLANTA_BASE!A:R, 9, FALSE), "GENERAL"))</f>
        <v/>
      </c>
      <c r="H280" s="2">
        <f>IF(B280="","",IFERROR(VLOOKUP(B280, PLANTA_BASE!A:R, 17, FALSE), "GENERAL"))</f>
        <v/>
      </c>
    </row>
    <row r="281" ht="20" customHeight="1">
      <c r="A281" s="5">
        <f>IF(B281="","",IFERROR(VLOOKUP(B281, PLANTA_BASE!A:R, 2, FALSE), "NO ENCONTRADO EN PLANTA"))</f>
        <v/>
      </c>
      <c r="B281" s="6" t="inlineStr">
        <is>
          <t>52027093</t>
        </is>
      </c>
      <c r="C281" s="7" t="inlineStr">
        <is>
          <t>TORRES CORTES SONIA</t>
        </is>
      </c>
      <c r="D281" s="5">
        <f>IF(B281="","",IFERROR(VLOOKUP(B281, PLANTA_BASE!A:R, 5, FALSE), "NO ENCONTRADO EN PLANTA"))</f>
        <v/>
      </c>
      <c r="E281" s="5">
        <f>IF(B281="","",IFERROR(VLOOKUP(B281, PLANTA_BASE!A:R, 6, FALSE), "NO ENCONTRADO EN PLANTA"))</f>
        <v/>
      </c>
      <c r="F281" s="7">
        <f>IF(B281="","",IFERROR(VLOOKUP(B281, PLANTA_BASE!A:R, 8, FALSE), "DOCENTE / FACILITADOR"))</f>
        <v/>
      </c>
      <c r="G281" s="7">
        <f>IF(B281="","",IFERROR(VLOOKUP(B281, PLANTA_BASE!A:R, 9, FALSE), "GENERAL"))</f>
        <v/>
      </c>
      <c r="H281" s="5">
        <f>IF(B281="","",IFERROR(VLOOKUP(B281, PLANTA_BASE!A:R, 17, FALSE), "GENERAL"))</f>
        <v/>
      </c>
    </row>
    <row r="282" ht="20" customHeight="1">
      <c r="A282" s="2">
        <f>IF(B282="","",IFERROR(VLOOKUP(B282, PLANTA_BASE!A:R, 2, FALSE), "NO ENCONTRADO EN PLANTA"))</f>
        <v/>
      </c>
      <c r="B282" s="3" t="inlineStr">
        <is>
          <t>79329745</t>
        </is>
      </c>
      <c r="C282" s="4" t="inlineStr">
        <is>
          <t>CARDOZO POLANIA LUIS RODRIGO</t>
        </is>
      </c>
      <c r="D282" s="2">
        <f>IF(B282="","",IFERROR(VLOOKUP(B282, PLANTA_BASE!A:R, 5, FALSE), "NO ENCONTRADO EN PLANTA"))</f>
        <v/>
      </c>
      <c r="E282" s="2">
        <f>IF(B282="","",IFERROR(VLOOKUP(B282, PLANTA_BASE!A:R, 6, FALSE), "NO ENCONTRADO EN PLANTA"))</f>
        <v/>
      </c>
      <c r="F282" s="4">
        <f>IF(B282="","",IFERROR(VLOOKUP(B282, PLANTA_BASE!A:R, 8, FALSE), "DOCENTE / FACILITADOR"))</f>
        <v/>
      </c>
      <c r="G282" s="4">
        <f>IF(B282="","",IFERROR(VLOOKUP(B282, PLANTA_BASE!A:R, 9, FALSE), "GENERAL"))</f>
        <v/>
      </c>
      <c r="H282" s="2">
        <f>IF(B282="","",IFERROR(VLOOKUP(B282, PLANTA_BASE!A:R, 17, FALSE), "GENERAL"))</f>
        <v/>
      </c>
    </row>
    <row r="283" ht="20" customHeight="1">
      <c r="A283" s="5">
        <f>IF(B283="","",IFERROR(VLOOKUP(B283, PLANTA_BASE!A:R, 2, FALSE), "NO ENCONTRADO EN PLANTA"))</f>
        <v/>
      </c>
      <c r="B283" s="6" t="inlineStr">
        <is>
          <t>1070972286</t>
        </is>
      </c>
      <c r="C283" s="7" t="inlineStr">
        <is>
          <t>CORTES WILLMAN</t>
        </is>
      </c>
      <c r="D283" s="5">
        <f>IF(B283="","",IFERROR(VLOOKUP(B283, PLANTA_BASE!A:R, 5, FALSE), "NO ENCONTRADO EN PLANTA"))</f>
        <v/>
      </c>
      <c r="E283" s="5">
        <f>IF(B283="","",IFERROR(VLOOKUP(B283, PLANTA_BASE!A:R, 6, FALSE), "NO ENCONTRADO EN PLANTA"))</f>
        <v/>
      </c>
      <c r="F283" s="7">
        <f>IF(B283="","",IFERROR(VLOOKUP(B283, PLANTA_BASE!A:R, 8, FALSE), "DOCENTE / FACILITADOR"))</f>
        <v/>
      </c>
      <c r="G283" s="7">
        <f>IF(B283="","",IFERROR(VLOOKUP(B283, PLANTA_BASE!A:R, 9, FALSE), "GENERAL"))</f>
        <v/>
      </c>
      <c r="H283" s="5">
        <f>IF(B283="","",IFERROR(VLOOKUP(B283, PLANTA_BASE!A:R, 17, FALSE), "GENERAL"))</f>
        <v/>
      </c>
    </row>
    <row r="284" ht="20" customHeight="1">
      <c r="A284" s="2">
        <f>IF(B284="","",IFERROR(VLOOKUP(B284, PLANTA_BASE!A:R, 2, FALSE), "NO ENCONTRADO EN PLANTA"))</f>
        <v/>
      </c>
      <c r="B284" s="3" t="inlineStr">
        <is>
          <t>1014205233</t>
        </is>
      </c>
      <c r="C284" s="4" t="inlineStr">
        <is>
          <t>SALAS CARRANZA ANGIE PATRICIA</t>
        </is>
      </c>
      <c r="D284" s="2">
        <f>IF(B284="","",IFERROR(VLOOKUP(B284, PLANTA_BASE!A:R, 5, FALSE), "NO ENCONTRADO EN PLANTA"))</f>
        <v/>
      </c>
      <c r="E284" s="2">
        <f>IF(B284="","",IFERROR(VLOOKUP(B284, PLANTA_BASE!A:R, 6, FALSE), "NO ENCONTRADO EN PLANTA"))</f>
        <v/>
      </c>
      <c r="F284" s="4">
        <f>IF(B284="","",IFERROR(VLOOKUP(B284, PLANTA_BASE!A:R, 8, FALSE), "DOCENTE / FACILITADOR"))</f>
        <v/>
      </c>
      <c r="G284" s="4">
        <f>IF(B284="","",IFERROR(VLOOKUP(B284, PLANTA_BASE!A:R, 9, FALSE), "GENERAL"))</f>
        <v/>
      </c>
      <c r="H284" s="2">
        <f>IF(B284="","",IFERROR(VLOOKUP(B284, PLANTA_BASE!A:R, 17, FALSE), "GENERAL"))</f>
        <v/>
      </c>
    </row>
    <row r="285" ht="20" customHeight="1">
      <c r="A285" s="5">
        <f>IF(B285="","",IFERROR(VLOOKUP(B285, PLANTA_BASE!A:R, 2, FALSE), "NO ENCONTRADO EN PLANTA"))</f>
        <v/>
      </c>
      <c r="B285" s="6" t="inlineStr">
        <is>
          <t>80845705</t>
        </is>
      </c>
      <c r="C285" s="7" t="inlineStr">
        <is>
          <t>LOPEZ AMARIS HELBERT ARTURO</t>
        </is>
      </c>
      <c r="D285" s="5">
        <f>IF(B285="","",IFERROR(VLOOKUP(B285, PLANTA_BASE!A:R, 5, FALSE), "NO ENCONTRADO EN PLANTA"))</f>
        <v/>
      </c>
      <c r="E285" s="5">
        <f>IF(B285="","",IFERROR(VLOOKUP(B285, PLANTA_BASE!A:R, 6, FALSE), "NO ENCONTRADO EN PLANTA"))</f>
        <v/>
      </c>
      <c r="F285" s="7">
        <f>IF(B285="","",IFERROR(VLOOKUP(B285, PLANTA_BASE!A:R, 8, FALSE), "DOCENTE / FACILITADOR"))</f>
        <v/>
      </c>
      <c r="G285" s="7">
        <f>IF(B285="","",IFERROR(VLOOKUP(B285, PLANTA_BASE!A:R, 9, FALSE), "GENERAL"))</f>
        <v/>
      </c>
      <c r="H285" s="5">
        <f>IF(B285="","",IFERROR(VLOOKUP(B285, PLANTA_BASE!A:R, 17, FALSE), "GENERAL"))</f>
        <v/>
      </c>
    </row>
    <row r="286" ht="20" customHeight="1">
      <c r="A286" s="2">
        <f>IF(B286="","",IFERROR(VLOOKUP(B286, PLANTA_BASE!A:R, 2, FALSE), "NO ENCONTRADO EN PLANTA"))</f>
        <v/>
      </c>
      <c r="B286" s="3" t="inlineStr">
        <is>
          <t>80756697</t>
        </is>
      </c>
      <c r="C286" s="4" t="inlineStr">
        <is>
          <t>RUEDA MORENO JOSE LUIS</t>
        </is>
      </c>
      <c r="D286" s="2">
        <f>IF(B286="","",IFERROR(VLOOKUP(B286, PLANTA_BASE!A:R, 5, FALSE), "NO ENCONTRADO EN PLANTA"))</f>
        <v/>
      </c>
      <c r="E286" s="2">
        <f>IF(B286="","",IFERROR(VLOOKUP(B286, PLANTA_BASE!A:R, 6, FALSE), "NO ENCONTRADO EN PLANTA"))</f>
        <v/>
      </c>
      <c r="F286" s="4">
        <f>IF(B286="","",IFERROR(VLOOKUP(B286, PLANTA_BASE!A:R, 8, FALSE), "DOCENTE / FACILITADOR"))</f>
        <v/>
      </c>
      <c r="G286" s="4">
        <f>IF(B286="","",IFERROR(VLOOKUP(B286, PLANTA_BASE!A:R, 9, FALSE), "GENERAL"))</f>
        <v/>
      </c>
      <c r="H286" s="2">
        <f>IF(B286="","",IFERROR(VLOOKUP(B286, PLANTA_BASE!A:R, 17, FALSE), "GENERAL"))</f>
        <v/>
      </c>
    </row>
    <row r="287" ht="20" customHeight="1">
      <c r="A287" s="5">
        <f>IF(B287="","",IFERROR(VLOOKUP(B287, PLANTA_BASE!A:R, 2, FALSE), "NO ENCONTRADO EN PLANTA"))</f>
        <v/>
      </c>
      <c r="B287" s="6" t="inlineStr">
        <is>
          <t>1030565663</t>
        </is>
      </c>
      <c r="C287" s="7" t="inlineStr">
        <is>
          <t>PENALOZA NATALIA</t>
        </is>
      </c>
      <c r="D287" s="5">
        <f>IF(B287="","",IFERROR(VLOOKUP(B287, PLANTA_BASE!A:R, 5, FALSE), "NO ENCONTRADO EN PLANTA"))</f>
        <v/>
      </c>
      <c r="E287" s="5">
        <f>IF(B287="","",IFERROR(VLOOKUP(B287, PLANTA_BASE!A:R, 6, FALSE), "NO ENCONTRADO EN PLANTA"))</f>
        <v/>
      </c>
      <c r="F287" s="7">
        <f>IF(B287="","",IFERROR(VLOOKUP(B287, PLANTA_BASE!A:R, 8, FALSE), "DOCENTE / FACILITADOR"))</f>
        <v/>
      </c>
      <c r="G287" s="7">
        <f>IF(B287="","",IFERROR(VLOOKUP(B287, PLANTA_BASE!A:R, 9, FALSE), "GENERAL"))</f>
        <v/>
      </c>
      <c r="H287" s="5">
        <f>IF(B287="","",IFERROR(VLOOKUP(B287, PLANTA_BASE!A:R, 17, FALSE), "GENERAL"))</f>
        <v/>
      </c>
    </row>
    <row r="288" ht="20" customHeight="1">
      <c r="A288" s="2">
        <f>IF(B288="","",IFERROR(VLOOKUP(B288, PLANTA_BASE!A:R, 2, FALSE), "NO ENCONTRADO EN PLANTA"))</f>
        <v/>
      </c>
      <c r="B288" s="3" t="inlineStr">
        <is>
          <t>1024510434</t>
        </is>
      </c>
      <c r="C288" s="4" t="inlineStr">
        <is>
          <t>ARIAS MORENO JORGE LEONARDO</t>
        </is>
      </c>
      <c r="D288" s="2">
        <f>IF(B288="","",IFERROR(VLOOKUP(B288, PLANTA_BASE!A:R, 5, FALSE), "NO ENCONTRADO EN PLANTA"))</f>
        <v/>
      </c>
      <c r="E288" s="2">
        <f>IF(B288="","",IFERROR(VLOOKUP(B288, PLANTA_BASE!A:R, 6, FALSE), "NO ENCONTRADO EN PLANTA"))</f>
        <v/>
      </c>
      <c r="F288" s="4">
        <f>IF(B288="","",IFERROR(VLOOKUP(B288, PLANTA_BASE!A:R, 8, FALSE), "DOCENTE / FACILITADOR"))</f>
        <v/>
      </c>
      <c r="G288" s="4">
        <f>IF(B288="","",IFERROR(VLOOKUP(B288, PLANTA_BASE!A:R, 9, FALSE), "GENERAL"))</f>
        <v/>
      </c>
      <c r="H288" s="2">
        <f>IF(B288="","",IFERROR(VLOOKUP(B288, PLANTA_BASE!A:R, 17, FALSE), "GENERAL"))</f>
        <v/>
      </c>
    </row>
    <row r="289" ht="20" customHeight="1">
      <c r="A289" s="5">
        <f>IF(B289="","",IFERROR(VLOOKUP(B289, PLANTA_BASE!A:R, 2, FALSE), "NO ENCONTRADO EN PLANTA"))</f>
        <v/>
      </c>
      <c r="B289" s="6" t="inlineStr">
        <is>
          <t>1023887942</t>
        </is>
      </c>
      <c r="C289" s="7" t="inlineStr">
        <is>
          <t>LOPEZ LEON JONATHAN MAURICIO</t>
        </is>
      </c>
      <c r="D289" s="5">
        <f>IF(B289="","",IFERROR(VLOOKUP(B289, PLANTA_BASE!A:R, 5, FALSE), "NO ENCONTRADO EN PLANTA"))</f>
        <v/>
      </c>
      <c r="E289" s="5">
        <f>IF(B289="","",IFERROR(VLOOKUP(B289, PLANTA_BASE!A:R, 6, FALSE), "NO ENCONTRADO EN PLANTA"))</f>
        <v/>
      </c>
      <c r="F289" s="7">
        <f>IF(B289="","",IFERROR(VLOOKUP(B289, PLANTA_BASE!A:R, 8, FALSE), "DOCENTE / FACILITADOR"))</f>
        <v/>
      </c>
      <c r="G289" s="7">
        <f>IF(B289="","",IFERROR(VLOOKUP(B289, PLANTA_BASE!A:R, 9, FALSE), "GENERAL"))</f>
        <v/>
      </c>
      <c r="H289" s="5">
        <f>IF(B289="","",IFERROR(VLOOKUP(B289, PLANTA_BASE!A:R, 17, FALSE), "GENERAL"))</f>
        <v/>
      </c>
    </row>
    <row r="290" ht="20" customHeight="1">
      <c r="A290" s="2">
        <f>IF(B290="","",IFERROR(VLOOKUP(B290, PLANTA_BASE!A:R, 2, FALSE), "NO ENCONTRADO EN PLANTA"))</f>
        <v/>
      </c>
      <c r="B290" s="3" t="inlineStr">
        <is>
          <t>1032451810</t>
        </is>
      </c>
      <c r="C290" s="4" t="inlineStr">
        <is>
          <t>ALBARRACIN SANCHEZ SERGIO IVAN</t>
        </is>
      </c>
      <c r="D290" s="2">
        <f>IF(B290="","",IFERROR(VLOOKUP(B290, PLANTA_BASE!A:R, 5, FALSE), "NO ENCONTRADO EN PLANTA"))</f>
        <v/>
      </c>
      <c r="E290" s="2">
        <f>IF(B290="","",IFERROR(VLOOKUP(B290, PLANTA_BASE!A:R, 6, FALSE), "NO ENCONTRADO EN PLANTA"))</f>
        <v/>
      </c>
      <c r="F290" s="4">
        <f>IF(B290="","",IFERROR(VLOOKUP(B290, PLANTA_BASE!A:R, 8, FALSE), "DOCENTE / FACILITADOR"))</f>
        <v/>
      </c>
      <c r="G290" s="4">
        <f>IF(B290="","",IFERROR(VLOOKUP(B290, PLANTA_BASE!A:R, 9, FALSE), "GENERAL"))</f>
        <v/>
      </c>
      <c r="H290" s="2">
        <f>IF(B290="","",IFERROR(VLOOKUP(B290, PLANTA_BASE!A:R, 17, FALSE), "GENERAL"))</f>
        <v/>
      </c>
    </row>
    <row r="291" ht="20" customHeight="1">
      <c r="A291" s="5">
        <f>IF(B291="","",IFERROR(VLOOKUP(B291, PLANTA_BASE!A:R, 2, FALSE), "NO ENCONTRADO EN PLANTA"))</f>
        <v/>
      </c>
      <c r="B291" s="6" t="inlineStr">
        <is>
          <t>1018496380</t>
        </is>
      </c>
      <c r="C291" s="7" t="inlineStr">
        <is>
          <t>ERAZO ORTIZ MARIA JOSE</t>
        </is>
      </c>
      <c r="D291" s="5">
        <f>IF(B291="","",IFERROR(VLOOKUP(B291, PLANTA_BASE!A:R, 5, FALSE), "NO ENCONTRADO EN PLANTA"))</f>
        <v/>
      </c>
      <c r="E291" s="5">
        <f>IF(B291="","",IFERROR(VLOOKUP(B291, PLANTA_BASE!A:R, 6, FALSE), "NO ENCONTRADO EN PLANTA"))</f>
        <v/>
      </c>
      <c r="F291" s="7">
        <f>IF(B291="","",IFERROR(VLOOKUP(B291, PLANTA_BASE!A:R, 8, FALSE), "DOCENTE / FACILITADOR"))</f>
        <v/>
      </c>
      <c r="G291" s="7">
        <f>IF(B291="","",IFERROR(VLOOKUP(B291, PLANTA_BASE!A:R, 9, FALSE), "GENERAL"))</f>
        <v/>
      </c>
      <c r="H291" s="5">
        <f>IF(B291="","",IFERROR(VLOOKUP(B291, PLANTA_BASE!A:R, 17, FALSE), "GENERAL"))</f>
        <v/>
      </c>
    </row>
    <row r="292" ht="20" customHeight="1">
      <c r="A292" s="2">
        <f>IF(B292="","",IFERROR(VLOOKUP(B292, PLANTA_BASE!A:R, 2, FALSE), "NO ENCONTRADO EN PLANTA"))</f>
        <v/>
      </c>
      <c r="B292" s="3" t="inlineStr">
        <is>
          <t>1020843461</t>
        </is>
      </c>
      <c r="C292" s="4" t="inlineStr">
        <is>
          <t>PRIETO RODRIGUEZ SARAH LIA</t>
        </is>
      </c>
      <c r="D292" s="2">
        <f>IF(B292="","",IFERROR(VLOOKUP(B292, PLANTA_BASE!A:R, 5, FALSE), "NO ENCONTRADO EN PLANTA"))</f>
        <v/>
      </c>
      <c r="E292" s="2">
        <f>IF(B292="","",IFERROR(VLOOKUP(B292, PLANTA_BASE!A:R, 6, FALSE), "NO ENCONTRADO EN PLANTA"))</f>
        <v/>
      </c>
      <c r="F292" s="4">
        <f>IF(B292="","",IFERROR(VLOOKUP(B292, PLANTA_BASE!A:R, 8, FALSE), "DOCENTE / FACILITADOR"))</f>
        <v/>
      </c>
      <c r="G292" s="4">
        <f>IF(B292="","",IFERROR(VLOOKUP(B292, PLANTA_BASE!A:R, 9, FALSE), "GENERAL"))</f>
        <v/>
      </c>
      <c r="H292" s="2">
        <f>IF(B292="","",IFERROR(VLOOKUP(B292, PLANTA_BASE!A:R, 17, FALSE), "GENERAL"))</f>
        <v/>
      </c>
    </row>
    <row r="293" ht="20" customHeight="1">
      <c r="A293" s="5">
        <f>IF(B293="","",IFERROR(VLOOKUP(B293, PLANTA_BASE!A:R, 2, FALSE), "NO ENCONTRADO EN PLANTA"))</f>
        <v/>
      </c>
      <c r="B293" s="6" t="inlineStr">
        <is>
          <t>80020383</t>
        </is>
      </c>
      <c r="C293" s="7" t="inlineStr">
        <is>
          <t>BERNAL OLAYA JORGE ALBERTO</t>
        </is>
      </c>
      <c r="D293" s="5">
        <f>IF(B293="","",IFERROR(VLOOKUP(B293, PLANTA_BASE!A:R, 5, FALSE), "NO ENCONTRADO EN PLANTA"))</f>
        <v/>
      </c>
      <c r="E293" s="5">
        <f>IF(B293="","",IFERROR(VLOOKUP(B293, PLANTA_BASE!A:R, 6, FALSE), "NO ENCONTRADO EN PLANTA"))</f>
        <v/>
      </c>
      <c r="F293" s="7">
        <f>IF(B293="","",IFERROR(VLOOKUP(B293, PLANTA_BASE!A:R, 8, FALSE), "DOCENTE / FACILITADOR"))</f>
        <v/>
      </c>
      <c r="G293" s="7">
        <f>IF(B293="","",IFERROR(VLOOKUP(B293, PLANTA_BASE!A:R, 9, FALSE), "GENERAL"))</f>
        <v/>
      </c>
      <c r="H293" s="5">
        <f>IF(B293="","",IFERROR(VLOOKUP(B293, PLANTA_BASE!A:R, 17, FALSE), "GENERAL"))</f>
        <v/>
      </c>
    </row>
    <row r="294" ht="20" customHeight="1">
      <c r="A294" s="2">
        <f>IF(B294="","",IFERROR(VLOOKUP(B294, PLANTA_BASE!A:R, 2, FALSE), "NO ENCONTRADO EN PLANTA"))</f>
        <v/>
      </c>
      <c r="B294" s="3" t="inlineStr">
        <is>
          <t>1116807112</t>
        </is>
      </c>
      <c r="C294" s="4" t="inlineStr">
        <is>
          <t>RINCON NAVARRO MARIA CAMILA</t>
        </is>
      </c>
      <c r="D294" s="2">
        <f>IF(B294="","",IFERROR(VLOOKUP(B294, PLANTA_BASE!A:R, 5, FALSE), "NO ENCONTRADO EN PLANTA"))</f>
        <v/>
      </c>
      <c r="E294" s="2">
        <f>IF(B294="","",IFERROR(VLOOKUP(B294, PLANTA_BASE!A:R, 6, FALSE), "NO ENCONTRADO EN PLANTA"))</f>
        <v/>
      </c>
      <c r="F294" s="4">
        <f>IF(B294="","",IFERROR(VLOOKUP(B294, PLANTA_BASE!A:R, 8, FALSE), "DOCENTE / FACILITADOR"))</f>
        <v/>
      </c>
      <c r="G294" s="4">
        <f>IF(B294="","",IFERROR(VLOOKUP(B294, PLANTA_BASE!A:R, 9, FALSE), "GENERAL"))</f>
        <v/>
      </c>
      <c r="H294" s="2">
        <f>IF(B294="","",IFERROR(VLOOKUP(B294, PLANTA_BASE!A:R, 17, FALSE), "GENERAL"))</f>
        <v/>
      </c>
    </row>
    <row r="295" ht="20" customHeight="1">
      <c r="A295" s="5">
        <f>IF(B295="","",IFERROR(VLOOKUP(B295, PLANTA_BASE!A:R, 2, FALSE), "NO ENCONTRADO EN PLANTA"))</f>
        <v/>
      </c>
      <c r="B295" s="6" t="inlineStr">
        <is>
          <t>80109407</t>
        </is>
      </c>
      <c r="C295" s="7" t="inlineStr">
        <is>
          <t>ACOSTA ALEJANDRO</t>
        </is>
      </c>
      <c r="D295" s="5">
        <f>IF(B295="","",IFERROR(VLOOKUP(B295, PLANTA_BASE!A:R, 5, FALSE), "NO ENCONTRADO EN PLANTA"))</f>
        <v/>
      </c>
      <c r="E295" s="5">
        <f>IF(B295="","",IFERROR(VLOOKUP(B295, PLANTA_BASE!A:R, 6, FALSE), "NO ENCONTRADO EN PLANTA"))</f>
        <v/>
      </c>
      <c r="F295" s="7">
        <f>IF(B295="","",IFERROR(VLOOKUP(B295, PLANTA_BASE!A:R, 8, FALSE), "DOCENTE / FACILITADOR"))</f>
        <v/>
      </c>
      <c r="G295" s="7">
        <f>IF(B295="","",IFERROR(VLOOKUP(B295, PLANTA_BASE!A:R, 9, FALSE), "GENERAL"))</f>
        <v/>
      </c>
      <c r="H295" s="5">
        <f>IF(B295="","",IFERROR(VLOOKUP(B295, PLANTA_BASE!A:R, 17, FALSE), "GENERAL"))</f>
        <v/>
      </c>
    </row>
    <row r="296" ht="20" customHeight="1">
      <c r="A296" s="2">
        <f>IF(B296="","",IFERROR(VLOOKUP(B296, PLANTA_BASE!A:R, 2, FALSE), "NO ENCONTRADO EN PLANTA"))</f>
        <v/>
      </c>
      <c r="B296" s="3" t="inlineStr">
        <is>
          <t>7843437</t>
        </is>
      </c>
      <c r="C296" s="4" t="inlineStr">
        <is>
          <t>MURCIA GARCIA SHESMAN ALEXANDER</t>
        </is>
      </c>
      <c r="D296" s="2">
        <f>IF(B296="","",IFERROR(VLOOKUP(B296, PLANTA_BASE!A:R, 5, FALSE), "NO ENCONTRADO EN PLANTA"))</f>
        <v/>
      </c>
      <c r="E296" s="2">
        <f>IF(B296="","",IFERROR(VLOOKUP(B296, PLANTA_BASE!A:R, 6, FALSE), "NO ENCONTRADO EN PLANTA"))</f>
        <v/>
      </c>
      <c r="F296" s="4">
        <f>IF(B296="","",IFERROR(VLOOKUP(B296, PLANTA_BASE!A:R, 8, FALSE), "DOCENTE / FACILITADOR"))</f>
        <v/>
      </c>
      <c r="G296" s="4">
        <f>IF(B296="","",IFERROR(VLOOKUP(B296, PLANTA_BASE!A:R, 9, FALSE), "GENERAL"))</f>
        <v/>
      </c>
      <c r="H296" s="2">
        <f>IF(B296="","",IFERROR(VLOOKUP(B296, PLANTA_BASE!A:R, 17, FALSE), "GENERAL"))</f>
        <v/>
      </c>
    </row>
    <row r="297" ht="20" customHeight="1">
      <c r="A297" s="5">
        <f>IF(B297="","",IFERROR(VLOOKUP(B297, PLANTA_BASE!A:R, 2, FALSE), "NO ENCONTRADO EN PLANTA"))</f>
        <v/>
      </c>
      <c r="B297" s="6" t="inlineStr">
        <is>
          <t>79686588</t>
        </is>
      </c>
      <c r="C297" s="7" t="inlineStr">
        <is>
          <t>MORALES CARVAJALINO CARLOS DARIO</t>
        </is>
      </c>
      <c r="D297" s="5">
        <f>IF(B297="","",IFERROR(VLOOKUP(B297, PLANTA_BASE!A:R, 5, FALSE), "NO ENCONTRADO EN PLANTA"))</f>
        <v/>
      </c>
      <c r="E297" s="5">
        <f>IF(B297="","",IFERROR(VLOOKUP(B297, PLANTA_BASE!A:R, 6, FALSE), "NO ENCONTRADO EN PLANTA"))</f>
        <v/>
      </c>
      <c r="F297" s="7">
        <f>IF(B297="","",IFERROR(VLOOKUP(B297, PLANTA_BASE!A:R, 8, FALSE), "DOCENTE / FACILITADOR"))</f>
        <v/>
      </c>
      <c r="G297" s="7">
        <f>IF(B297="","",IFERROR(VLOOKUP(B297, PLANTA_BASE!A:R, 9, FALSE), "GENERAL"))</f>
        <v/>
      </c>
      <c r="H297" s="5">
        <f>IF(B297="","",IFERROR(VLOOKUP(B297, PLANTA_BASE!A:R, 17, FALSE), "GENERAL"))</f>
        <v/>
      </c>
    </row>
    <row r="298" ht="20" customHeight="1">
      <c r="A298" s="2">
        <f>IF(B298="","",IFERROR(VLOOKUP(B298, PLANTA_BASE!A:R, 2, FALSE), "NO ENCONTRADO EN PLANTA"))</f>
        <v/>
      </c>
      <c r="B298" s="3" t="inlineStr">
        <is>
          <t>80011939</t>
        </is>
      </c>
      <c r="C298" s="4" t="inlineStr">
        <is>
          <t>BRICENO NINO ANDRES FELIPE</t>
        </is>
      </c>
      <c r="D298" s="2">
        <f>IF(B298="","",IFERROR(VLOOKUP(B298, PLANTA_BASE!A:R, 5, FALSE), "NO ENCONTRADO EN PLANTA"))</f>
        <v/>
      </c>
      <c r="E298" s="2">
        <f>IF(B298="","",IFERROR(VLOOKUP(B298, PLANTA_BASE!A:R, 6, FALSE), "NO ENCONTRADO EN PLANTA"))</f>
        <v/>
      </c>
      <c r="F298" s="4">
        <f>IF(B298="","",IFERROR(VLOOKUP(B298, PLANTA_BASE!A:R, 8, FALSE), "DOCENTE / FACILITADOR"))</f>
        <v/>
      </c>
      <c r="G298" s="4">
        <f>IF(B298="","",IFERROR(VLOOKUP(B298, PLANTA_BASE!A:R, 9, FALSE), "GENERAL"))</f>
        <v/>
      </c>
      <c r="H298" s="2">
        <f>IF(B298="","",IFERROR(VLOOKUP(B298, PLANTA_BASE!A:R, 17, FALSE), "GENERAL"))</f>
        <v/>
      </c>
    </row>
    <row r="299" ht="20" customHeight="1">
      <c r="A299" s="5">
        <f>IF(B299="","",IFERROR(VLOOKUP(B299, PLANTA_BASE!A:R, 2, FALSE), "NO ENCONTRADO EN PLANTA"))</f>
        <v/>
      </c>
      <c r="B299" s="6" t="inlineStr">
        <is>
          <t>1013603555</t>
        </is>
      </c>
      <c r="C299" s="7" t="inlineStr">
        <is>
          <t>JURADO MONTOYA DAVID FERNANDO</t>
        </is>
      </c>
      <c r="D299" s="5">
        <f>IF(B299="","",IFERROR(VLOOKUP(B299, PLANTA_BASE!A:R, 5, FALSE), "NO ENCONTRADO EN PLANTA"))</f>
        <v/>
      </c>
      <c r="E299" s="5">
        <f>IF(B299="","",IFERROR(VLOOKUP(B299, PLANTA_BASE!A:R, 6, FALSE), "NO ENCONTRADO EN PLANTA"))</f>
        <v/>
      </c>
      <c r="F299" s="7">
        <f>IF(B299="","",IFERROR(VLOOKUP(B299, PLANTA_BASE!A:R, 8, FALSE), "DOCENTE / FACILITADOR"))</f>
        <v/>
      </c>
      <c r="G299" s="7">
        <f>IF(B299="","",IFERROR(VLOOKUP(B299, PLANTA_BASE!A:R, 9, FALSE), "GENERAL"))</f>
        <v/>
      </c>
      <c r="H299" s="5">
        <f>IF(B299="","",IFERROR(VLOOKUP(B299, PLANTA_BASE!A:R, 17, FALSE), "GENERAL"))</f>
        <v/>
      </c>
    </row>
    <row r="300" ht="20" customHeight="1">
      <c r="A300" s="2">
        <f>IF(B300="","",IFERROR(VLOOKUP(B300, PLANTA_BASE!A:R, 2, FALSE), "NO ENCONTRADO EN PLANTA"))</f>
        <v/>
      </c>
      <c r="B300" s="3" t="inlineStr">
        <is>
          <t>1026297777</t>
        </is>
      </c>
      <c r="C300" s="4" t="inlineStr">
        <is>
          <t>SUAREZ JIMENEZ DANIELA</t>
        </is>
      </c>
      <c r="D300" s="2">
        <f>IF(B300="","",IFERROR(VLOOKUP(B300, PLANTA_BASE!A:R, 5, FALSE), "NO ENCONTRADO EN PLANTA"))</f>
        <v/>
      </c>
      <c r="E300" s="2">
        <f>IF(B300="","",IFERROR(VLOOKUP(B300, PLANTA_BASE!A:R, 6, FALSE), "NO ENCONTRADO EN PLANTA"))</f>
        <v/>
      </c>
      <c r="F300" s="4">
        <f>IF(B300="","",IFERROR(VLOOKUP(B300, PLANTA_BASE!A:R, 8, FALSE), "DOCENTE / FACILITADOR"))</f>
        <v/>
      </c>
      <c r="G300" s="4">
        <f>IF(B300="","",IFERROR(VLOOKUP(B300, PLANTA_BASE!A:R, 9, FALSE), "GENERAL"))</f>
        <v/>
      </c>
      <c r="H300" s="2">
        <f>IF(B300="","",IFERROR(VLOOKUP(B300, PLANTA_BASE!A:R, 17, FALSE), "GENERAL"))</f>
        <v/>
      </c>
    </row>
    <row r="301" ht="20" customHeight="1">
      <c r="A301" s="5">
        <f>IF(B301="","",IFERROR(VLOOKUP(B301, PLANTA_BASE!A:R, 2, FALSE), "NO ENCONTRADO EN PLANTA"))</f>
        <v/>
      </c>
      <c r="B301" s="6" t="inlineStr">
        <is>
          <t>1013662906</t>
        </is>
      </c>
      <c r="C301" s="7" t="inlineStr">
        <is>
          <t>LOPEZ HERNANDEZ JOSE ARNOLD</t>
        </is>
      </c>
      <c r="D301" s="5">
        <f>IF(B301="","",IFERROR(VLOOKUP(B301, PLANTA_BASE!A:R, 5, FALSE), "NO ENCONTRADO EN PLANTA"))</f>
        <v/>
      </c>
      <c r="E301" s="5">
        <f>IF(B301="","",IFERROR(VLOOKUP(B301, PLANTA_BASE!A:R, 6, FALSE), "NO ENCONTRADO EN PLANTA"))</f>
        <v/>
      </c>
      <c r="F301" s="7">
        <f>IF(B301="","",IFERROR(VLOOKUP(B301, PLANTA_BASE!A:R, 8, FALSE), "DOCENTE / FACILITADOR"))</f>
        <v/>
      </c>
      <c r="G301" s="7">
        <f>IF(B301="","",IFERROR(VLOOKUP(B301, PLANTA_BASE!A:R, 9, FALSE), "GENERAL"))</f>
        <v/>
      </c>
      <c r="H301" s="5">
        <f>IF(B301="","",IFERROR(VLOOKUP(B301, PLANTA_BASE!A:R, 17, FALSE), "GENERAL"))</f>
        <v/>
      </c>
    </row>
    <row r="302" ht="20" customHeight="1">
      <c r="A302" s="2">
        <f>IF(B302="","",IFERROR(VLOOKUP(B302, PLANTA_BASE!A:R, 2, FALSE), "NO ENCONTRADO EN PLANTA"))</f>
        <v/>
      </c>
      <c r="B302" s="3" t="inlineStr">
        <is>
          <t>1052417031</t>
        </is>
      </c>
      <c r="C302" s="4" t="inlineStr">
        <is>
          <t>BARRERA RINCON DAYAN RICARDO</t>
        </is>
      </c>
      <c r="D302" s="2">
        <f>IF(B302="","",IFERROR(VLOOKUP(B302, PLANTA_BASE!A:R, 5, FALSE), "NO ENCONTRADO EN PLANTA"))</f>
        <v/>
      </c>
      <c r="E302" s="2">
        <f>IF(B302="","",IFERROR(VLOOKUP(B302, PLANTA_BASE!A:R, 6, FALSE), "NO ENCONTRADO EN PLANTA"))</f>
        <v/>
      </c>
      <c r="F302" s="4">
        <f>IF(B302="","",IFERROR(VLOOKUP(B302, PLANTA_BASE!A:R, 8, FALSE), "DOCENTE / FACILITADOR"))</f>
        <v/>
      </c>
      <c r="G302" s="4">
        <f>IF(B302="","",IFERROR(VLOOKUP(B302, PLANTA_BASE!A:R, 9, FALSE), "GENERAL"))</f>
        <v/>
      </c>
      <c r="H302" s="2">
        <f>IF(B302="","",IFERROR(VLOOKUP(B302, PLANTA_BASE!A:R, 17, FALSE), "GENERAL"))</f>
        <v/>
      </c>
    </row>
    <row r="303" ht="20" customHeight="1">
      <c r="A303" s="5">
        <f>IF(B303="","",IFERROR(VLOOKUP(B303, PLANTA_BASE!A:R, 2, FALSE), "NO ENCONTRADO EN PLANTA"))</f>
        <v/>
      </c>
      <c r="B303" s="6" t="inlineStr">
        <is>
          <t>1113640591</t>
        </is>
      </c>
      <c r="C303" s="7" t="inlineStr">
        <is>
          <t>GRANDA ARCE DAMARIS</t>
        </is>
      </c>
      <c r="D303" s="5">
        <f>IF(B303="","",IFERROR(VLOOKUP(B303, PLANTA_BASE!A:R, 5, FALSE), "NO ENCONTRADO EN PLANTA"))</f>
        <v/>
      </c>
      <c r="E303" s="5">
        <f>IF(B303="","",IFERROR(VLOOKUP(B303, PLANTA_BASE!A:R, 6, FALSE), "NO ENCONTRADO EN PLANTA"))</f>
        <v/>
      </c>
      <c r="F303" s="7">
        <f>IF(B303="","",IFERROR(VLOOKUP(B303, PLANTA_BASE!A:R, 8, FALSE), "DOCENTE / FACILITADOR"))</f>
        <v/>
      </c>
      <c r="G303" s="7">
        <f>IF(B303="","",IFERROR(VLOOKUP(B303, PLANTA_BASE!A:R, 9, FALSE), "GENERAL"))</f>
        <v/>
      </c>
      <c r="H303" s="5">
        <f>IF(B303="","",IFERROR(VLOOKUP(B303, PLANTA_BASE!A:R, 17, FALSE), "GENERAL"))</f>
        <v/>
      </c>
    </row>
    <row r="304" ht="20" customHeight="1">
      <c r="A304" s="2">
        <f>IF(B304="","",IFERROR(VLOOKUP(B304, PLANTA_BASE!A:R, 2, FALSE), "NO ENCONTRADO EN PLANTA"))</f>
        <v/>
      </c>
      <c r="B304" s="3" t="inlineStr">
        <is>
          <t>1020809095</t>
        </is>
      </c>
      <c r="C304" s="4" t="inlineStr">
        <is>
          <t>MORENO MENDOZA DANIEL FELIPE</t>
        </is>
      </c>
      <c r="D304" s="2">
        <f>IF(B304="","",IFERROR(VLOOKUP(B304, PLANTA_BASE!A:R, 5, FALSE), "NO ENCONTRADO EN PLANTA"))</f>
        <v/>
      </c>
      <c r="E304" s="2">
        <f>IF(B304="","",IFERROR(VLOOKUP(B304, PLANTA_BASE!A:R, 6, FALSE), "NO ENCONTRADO EN PLANTA"))</f>
        <v/>
      </c>
      <c r="F304" s="4">
        <f>IF(B304="","",IFERROR(VLOOKUP(B304, PLANTA_BASE!A:R, 8, FALSE), "DOCENTE / FACILITADOR"))</f>
        <v/>
      </c>
      <c r="G304" s="4">
        <f>IF(B304="","",IFERROR(VLOOKUP(B304, PLANTA_BASE!A:R, 9, FALSE), "GENERAL"))</f>
        <v/>
      </c>
      <c r="H304" s="2">
        <f>IF(B304="","",IFERROR(VLOOKUP(B304, PLANTA_BASE!A:R, 17, FALSE), "GENERAL"))</f>
        <v/>
      </c>
    </row>
    <row r="305" ht="20" customHeight="1">
      <c r="A305" s="5">
        <f>IF(B305="","",IFERROR(VLOOKUP(B305, PLANTA_BASE!A:R, 2, FALSE), "NO ENCONTRADO EN PLANTA"))</f>
        <v/>
      </c>
      <c r="B305" s="6" t="inlineStr">
        <is>
          <t>1052411055</t>
        </is>
      </c>
      <c r="C305" s="7" t="inlineStr">
        <is>
          <t>PEREZ HERNANDEZ YESSICA JULIETH</t>
        </is>
      </c>
      <c r="D305" s="5">
        <f>IF(B305="","",IFERROR(VLOOKUP(B305, PLANTA_BASE!A:R, 5, FALSE), "NO ENCONTRADO EN PLANTA"))</f>
        <v/>
      </c>
      <c r="E305" s="5">
        <f>IF(B305="","",IFERROR(VLOOKUP(B305, PLANTA_BASE!A:R, 6, FALSE), "NO ENCONTRADO EN PLANTA"))</f>
        <v/>
      </c>
      <c r="F305" s="7">
        <f>IF(B305="","",IFERROR(VLOOKUP(B305, PLANTA_BASE!A:R, 8, FALSE), "DOCENTE / FACILITADOR"))</f>
        <v/>
      </c>
      <c r="G305" s="7">
        <f>IF(B305="","",IFERROR(VLOOKUP(B305, PLANTA_BASE!A:R, 9, FALSE), "GENERAL"))</f>
        <v/>
      </c>
      <c r="H305" s="5">
        <f>IF(B305="","",IFERROR(VLOOKUP(B305, PLANTA_BASE!A:R, 17, FALSE), "GENERAL"))</f>
        <v/>
      </c>
    </row>
    <row r="306" ht="20" customHeight="1">
      <c r="A306" s="2">
        <f>IF(B306="","",IFERROR(VLOOKUP(B306, PLANTA_BASE!A:R, 2, FALSE), "NO ENCONTRADO EN PLANTA"))</f>
        <v/>
      </c>
      <c r="B306" s="3" t="inlineStr">
        <is>
          <t>1012403324</t>
        </is>
      </c>
      <c r="C306" s="4" t="inlineStr">
        <is>
          <t>CANTOR TATIANA</t>
        </is>
      </c>
      <c r="D306" s="2">
        <f>IF(B306="","",IFERROR(VLOOKUP(B306, PLANTA_BASE!A:R, 5, FALSE), "NO ENCONTRADO EN PLANTA"))</f>
        <v/>
      </c>
      <c r="E306" s="2">
        <f>IF(B306="","",IFERROR(VLOOKUP(B306, PLANTA_BASE!A:R, 6, FALSE), "NO ENCONTRADO EN PLANTA"))</f>
        <v/>
      </c>
      <c r="F306" s="4">
        <f>IF(B306="","",IFERROR(VLOOKUP(B306, PLANTA_BASE!A:R, 8, FALSE), "DOCENTE / FACILITADOR"))</f>
        <v/>
      </c>
      <c r="G306" s="4">
        <f>IF(B306="","",IFERROR(VLOOKUP(B306, PLANTA_BASE!A:R, 9, FALSE), "GENERAL"))</f>
        <v/>
      </c>
      <c r="H306" s="2">
        <f>IF(B306="","",IFERROR(VLOOKUP(B306, PLANTA_BASE!A:R, 17, FALSE), "GENERAL"))</f>
        <v/>
      </c>
    </row>
    <row r="307" ht="20" customHeight="1">
      <c r="A307" s="5">
        <f>IF(B307="","",IFERROR(VLOOKUP(B307, PLANTA_BASE!A:R, 2, FALSE), "NO ENCONTRADO EN PLANTA"))</f>
        <v/>
      </c>
      <c r="B307" s="6" t="inlineStr">
        <is>
          <t>1013645325</t>
        </is>
      </c>
      <c r="C307" s="7" t="inlineStr">
        <is>
          <t>VALENZUELA SERRANO NATHALIE</t>
        </is>
      </c>
      <c r="D307" s="5">
        <f>IF(B307="","",IFERROR(VLOOKUP(B307, PLANTA_BASE!A:R, 5, FALSE), "NO ENCONTRADO EN PLANTA"))</f>
        <v/>
      </c>
      <c r="E307" s="5">
        <f>IF(B307="","",IFERROR(VLOOKUP(B307, PLANTA_BASE!A:R, 6, FALSE), "NO ENCONTRADO EN PLANTA"))</f>
        <v/>
      </c>
      <c r="F307" s="7">
        <f>IF(B307="","",IFERROR(VLOOKUP(B307, PLANTA_BASE!A:R, 8, FALSE), "DOCENTE / FACILITADOR"))</f>
        <v/>
      </c>
      <c r="G307" s="7">
        <f>IF(B307="","",IFERROR(VLOOKUP(B307, PLANTA_BASE!A:R, 9, FALSE), "GENERAL"))</f>
        <v/>
      </c>
      <c r="H307" s="5">
        <f>IF(B307="","",IFERROR(VLOOKUP(B307, PLANTA_BASE!A:R, 17, FALSE), "GENERAL"))</f>
        <v/>
      </c>
    </row>
    <row r="308" ht="20" customHeight="1">
      <c r="A308" s="2">
        <f>IF(B308="","",IFERROR(VLOOKUP(B308, PLANTA_BASE!A:R, 2, FALSE), "NO ENCONTRADO EN PLANTA"))</f>
        <v/>
      </c>
      <c r="B308" s="3" t="inlineStr">
        <is>
          <t>80038708</t>
        </is>
      </c>
      <c r="C308" s="4" t="inlineStr">
        <is>
          <t>NARVAEZ CABALLERO NIKOLAI ALEXANDER</t>
        </is>
      </c>
      <c r="D308" s="2">
        <f>IF(B308="","",IFERROR(VLOOKUP(B308, PLANTA_BASE!A:R, 5, FALSE), "NO ENCONTRADO EN PLANTA"))</f>
        <v/>
      </c>
      <c r="E308" s="2">
        <f>IF(B308="","",IFERROR(VLOOKUP(B308, PLANTA_BASE!A:R, 6, FALSE), "NO ENCONTRADO EN PLANTA"))</f>
        <v/>
      </c>
      <c r="F308" s="4">
        <f>IF(B308="","",IFERROR(VLOOKUP(B308, PLANTA_BASE!A:R, 8, FALSE), "DOCENTE / FACILITADOR"))</f>
        <v/>
      </c>
      <c r="G308" s="4">
        <f>IF(B308="","",IFERROR(VLOOKUP(B308, PLANTA_BASE!A:R, 9, FALSE), "GENERAL"))</f>
        <v/>
      </c>
      <c r="H308" s="2">
        <f>IF(B308="","",IFERROR(VLOOKUP(B308, PLANTA_BASE!A:R, 17, FALSE), "GENERAL"))</f>
        <v/>
      </c>
    </row>
    <row r="309" ht="20" customHeight="1">
      <c r="A309" s="5">
        <f>IF(B309="","",IFERROR(VLOOKUP(B309, PLANTA_BASE!A:R, 2, FALSE), "NO ENCONTRADO EN PLANTA"))</f>
        <v/>
      </c>
      <c r="B309" s="6" t="inlineStr">
        <is>
          <t>1001059089</t>
        </is>
      </c>
      <c r="C309" s="7" t="inlineStr">
        <is>
          <t>RANGEL TORRES JUAN FELIPE</t>
        </is>
      </c>
      <c r="D309" s="5">
        <f>IF(B309="","",IFERROR(VLOOKUP(B309, PLANTA_BASE!A:R, 5, FALSE), "NO ENCONTRADO EN PLANTA"))</f>
        <v/>
      </c>
      <c r="E309" s="5">
        <f>IF(B309="","",IFERROR(VLOOKUP(B309, PLANTA_BASE!A:R, 6, FALSE), "NO ENCONTRADO EN PLANTA"))</f>
        <v/>
      </c>
      <c r="F309" s="7">
        <f>IF(B309="","",IFERROR(VLOOKUP(B309, PLANTA_BASE!A:R, 8, FALSE), "DOCENTE / FACILITADOR"))</f>
        <v/>
      </c>
      <c r="G309" s="7">
        <f>IF(B309="","",IFERROR(VLOOKUP(B309, PLANTA_BASE!A:R, 9, FALSE), "GENERAL"))</f>
        <v/>
      </c>
      <c r="H309" s="5">
        <f>IF(B309="","",IFERROR(VLOOKUP(B309, PLANTA_BASE!A:R, 17, FALSE), "GENERAL"))</f>
        <v/>
      </c>
    </row>
    <row r="310" ht="20" customHeight="1">
      <c r="A310" s="2">
        <f>IF(B310="","",IFERROR(VLOOKUP(B310, PLANTA_BASE!A:R, 2, FALSE), "NO ENCONTRADO EN PLANTA"))</f>
        <v/>
      </c>
      <c r="B310" s="3" t="inlineStr">
        <is>
          <t>1015436045</t>
        </is>
      </c>
      <c r="C310" s="4" t="inlineStr">
        <is>
          <t>DIAZ BONILLA MARIA EUGENIA</t>
        </is>
      </c>
      <c r="D310" s="2">
        <f>IF(B310="","",IFERROR(VLOOKUP(B310, PLANTA_BASE!A:R, 5, FALSE), "NO ENCONTRADO EN PLANTA"))</f>
        <v/>
      </c>
      <c r="E310" s="2">
        <f>IF(B310="","",IFERROR(VLOOKUP(B310, PLANTA_BASE!A:R, 6, FALSE), "NO ENCONTRADO EN PLANTA"))</f>
        <v/>
      </c>
      <c r="F310" s="4">
        <f>IF(B310="","",IFERROR(VLOOKUP(B310, PLANTA_BASE!A:R, 8, FALSE), "DOCENTE / FACILITADOR"))</f>
        <v/>
      </c>
      <c r="G310" s="4">
        <f>IF(B310="","",IFERROR(VLOOKUP(B310, PLANTA_BASE!A:R, 9, FALSE), "GENERAL"))</f>
        <v/>
      </c>
      <c r="H310" s="2">
        <f>IF(B310="","",IFERROR(VLOOKUP(B310, PLANTA_BASE!A:R, 17, FALSE), "GENERAL"))</f>
        <v/>
      </c>
    </row>
    <row r="311" ht="20" customHeight="1">
      <c r="A311" s="5">
        <f>IF(B311="","",IFERROR(VLOOKUP(B311, PLANTA_BASE!A:R, 2, FALSE), "NO ENCONTRADO EN PLANTA"))</f>
        <v/>
      </c>
      <c r="B311" s="6" t="inlineStr">
        <is>
          <t>7188686</t>
        </is>
      </c>
      <c r="C311" s="7" t="inlineStr">
        <is>
          <t>MEDINA JOSE LUIS</t>
        </is>
      </c>
      <c r="D311" s="5">
        <f>IF(B311="","",IFERROR(VLOOKUP(B311, PLANTA_BASE!A:R, 5, FALSE), "NO ENCONTRADO EN PLANTA"))</f>
        <v/>
      </c>
      <c r="E311" s="5">
        <f>IF(B311="","",IFERROR(VLOOKUP(B311, PLANTA_BASE!A:R, 6, FALSE), "NO ENCONTRADO EN PLANTA"))</f>
        <v/>
      </c>
      <c r="F311" s="7">
        <f>IF(B311="","",IFERROR(VLOOKUP(B311, PLANTA_BASE!A:R, 8, FALSE), "DOCENTE / FACILITADOR"))</f>
        <v/>
      </c>
      <c r="G311" s="7">
        <f>IF(B311="","",IFERROR(VLOOKUP(B311, PLANTA_BASE!A:R, 9, FALSE), "GENERAL"))</f>
        <v/>
      </c>
      <c r="H311" s="5">
        <f>IF(B311="","",IFERROR(VLOOKUP(B311, PLANTA_BASE!A:R, 17, FALSE), "GENERAL"))</f>
        <v/>
      </c>
    </row>
    <row r="312" ht="20" customHeight="1">
      <c r="A312" s="2">
        <f>IF(B312="","",IFERROR(VLOOKUP(B312, PLANTA_BASE!A:R, 2, FALSE), "NO ENCONTRADO EN PLANTA"))</f>
        <v/>
      </c>
      <c r="B312" s="3" t="inlineStr">
        <is>
          <t>52786398</t>
        </is>
      </c>
      <c r="C312" s="4" t="inlineStr">
        <is>
          <t>GONZALEZ DIANA</t>
        </is>
      </c>
      <c r="D312" s="2">
        <f>IF(B312="","",IFERROR(VLOOKUP(B312, PLANTA_BASE!A:R, 5, FALSE), "NO ENCONTRADO EN PLANTA"))</f>
        <v/>
      </c>
      <c r="E312" s="2">
        <f>IF(B312="","",IFERROR(VLOOKUP(B312, PLANTA_BASE!A:R, 6, FALSE), "NO ENCONTRADO EN PLANTA"))</f>
        <v/>
      </c>
      <c r="F312" s="4">
        <f>IF(B312="","",IFERROR(VLOOKUP(B312, PLANTA_BASE!A:R, 8, FALSE), "DOCENTE / FACILITADOR"))</f>
        <v/>
      </c>
      <c r="G312" s="4">
        <f>IF(B312="","",IFERROR(VLOOKUP(B312, PLANTA_BASE!A:R, 9, FALSE), "GENERAL"))</f>
        <v/>
      </c>
      <c r="H312" s="2">
        <f>IF(B312="","",IFERROR(VLOOKUP(B312, PLANTA_BASE!A:R, 17, FALSE), "GENERAL"))</f>
        <v/>
      </c>
    </row>
    <row r="313" ht="20" customHeight="1">
      <c r="A313" s="5">
        <f>IF(B313="","",IFERROR(VLOOKUP(B313, PLANTA_BASE!A:R, 2, FALSE), "NO ENCONTRADO EN PLANTA"))</f>
        <v/>
      </c>
      <c r="B313" s="6" t="inlineStr">
        <is>
          <t>1013680036</t>
        </is>
      </c>
      <c r="C313" s="7" t="inlineStr">
        <is>
          <t>PULIDO FABIAN</t>
        </is>
      </c>
      <c r="D313" s="5">
        <f>IF(B313="","",IFERROR(VLOOKUP(B313, PLANTA_BASE!A:R, 5, FALSE), "NO ENCONTRADO EN PLANTA"))</f>
        <v/>
      </c>
      <c r="E313" s="5">
        <f>IF(B313="","",IFERROR(VLOOKUP(B313, PLANTA_BASE!A:R, 6, FALSE), "NO ENCONTRADO EN PLANTA"))</f>
        <v/>
      </c>
      <c r="F313" s="7">
        <f>IF(B313="","",IFERROR(VLOOKUP(B313, PLANTA_BASE!A:R, 8, FALSE), "DOCENTE / FACILITADOR"))</f>
        <v/>
      </c>
      <c r="G313" s="7">
        <f>IF(B313="","",IFERROR(VLOOKUP(B313, PLANTA_BASE!A:R, 9, FALSE), "GENERAL"))</f>
        <v/>
      </c>
      <c r="H313" s="5">
        <f>IF(B313="","",IFERROR(VLOOKUP(B313, PLANTA_BASE!A:R, 17, FALSE), "GENERAL"))</f>
        <v/>
      </c>
    </row>
    <row r="314" ht="20" customHeight="1">
      <c r="A314" s="2">
        <f>IF(B314="","",IFERROR(VLOOKUP(B314, PLANTA_BASE!A:R, 2, FALSE), "NO ENCONTRADO EN PLANTA"))</f>
        <v/>
      </c>
      <c r="B314" s="3" t="inlineStr">
        <is>
          <t>52086893</t>
        </is>
      </c>
      <c r="C314" s="4" t="inlineStr">
        <is>
          <t>BARBOSA PAULA</t>
        </is>
      </c>
      <c r="D314" s="2">
        <f>IF(B314="","",IFERROR(VLOOKUP(B314, PLANTA_BASE!A:R, 5, FALSE), "NO ENCONTRADO EN PLANTA"))</f>
        <v/>
      </c>
      <c r="E314" s="2">
        <f>IF(B314="","",IFERROR(VLOOKUP(B314, PLANTA_BASE!A:R, 6, FALSE), "NO ENCONTRADO EN PLANTA"))</f>
        <v/>
      </c>
      <c r="F314" s="4">
        <f>IF(B314="","",IFERROR(VLOOKUP(B314, PLANTA_BASE!A:R, 8, FALSE), "DOCENTE / FACILITADOR"))</f>
        <v/>
      </c>
      <c r="G314" s="4">
        <f>IF(B314="","",IFERROR(VLOOKUP(B314, PLANTA_BASE!A:R, 9, FALSE), "GENERAL"))</f>
        <v/>
      </c>
      <c r="H314" s="2">
        <f>IF(B314="","",IFERROR(VLOOKUP(B314, PLANTA_BASE!A:R, 17, FALSE), "GENERAL"))</f>
        <v/>
      </c>
    </row>
    <row r="315" ht="20" customHeight="1">
      <c r="A315" s="5">
        <f>IF(B315="","",IFERROR(VLOOKUP(B315, PLANTA_BASE!A:R, 2, FALSE), "NO ENCONTRADO EN PLANTA"))</f>
        <v/>
      </c>
      <c r="B315" s="6" t="inlineStr">
        <is>
          <t>1020803485</t>
        </is>
      </c>
      <c r="C315" s="7" t="inlineStr">
        <is>
          <t>VIEDA MEDINA JUAN DAVID</t>
        </is>
      </c>
      <c r="D315" s="5">
        <f>IF(B315="","",IFERROR(VLOOKUP(B315, PLANTA_BASE!A:R, 5, FALSE), "NO ENCONTRADO EN PLANTA"))</f>
        <v/>
      </c>
      <c r="E315" s="5">
        <f>IF(B315="","",IFERROR(VLOOKUP(B315, PLANTA_BASE!A:R, 6, FALSE), "NO ENCONTRADO EN PLANTA"))</f>
        <v/>
      </c>
      <c r="F315" s="7">
        <f>IF(B315="","",IFERROR(VLOOKUP(B315, PLANTA_BASE!A:R, 8, FALSE), "DOCENTE / FACILITADOR"))</f>
        <v/>
      </c>
      <c r="G315" s="7">
        <f>IF(B315="","",IFERROR(VLOOKUP(B315, PLANTA_BASE!A:R, 9, FALSE), "GENERAL"))</f>
        <v/>
      </c>
      <c r="H315" s="5">
        <f>IF(B315="","",IFERROR(VLOOKUP(B315, PLANTA_BASE!A:R, 17, FALSE), "GENERAL"))</f>
        <v/>
      </c>
    </row>
    <row r="316" ht="20" customHeight="1">
      <c r="A316" s="2">
        <f>IF(B316="","",IFERROR(VLOOKUP(B316, PLANTA_BASE!A:R, 2, FALSE), "NO ENCONTRADO EN PLANTA"))</f>
        <v/>
      </c>
      <c r="B316" s="3" t="inlineStr">
        <is>
          <t>1014255697</t>
        </is>
      </c>
      <c r="C316" s="4" t="inlineStr">
        <is>
          <t>OROZCO CESAR</t>
        </is>
      </c>
      <c r="D316" s="2">
        <f>IF(B316="","",IFERROR(VLOOKUP(B316, PLANTA_BASE!A:R, 5, FALSE), "NO ENCONTRADO EN PLANTA"))</f>
        <v/>
      </c>
      <c r="E316" s="2">
        <f>IF(B316="","",IFERROR(VLOOKUP(B316, PLANTA_BASE!A:R, 6, FALSE), "NO ENCONTRADO EN PLANTA"))</f>
        <v/>
      </c>
      <c r="F316" s="4">
        <f>IF(B316="","",IFERROR(VLOOKUP(B316, PLANTA_BASE!A:R, 8, FALSE), "DOCENTE / FACILITADOR"))</f>
        <v/>
      </c>
      <c r="G316" s="4">
        <f>IF(B316="","",IFERROR(VLOOKUP(B316, PLANTA_BASE!A:R, 9, FALSE), "GENERAL"))</f>
        <v/>
      </c>
      <c r="H316" s="2">
        <f>IF(B316="","",IFERROR(VLOOKUP(B316, PLANTA_BASE!A:R, 17, FALSE), "GENERAL"))</f>
        <v/>
      </c>
    </row>
    <row r="317" ht="20" customHeight="1">
      <c r="A317" s="5">
        <f>IF(B317="","",IFERROR(VLOOKUP(B317, PLANTA_BASE!A:R, 2, FALSE), "NO ENCONTRADO EN PLANTA"))</f>
        <v/>
      </c>
      <c r="B317" s="6" t="inlineStr">
        <is>
          <t>1032451106</t>
        </is>
      </c>
      <c r="C317" s="7" t="inlineStr">
        <is>
          <t>SARMIENTO JUAN FELIPE</t>
        </is>
      </c>
      <c r="D317" s="5">
        <f>IF(B317="","",IFERROR(VLOOKUP(B317, PLANTA_BASE!A:R, 5, FALSE), "NO ENCONTRADO EN PLANTA"))</f>
        <v/>
      </c>
      <c r="E317" s="5">
        <f>IF(B317="","",IFERROR(VLOOKUP(B317, PLANTA_BASE!A:R, 6, FALSE), "NO ENCONTRADO EN PLANTA"))</f>
        <v/>
      </c>
      <c r="F317" s="7">
        <f>IF(B317="","",IFERROR(VLOOKUP(B317, PLANTA_BASE!A:R, 8, FALSE), "DOCENTE / FACILITADOR"))</f>
        <v/>
      </c>
      <c r="G317" s="7">
        <f>IF(B317="","",IFERROR(VLOOKUP(B317, PLANTA_BASE!A:R, 9, FALSE), "GENERAL"))</f>
        <v/>
      </c>
      <c r="H317" s="5">
        <f>IF(B317="","",IFERROR(VLOOKUP(B317, PLANTA_BASE!A:R, 17, FALSE), "GENERAL"))</f>
        <v/>
      </c>
    </row>
    <row r="318" ht="20" customHeight="1">
      <c r="A318" s="2">
        <f>IF(B318="","",IFERROR(VLOOKUP(B318, PLANTA_BASE!A:R, 2, FALSE), "NO ENCONTRADO EN PLANTA"))</f>
        <v/>
      </c>
      <c r="B318" s="3" t="inlineStr">
        <is>
          <t>1090394115</t>
        </is>
      </c>
      <c r="C318" s="4" t="inlineStr">
        <is>
          <t>PENA DIEGO FERNANDO</t>
        </is>
      </c>
      <c r="D318" s="2">
        <f>IF(B318="","",IFERROR(VLOOKUP(B318, PLANTA_BASE!A:R, 5, FALSE), "NO ENCONTRADO EN PLANTA"))</f>
        <v/>
      </c>
      <c r="E318" s="2">
        <f>IF(B318="","",IFERROR(VLOOKUP(B318, PLANTA_BASE!A:R, 6, FALSE), "NO ENCONTRADO EN PLANTA"))</f>
        <v/>
      </c>
      <c r="F318" s="4">
        <f>IF(B318="","",IFERROR(VLOOKUP(B318, PLANTA_BASE!A:R, 8, FALSE), "DOCENTE / FACILITADOR"))</f>
        <v/>
      </c>
      <c r="G318" s="4">
        <f>IF(B318="","",IFERROR(VLOOKUP(B318, PLANTA_BASE!A:R, 9, FALSE), "GENERAL"))</f>
        <v/>
      </c>
      <c r="H318" s="2">
        <f>IF(B318="","",IFERROR(VLOOKUP(B318, PLANTA_BASE!A:R, 17, FALSE), "GENERAL"))</f>
        <v/>
      </c>
    </row>
    <row r="319" ht="20" customHeight="1">
      <c r="A319" s="5">
        <f>IF(B319="","",IFERROR(VLOOKUP(B319, PLANTA_BASE!A:R, 2, FALSE), "NO ENCONTRADO EN PLANTA"))</f>
        <v/>
      </c>
      <c r="B319" s="6" t="inlineStr">
        <is>
          <t>11185974</t>
        </is>
      </c>
      <c r="C319" s="7" t="inlineStr">
        <is>
          <t>OSUNA TIJARO ALEXANDRE</t>
        </is>
      </c>
      <c r="D319" s="5">
        <f>IF(B319="","",IFERROR(VLOOKUP(B319, PLANTA_BASE!A:R, 5, FALSE), "NO ENCONTRADO EN PLANTA"))</f>
        <v/>
      </c>
      <c r="E319" s="5">
        <f>IF(B319="","",IFERROR(VLOOKUP(B319, PLANTA_BASE!A:R, 6, FALSE), "NO ENCONTRADO EN PLANTA"))</f>
        <v/>
      </c>
      <c r="F319" s="7">
        <f>IF(B319="","",IFERROR(VLOOKUP(B319, PLANTA_BASE!A:R, 8, FALSE), "DOCENTE / FACILITADOR"))</f>
        <v/>
      </c>
      <c r="G319" s="7">
        <f>IF(B319="","",IFERROR(VLOOKUP(B319, PLANTA_BASE!A:R, 9, FALSE), "GENERAL"))</f>
        <v/>
      </c>
      <c r="H319" s="5">
        <f>IF(B319="","",IFERROR(VLOOKUP(B319, PLANTA_BASE!A:R, 17, FALSE), "GENERAL"))</f>
        <v/>
      </c>
    </row>
    <row r="320" ht="20" customHeight="1">
      <c r="A320" s="2">
        <f>IF(B320="","",IFERROR(VLOOKUP(B320, PLANTA_BASE!A:R, 2, FALSE), "NO ENCONTRADO EN PLANTA"))</f>
        <v/>
      </c>
      <c r="B320" s="3" t="inlineStr">
        <is>
          <t>1022431893</t>
        </is>
      </c>
      <c r="C320" s="4" t="inlineStr">
        <is>
          <t>HERNANDEZ SANDOVAL CAMILO ANDRES</t>
        </is>
      </c>
      <c r="D320" s="2">
        <f>IF(B320="","",IFERROR(VLOOKUP(B320, PLANTA_BASE!A:R, 5, FALSE), "NO ENCONTRADO EN PLANTA"))</f>
        <v/>
      </c>
      <c r="E320" s="2">
        <f>IF(B320="","",IFERROR(VLOOKUP(B320, PLANTA_BASE!A:R, 6, FALSE), "NO ENCONTRADO EN PLANTA"))</f>
        <v/>
      </c>
      <c r="F320" s="4">
        <f>IF(B320="","",IFERROR(VLOOKUP(B320, PLANTA_BASE!A:R, 8, FALSE), "DOCENTE / FACILITADOR"))</f>
        <v/>
      </c>
      <c r="G320" s="4">
        <f>IF(B320="","",IFERROR(VLOOKUP(B320, PLANTA_BASE!A:R, 9, FALSE), "GENERAL"))</f>
        <v/>
      </c>
      <c r="H320" s="2">
        <f>IF(B320="","",IFERROR(VLOOKUP(B320, PLANTA_BASE!A:R, 17, FALSE), "GENERAL"))</f>
        <v/>
      </c>
    </row>
    <row r="321" ht="20" customHeight="1">
      <c r="A321" s="5">
        <f>IF(B321="","",IFERROR(VLOOKUP(B321, PLANTA_BASE!A:R, 2, FALSE), "NO ENCONTRADO EN PLANTA"))</f>
        <v/>
      </c>
      <c r="B321" s="6" t="inlineStr">
        <is>
          <t>79788022</t>
        </is>
      </c>
      <c r="C321" s="7" t="inlineStr">
        <is>
          <t>INFANTE R SANTIAGO ANDRES</t>
        </is>
      </c>
      <c r="D321" s="5">
        <f>IF(B321="","",IFERROR(VLOOKUP(B321, PLANTA_BASE!A:R, 5, FALSE), "NO ENCONTRADO EN PLANTA"))</f>
        <v/>
      </c>
      <c r="E321" s="5">
        <f>IF(B321="","",IFERROR(VLOOKUP(B321, PLANTA_BASE!A:R, 6, FALSE), "NO ENCONTRADO EN PLANTA"))</f>
        <v/>
      </c>
      <c r="F321" s="7">
        <f>IF(B321="","",IFERROR(VLOOKUP(B321, PLANTA_BASE!A:R, 8, FALSE), "DOCENTE / FACILITADOR"))</f>
        <v/>
      </c>
      <c r="G321" s="7">
        <f>IF(B321="","",IFERROR(VLOOKUP(B321, PLANTA_BASE!A:R, 9, FALSE), "GENERAL"))</f>
        <v/>
      </c>
      <c r="H321" s="5">
        <f>IF(B321="","",IFERROR(VLOOKUP(B321, PLANTA_BASE!A:R, 17, FALSE), "GENERAL"))</f>
        <v/>
      </c>
    </row>
    <row r="322" ht="20" customHeight="1">
      <c r="A322" s="2">
        <f>IF(B322="","",IFERROR(VLOOKUP(B322, PLANTA_BASE!A:R, 2, FALSE), "NO ENCONTRADO EN PLANTA"))</f>
        <v/>
      </c>
      <c r="B322" s="3" t="inlineStr">
        <is>
          <t>1010092375</t>
        </is>
      </c>
      <c r="C322" s="4" t="inlineStr">
        <is>
          <t>MUNOZ LAURA</t>
        </is>
      </c>
      <c r="D322" s="2">
        <f>IF(B322="","",IFERROR(VLOOKUP(B322, PLANTA_BASE!A:R, 5, FALSE), "NO ENCONTRADO EN PLANTA"))</f>
        <v/>
      </c>
      <c r="E322" s="2">
        <f>IF(B322="","",IFERROR(VLOOKUP(B322, PLANTA_BASE!A:R, 6, FALSE), "NO ENCONTRADO EN PLANTA"))</f>
        <v/>
      </c>
      <c r="F322" s="4">
        <f>IF(B322="","",IFERROR(VLOOKUP(B322, PLANTA_BASE!A:R, 8, FALSE), "DOCENTE / FACILITADOR"))</f>
        <v/>
      </c>
      <c r="G322" s="4">
        <f>IF(B322="","",IFERROR(VLOOKUP(B322, PLANTA_BASE!A:R, 9, FALSE), "GENERAL"))</f>
        <v/>
      </c>
      <c r="H322" s="2">
        <f>IF(B322="","",IFERROR(VLOOKUP(B322, PLANTA_BASE!A:R, 17, FALSE), "GENERAL"))</f>
        <v/>
      </c>
    </row>
    <row r="323" ht="20" customHeight="1">
      <c r="A323" s="5">
        <f>IF(B323="","",IFERROR(VLOOKUP(B323, PLANTA_BASE!A:R, 2, FALSE), "NO ENCONTRADO EN PLANTA"))</f>
        <v/>
      </c>
      <c r="B323" s="6" t="inlineStr">
        <is>
          <t>80397161</t>
        </is>
      </c>
      <c r="C323" s="7" t="inlineStr">
        <is>
          <t>CASTRO VICTOR</t>
        </is>
      </c>
      <c r="D323" s="5">
        <f>IF(B323="","",IFERROR(VLOOKUP(B323, PLANTA_BASE!A:R, 5, FALSE), "NO ENCONTRADO EN PLANTA"))</f>
        <v/>
      </c>
      <c r="E323" s="5">
        <f>IF(B323="","",IFERROR(VLOOKUP(B323, PLANTA_BASE!A:R, 6, FALSE), "NO ENCONTRADO EN PLANTA"))</f>
        <v/>
      </c>
      <c r="F323" s="7">
        <f>IF(B323="","",IFERROR(VLOOKUP(B323, PLANTA_BASE!A:R, 8, FALSE), "DOCENTE / FACILITADOR"))</f>
        <v/>
      </c>
      <c r="G323" s="7">
        <f>IF(B323="","",IFERROR(VLOOKUP(B323, PLANTA_BASE!A:R, 9, FALSE), "GENERAL"))</f>
        <v/>
      </c>
      <c r="H323" s="5">
        <f>IF(B323="","",IFERROR(VLOOKUP(B323, PLANTA_BASE!A:R, 17, FALSE), "GENERAL"))</f>
        <v/>
      </c>
    </row>
    <row r="324" ht="20" customHeight="1">
      <c r="A324" s="2">
        <f>IF(B324="","",IFERROR(VLOOKUP(B324, PLANTA_BASE!A:R, 2, FALSE), "NO ENCONTRADO EN PLANTA"))</f>
        <v/>
      </c>
      <c r="B324" s="3" t="inlineStr">
        <is>
          <t>1019066088</t>
        </is>
      </c>
      <c r="C324" s="4" t="inlineStr">
        <is>
          <t>DELGADO CUELLAR DIEGO FERNANDO</t>
        </is>
      </c>
      <c r="D324" s="2">
        <f>IF(B324="","",IFERROR(VLOOKUP(B324, PLANTA_BASE!A:R, 5, FALSE), "NO ENCONTRADO EN PLANTA"))</f>
        <v/>
      </c>
      <c r="E324" s="2">
        <f>IF(B324="","",IFERROR(VLOOKUP(B324, PLANTA_BASE!A:R, 6, FALSE), "NO ENCONTRADO EN PLANTA"))</f>
        <v/>
      </c>
      <c r="F324" s="4">
        <f>IF(B324="","",IFERROR(VLOOKUP(B324, PLANTA_BASE!A:R, 8, FALSE), "DOCENTE / FACILITADOR"))</f>
        <v/>
      </c>
      <c r="G324" s="4">
        <f>IF(B324="","",IFERROR(VLOOKUP(B324, PLANTA_BASE!A:R, 9, FALSE), "GENERAL"))</f>
        <v/>
      </c>
      <c r="H324" s="2">
        <f>IF(B324="","",IFERROR(VLOOKUP(B324, PLANTA_BASE!A:R, 17, FALSE), "GENERAL"))</f>
        <v/>
      </c>
    </row>
    <row r="325" ht="20" customHeight="1">
      <c r="A325" s="5">
        <f>IF(B325="","",IFERROR(VLOOKUP(B325, PLANTA_BASE!A:R, 2, FALSE), "NO ENCONTRADO EN PLANTA"))</f>
        <v/>
      </c>
      <c r="B325" s="6" t="inlineStr">
        <is>
          <t>79949138</t>
        </is>
      </c>
      <c r="C325" s="7" t="inlineStr">
        <is>
          <t>GUERRERO DAVID</t>
        </is>
      </c>
      <c r="D325" s="5">
        <f>IF(B325="","",IFERROR(VLOOKUP(B325, PLANTA_BASE!A:R, 5, FALSE), "NO ENCONTRADO EN PLANTA"))</f>
        <v/>
      </c>
      <c r="E325" s="5">
        <f>IF(B325="","",IFERROR(VLOOKUP(B325, PLANTA_BASE!A:R, 6, FALSE), "NO ENCONTRADO EN PLANTA"))</f>
        <v/>
      </c>
      <c r="F325" s="7">
        <f>IF(B325="","",IFERROR(VLOOKUP(B325, PLANTA_BASE!A:R, 8, FALSE), "DOCENTE / FACILITADOR"))</f>
        <v/>
      </c>
      <c r="G325" s="7">
        <f>IF(B325="","",IFERROR(VLOOKUP(B325, PLANTA_BASE!A:R, 9, FALSE), "GENERAL"))</f>
        <v/>
      </c>
      <c r="H325" s="5">
        <f>IF(B325="","",IFERROR(VLOOKUP(B325, PLANTA_BASE!A:R, 17, FALSE), "GENERAL"))</f>
        <v/>
      </c>
    </row>
    <row r="326" ht="20" customHeight="1">
      <c r="A326" s="2">
        <f>IF(B326="","",IFERROR(VLOOKUP(B326, PLANTA_BASE!A:R, 2, FALSE), "NO ENCONTRADO EN PLANTA"))</f>
        <v/>
      </c>
      <c r="B326" s="3" t="inlineStr">
        <is>
          <t>1030587886</t>
        </is>
      </c>
      <c r="C326" s="4" t="inlineStr">
        <is>
          <t>RUBIANO JIMENEZ GUSTAVO</t>
        </is>
      </c>
      <c r="D326" s="2">
        <f>IF(B326="","",IFERROR(VLOOKUP(B326, PLANTA_BASE!A:R, 5, FALSE), "NO ENCONTRADO EN PLANTA"))</f>
        <v/>
      </c>
      <c r="E326" s="2">
        <f>IF(B326="","",IFERROR(VLOOKUP(B326, PLANTA_BASE!A:R, 6, FALSE), "NO ENCONTRADO EN PLANTA"))</f>
        <v/>
      </c>
      <c r="F326" s="4">
        <f>IF(B326="","",IFERROR(VLOOKUP(B326, PLANTA_BASE!A:R, 8, FALSE), "DOCENTE / FACILITADOR"))</f>
        <v/>
      </c>
      <c r="G326" s="4">
        <f>IF(B326="","",IFERROR(VLOOKUP(B326, PLANTA_BASE!A:R, 9, FALSE), "GENERAL"))</f>
        <v/>
      </c>
      <c r="H326" s="2">
        <f>IF(B326="","",IFERROR(VLOOKUP(B326, PLANTA_BASE!A:R, 17, FALSE), "GENERAL"))</f>
        <v/>
      </c>
    </row>
    <row r="327" ht="20" customHeight="1">
      <c r="A327" s="5">
        <f>IF(B327="","",IFERROR(VLOOKUP(B327, PLANTA_BASE!A:R, 2, FALSE), "NO ENCONTRADO EN PLANTA"))</f>
        <v/>
      </c>
      <c r="B327" s="6" t="inlineStr">
        <is>
          <t>52087377</t>
        </is>
      </c>
      <c r="C327" s="7" t="inlineStr">
        <is>
          <t>ALMANZA YANETH</t>
        </is>
      </c>
      <c r="D327" s="5">
        <f>IF(B327="","",IFERROR(VLOOKUP(B327, PLANTA_BASE!A:R, 5, FALSE), "NO ENCONTRADO EN PLANTA"))</f>
        <v/>
      </c>
      <c r="E327" s="5">
        <f>IF(B327="","",IFERROR(VLOOKUP(B327, PLANTA_BASE!A:R, 6, FALSE), "NO ENCONTRADO EN PLANTA"))</f>
        <v/>
      </c>
      <c r="F327" s="7">
        <f>IF(B327="","",IFERROR(VLOOKUP(B327, PLANTA_BASE!A:R, 8, FALSE), "DOCENTE / FACILITADOR"))</f>
        <v/>
      </c>
      <c r="G327" s="7">
        <f>IF(B327="","",IFERROR(VLOOKUP(B327, PLANTA_BASE!A:R, 9, FALSE), "GENERAL"))</f>
        <v/>
      </c>
      <c r="H327" s="5">
        <f>IF(B327="","",IFERROR(VLOOKUP(B327, PLANTA_BASE!A:R, 17, FALSE), "GENERAL"))</f>
        <v/>
      </c>
    </row>
    <row r="328" ht="20" customHeight="1">
      <c r="A328" s="2">
        <f>IF(B328="","",IFERROR(VLOOKUP(B328, PLANTA_BASE!A:R, 2, FALSE), "NO ENCONTRADO EN PLANTA"))</f>
        <v/>
      </c>
      <c r="B328" s="3" t="inlineStr">
        <is>
          <t>9975404</t>
        </is>
      </c>
      <c r="C328" s="4" t="inlineStr">
        <is>
          <t>HENAO PAULO</t>
        </is>
      </c>
      <c r="D328" s="2">
        <f>IF(B328="","",IFERROR(VLOOKUP(B328, PLANTA_BASE!A:R, 5, FALSE), "NO ENCONTRADO EN PLANTA"))</f>
        <v/>
      </c>
      <c r="E328" s="2">
        <f>IF(B328="","",IFERROR(VLOOKUP(B328, PLANTA_BASE!A:R, 6, FALSE), "NO ENCONTRADO EN PLANTA"))</f>
        <v/>
      </c>
      <c r="F328" s="4">
        <f>IF(B328="","",IFERROR(VLOOKUP(B328, PLANTA_BASE!A:R, 8, FALSE), "DOCENTE / FACILITADOR"))</f>
        <v/>
      </c>
      <c r="G328" s="4">
        <f>IF(B328="","",IFERROR(VLOOKUP(B328, PLANTA_BASE!A:R, 9, FALSE), "GENERAL"))</f>
        <v/>
      </c>
      <c r="H328" s="2">
        <f>IF(B328="","",IFERROR(VLOOKUP(B328, PLANTA_BASE!A:R, 17, FALSE), "GENERAL"))</f>
        <v/>
      </c>
    </row>
    <row r="329" ht="20" customHeight="1">
      <c r="A329" s="5">
        <f>IF(B329="","",IFERROR(VLOOKUP(B329, PLANTA_BASE!A:R, 2, FALSE), "NO ENCONTRADO EN PLANTA"))</f>
        <v/>
      </c>
      <c r="B329" s="6" t="inlineStr">
        <is>
          <t>79818033</t>
        </is>
      </c>
      <c r="C329" s="7" t="inlineStr">
        <is>
          <t>RIANO CARLOS</t>
        </is>
      </c>
      <c r="D329" s="5">
        <f>IF(B329="","",IFERROR(VLOOKUP(B329, PLANTA_BASE!A:R, 5, FALSE), "NO ENCONTRADO EN PLANTA"))</f>
        <v/>
      </c>
      <c r="E329" s="5">
        <f>IF(B329="","",IFERROR(VLOOKUP(B329, PLANTA_BASE!A:R, 6, FALSE), "NO ENCONTRADO EN PLANTA"))</f>
        <v/>
      </c>
      <c r="F329" s="7">
        <f>IF(B329="","",IFERROR(VLOOKUP(B329, PLANTA_BASE!A:R, 8, FALSE), "DOCENTE / FACILITADOR"))</f>
        <v/>
      </c>
      <c r="G329" s="7">
        <f>IF(B329="","",IFERROR(VLOOKUP(B329, PLANTA_BASE!A:R, 9, FALSE), "GENERAL"))</f>
        <v/>
      </c>
      <c r="H329" s="5">
        <f>IF(B329="","",IFERROR(VLOOKUP(B329, PLANTA_BASE!A:R, 17, FALSE), "GENERAL"))</f>
        <v/>
      </c>
    </row>
    <row r="330" ht="20" customHeight="1">
      <c r="A330" s="2">
        <f>IF(B330="","",IFERROR(VLOOKUP(B330, PLANTA_BASE!A:R, 2, FALSE), "NO ENCONTRADO EN PLANTA"))</f>
        <v/>
      </c>
      <c r="B330" s="3" t="inlineStr">
        <is>
          <t>1022380383</t>
        </is>
      </c>
      <c r="C330" s="4" t="inlineStr">
        <is>
          <t>GUTIERREZ ARIAS LAURA ANDREA</t>
        </is>
      </c>
      <c r="D330" s="2">
        <f>IF(B330="","",IFERROR(VLOOKUP(B330, PLANTA_BASE!A:R, 5, FALSE), "NO ENCONTRADO EN PLANTA"))</f>
        <v/>
      </c>
      <c r="E330" s="2">
        <f>IF(B330="","",IFERROR(VLOOKUP(B330, PLANTA_BASE!A:R, 6, FALSE), "NO ENCONTRADO EN PLANTA"))</f>
        <v/>
      </c>
      <c r="F330" s="4">
        <f>IF(B330="","",IFERROR(VLOOKUP(B330, PLANTA_BASE!A:R, 8, FALSE), "DOCENTE / FACILITADOR"))</f>
        <v/>
      </c>
      <c r="G330" s="4">
        <f>IF(B330="","",IFERROR(VLOOKUP(B330, PLANTA_BASE!A:R, 9, FALSE), "GENERAL"))</f>
        <v/>
      </c>
      <c r="H330" s="2">
        <f>IF(B330="","",IFERROR(VLOOKUP(B330, PLANTA_BASE!A:R, 17, FALSE), "GENERAL"))</f>
        <v/>
      </c>
    </row>
    <row r="331" ht="20" customHeight="1">
      <c r="A331" s="5">
        <f>IF(B331="","",IFERROR(VLOOKUP(B331, PLANTA_BASE!A:R, 2, FALSE), "NO ENCONTRADO EN PLANTA"))</f>
        <v/>
      </c>
      <c r="B331" s="6" t="inlineStr">
        <is>
          <t>52288882</t>
        </is>
      </c>
      <c r="C331" s="7" t="inlineStr">
        <is>
          <t>AVILA MARTINEZ DIANA MILENA</t>
        </is>
      </c>
      <c r="D331" s="5">
        <f>IF(B331="","",IFERROR(VLOOKUP(B331, PLANTA_BASE!A:R, 5, FALSE), "NO ENCONTRADO EN PLANTA"))</f>
        <v/>
      </c>
      <c r="E331" s="5">
        <f>IF(B331="","",IFERROR(VLOOKUP(B331, PLANTA_BASE!A:R, 6, FALSE), "NO ENCONTRADO EN PLANTA"))</f>
        <v/>
      </c>
      <c r="F331" s="7">
        <f>IF(B331="","",IFERROR(VLOOKUP(B331, PLANTA_BASE!A:R, 8, FALSE), "DOCENTE / FACILITADOR"))</f>
        <v/>
      </c>
      <c r="G331" s="7">
        <f>IF(B331="","",IFERROR(VLOOKUP(B331, PLANTA_BASE!A:R, 9, FALSE), "GENERAL"))</f>
        <v/>
      </c>
      <c r="H331" s="5">
        <f>IF(B331="","",IFERROR(VLOOKUP(B331, PLANTA_BASE!A:R, 17, FALSE), "GENERAL"))</f>
        <v/>
      </c>
    </row>
    <row r="332" ht="20" customHeight="1">
      <c r="A332" s="2">
        <f>IF(B332="","",IFERROR(VLOOKUP(B332, PLANTA_BASE!A:R, 2, FALSE), "NO ENCONTRADO EN PLANTA"))</f>
        <v/>
      </c>
      <c r="B332" s="3" t="inlineStr">
        <is>
          <t>1030554542</t>
        </is>
      </c>
      <c r="C332" s="4" t="inlineStr">
        <is>
          <t>FANDINO DIEGO</t>
        </is>
      </c>
      <c r="D332" s="2">
        <f>IF(B332="","",IFERROR(VLOOKUP(B332, PLANTA_BASE!A:R, 5, FALSE), "NO ENCONTRADO EN PLANTA"))</f>
        <v/>
      </c>
      <c r="E332" s="2">
        <f>IF(B332="","",IFERROR(VLOOKUP(B332, PLANTA_BASE!A:R, 6, FALSE), "NO ENCONTRADO EN PLANTA"))</f>
        <v/>
      </c>
      <c r="F332" s="4">
        <f>IF(B332="","",IFERROR(VLOOKUP(B332, PLANTA_BASE!A:R, 8, FALSE), "DOCENTE / FACILITADOR"))</f>
        <v/>
      </c>
      <c r="G332" s="4">
        <f>IF(B332="","",IFERROR(VLOOKUP(B332, PLANTA_BASE!A:R, 9, FALSE), "GENERAL"))</f>
        <v/>
      </c>
      <c r="H332" s="2">
        <f>IF(B332="","",IFERROR(VLOOKUP(B332, PLANTA_BASE!A:R, 17, FALSE), "GENERAL"))</f>
        <v/>
      </c>
    </row>
    <row r="333" ht="20" customHeight="1">
      <c r="A333" s="5">
        <f>IF(B333="","",IFERROR(VLOOKUP(B333, PLANTA_BASE!A:R, 2, FALSE), "NO ENCONTRADO EN PLANTA"))</f>
        <v/>
      </c>
      <c r="B333" s="6" t="inlineStr">
        <is>
          <t>53139175</t>
        </is>
      </c>
      <c r="C333" s="7" t="inlineStr">
        <is>
          <t>AVILA BIBIANA</t>
        </is>
      </c>
      <c r="D333" s="5">
        <f>IF(B333="","",IFERROR(VLOOKUP(B333, PLANTA_BASE!A:R, 5, FALSE), "NO ENCONTRADO EN PLANTA"))</f>
        <v/>
      </c>
      <c r="E333" s="5">
        <f>IF(B333="","",IFERROR(VLOOKUP(B333, PLANTA_BASE!A:R, 6, FALSE), "NO ENCONTRADO EN PLANTA"))</f>
        <v/>
      </c>
      <c r="F333" s="7">
        <f>IF(B333="","",IFERROR(VLOOKUP(B333, PLANTA_BASE!A:R, 8, FALSE), "DOCENTE / FACILITADOR"))</f>
        <v/>
      </c>
      <c r="G333" s="7">
        <f>IF(B333="","",IFERROR(VLOOKUP(B333, PLANTA_BASE!A:R, 9, FALSE), "GENERAL"))</f>
        <v/>
      </c>
      <c r="H333" s="5">
        <f>IF(B333="","",IFERROR(VLOOKUP(B333, PLANTA_BASE!A:R, 17, FALSE), "GENERAL"))</f>
        <v/>
      </c>
    </row>
    <row r="334" ht="20" customHeight="1">
      <c r="A334" s="2">
        <f>IF(B334="","",IFERROR(VLOOKUP(B334, PLANTA_BASE!A:R, 2, FALSE), "NO ENCONTRADO EN PLANTA"))</f>
        <v/>
      </c>
      <c r="B334" s="3" t="inlineStr">
        <is>
          <t>1020721488</t>
        </is>
      </c>
      <c r="C334" s="4" t="inlineStr">
        <is>
          <t>PEREZ AGUILERA CARLOS ROBERTO</t>
        </is>
      </c>
      <c r="D334" s="2">
        <f>IF(B334="","",IFERROR(VLOOKUP(B334, PLANTA_BASE!A:R, 5, FALSE), "NO ENCONTRADO EN PLANTA"))</f>
        <v/>
      </c>
      <c r="E334" s="2">
        <f>IF(B334="","",IFERROR(VLOOKUP(B334, PLANTA_BASE!A:R, 6, FALSE), "NO ENCONTRADO EN PLANTA"))</f>
        <v/>
      </c>
      <c r="F334" s="4">
        <f>IF(B334="","",IFERROR(VLOOKUP(B334, PLANTA_BASE!A:R, 8, FALSE), "DOCENTE / FACILITADOR"))</f>
        <v/>
      </c>
      <c r="G334" s="4">
        <f>IF(B334="","",IFERROR(VLOOKUP(B334, PLANTA_BASE!A:R, 9, FALSE), "GENERAL"))</f>
        <v/>
      </c>
      <c r="H334" s="2">
        <f>IF(B334="","",IFERROR(VLOOKUP(B334, PLANTA_BASE!A:R, 17, FALSE), "GENERAL"))</f>
        <v/>
      </c>
    </row>
    <row r="335" ht="20" customHeight="1">
      <c r="A335" s="5">
        <f>IF(B335="","",IFERROR(VLOOKUP(B335, PLANTA_BASE!A:R, 2, FALSE), "NO ENCONTRADO EN PLANTA"))</f>
        <v/>
      </c>
      <c r="B335" s="6" t="inlineStr">
        <is>
          <t>52896009</t>
        </is>
      </c>
      <c r="C335" s="7" t="inlineStr">
        <is>
          <t>MARTINEZ AVILA CLARA YAMILE</t>
        </is>
      </c>
      <c r="D335" s="5">
        <f>IF(B335="","",IFERROR(VLOOKUP(B335, PLANTA_BASE!A:R, 5, FALSE), "NO ENCONTRADO EN PLANTA"))</f>
        <v/>
      </c>
      <c r="E335" s="5">
        <f>IF(B335="","",IFERROR(VLOOKUP(B335, PLANTA_BASE!A:R, 6, FALSE), "NO ENCONTRADO EN PLANTA"))</f>
        <v/>
      </c>
      <c r="F335" s="7">
        <f>IF(B335="","",IFERROR(VLOOKUP(B335, PLANTA_BASE!A:R, 8, FALSE), "DOCENTE / FACILITADOR"))</f>
        <v/>
      </c>
      <c r="G335" s="7">
        <f>IF(B335="","",IFERROR(VLOOKUP(B335, PLANTA_BASE!A:R, 9, FALSE), "GENERAL"))</f>
        <v/>
      </c>
      <c r="H335" s="5">
        <f>IF(B335="","",IFERROR(VLOOKUP(B335, PLANTA_BASE!A:R, 17, FALSE), "GENERAL"))</f>
        <v/>
      </c>
    </row>
    <row r="336" ht="20" customHeight="1">
      <c r="A336" s="2">
        <f>IF(B336="","",IFERROR(VLOOKUP(B336, PLANTA_BASE!A:R, 2, FALSE), "NO ENCONTRADO EN PLANTA"))</f>
        <v/>
      </c>
      <c r="B336" s="3" t="inlineStr">
        <is>
          <t>79766758</t>
        </is>
      </c>
      <c r="C336" s="4" t="inlineStr">
        <is>
          <t>CARDONA SANCHEZ FERNANDO</t>
        </is>
      </c>
      <c r="D336" s="2">
        <f>IF(B336="","",IFERROR(VLOOKUP(B336, PLANTA_BASE!A:R, 5, FALSE), "NO ENCONTRADO EN PLANTA"))</f>
        <v/>
      </c>
      <c r="E336" s="2">
        <f>IF(B336="","",IFERROR(VLOOKUP(B336, PLANTA_BASE!A:R, 6, FALSE), "NO ENCONTRADO EN PLANTA"))</f>
        <v/>
      </c>
      <c r="F336" s="4">
        <f>IF(B336="","",IFERROR(VLOOKUP(B336, PLANTA_BASE!A:R, 8, FALSE), "DOCENTE / FACILITADOR"))</f>
        <v/>
      </c>
      <c r="G336" s="4">
        <f>IF(B336="","",IFERROR(VLOOKUP(B336, PLANTA_BASE!A:R, 9, FALSE), "GENERAL"))</f>
        <v/>
      </c>
      <c r="H336" s="2">
        <f>IF(B336="","",IFERROR(VLOOKUP(B336, PLANTA_BASE!A:R, 17, FALSE), "GENERAL"))</f>
        <v/>
      </c>
    </row>
    <row r="337" ht="20" customHeight="1">
      <c r="A337" s="5">
        <f>IF(B337="","",IFERROR(VLOOKUP(B337, PLANTA_BASE!A:R, 2, FALSE), "NO ENCONTRADO EN PLANTA"))</f>
        <v/>
      </c>
      <c r="B337" s="6" t="inlineStr">
        <is>
          <t>53032073</t>
        </is>
      </c>
      <c r="C337" s="7" t="inlineStr">
        <is>
          <t>HIDALGO VERGARA MONICA ANDREA</t>
        </is>
      </c>
      <c r="D337" s="5">
        <f>IF(B337="","",IFERROR(VLOOKUP(B337, PLANTA_BASE!A:R, 5, FALSE), "NO ENCONTRADO EN PLANTA"))</f>
        <v/>
      </c>
      <c r="E337" s="5">
        <f>IF(B337="","",IFERROR(VLOOKUP(B337, PLANTA_BASE!A:R, 6, FALSE), "NO ENCONTRADO EN PLANTA"))</f>
        <v/>
      </c>
      <c r="F337" s="7">
        <f>IF(B337="","",IFERROR(VLOOKUP(B337, PLANTA_BASE!A:R, 8, FALSE), "DOCENTE / FACILITADOR"))</f>
        <v/>
      </c>
      <c r="G337" s="7">
        <f>IF(B337="","",IFERROR(VLOOKUP(B337, PLANTA_BASE!A:R, 9, FALSE), "GENERAL"))</f>
        <v/>
      </c>
      <c r="H337" s="5">
        <f>IF(B337="","",IFERROR(VLOOKUP(B337, PLANTA_BASE!A:R, 17, FALSE), "GENERAL"))</f>
        <v/>
      </c>
    </row>
    <row r="338" ht="20" customHeight="1">
      <c r="A338" s="2">
        <f>IF(B338="","",IFERROR(VLOOKUP(B338, PLANTA_BASE!A:R, 2, FALSE), "NO ENCONTRADO EN PLANTA"))</f>
        <v/>
      </c>
      <c r="B338" s="3" t="inlineStr">
        <is>
          <t>1053345670</t>
        </is>
      </c>
      <c r="C338" s="4" t="inlineStr">
        <is>
          <t>BAUTISTA ORTEGA SAMUEL HORACIO</t>
        </is>
      </c>
      <c r="D338" s="2">
        <f>IF(B338="","",IFERROR(VLOOKUP(B338, PLANTA_BASE!A:R, 5, FALSE), "NO ENCONTRADO EN PLANTA"))</f>
        <v/>
      </c>
      <c r="E338" s="2">
        <f>IF(B338="","",IFERROR(VLOOKUP(B338, PLANTA_BASE!A:R, 6, FALSE), "NO ENCONTRADO EN PLANTA"))</f>
        <v/>
      </c>
      <c r="F338" s="4">
        <f>IF(B338="","",IFERROR(VLOOKUP(B338, PLANTA_BASE!A:R, 8, FALSE), "DOCENTE / FACILITADOR"))</f>
        <v/>
      </c>
      <c r="G338" s="4">
        <f>IF(B338="","",IFERROR(VLOOKUP(B338, PLANTA_BASE!A:R, 9, FALSE), "GENERAL"))</f>
        <v/>
      </c>
      <c r="H338" s="2">
        <f>IF(B338="","",IFERROR(VLOOKUP(B338, PLANTA_BASE!A:R, 17, FALSE), "GENERAL"))</f>
        <v/>
      </c>
    </row>
    <row r="339" ht="20" customHeight="1">
      <c r="A339" s="5">
        <f>IF(B339="","",IFERROR(VLOOKUP(B339, PLANTA_BASE!A:R, 2, FALSE), "NO ENCONTRADO EN PLANTA"))</f>
        <v/>
      </c>
      <c r="B339" s="6" t="inlineStr">
        <is>
          <t>79048946</t>
        </is>
      </c>
      <c r="C339" s="7" t="inlineStr">
        <is>
          <t>RODRIGUEZ VENEGAS OSCAR ARTURO</t>
        </is>
      </c>
      <c r="D339" s="5">
        <f>IF(B339="","",IFERROR(VLOOKUP(B339, PLANTA_BASE!A:R, 5, FALSE), "NO ENCONTRADO EN PLANTA"))</f>
        <v/>
      </c>
      <c r="E339" s="5">
        <f>IF(B339="","",IFERROR(VLOOKUP(B339, PLANTA_BASE!A:R, 6, FALSE), "NO ENCONTRADO EN PLANTA"))</f>
        <v/>
      </c>
      <c r="F339" s="7">
        <f>IF(B339="","",IFERROR(VLOOKUP(B339, PLANTA_BASE!A:R, 8, FALSE), "DOCENTE / FACILITADOR"))</f>
        <v/>
      </c>
      <c r="G339" s="7">
        <f>IF(B339="","",IFERROR(VLOOKUP(B339, PLANTA_BASE!A:R, 9, FALSE), "GENERAL"))</f>
        <v/>
      </c>
      <c r="H339" s="5">
        <f>IF(B339="","",IFERROR(VLOOKUP(B339, PLANTA_BASE!A:R, 17, FALSE), "GENERAL"))</f>
        <v/>
      </c>
    </row>
    <row r="340" ht="20" customHeight="1">
      <c r="A340" s="2">
        <f>IF(B340="","",IFERROR(VLOOKUP(B340, PLANTA_BASE!A:R, 2, FALSE), "NO ENCONTRADO EN PLANTA"))</f>
        <v/>
      </c>
      <c r="B340" s="3" t="inlineStr">
        <is>
          <t>52210313</t>
        </is>
      </c>
      <c r="C340" s="4" t="inlineStr">
        <is>
          <t>ALVIRA GOMEZ LIDIA ESPERANZA</t>
        </is>
      </c>
      <c r="D340" s="2">
        <f>IF(B340="","",IFERROR(VLOOKUP(B340, PLANTA_BASE!A:R, 5, FALSE), "NO ENCONTRADO EN PLANTA"))</f>
        <v/>
      </c>
      <c r="E340" s="2">
        <f>IF(B340="","",IFERROR(VLOOKUP(B340, PLANTA_BASE!A:R, 6, FALSE), "NO ENCONTRADO EN PLANTA"))</f>
        <v/>
      </c>
      <c r="F340" s="4">
        <f>IF(B340="","",IFERROR(VLOOKUP(B340, PLANTA_BASE!A:R, 8, FALSE), "DOCENTE / FACILITADOR"))</f>
        <v/>
      </c>
      <c r="G340" s="4">
        <f>IF(B340="","",IFERROR(VLOOKUP(B340, PLANTA_BASE!A:R, 9, FALSE), "GENERAL"))</f>
        <v/>
      </c>
      <c r="H340" s="2">
        <f>IF(B340="","",IFERROR(VLOOKUP(B340, PLANTA_BASE!A:R, 17, FALSE), "GENERAL"))</f>
        <v/>
      </c>
    </row>
    <row r="341" ht="20" customHeight="1">
      <c r="A341" s="5">
        <f>IF(B341="","",IFERROR(VLOOKUP(B341, PLANTA_BASE!A:R, 2, FALSE), "NO ENCONTRADO EN PLANTA"))</f>
        <v/>
      </c>
      <c r="B341" s="6" t="inlineStr">
        <is>
          <t>60449313</t>
        </is>
      </c>
      <c r="C341" s="7" t="inlineStr">
        <is>
          <t>SEPULVEDA DIANA</t>
        </is>
      </c>
      <c r="D341" s="5">
        <f>IF(B341="","",IFERROR(VLOOKUP(B341, PLANTA_BASE!A:R, 5, FALSE), "NO ENCONTRADO EN PLANTA"))</f>
        <v/>
      </c>
      <c r="E341" s="5">
        <f>IF(B341="","",IFERROR(VLOOKUP(B341, PLANTA_BASE!A:R, 6, FALSE), "NO ENCONTRADO EN PLANTA"))</f>
        <v/>
      </c>
      <c r="F341" s="7">
        <f>IF(B341="","",IFERROR(VLOOKUP(B341, PLANTA_BASE!A:R, 8, FALSE), "DOCENTE / FACILITADOR"))</f>
        <v/>
      </c>
      <c r="G341" s="7">
        <f>IF(B341="","",IFERROR(VLOOKUP(B341, PLANTA_BASE!A:R, 9, FALSE), "GENERAL"))</f>
        <v/>
      </c>
      <c r="H341" s="5">
        <f>IF(B341="","",IFERROR(VLOOKUP(B341, PLANTA_BASE!A:R, 17, FALSE), "GENERAL"))</f>
        <v/>
      </c>
    </row>
    <row r="342" ht="20" customHeight="1">
      <c r="A342" s="2">
        <f>IF(B342="","",IFERROR(VLOOKUP(B342, PLANTA_BASE!A:R, 2, FALSE), "NO ENCONTRADO EN PLANTA"))</f>
        <v/>
      </c>
      <c r="B342" s="3" t="inlineStr">
        <is>
          <t>1143408564</t>
        </is>
      </c>
      <c r="C342" s="4" t="inlineStr">
        <is>
          <t>GARCIA MENDOZA SEBASTIAN</t>
        </is>
      </c>
      <c r="D342" s="2">
        <f>IF(B342="","",IFERROR(VLOOKUP(B342, PLANTA_BASE!A:R, 5, FALSE), "NO ENCONTRADO EN PLANTA"))</f>
        <v/>
      </c>
      <c r="E342" s="2">
        <f>IF(B342="","",IFERROR(VLOOKUP(B342, PLANTA_BASE!A:R, 6, FALSE), "NO ENCONTRADO EN PLANTA"))</f>
        <v/>
      </c>
      <c r="F342" s="4">
        <f>IF(B342="","",IFERROR(VLOOKUP(B342, PLANTA_BASE!A:R, 8, FALSE), "DOCENTE / FACILITADOR"))</f>
        <v/>
      </c>
      <c r="G342" s="4">
        <f>IF(B342="","",IFERROR(VLOOKUP(B342, PLANTA_BASE!A:R, 9, FALSE), "GENERAL"))</f>
        <v/>
      </c>
      <c r="H342" s="2">
        <f>IF(B342="","",IFERROR(VLOOKUP(B342, PLANTA_BASE!A:R, 17, FALSE), "GENERAL"))</f>
        <v/>
      </c>
    </row>
    <row r="343" ht="20" customHeight="1">
      <c r="A343" s="5">
        <f>IF(B343="","",IFERROR(VLOOKUP(B343, PLANTA_BASE!A:R, 2, FALSE), "NO ENCONTRADO EN PLANTA"))</f>
        <v/>
      </c>
      <c r="B343" s="6" t="inlineStr">
        <is>
          <t>1020736205</t>
        </is>
      </c>
      <c r="C343" s="7" t="inlineStr">
        <is>
          <t>CASAS ZULUAGA JEFERSON</t>
        </is>
      </c>
      <c r="D343" s="5">
        <f>IF(B343="","",IFERROR(VLOOKUP(B343, PLANTA_BASE!A:R, 5, FALSE), "NO ENCONTRADO EN PLANTA"))</f>
        <v/>
      </c>
      <c r="E343" s="5">
        <f>IF(B343="","",IFERROR(VLOOKUP(B343, PLANTA_BASE!A:R, 6, FALSE), "NO ENCONTRADO EN PLANTA"))</f>
        <v/>
      </c>
      <c r="F343" s="7">
        <f>IF(B343="","",IFERROR(VLOOKUP(B343, PLANTA_BASE!A:R, 8, FALSE), "DOCENTE / FACILITADOR"))</f>
        <v/>
      </c>
      <c r="G343" s="7">
        <f>IF(B343="","",IFERROR(VLOOKUP(B343, PLANTA_BASE!A:R, 9, FALSE), "GENERAL"))</f>
        <v/>
      </c>
      <c r="H343" s="5">
        <f>IF(B343="","",IFERROR(VLOOKUP(B343, PLANTA_BASE!A:R, 17, FALSE), "GENERAL"))</f>
        <v/>
      </c>
    </row>
    <row r="344" ht="20" customHeight="1">
      <c r="A344" s="2">
        <f>IF(B344="","",IFERROR(VLOOKUP(B344, PLANTA_BASE!A:R, 2, FALSE), "NO ENCONTRADO EN PLANTA"))</f>
        <v/>
      </c>
      <c r="B344" s="3" t="inlineStr">
        <is>
          <t>1031183690</t>
        </is>
      </c>
      <c r="C344" s="4" t="inlineStr">
        <is>
          <t>SUA NICOL</t>
        </is>
      </c>
      <c r="D344" s="2">
        <f>IF(B344="","",IFERROR(VLOOKUP(B344, PLANTA_BASE!A:R, 5, FALSE), "NO ENCONTRADO EN PLANTA"))</f>
        <v/>
      </c>
      <c r="E344" s="2">
        <f>IF(B344="","",IFERROR(VLOOKUP(B344, PLANTA_BASE!A:R, 6, FALSE), "NO ENCONTRADO EN PLANTA"))</f>
        <v/>
      </c>
      <c r="F344" s="4">
        <f>IF(B344="","",IFERROR(VLOOKUP(B344, PLANTA_BASE!A:R, 8, FALSE), "DOCENTE / FACILITADOR"))</f>
        <v/>
      </c>
      <c r="G344" s="4">
        <f>IF(B344="","",IFERROR(VLOOKUP(B344, PLANTA_BASE!A:R, 9, FALSE), "GENERAL"))</f>
        <v/>
      </c>
      <c r="H344" s="2">
        <f>IF(B344="","",IFERROR(VLOOKUP(B344, PLANTA_BASE!A:R, 17, FALSE), "GENERAL"))</f>
        <v/>
      </c>
    </row>
    <row r="345" ht="20" customHeight="1">
      <c r="A345" s="5">
        <f>IF(B345="","",IFERROR(VLOOKUP(B345, PLANTA_BASE!A:R, 2, FALSE), "NO ENCONTRADO EN PLANTA"))</f>
        <v/>
      </c>
      <c r="B345" s="6" t="inlineStr">
        <is>
          <t>73182300</t>
        </is>
      </c>
      <c r="C345" s="7" t="inlineStr">
        <is>
          <t>ROJAS LUIS</t>
        </is>
      </c>
      <c r="D345" s="5">
        <f>IF(B345="","",IFERROR(VLOOKUP(B345, PLANTA_BASE!A:R, 5, FALSE), "NO ENCONTRADO EN PLANTA"))</f>
        <v/>
      </c>
      <c r="E345" s="5">
        <f>IF(B345="","",IFERROR(VLOOKUP(B345, PLANTA_BASE!A:R, 6, FALSE), "NO ENCONTRADO EN PLANTA"))</f>
        <v/>
      </c>
      <c r="F345" s="7">
        <f>IF(B345="","",IFERROR(VLOOKUP(B345, PLANTA_BASE!A:R, 8, FALSE), "DOCENTE / FACILITADOR"))</f>
        <v/>
      </c>
      <c r="G345" s="7">
        <f>IF(B345="","",IFERROR(VLOOKUP(B345, PLANTA_BASE!A:R, 9, FALSE), "GENERAL"))</f>
        <v/>
      </c>
      <c r="H345" s="5">
        <f>IF(B345="","",IFERROR(VLOOKUP(B345, PLANTA_BASE!A:R, 17, FALSE), "GENERAL"))</f>
        <v/>
      </c>
    </row>
    <row r="346" ht="20" customHeight="1">
      <c r="A346" s="2">
        <f>IF(B346="","",IFERROR(VLOOKUP(B346, PLANTA_BASE!A:R, 2, FALSE), "NO ENCONTRADO EN PLANTA"))</f>
        <v/>
      </c>
      <c r="B346" s="3" t="inlineStr">
        <is>
          <t>1013610665</t>
        </is>
      </c>
      <c r="C346" s="4" t="inlineStr">
        <is>
          <t>MOYA BEDOYA LADY JOHANA</t>
        </is>
      </c>
      <c r="D346" s="2">
        <f>IF(B346="","",IFERROR(VLOOKUP(B346, PLANTA_BASE!A:R, 5, FALSE), "NO ENCONTRADO EN PLANTA"))</f>
        <v/>
      </c>
      <c r="E346" s="2">
        <f>IF(B346="","",IFERROR(VLOOKUP(B346, PLANTA_BASE!A:R, 6, FALSE), "NO ENCONTRADO EN PLANTA"))</f>
        <v/>
      </c>
      <c r="F346" s="4">
        <f>IF(B346="","",IFERROR(VLOOKUP(B346, PLANTA_BASE!A:R, 8, FALSE), "DOCENTE / FACILITADOR"))</f>
        <v/>
      </c>
      <c r="G346" s="4">
        <f>IF(B346="","",IFERROR(VLOOKUP(B346, PLANTA_BASE!A:R, 9, FALSE), "GENERAL"))</f>
        <v/>
      </c>
      <c r="H346" s="2">
        <f>IF(B346="","",IFERROR(VLOOKUP(B346, PLANTA_BASE!A:R, 17, FALSE), "GENERAL"))</f>
        <v/>
      </c>
    </row>
    <row r="347" ht="20" customHeight="1">
      <c r="A347" s="5">
        <f>IF(B347="","",IFERROR(VLOOKUP(B347, PLANTA_BASE!A:R, 2, FALSE), "NO ENCONTRADO EN PLANTA"))</f>
        <v/>
      </c>
      <c r="B347" s="6" t="inlineStr">
        <is>
          <t>80191728</t>
        </is>
      </c>
      <c r="C347" s="7" t="inlineStr">
        <is>
          <t>SOLANO GAITAN EDWIN ORLANDO</t>
        </is>
      </c>
      <c r="D347" s="5">
        <f>IF(B347="","",IFERROR(VLOOKUP(B347, PLANTA_BASE!A:R, 5, FALSE), "NO ENCONTRADO EN PLANTA"))</f>
        <v/>
      </c>
      <c r="E347" s="5">
        <f>IF(B347="","",IFERROR(VLOOKUP(B347, PLANTA_BASE!A:R, 6, FALSE), "NO ENCONTRADO EN PLANTA"))</f>
        <v/>
      </c>
      <c r="F347" s="7">
        <f>IF(B347="","",IFERROR(VLOOKUP(B347, PLANTA_BASE!A:R, 8, FALSE), "DOCENTE / FACILITADOR"))</f>
        <v/>
      </c>
      <c r="G347" s="7">
        <f>IF(B347="","",IFERROR(VLOOKUP(B347, PLANTA_BASE!A:R, 9, FALSE), "GENERAL"))</f>
        <v/>
      </c>
      <c r="H347" s="5">
        <f>IF(B347="","",IFERROR(VLOOKUP(B347, PLANTA_BASE!A:R, 17, FALSE), "GENERAL"))</f>
        <v/>
      </c>
    </row>
    <row r="348" ht="20" customHeight="1">
      <c r="A348" s="2">
        <f>IF(B348="","",IFERROR(VLOOKUP(B348, PLANTA_BASE!A:R, 2, FALSE), "NO ENCONTRADO EN PLANTA"))</f>
        <v/>
      </c>
      <c r="B348" s="3" t="inlineStr">
        <is>
          <t>52521459</t>
        </is>
      </c>
      <c r="C348" s="4" t="inlineStr">
        <is>
          <t>CORTES ROJAS KATHERINNE</t>
        </is>
      </c>
      <c r="D348" s="2">
        <f>IF(B348="","",IFERROR(VLOOKUP(B348, PLANTA_BASE!A:R, 5, FALSE), "NO ENCONTRADO EN PLANTA"))</f>
        <v/>
      </c>
      <c r="E348" s="2">
        <f>IF(B348="","",IFERROR(VLOOKUP(B348, PLANTA_BASE!A:R, 6, FALSE), "NO ENCONTRADO EN PLANTA"))</f>
        <v/>
      </c>
      <c r="F348" s="4">
        <f>IF(B348="","",IFERROR(VLOOKUP(B348, PLANTA_BASE!A:R, 8, FALSE), "DOCENTE / FACILITADOR"))</f>
        <v/>
      </c>
      <c r="G348" s="4">
        <f>IF(B348="","",IFERROR(VLOOKUP(B348, PLANTA_BASE!A:R, 9, FALSE), "GENERAL"))</f>
        <v/>
      </c>
      <c r="H348" s="2">
        <f>IF(B348="","",IFERROR(VLOOKUP(B348, PLANTA_BASE!A:R, 17, FALSE), "GENERAL"))</f>
        <v/>
      </c>
    </row>
    <row r="349" ht="20" customHeight="1">
      <c r="A349" s="5">
        <f>IF(B349="","",IFERROR(VLOOKUP(B349, PLANTA_BASE!A:R, 2, FALSE), "NO ENCONTRADO EN PLANTA"))</f>
        <v/>
      </c>
      <c r="B349" s="6" t="inlineStr">
        <is>
          <t>1018423036</t>
        </is>
      </c>
      <c r="C349" s="7" t="inlineStr">
        <is>
          <t>BUSTOS AMIN JOHN ERICK</t>
        </is>
      </c>
      <c r="D349" s="5">
        <f>IF(B349="","",IFERROR(VLOOKUP(B349, PLANTA_BASE!A:R, 5, FALSE), "NO ENCONTRADO EN PLANTA"))</f>
        <v/>
      </c>
      <c r="E349" s="5">
        <f>IF(B349="","",IFERROR(VLOOKUP(B349, PLANTA_BASE!A:R, 6, FALSE), "NO ENCONTRADO EN PLANTA"))</f>
        <v/>
      </c>
      <c r="F349" s="7">
        <f>IF(B349="","",IFERROR(VLOOKUP(B349, PLANTA_BASE!A:R, 8, FALSE), "DOCENTE / FACILITADOR"))</f>
        <v/>
      </c>
      <c r="G349" s="7">
        <f>IF(B349="","",IFERROR(VLOOKUP(B349, PLANTA_BASE!A:R, 9, FALSE), "GENERAL"))</f>
        <v/>
      </c>
      <c r="H349" s="5">
        <f>IF(B349="","",IFERROR(VLOOKUP(B349, PLANTA_BASE!A:R, 17, FALSE), "GENERAL"))</f>
        <v/>
      </c>
    </row>
    <row r="350" ht="20" customHeight="1">
      <c r="A350" s="2">
        <f>IF(B350="","",IFERROR(VLOOKUP(B350, PLANTA_BASE!A:R, 2, FALSE), "NO ENCONTRADO EN PLANTA"))</f>
        <v/>
      </c>
      <c r="B350" s="3" t="inlineStr">
        <is>
          <t>80793954</t>
        </is>
      </c>
      <c r="C350" s="4" t="inlineStr">
        <is>
          <t>HERNANDEZ OSCAR</t>
        </is>
      </c>
      <c r="D350" s="2">
        <f>IF(B350="","",IFERROR(VLOOKUP(B350, PLANTA_BASE!A:R, 5, FALSE), "NO ENCONTRADO EN PLANTA"))</f>
        <v/>
      </c>
      <c r="E350" s="2">
        <f>IF(B350="","",IFERROR(VLOOKUP(B350, PLANTA_BASE!A:R, 6, FALSE), "NO ENCONTRADO EN PLANTA"))</f>
        <v/>
      </c>
      <c r="F350" s="4">
        <f>IF(B350="","",IFERROR(VLOOKUP(B350, PLANTA_BASE!A:R, 8, FALSE), "DOCENTE / FACILITADOR"))</f>
        <v/>
      </c>
      <c r="G350" s="4">
        <f>IF(B350="","",IFERROR(VLOOKUP(B350, PLANTA_BASE!A:R, 9, FALSE), "GENERAL"))</f>
        <v/>
      </c>
      <c r="H350" s="2">
        <f>IF(B350="","",IFERROR(VLOOKUP(B350, PLANTA_BASE!A:R, 17, FALSE), "GENERAL"))</f>
        <v/>
      </c>
    </row>
    <row r="351" ht="20" customHeight="1">
      <c r="A351" s="5">
        <f>IF(B351="","",IFERROR(VLOOKUP(B351, PLANTA_BASE!A:R, 2, FALSE), "NO ENCONTRADO EN PLANTA"))</f>
        <v/>
      </c>
      <c r="B351" s="6" t="inlineStr">
        <is>
          <t>1003698798</t>
        </is>
      </c>
      <c r="C351" s="7" t="inlineStr">
        <is>
          <t>HERNANDEZ ALIRIO</t>
        </is>
      </c>
      <c r="D351" s="5">
        <f>IF(B351="","",IFERROR(VLOOKUP(B351, PLANTA_BASE!A:R, 5, FALSE), "NO ENCONTRADO EN PLANTA"))</f>
        <v/>
      </c>
      <c r="E351" s="5">
        <f>IF(B351="","",IFERROR(VLOOKUP(B351, PLANTA_BASE!A:R, 6, FALSE), "NO ENCONTRADO EN PLANTA"))</f>
        <v/>
      </c>
      <c r="F351" s="7">
        <f>IF(B351="","",IFERROR(VLOOKUP(B351, PLANTA_BASE!A:R, 8, FALSE), "DOCENTE / FACILITADOR"))</f>
        <v/>
      </c>
      <c r="G351" s="7">
        <f>IF(B351="","",IFERROR(VLOOKUP(B351, PLANTA_BASE!A:R, 9, FALSE), "GENERAL"))</f>
        <v/>
      </c>
      <c r="H351" s="5">
        <f>IF(B351="","",IFERROR(VLOOKUP(B351, PLANTA_BASE!A:R, 17, FALSE), "GENERAL"))</f>
        <v/>
      </c>
    </row>
    <row r="352" ht="20" customHeight="1">
      <c r="A352" s="2">
        <f>IF(B352="","",IFERROR(VLOOKUP(B352, PLANTA_BASE!A:R, 2, FALSE), "NO ENCONTRADO EN PLANTA"))</f>
        <v/>
      </c>
      <c r="B352" s="3" t="inlineStr">
        <is>
          <t>52311269</t>
        </is>
      </c>
      <c r="C352" s="4" t="inlineStr">
        <is>
          <t>CALENTURA PINILLA ROCIO</t>
        </is>
      </c>
      <c r="D352" s="2">
        <f>IF(B352="","",IFERROR(VLOOKUP(B352, PLANTA_BASE!A:R, 5, FALSE), "NO ENCONTRADO EN PLANTA"))</f>
        <v/>
      </c>
      <c r="E352" s="2">
        <f>IF(B352="","",IFERROR(VLOOKUP(B352, PLANTA_BASE!A:R, 6, FALSE), "NO ENCONTRADO EN PLANTA"))</f>
        <v/>
      </c>
      <c r="F352" s="4">
        <f>IF(B352="","",IFERROR(VLOOKUP(B352, PLANTA_BASE!A:R, 8, FALSE), "DOCENTE / FACILITADOR"))</f>
        <v/>
      </c>
      <c r="G352" s="4">
        <f>IF(B352="","",IFERROR(VLOOKUP(B352, PLANTA_BASE!A:R, 9, FALSE), "GENERAL"))</f>
        <v/>
      </c>
      <c r="H352" s="2">
        <f>IF(B352="","",IFERROR(VLOOKUP(B352, PLANTA_BASE!A:R, 17, FALSE), "GENERAL"))</f>
        <v/>
      </c>
    </row>
    <row r="353" ht="20" customHeight="1">
      <c r="A353" s="5">
        <f>IF(B353="","",IFERROR(VLOOKUP(B353, PLANTA_BASE!A:R, 2, FALSE), "NO ENCONTRADO EN PLANTA"))</f>
        <v/>
      </c>
      <c r="B353" s="6" t="inlineStr">
        <is>
          <t>53097042</t>
        </is>
      </c>
      <c r="C353" s="7" t="inlineStr">
        <is>
          <t>ESCOBAR NATALIA</t>
        </is>
      </c>
      <c r="D353" s="5">
        <f>IF(B353="","",IFERROR(VLOOKUP(B353, PLANTA_BASE!A:R, 5, FALSE), "NO ENCONTRADO EN PLANTA"))</f>
        <v/>
      </c>
      <c r="E353" s="5">
        <f>IF(B353="","",IFERROR(VLOOKUP(B353, PLANTA_BASE!A:R, 6, FALSE), "NO ENCONTRADO EN PLANTA"))</f>
        <v/>
      </c>
      <c r="F353" s="7">
        <f>IF(B353="","",IFERROR(VLOOKUP(B353, PLANTA_BASE!A:R, 8, FALSE), "DOCENTE / FACILITADOR"))</f>
        <v/>
      </c>
      <c r="G353" s="7">
        <f>IF(B353="","",IFERROR(VLOOKUP(B353, PLANTA_BASE!A:R, 9, FALSE), "GENERAL"))</f>
        <v/>
      </c>
      <c r="H353" s="5">
        <f>IF(B353="","",IFERROR(VLOOKUP(B353, PLANTA_BASE!A:R, 17, FALSE), "GENERAL"))</f>
        <v/>
      </c>
    </row>
    <row r="354" ht="20" customHeight="1">
      <c r="A354" s="2">
        <f>IF(B354="","",IFERROR(VLOOKUP(B354, PLANTA_BASE!A:R, 2, FALSE), "NO ENCONTRADO EN PLANTA"))</f>
        <v/>
      </c>
      <c r="B354" s="3" t="inlineStr">
        <is>
          <t>1030533835</t>
        </is>
      </c>
      <c r="C354" s="4" t="inlineStr">
        <is>
          <t>CUETO GARCIA JAVIER CAMILO</t>
        </is>
      </c>
      <c r="D354" s="2">
        <f>IF(B354="","",IFERROR(VLOOKUP(B354, PLANTA_BASE!A:R, 5, FALSE), "NO ENCONTRADO EN PLANTA"))</f>
        <v/>
      </c>
      <c r="E354" s="2">
        <f>IF(B354="","",IFERROR(VLOOKUP(B354, PLANTA_BASE!A:R, 6, FALSE), "NO ENCONTRADO EN PLANTA"))</f>
        <v/>
      </c>
      <c r="F354" s="4">
        <f>IF(B354="","",IFERROR(VLOOKUP(B354, PLANTA_BASE!A:R, 8, FALSE), "DOCENTE / FACILITADOR"))</f>
        <v/>
      </c>
      <c r="G354" s="4">
        <f>IF(B354="","",IFERROR(VLOOKUP(B354, PLANTA_BASE!A:R, 9, FALSE), "GENERAL"))</f>
        <v/>
      </c>
      <c r="H354" s="2">
        <f>IF(B354="","",IFERROR(VLOOKUP(B354, PLANTA_BASE!A:R, 17, FALSE), "GENERAL"))</f>
        <v/>
      </c>
    </row>
    <row r="355" ht="20" customHeight="1">
      <c r="A355" s="5">
        <f>IF(B355="","",IFERROR(VLOOKUP(B355, PLANTA_BASE!A:R, 2, FALSE), "NO ENCONTRADO EN PLANTA"))</f>
        <v/>
      </c>
      <c r="B355" s="6" t="inlineStr">
        <is>
          <t>1019113556</t>
        </is>
      </c>
      <c r="C355" s="7" t="inlineStr">
        <is>
          <t>SALAS MENESES DANIEL ALBERTO</t>
        </is>
      </c>
      <c r="D355" s="5">
        <f>IF(B355="","",IFERROR(VLOOKUP(B355, PLANTA_BASE!A:R, 5, FALSE), "NO ENCONTRADO EN PLANTA"))</f>
        <v/>
      </c>
      <c r="E355" s="5">
        <f>IF(B355="","",IFERROR(VLOOKUP(B355, PLANTA_BASE!A:R, 6, FALSE), "NO ENCONTRADO EN PLANTA"))</f>
        <v/>
      </c>
      <c r="F355" s="7">
        <f>IF(B355="","",IFERROR(VLOOKUP(B355, PLANTA_BASE!A:R, 8, FALSE), "DOCENTE / FACILITADOR"))</f>
        <v/>
      </c>
      <c r="G355" s="7">
        <f>IF(B355="","",IFERROR(VLOOKUP(B355, PLANTA_BASE!A:R, 9, FALSE), "GENERAL"))</f>
        <v/>
      </c>
      <c r="H355" s="5">
        <f>IF(B355="","",IFERROR(VLOOKUP(B355, PLANTA_BASE!A:R, 17, FALSE), "GENERAL"))</f>
        <v/>
      </c>
    </row>
    <row r="356" ht="20" customHeight="1">
      <c r="A356" s="2">
        <f>IF(B356="","",IFERROR(VLOOKUP(B356, PLANTA_BASE!A:R, 2, FALSE), "NO ENCONTRADO EN PLANTA"))</f>
        <v/>
      </c>
      <c r="B356" s="3" t="inlineStr">
        <is>
          <t>1030588569</t>
        </is>
      </c>
      <c r="C356" s="4" t="inlineStr">
        <is>
          <t>FLOREZ FUENTES CATHERIN</t>
        </is>
      </c>
      <c r="D356" s="2">
        <f>IF(B356="","",IFERROR(VLOOKUP(B356, PLANTA_BASE!A:R, 5, FALSE), "NO ENCONTRADO EN PLANTA"))</f>
        <v/>
      </c>
      <c r="E356" s="2">
        <f>IF(B356="","",IFERROR(VLOOKUP(B356, PLANTA_BASE!A:R, 6, FALSE), "NO ENCONTRADO EN PLANTA"))</f>
        <v/>
      </c>
      <c r="F356" s="4">
        <f>IF(B356="","",IFERROR(VLOOKUP(B356, PLANTA_BASE!A:R, 8, FALSE), "DOCENTE / FACILITADOR"))</f>
        <v/>
      </c>
      <c r="G356" s="4">
        <f>IF(B356="","",IFERROR(VLOOKUP(B356, PLANTA_BASE!A:R, 9, FALSE), "GENERAL"))</f>
        <v/>
      </c>
      <c r="H356" s="2">
        <f>IF(B356="","",IFERROR(VLOOKUP(B356, PLANTA_BASE!A:R, 17, FALSE), "GENERAL"))</f>
        <v/>
      </c>
    </row>
    <row r="357" ht="20" customHeight="1">
      <c r="A357" s="5">
        <f>IF(B357="","",IFERROR(VLOOKUP(B357, PLANTA_BASE!A:R, 2, FALSE), "NO ENCONTRADO EN PLANTA"))</f>
        <v/>
      </c>
      <c r="B357" s="6" t="inlineStr">
        <is>
          <t>1031157110</t>
        </is>
      </c>
      <c r="C357" s="7" t="inlineStr">
        <is>
          <t>BERNAL JEYSON</t>
        </is>
      </c>
      <c r="D357" s="5">
        <f>IF(B357="","",IFERROR(VLOOKUP(B357, PLANTA_BASE!A:R, 5, FALSE), "NO ENCONTRADO EN PLANTA"))</f>
        <v/>
      </c>
      <c r="E357" s="5">
        <f>IF(B357="","",IFERROR(VLOOKUP(B357, PLANTA_BASE!A:R, 6, FALSE), "NO ENCONTRADO EN PLANTA"))</f>
        <v/>
      </c>
      <c r="F357" s="7">
        <f>IF(B357="","",IFERROR(VLOOKUP(B357, PLANTA_BASE!A:R, 8, FALSE), "DOCENTE / FACILITADOR"))</f>
        <v/>
      </c>
      <c r="G357" s="7">
        <f>IF(B357="","",IFERROR(VLOOKUP(B357, PLANTA_BASE!A:R, 9, FALSE), "GENERAL"))</f>
        <v/>
      </c>
      <c r="H357" s="5">
        <f>IF(B357="","",IFERROR(VLOOKUP(B357, PLANTA_BASE!A:R, 17, FALSE), "GENERAL"))</f>
        <v/>
      </c>
    </row>
    <row r="358" ht="20" customHeight="1">
      <c r="A358" s="2">
        <f>IF(B358="","",IFERROR(VLOOKUP(B358, PLANTA_BASE!A:R, 2, FALSE), "NO ENCONTRADO EN PLANTA"))</f>
        <v/>
      </c>
      <c r="B358" s="3" t="inlineStr">
        <is>
          <t>1102853205</t>
        </is>
      </c>
      <c r="C358" s="4" t="inlineStr">
        <is>
          <t>TUIRAN RUIZ JESUS DAVID</t>
        </is>
      </c>
      <c r="D358" s="2">
        <f>IF(B358="","",IFERROR(VLOOKUP(B358, PLANTA_BASE!A:R, 5, FALSE), "NO ENCONTRADO EN PLANTA"))</f>
        <v/>
      </c>
      <c r="E358" s="2">
        <f>IF(B358="","",IFERROR(VLOOKUP(B358, PLANTA_BASE!A:R, 6, FALSE), "NO ENCONTRADO EN PLANTA"))</f>
        <v/>
      </c>
      <c r="F358" s="4">
        <f>IF(B358="","",IFERROR(VLOOKUP(B358, PLANTA_BASE!A:R, 8, FALSE), "DOCENTE / FACILITADOR"))</f>
        <v/>
      </c>
      <c r="G358" s="4">
        <f>IF(B358="","",IFERROR(VLOOKUP(B358, PLANTA_BASE!A:R, 9, FALSE), "GENERAL"))</f>
        <v/>
      </c>
      <c r="H358" s="2">
        <f>IF(B358="","",IFERROR(VLOOKUP(B358, PLANTA_BASE!A:R, 17, FALSE), "GENERAL"))</f>
        <v/>
      </c>
    </row>
    <row r="359" ht="20" customHeight="1">
      <c r="A359" s="5">
        <f>IF(B359="","",IFERROR(VLOOKUP(B359, PLANTA_BASE!A:R, 2, FALSE), "NO ENCONTRADO EN PLANTA"))</f>
        <v/>
      </c>
      <c r="B359" s="6" t="inlineStr">
        <is>
          <t>13569291</t>
        </is>
      </c>
      <c r="C359" s="7" t="inlineStr">
        <is>
          <t>AREVALO GUILLIN WALTER</t>
        </is>
      </c>
      <c r="D359" s="5">
        <f>IF(B359="","",IFERROR(VLOOKUP(B359, PLANTA_BASE!A:R, 5, FALSE), "NO ENCONTRADO EN PLANTA"))</f>
        <v/>
      </c>
      <c r="E359" s="5">
        <f>IF(B359="","",IFERROR(VLOOKUP(B359, PLANTA_BASE!A:R, 6, FALSE), "NO ENCONTRADO EN PLANTA"))</f>
        <v/>
      </c>
      <c r="F359" s="7">
        <f>IF(B359="","",IFERROR(VLOOKUP(B359, PLANTA_BASE!A:R, 8, FALSE), "DOCENTE / FACILITADOR"))</f>
        <v/>
      </c>
      <c r="G359" s="7">
        <f>IF(B359="","",IFERROR(VLOOKUP(B359, PLANTA_BASE!A:R, 9, FALSE), "GENERAL"))</f>
        <v/>
      </c>
      <c r="H359" s="5">
        <f>IF(B359="","",IFERROR(VLOOKUP(B359, PLANTA_BASE!A:R, 17, FALSE), "GENERAL"))</f>
        <v/>
      </c>
    </row>
    <row r="360" ht="20" customHeight="1">
      <c r="A360" s="2">
        <f>IF(B360="","",IFERROR(VLOOKUP(B360, PLANTA_BASE!A:R, 2, FALSE), "NO ENCONTRADO EN PLANTA"))</f>
        <v/>
      </c>
      <c r="B360" s="3" t="inlineStr">
        <is>
          <t>1015427647</t>
        </is>
      </c>
      <c r="C360" s="4" t="inlineStr">
        <is>
          <t>SIERRA  ROBAYO EVARISTO ANDRES</t>
        </is>
      </c>
      <c r="D360" s="2">
        <f>IF(B360="","",IFERROR(VLOOKUP(B360, PLANTA_BASE!A:R, 5, FALSE), "NO ENCONTRADO EN PLANTA"))</f>
        <v/>
      </c>
      <c r="E360" s="2">
        <f>IF(B360="","",IFERROR(VLOOKUP(B360, PLANTA_BASE!A:R, 6, FALSE), "NO ENCONTRADO EN PLANTA"))</f>
        <v/>
      </c>
      <c r="F360" s="4">
        <f>IF(B360="","",IFERROR(VLOOKUP(B360, PLANTA_BASE!A:R, 8, FALSE), "DOCENTE / FACILITADOR"))</f>
        <v/>
      </c>
      <c r="G360" s="4">
        <f>IF(B360="","",IFERROR(VLOOKUP(B360, PLANTA_BASE!A:R, 9, FALSE), "GENERAL"))</f>
        <v/>
      </c>
      <c r="H360" s="2">
        <f>IF(B360="","",IFERROR(VLOOKUP(B360, PLANTA_BASE!A:R, 17, FALSE), "GENERAL"))</f>
        <v/>
      </c>
    </row>
    <row r="361" ht="20" customHeight="1">
      <c r="A361" s="5">
        <f>IF(B361="","",IFERROR(VLOOKUP(B361, PLANTA_BASE!A:R, 2, FALSE), "NO ENCONTRADO EN PLANTA"))</f>
        <v/>
      </c>
      <c r="B361" s="6" t="inlineStr">
        <is>
          <t>1075313450</t>
        </is>
      </c>
      <c r="C361" s="7" t="inlineStr">
        <is>
          <t>SUAREZ LEIVA LIZ ALEXANDRA</t>
        </is>
      </c>
      <c r="D361" s="5">
        <f>IF(B361="","",IFERROR(VLOOKUP(B361, PLANTA_BASE!A:R, 5, FALSE), "NO ENCONTRADO EN PLANTA"))</f>
        <v/>
      </c>
      <c r="E361" s="5">
        <f>IF(B361="","",IFERROR(VLOOKUP(B361, PLANTA_BASE!A:R, 6, FALSE), "NO ENCONTRADO EN PLANTA"))</f>
        <v/>
      </c>
      <c r="F361" s="7">
        <f>IF(B361="","",IFERROR(VLOOKUP(B361, PLANTA_BASE!A:R, 8, FALSE), "DOCENTE / FACILITADOR"))</f>
        <v/>
      </c>
      <c r="G361" s="7">
        <f>IF(B361="","",IFERROR(VLOOKUP(B361, PLANTA_BASE!A:R, 9, FALSE), "GENERAL"))</f>
        <v/>
      </c>
      <c r="H361" s="5">
        <f>IF(B361="","",IFERROR(VLOOKUP(B361, PLANTA_BASE!A:R, 17, FALSE), "GENERAL"))</f>
        <v/>
      </c>
    </row>
    <row r="362" ht="20" customHeight="1">
      <c r="A362" s="2">
        <f>IF(B362="","",IFERROR(VLOOKUP(B362, PLANTA_BASE!A:R, 2, FALSE), "NO ENCONTRADO EN PLANTA"))</f>
        <v/>
      </c>
      <c r="B362" s="3" t="inlineStr">
        <is>
          <t>80222362</t>
        </is>
      </c>
      <c r="C362" s="4" t="inlineStr">
        <is>
          <t>ACOSTA HERNANDEZ ELMER GENIER</t>
        </is>
      </c>
      <c r="D362" s="2">
        <f>IF(B362="","",IFERROR(VLOOKUP(B362, PLANTA_BASE!A:R, 5, FALSE), "NO ENCONTRADO EN PLANTA"))</f>
        <v/>
      </c>
      <c r="E362" s="2">
        <f>IF(B362="","",IFERROR(VLOOKUP(B362, PLANTA_BASE!A:R, 6, FALSE), "NO ENCONTRADO EN PLANTA"))</f>
        <v/>
      </c>
      <c r="F362" s="4">
        <f>IF(B362="","",IFERROR(VLOOKUP(B362, PLANTA_BASE!A:R, 8, FALSE), "DOCENTE / FACILITADOR"))</f>
        <v/>
      </c>
      <c r="G362" s="4">
        <f>IF(B362="","",IFERROR(VLOOKUP(B362, PLANTA_BASE!A:R, 9, FALSE), "GENERAL"))</f>
        <v/>
      </c>
      <c r="H362" s="2">
        <f>IF(B362="","",IFERROR(VLOOKUP(B362, PLANTA_BASE!A:R, 17, FALSE), "GENERAL"))</f>
        <v/>
      </c>
    </row>
    <row r="363" ht="20" customHeight="1">
      <c r="A363" s="5">
        <f>IF(B363="","",IFERROR(VLOOKUP(B363, PLANTA_BASE!A:R, 2, FALSE), "NO ENCONTRADO EN PLANTA"))</f>
        <v/>
      </c>
      <c r="B363" s="6" t="inlineStr">
        <is>
          <t>7334393</t>
        </is>
      </c>
      <c r="C363" s="7" t="inlineStr">
        <is>
          <t>PINEDA ROA CARLOS ALEJANDRO</t>
        </is>
      </c>
      <c r="D363" s="5">
        <f>IF(B363="","",IFERROR(VLOOKUP(B363, PLANTA_BASE!A:R, 5, FALSE), "NO ENCONTRADO EN PLANTA"))</f>
        <v/>
      </c>
      <c r="E363" s="5">
        <f>IF(B363="","",IFERROR(VLOOKUP(B363, PLANTA_BASE!A:R, 6, FALSE), "NO ENCONTRADO EN PLANTA"))</f>
        <v/>
      </c>
      <c r="F363" s="7">
        <f>IF(B363="","",IFERROR(VLOOKUP(B363, PLANTA_BASE!A:R, 8, FALSE), "DOCENTE / FACILITADOR"))</f>
        <v/>
      </c>
      <c r="G363" s="7">
        <f>IF(B363="","",IFERROR(VLOOKUP(B363, PLANTA_BASE!A:R, 9, FALSE), "GENERAL"))</f>
        <v/>
      </c>
      <c r="H363" s="5">
        <f>IF(B363="","",IFERROR(VLOOKUP(B363, PLANTA_BASE!A:R, 17, FALSE), "GENERAL"))</f>
        <v/>
      </c>
    </row>
    <row r="364" ht="20" customHeight="1">
      <c r="A364" s="2">
        <f>IF(B364="","",IFERROR(VLOOKUP(B364, PLANTA_BASE!A:R, 2, FALSE), "NO ENCONTRADO EN PLANTA"))</f>
        <v/>
      </c>
      <c r="B364" s="3" t="inlineStr">
        <is>
          <t>1032363918</t>
        </is>
      </c>
      <c r="C364" s="4" t="inlineStr">
        <is>
          <t>RUIZ NIEVES MARCO ANTONIO</t>
        </is>
      </c>
      <c r="D364" s="2">
        <f>IF(B364="","",IFERROR(VLOOKUP(B364, PLANTA_BASE!A:R, 5, FALSE), "NO ENCONTRADO EN PLANTA"))</f>
        <v/>
      </c>
      <c r="E364" s="2">
        <f>IF(B364="","",IFERROR(VLOOKUP(B364, PLANTA_BASE!A:R, 6, FALSE), "NO ENCONTRADO EN PLANTA"))</f>
        <v/>
      </c>
      <c r="F364" s="4">
        <f>IF(B364="","",IFERROR(VLOOKUP(B364, PLANTA_BASE!A:R, 8, FALSE), "DOCENTE / FACILITADOR"))</f>
        <v/>
      </c>
      <c r="G364" s="4">
        <f>IF(B364="","",IFERROR(VLOOKUP(B364, PLANTA_BASE!A:R, 9, FALSE), "GENERAL"))</f>
        <v/>
      </c>
      <c r="H364" s="2">
        <f>IF(B364="","",IFERROR(VLOOKUP(B364, PLANTA_BASE!A:R, 17, FALSE), "GENERAL"))</f>
        <v/>
      </c>
    </row>
    <row r="365" ht="20" customHeight="1">
      <c r="A365" s="5">
        <f>IF(B365="","",IFERROR(VLOOKUP(B365, PLANTA_BASE!A:R, 2, FALSE), "NO ENCONTRADO EN PLANTA"))</f>
        <v/>
      </c>
      <c r="B365" s="6" t="inlineStr">
        <is>
          <t>1023965976</t>
        </is>
      </c>
      <c r="C365" s="7" t="inlineStr">
        <is>
          <t>MORENO ANDRES</t>
        </is>
      </c>
      <c r="D365" s="5">
        <f>IF(B365="","",IFERROR(VLOOKUP(B365, PLANTA_BASE!A:R, 5, FALSE), "NO ENCONTRADO EN PLANTA"))</f>
        <v/>
      </c>
      <c r="E365" s="5">
        <f>IF(B365="","",IFERROR(VLOOKUP(B365, PLANTA_BASE!A:R, 6, FALSE), "NO ENCONTRADO EN PLANTA"))</f>
        <v/>
      </c>
      <c r="F365" s="7">
        <f>IF(B365="","",IFERROR(VLOOKUP(B365, PLANTA_BASE!A:R, 8, FALSE), "DOCENTE / FACILITADOR"))</f>
        <v/>
      </c>
      <c r="G365" s="7">
        <f>IF(B365="","",IFERROR(VLOOKUP(B365, PLANTA_BASE!A:R, 9, FALSE), "GENERAL"))</f>
        <v/>
      </c>
      <c r="H365" s="5">
        <f>IF(B365="","",IFERROR(VLOOKUP(B365, PLANTA_BASE!A:R, 17, FALSE), "GENERAL"))</f>
        <v/>
      </c>
    </row>
    <row r="366" ht="20" customHeight="1">
      <c r="A366" s="2">
        <f>IF(B366="","",IFERROR(VLOOKUP(B366, PLANTA_BASE!A:R, 2, FALSE), "NO ENCONTRADO EN PLANTA"))</f>
        <v/>
      </c>
      <c r="B366" s="3" t="inlineStr">
        <is>
          <t>84006296</t>
        </is>
      </c>
      <c r="C366" s="4" t="inlineStr">
        <is>
          <t>BRITO CARRILLO ALDO</t>
        </is>
      </c>
      <c r="D366" s="2">
        <f>IF(B366="","",IFERROR(VLOOKUP(B366, PLANTA_BASE!A:R, 5, FALSE), "NO ENCONTRADO EN PLANTA"))</f>
        <v/>
      </c>
      <c r="E366" s="2">
        <f>IF(B366="","",IFERROR(VLOOKUP(B366, PLANTA_BASE!A:R, 6, FALSE), "NO ENCONTRADO EN PLANTA"))</f>
        <v/>
      </c>
      <c r="F366" s="4">
        <f>IF(B366="","",IFERROR(VLOOKUP(B366, PLANTA_BASE!A:R, 8, FALSE), "DOCENTE / FACILITADOR"))</f>
        <v/>
      </c>
      <c r="G366" s="4">
        <f>IF(B366="","",IFERROR(VLOOKUP(B366, PLANTA_BASE!A:R, 9, FALSE), "GENERAL"))</f>
        <v/>
      </c>
      <c r="H366" s="2">
        <f>IF(B366="","",IFERROR(VLOOKUP(B366, PLANTA_BASE!A:R, 17, FALSE), "GENERAL"))</f>
        <v/>
      </c>
    </row>
    <row r="367" ht="20" customHeight="1">
      <c r="A367" s="5">
        <f>IF(B367="","",IFERROR(VLOOKUP(B367, PLANTA_BASE!A:R, 2, FALSE), "NO ENCONTRADO EN PLANTA"))</f>
        <v/>
      </c>
      <c r="B367" s="6" t="inlineStr">
        <is>
          <t>1019982228</t>
        </is>
      </c>
      <c r="C367" s="7" t="inlineStr">
        <is>
          <t>FORERO LOSADA LUCAS MATEO</t>
        </is>
      </c>
      <c r="D367" s="5">
        <f>IF(B367="","",IFERROR(VLOOKUP(B367, PLANTA_BASE!A:R, 5, FALSE), "NO ENCONTRADO EN PLANTA"))</f>
        <v/>
      </c>
      <c r="E367" s="5">
        <f>IF(B367="","",IFERROR(VLOOKUP(B367, PLANTA_BASE!A:R, 6, FALSE), "NO ENCONTRADO EN PLANTA"))</f>
        <v/>
      </c>
      <c r="F367" s="7">
        <f>IF(B367="","",IFERROR(VLOOKUP(B367, PLANTA_BASE!A:R, 8, FALSE), "DOCENTE / FACILITADOR"))</f>
        <v/>
      </c>
      <c r="G367" s="7">
        <f>IF(B367="","",IFERROR(VLOOKUP(B367, PLANTA_BASE!A:R, 9, FALSE), "GENERAL"))</f>
        <v/>
      </c>
      <c r="H367" s="5">
        <f>IF(B367="","",IFERROR(VLOOKUP(B367, PLANTA_BASE!A:R, 17, FALSE), "GENERAL"))</f>
        <v/>
      </c>
    </row>
    <row r="368" ht="20" customHeight="1">
      <c r="A368" s="2">
        <f>IF(B368="","",IFERROR(VLOOKUP(B368, PLANTA_BASE!A:R, 2, FALSE), "NO ENCONTRADO EN PLANTA"))</f>
        <v/>
      </c>
      <c r="B368" s="3" t="inlineStr">
        <is>
          <t>1023945301</t>
        </is>
      </c>
      <c r="C368" s="4" t="inlineStr">
        <is>
          <t>BECERRA NIETO ANGIE TATIANA</t>
        </is>
      </c>
      <c r="D368" s="2">
        <f>IF(B368="","",IFERROR(VLOOKUP(B368, PLANTA_BASE!A:R, 5, FALSE), "NO ENCONTRADO EN PLANTA"))</f>
        <v/>
      </c>
      <c r="E368" s="2">
        <f>IF(B368="","",IFERROR(VLOOKUP(B368, PLANTA_BASE!A:R, 6, FALSE), "NO ENCONTRADO EN PLANTA"))</f>
        <v/>
      </c>
      <c r="F368" s="4">
        <f>IF(B368="","",IFERROR(VLOOKUP(B368, PLANTA_BASE!A:R, 8, FALSE), "DOCENTE / FACILITADOR"))</f>
        <v/>
      </c>
      <c r="G368" s="4">
        <f>IF(B368="","",IFERROR(VLOOKUP(B368, PLANTA_BASE!A:R, 9, FALSE), "GENERAL"))</f>
        <v/>
      </c>
      <c r="H368" s="2">
        <f>IF(B368="","",IFERROR(VLOOKUP(B368, PLANTA_BASE!A:R, 17, FALSE), "GENERAL"))</f>
        <v/>
      </c>
    </row>
    <row r="369" ht="20" customHeight="1">
      <c r="A369" s="5">
        <f>IF(B369="","",IFERROR(VLOOKUP(B369, PLANTA_BASE!A:R, 2, FALSE), "NO ENCONTRADO EN PLANTA"))</f>
        <v/>
      </c>
      <c r="B369" s="6" t="inlineStr">
        <is>
          <t>1104700404</t>
        </is>
      </c>
      <c r="C369" s="7" t="inlineStr">
        <is>
          <t>GUILLEN ROZO ELVER JULIAN</t>
        </is>
      </c>
      <c r="D369" s="5">
        <f>IF(B369="","",IFERROR(VLOOKUP(B369, PLANTA_BASE!A:R, 5, FALSE), "NO ENCONTRADO EN PLANTA"))</f>
        <v/>
      </c>
      <c r="E369" s="5">
        <f>IF(B369="","",IFERROR(VLOOKUP(B369, PLANTA_BASE!A:R, 6, FALSE), "NO ENCONTRADO EN PLANTA"))</f>
        <v/>
      </c>
      <c r="F369" s="7">
        <f>IF(B369="","",IFERROR(VLOOKUP(B369, PLANTA_BASE!A:R, 8, FALSE), "DOCENTE / FACILITADOR"))</f>
        <v/>
      </c>
      <c r="G369" s="7">
        <f>IF(B369="","",IFERROR(VLOOKUP(B369, PLANTA_BASE!A:R, 9, FALSE), "GENERAL"))</f>
        <v/>
      </c>
      <c r="H369" s="5">
        <f>IF(B369="","",IFERROR(VLOOKUP(B369, PLANTA_BASE!A:R, 17, FALSE), "GENERAL"))</f>
        <v/>
      </c>
    </row>
    <row r="370" ht="20" customHeight="1">
      <c r="A370" s="2">
        <f>IF(B370="","",IFERROR(VLOOKUP(B370, PLANTA_BASE!A:R, 2, FALSE), "NO ENCONTRADO EN PLANTA"))</f>
        <v/>
      </c>
      <c r="B370" s="3" t="inlineStr">
        <is>
          <t>79956497</t>
        </is>
      </c>
      <c r="C370" s="4" t="inlineStr">
        <is>
          <t>ACUNA CASTILLO JORGE ALBERTO</t>
        </is>
      </c>
      <c r="D370" s="2">
        <f>IF(B370="","",IFERROR(VLOOKUP(B370, PLANTA_BASE!A:R, 5, FALSE), "NO ENCONTRADO EN PLANTA"))</f>
        <v/>
      </c>
      <c r="E370" s="2">
        <f>IF(B370="","",IFERROR(VLOOKUP(B370, PLANTA_BASE!A:R, 6, FALSE), "NO ENCONTRADO EN PLANTA"))</f>
        <v/>
      </c>
      <c r="F370" s="4">
        <f>IF(B370="","",IFERROR(VLOOKUP(B370, PLANTA_BASE!A:R, 8, FALSE), "DOCENTE / FACILITADOR"))</f>
        <v/>
      </c>
      <c r="G370" s="4">
        <f>IF(B370="","",IFERROR(VLOOKUP(B370, PLANTA_BASE!A:R, 9, FALSE), "GENERAL"))</f>
        <v/>
      </c>
      <c r="H370" s="2">
        <f>IF(B370="","",IFERROR(VLOOKUP(B370, PLANTA_BASE!A:R, 17, FALSE), "GENERAL"))</f>
        <v/>
      </c>
    </row>
    <row r="371" ht="20" customHeight="1">
      <c r="A371" s="5">
        <f>IF(B371="","",IFERROR(VLOOKUP(B371, PLANTA_BASE!A:R, 2, FALSE), "NO ENCONTRADO EN PLANTA"))</f>
        <v/>
      </c>
      <c r="B371" s="6" t="inlineStr">
        <is>
          <t>1193247659</t>
        </is>
      </c>
      <c r="C371" s="7" t="inlineStr">
        <is>
          <t>TORRES RODRIGUEZ ERICK CAMILO</t>
        </is>
      </c>
      <c r="D371" s="5">
        <f>IF(B371="","",IFERROR(VLOOKUP(B371, PLANTA_BASE!A:R, 5, FALSE), "NO ENCONTRADO EN PLANTA"))</f>
        <v/>
      </c>
      <c r="E371" s="5">
        <f>IF(B371="","",IFERROR(VLOOKUP(B371, PLANTA_BASE!A:R, 6, FALSE), "NO ENCONTRADO EN PLANTA"))</f>
        <v/>
      </c>
      <c r="F371" s="7">
        <f>IF(B371="","",IFERROR(VLOOKUP(B371, PLANTA_BASE!A:R, 8, FALSE), "DOCENTE / FACILITADOR"))</f>
        <v/>
      </c>
      <c r="G371" s="7">
        <f>IF(B371="","",IFERROR(VLOOKUP(B371, PLANTA_BASE!A:R, 9, FALSE), "GENERAL"))</f>
        <v/>
      </c>
      <c r="H371" s="5">
        <f>IF(B371="","",IFERROR(VLOOKUP(B371, PLANTA_BASE!A:R, 17, FALSE), "GENERAL"))</f>
        <v/>
      </c>
    </row>
    <row r="372" ht="20" customHeight="1">
      <c r="A372" s="2">
        <f>IF(B372="","",IFERROR(VLOOKUP(B372, PLANTA_BASE!A:R, 2, FALSE), "NO ENCONTRADO EN PLANTA"))</f>
        <v/>
      </c>
      <c r="B372" s="3" t="inlineStr">
        <is>
          <t>80059300</t>
        </is>
      </c>
      <c r="C372" s="4" t="inlineStr">
        <is>
          <t>PINEROS BAEZ VICTOR HUGO</t>
        </is>
      </c>
      <c r="D372" s="2">
        <f>IF(B372="","",IFERROR(VLOOKUP(B372, PLANTA_BASE!A:R, 5, FALSE), "NO ENCONTRADO EN PLANTA"))</f>
        <v/>
      </c>
      <c r="E372" s="2">
        <f>IF(B372="","",IFERROR(VLOOKUP(B372, PLANTA_BASE!A:R, 6, FALSE), "NO ENCONTRADO EN PLANTA"))</f>
        <v/>
      </c>
      <c r="F372" s="4">
        <f>IF(B372="","",IFERROR(VLOOKUP(B372, PLANTA_BASE!A:R, 8, FALSE), "DOCENTE / FACILITADOR"))</f>
        <v/>
      </c>
      <c r="G372" s="4">
        <f>IF(B372="","",IFERROR(VLOOKUP(B372, PLANTA_BASE!A:R, 9, FALSE), "GENERAL"))</f>
        <v/>
      </c>
      <c r="H372" s="2">
        <f>IF(B372="","",IFERROR(VLOOKUP(B372, PLANTA_BASE!A:R, 17, FALSE), "GENERAL"))</f>
        <v/>
      </c>
    </row>
    <row r="373" ht="20" customHeight="1">
      <c r="A373" s="5">
        <f>IF(B373="","",IFERROR(VLOOKUP(B373, PLANTA_BASE!A:R, 2, FALSE), "NO ENCONTRADO EN PLANTA"))</f>
        <v/>
      </c>
      <c r="B373" s="6" t="inlineStr">
        <is>
          <t>1010162787</t>
        </is>
      </c>
      <c r="C373" s="7" t="inlineStr">
        <is>
          <t>ALONSO PALACIOS LILIAM ANGGELINE</t>
        </is>
      </c>
      <c r="D373" s="5">
        <f>IF(B373="","",IFERROR(VLOOKUP(B373, PLANTA_BASE!A:R, 5, FALSE), "NO ENCONTRADO EN PLANTA"))</f>
        <v/>
      </c>
      <c r="E373" s="5">
        <f>IF(B373="","",IFERROR(VLOOKUP(B373, PLANTA_BASE!A:R, 6, FALSE), "NO ENCONTRADO EN PLANTA"))</f>
        <v/>
      </c>
      <c r="F373" s="7">
        <f>IF(B373="","",IFERROR(VLOOKUP(B373, PLANTA_BASE!A:R, 8, FALSE), "DOCENTE / FACILITADOR"))</f>
        <v/>
      </c>
      <c r="G373" s="7">
        <f>IF(B373="","",IFERROR(VLOOKUP(B373, PLANTA_BASE!A:R, 9, FALSE), "GENERAL"))</f>
        <v/>
      </c>
      <c r="H373" s="5">
        <f>IF(B373="","",IFERROR(VLOOKUP(B373, PLANTA_BASE!A:R, 17, FALSE), "GENERAL"))</f>
        <v/>
      </c>
    </row>
    <row r="374" ht="20" customHeight="1">
      <c r="A374" s="2">
        <f>IF(B374="","",IFERROR(VLOOKUP(B374, PLANTA_BASE!A:R, 2, FALSE), "NO ENCONTRADO EN PLANTA"))</f>
        <v/>
      </c>
      <c r="B374" s="3" t="inlineStr">
        <is>
          <t>8731077</t>
        </is>
      </c>
      <c r="C374" s="4" t="inlineStr">
        <is>
          <t>VARGAS ACOSTA JAVIER</t>
        </is>
      </c>
      <c r="D374" s="2">
        <f>IF(B374="","",IFERROR(VLOOKUP(B374, PLANTA_BASE!A:R, 5, FALSE), "NO ENCONTRADO EN PLANTA"))</f>
        <v/>
      </c>
      <c r="E374" s="2">
        <f>IF(B374="","",IFERROR(VLOOKUP(B374, PLANTA_BASE!A:R, 6, FALSE), "NO ENCONTRADO EN PLANTA"))</f>
        <v/>
      </c>
      <c r="F374" s="4">
        <f>IF(B374="","",IFERROR(VLOOKUP(B374, PLANTA_BASE!A:R, 8, FALSE), "DOCENTE / FACILITADOR"))</f>
        <v/>
      </c>
      <c r="G374" s="4">
        <f>IF(B374="","",IFERROR(VLOOKUP(B374, PLANTA_BASE!A:R, 9, FALSE), "GENERAL"))</f>
        <v/>
      </c>
      <c r="H374" s="2">
        <f>IF(B374="","",IFERROR(VLOOKUP(B374, PLANTA_BASE!A:R, 17, FALSE), "GENERAL"))</f>
        <v/>
      </c>
    </row>
    <row r="375" ht="20" customHeight="1">
      <c r="A375" s="5">
        <f>IF(B375="","",IFERROR(VLOOKUP(B375, PLANTA_BASE!A:R, 2, FALSE), "NO ENCONTRADO EN PLANTA"))</f>
        <v/>
      </c>
      <c r="B375" s="6" t="inlineStr">
        <is>
          <t>1015407087</t>
        </is>
      </c>
      <c r="C375" s="7" t="inlineStr">
        <is>
          <t>MARTINEZ MARTINEZ ERIKA</t>
        </is>
      </c>
      <c r="D375" s="5">
        <f>IF(B375="","",IFERROR(VLOOKUP(B375, PLANTA_BASE!A:R, 5, FALSE), "NO ENCONTRADO EN PLANTA"))</f>
        <v/>
      </c>
      <c r="E375" s="5">
        <f>IF(B375="","",IFERROR(VLOOKUP(B375, PLANTA_BASE!A:R, 6, FALSE), "NO ENCONTRADO EN PLANTA"))</f>
        <v/>
      </c>
      <c r="F375" s="7">
        <f>IF(B375="","",IFERROR(VLOOKUP(B375, PLANTA_BASE!A:R, 8, FALSE), "DOCENTE / FACILITADOR"))</f>
        <v/>
      </c>
      <c r="G375" s="7">
        <f>IF(B375="","",IFERROR(VLOOKUP(B375, PLANTA_BASE!A:R, 9, FALSE), "GENERAL"))</f>
        <v/>
      </c>
      <c r="H375" s="5">
        <f>IF(B375="","",IFERROR(VLOOKUP(B375, PLANTA_BASE!A:R, 17, FALSE), "GENERAL"))</f>
        <v/>
      </c>
    </row>
    <row r="376" ht="20" customHeight="1">
      <c r="A376" s="2">
        <f>IF(B376="","",IFERROR(VLOOKUP(B376, PLANTA_BASE!A:R, 2, FALSE), "NO ENCONTRADO EN PLANTA"))</f>
        <v/>
      </c>
      <c r="B376" s="3" t="inlineStr">
        <is>
          <t>1015445961</t>
        </is>
      </c>
      <c r="C376" s="4" t="inlineStr">
        <is>
          <t>GIL AVILA WILLIAM CAMILO</t>
        </is>
      </c>
      <c r="D376" s="2">
        <f>IF(B376="","",IFERROR(VLOOKUP(B376, PLANTA_BASE!A:R, 5, FALSE), "NO ENCONTRADO EN PLANTA"))</f>
        <v/>
      </c>
      <c r="E376" s="2">
        <f>IF(B376="","",IFERROR(VLOOKUP(B376, PLANTA_BASE!A:R, 6, FALSE), "NO ENCONTRADO EN PLANTA"))</f>
        <v/>
      </c>
      <c r="F376" s="4">
        <f>IF(B376="","",IFERROR(VLOOKUP(B376, PLANTA_BASE!A:R, 8, FALSE), "DOCENTE / FACILITADOR"))</f>
        <v/>
      </c>
      <c r="G376" s="4">
        <f>IF(B376="","",IFERROR(VLOOKUP(B376, PLANTA_BASE!A:R, 9, FALSE), "GENERAL"))</f>
        <v/>
      </c>
      <c r="H376" s="2">
        <f>IF(B376="","",IFERROR(VLOOKUP(B376, PLANTA_BASE!A:R, 17, FALSE), "GENERAL"))</f>
        <v/>
      </c>
    </row>
    <row r="377" ht="20" customHeight="1">
      <c r="A377" s="5">
        <f>IF(B377="","",IFERROR(VLOOKUP(B377, PLANTA_BASE!A:R, 2, FALSE), "NO ENCONTRADO EN PLANTA"))</f>
        <v/>
      </c>
      <c r="B377" s="6" t="inlineStr">
        <is>
          <t>1032421780</t>
        </is>
      </c>
      <c r="C377" s="7" t="inlineStr">
        <is>
          <t>ACOSTA TRUJILLO MANUEL FRANCISCO</t>
        </is>
      </c>
      <c r="D377" s="5">
        <f>IF(B377="","",IFERROR(VLOOKUP(B377, PLANTA_BASE!A:R, 5, FALSE), "NO ENCONTRADO EN PLANTA"))</f>
        <v/>
      </c>
      <c r="E377" s="5">
        <f>IF(B377="","",IFERROR(VLOOKUP(B377, PLANTA_BASE!A:R, 6, FALSE), "NO ENCONTRADO EN PLANTA"))</f>
        <v/>
      </c>
      <c r="F377" s="7">
        <f>IF(B377="","",IFERROR(VLOOKUP(B377, PLANTA_BASE!A:R, 8, FALSE), "DOCENTE / FACILITADOR"))</f>
        <v/>
      </c>
      <c r="G377" s="7">
        <f>IF(B377="","",IFERROR(VLOOKUP(B377, PLANTA_BASE!A:R, 9, FALSE), "GENERAL"))</f>
        <v/>
      </c>
      <c r="H377" s="5">
        <f>IF(B377="","",IFERROR(VLOOKUP(B377, PLANTA_BASE!A:R, 17, FALSE), "GENERAL"))</f>
        <v/>
      </c>
    </row>
    <row r="378" ht="20" customHeight="1">
      <c r="A378" s="2">
        <f>IF(B378="","",IFERROR(VLOOKUP(B378, PLANTA_BASE!A:R, 2, FALSE), "NO ENCONTRADO EN PLANTA"))</f>
        <v/>
      </c>
      <c r="B378" s="3" t="inlineStr">
        <is>
          <t>1000588659</t>
        </is>
      </c>
      <c r="C378" s="4" t="inlineStr">
        <is>
          <t>PEREZ BOHORQUEZ DAVID STIVEN</t>
        </is>
      </c>
      <c r="D378" s="2">
        <f>IF(B378="","",IFERROR(VLOOKUP(B378, PLANTA_BASE!A:R, 5, FALSE), "NO ENCONTRADO EN PLANTA"))</f>
        <v/>
      </c>
      <c r="E378" s="2">
        <f>IF(B378="","",IFERROR(VLOOKUP(B378, PLANTA_BASE!A:R, 6, FALSE), "NO ENCONTRADO EN PLANTA"))</f>
        <v/>
      </c>
      <c r="F378" s="4">
        <f>IF(B378="","",IFERROR(VLOOKUP(B378, PLANTA_BASE!A:R, 8, FALSE), "DOCENTE / FACILITADOR"))</f>
        <v/>
      </c>
      <c r="G378" s="4">
        <f>IF(B378="","",IFERROR(VLOOKUP(B378, PLANTA_BASE!A:R, 9, FALSE), "GENERAL"))</f>
        <v/>
      </c>
      <c r="H378" s="2">
        <f>IF(B378="","",IFERROR(VLOOKUP(B378, PLANTA_BASE!A:R, 17, FALSE), "GENERAL"))</f>
        <v/>
      </c>
    </row>
    <row r="379" ht="20" customHeight="1">
      <c r="A379" s="5">
        <f>IF(B379="","",IFERROR(VLOOKUP(B379, PLANTA_BASE!A:R, 2, FALSE), "NO ENCONTRADO EN PLANTA"))</f>
        <v/>
      </c>
      <c r="B379" s="6" t="inlineStr">
        <is>
          <t>1022402780</t>
        </is>
      </c>
      <c r="C379" s="7" t="inlineStr">
        <is>
          <t>MUNAR GUAYARA MIKE ALEXANDRE</t>
        </is>
      </c>
      <c r="D379" s="5">
        <f>IF(B379="","",IFERROR(VLOOKUP(B379, PLANTA_BASE!A:R, 5, FALSE), "NO ENCONTRADO EN PLANTA"))</f>
        <v/>
      </c>
      <c r="E379" s="5">
        <f>IF(B379="","",IFERROR(VLOOKUP(B379, PLANTA_BASE!A:R, 6, FALSE), "NO ENCONTRADO EN PLANTA"))</f>
        <v/>
      </c>
      <c r="F379" s="7">
        <f>IF(B379="","",IFERROR(VLOOKUP(B379, PLANTA_BASE!A:R, 8, FALSE), "DOCENTE / FACILITADOR"))</f>
        <v/>
      </c>
      <c r="G379" s="7">
        <f>IF(B379="","",IFERROR(VLOOKUP(B379, PLANTA_BASE!A:R, 9, FALSE), "GENERAL"))</f>
        <v/>
      </c>
      <c r="H379" s="5">
        <f>IF(B379="","",IFERROR(VLOOKUP(B379, PLANTA_BASE!A:R, 17, FALSE), "GENERAL"))</f>
        <v/>
      </c>
    </row>
    <row r="380" ht="20" customHeight="1">
      <c r="A380" s="2">
        <f>IF(B380="","",IFERROR(VLOOKUP(B380, PLANTA_BASE!A:R, 2, FALSE), "NO ENCONTRADO EN PLANTA"))</f>
        <v/>
      </c>
      <c r="B380" s="3" t="inlineStr">
        <is>
          <t>80547263</t>
        </is>
      </c>
      <c r="C380" s="4" t="inlineStr">
        <is>
          <t>FERRER MAYORGA JOHN ALEXANDER</t>
        </is>
      </c>
      <c r="D380" s="2">
        <f>IF(B380="","",IFERROR(VLOOKUP(B380, PLANTA_BASE!A:R, 5, FALSE), "NO ENCONTRADO EN PLANTA"))</f>
        <v/>
      </c>
      <c r="E380" s="2">
        <f>IF(B380="","",IFERROR(VLOOKUP(B380, PLANTA_BASE!A:R, 6, FALSE), "NO ENCONTRADO EN PLANTA"))</f>
        <v/>
      </c>
      <c r="F380" s="4">
        <f>IF(B380="","",IFERROR(VLOOKUP(B380, PLANTA_BASE!A:R, 8, FALSE), "DOCENTE / FACILITADOR"))</f>
        <v/>
      </c>
      <c r="G380" s="4">
        <f>IF(B380="","",IFERROR(VLOOKUP(B380, PLANTA_BASE!A:R, 9, FALSE), "GENERAL"))</f>
        <v/>
      </c>
      <c r="H380" s="2">
        <f>IF(B380="","",IFERROR(VLOOKUP(B380, PLANTA_BASE!A:R, 17, FALSE), "GENERAL"))</f>
        <v/>
      </c>
    </row>
    <row r="381" ht="20" customHeight="1">
      <c r="A381" s="5">
        <f>IF(B381="","",IFERROR(VLOOKUP(B381, PLANTA_BASE!A:R, 2, FALSE), "NO ENCONTRADO EN PLANTA"))</f>
        <v/>
      </c>
      <c r="B381" s="6" t="inlineStr"/>
      <c r="C381" s="7">
        <f>IF(B381="","",IFERROR(VLOOKUP(B381, PLANTA_BASE!A:R, 3, FALSE), ""))</f>
        <v/>
      </c>
      <c r="D381" s="5">
        <f>IF(B381="","",IFERROR(VLOOKUP(B381, PLANTA_BASE!A:R, 5, FALSE), "NO ENCONTRADO EN PLANTA"))</f>
        <v/>
      </c>
      <c r="E381" s="5">
        <f>IF(B381="","",IFERROR(VLOOKUP(B381, PLANTA_BASE!A:R, 6, FALSE), "NO ENCONTRADO EN PLANTA"))</f>
        <v/>
      </c>
      <c r="F381" s="7">
        <f>IF(B381="","",IFERROR(VLOOKUP(B381, PLANTA_BASE!A:R, 8, FALSE), "DOCENTE / FACILITADOR"))</f>
        <v/>
      </c>
      <c r="G381" s="7">
        <f>IF(B381="","",IFERROR(VLOOKUP(B381, PLANTA_BASE!A:R, 9, FALSE), "GENERAL"))</f>
        <v/>
      </c>
      <c r="H381" s="5">
        <f>IF(B381="","",IFERROR(VLOOKUP(B381, PLANTA_BASE!A:R, 17, FALSE), "GENERAL"))</f>
        <v/>
      </c>
    </row>
    <row r="382" ht="20" customHeight="1">
      <c r="A382" s="2">
        <f>IF(B382="","",IFERROR(VLOOKUP(B382, PLANTA_BASE!A:R, 2, FALSE), "NO ENCONTRADO EN PLANTA"))</f>
        <v/>
      </c>
      <c r="B382" s="3" t="inlineStr"/>
      <c r="C382" s="4">
        <f>IF(B382="","",IFERROR(VLOOKUP(B382, PLANTA_BASE!A:R, 3, FALSE), ""))</f>
        <v/>
      </c>
      <c r="D382" s="2">
        <f>IF(B382="","",IFERROR(VLOOKUP(B382, PLANTA_BASE!A:R, 5, FALSE), "NO ENCONTRADO EN PLANTA"))</f>
        <v/>
      </c>
      <c r="E382" s="2">
        <f>IF(B382="","",IFERROR(VLOOKUP(B382, PLANTA_BASE!A:R, 6, FALSE), "NO ENCONTRADO EN PLANTA"))</f>
        <v/>
      </c>
      <c r="F382" s="4">
        <f>IF(B382="","",IFERROR(VLOOKUP(B382, PLANTA_BASE!A:R, 8, FALSE), "DOCENTE / FACILITADOR"))</f>
        <v/>
      </c>
      <c r="G382" s="4">
        <f>IF(B382="","",IFERROR(VLOOKUP(B382, PLANTA_BASE!A:R, 9, FALSE), "GENERAL"))</f>
        <v/>
      </c>
      <c r="H382" s="2">
        <f>IF(B382="","",IFERROR(VLOOKUP(B382, PLANTA_BASE!A:R, 17, FALSE), "GENERAL"))</f>
        <v/>
      </c>
    </row>
    <row r="383" ht="20" customHeight="1">
      <c r="A383" s="5">
        <f>IF(B383="","",IFERROR(VLOOKUP(B383, PLANTA_BASE!A:R, 2, FALSE), "NO ENCONTRADO EN PLANTA"))</f>
        <v/>
      </c>
      <c r="B383" s="6" t="inlineStr"/>
      <c r="C383" s="7">
        <f>IF(B383="","",IFERROR(VLOOKUP(B383, PLANTA_BASE!A:R, 3, FALSE), ""))</f>
        <v/>
      </c>
      <c r="D383" s="5">
        <f>IF(B383="","",IFERROR(VLOOKUP(B383, PLANTA_BASE!A:R, 5, FALSE), "NO ENCONTRADO EN PLANTA"))</f>
        <v/>
      </c>
      <c r="E383" s="5">
        <f>IF(B383="","",IFERROR(VLOOKUP(B383, PLANTA_BASE!A:R, 6, FALSE), "NO ENCONTRADO EN PLANTA"))</f>
        <v/>
      </c>
      <c r="F383" s="7">
        <f>IF(B383="","",IFERROR(VLOOKUP(B383, PLANTA_BASE!A:R, 8, FALSE), "DOCENTE / FACILITADOR"))</f>
        <v/>
      </c>
      <c r="G383" s="7">
        <f>IF(B383="","",IFERROR(VLOOKUP(B383, PLANTA_BASE!A:R, 9, FALSE), "GENERAL"))</f>
        <v/>
      </c>
      <c r="H383" s="5">
        <f>IF(B383="","",IFERROR(VLOOKUP(B383, PLANTA_BASE!A:R, 17, FALSE), "GENERAL"))</f>
        <v/>
      </c>
    </row>
    <row r="384" ht="20" customHeight="1">
      <c r="A384" s="2">
        <f>IF(B384="","",IFERROR(VLOOKUP(B384, PLANTA_BASE!A:R, 2, FALSE), "NO ENCONTRADO EN PLANTA"))</f>
        <v/>
      </c>
      <c r="B384" s="3" t="inlineStr"/>
      <c r="C384" s="4">
        <f>IF(B384="","",IFERROR(VLOOKUP(B384, PLANTA_BASE!A:R, 3, FALSE), ""))</f>
        <v/>
      </c>
      <c r="D384" s="2">
        <f>IF(B384="","",IFERROR(VLOOKUP(B384, PLANTA_BASE!A:R, 5, FALSE), "NO ENCONTRADO EN PLANTA"))</f>
        <v/>
      </c>
      <c r="E384" s="2">
        <f>IF(B384="","",IFERROR(VLOOKUP(B384, PLANTA_BASE!A:R, 6, FALSE), "NO ENCONTRADO EN PLANTA"))</f>
        <v/>
      </c>
      <c r="F384" s="4">
        <f>IF(B384="","",IFERROR(VLOOKUP(B384, PLANTA_BASE!A:R, 8, FALSE), "DOCENTE / FACILITADOR"))</f>
        <v/>
      </c>
      <c r="G384" s="4">
        <f>IF(B384="","",IFERROR(VLOOKUP(B384, PLANTA_BASE!A:R, 9, FALSE), "GENERAL"))</f>
        <v/>
      </c>
      <c r="H384" s="2">
        <f>IF(B384="","",IFERROR(VLOOKUP(B384, PLANTA_BASE!A:R, 17, FALSE), "GENERAL"))</f>
        <v/>
      </c>
    </row>
    <row r="385" ht="20" customHeight="1">
      <c r="A385" s="5">
        <f>IF(B385="","",IFERROR(VLOOKUP(B385, PLANTA_BASE!A:R, 2, FALSE), "NO ENCONTRADO EN PLANTA"))</f>
        <v/>
      </c>
      <c r="B385" s="6" t="inlineStr"/>
      <c r="C385" s="7">
        <f>IF(B385="","",IFERROR(VLOOKUP(B385, PLANTA_BASE!A:R, 3, FALSE), ""))</f>
        <v/>
      </c>
      <c r="D385" s="5">
        <f>IF(B385="","",IFERROR(VLOOKUP(B385, PLANTA_BASE!A:R, 5, FALSE), "NO ENCONTRADO EN PLANTA"))</f>
        <v/>
      </c>
      <c r="E385" s="5">
        <f>IF(B385="","",IFERROR(VLOOKUP(B385, PLANTA_BASE!A:R, 6, FALSE), "NO ENCONTRADO EN PLANTA"))</f>
        <v/>
      </c>
      <c r="F385" s="7">
        <f>IF(B385="","",IFERROR(VLOOKUP(B385, PLANTA_BASE!A:R, 8, FALSE), "DOCENTE / FACILITADOR"))</f>
        <v/>
      </c>
      <c r="G385" s="7">
        <f>IF(B385="","",IFERROR(VLOOKUP(B385, PLANTA_BASE!A:R, 9, FALSE), "GENERAL"))</f>
        <v/>
      </c>
      <c r="H385" s="5">
        <f>IF(B385="","",IFERROR(VLOOKUP(B385, PLANTA_BASE!A:R, 17, FALSE), "GENERAL"))</f>
        <v/>
      </c>
    </row>
    <row r="386" ht="20" customHeight="1">
      <c r="A386" s="2">
        <f>IF(B386="","",IFERROR(VLOOKUP(B386, PLANTA_BASE!A:R, 2, FALSE), "NO ENCONTRADO EN PLANTA"))</f>
        <v/>
      </c>
      <c r="B386" s="3" t="inlineStr"/>
      <c r="C386" s="4">
        <f>IF(B386="","",IFERROR(VLOOKUP(B386, PLANTA_BASE!A:R, 3, FALSE), ""))</f>
        <v/>
      </c>
      <c r="D386" s="2">
        <f>IF(B386="","",IFERROR(VLOOKUP(B386, PLANTA_BASE!A:R, 5, FALSE), "NO ENCONTRADO EN PLANTA"))</f>
        <v/>
      </c>
      <c r="E386" s="2">
        <f>IF(B386="","",IFERROR(VLOOKUP(B386, PLANTA_BASE!A:R, 6, FALSE), "NO ENCONTRADO EN PLANTA"))</f>
        <v/>
      </c>
      <c r="F386" s="4">
        <f>IF(B386="","",IFERROR(VLOOKUP(B386, PLANTA_BASE!A:R, 8, FALSE), "DOCENTE / FACILITADOR"))</f>
        <v/>
      </c>
      <c r="G386" s="4">
        <f>IF(B386="","",IFERROR(VLOOKUP(B386, PLANTA_BASE!A:R, 9, FALSE), "GENERAL"))</f>
        <v/>
      </c>
      <c r="H386" s="2">
        <f>IF(B386="","",IFERROR(VLOOKUP(B386, PLANTA_BASE!A:R, 17, FALSE), "GENERAL"))</f>
        <v/>
      </c>
    </row>
    <row r="387" ht="20" customHeight="1">
      <c r="A387" s="5">
        <f>IF(B387="","",IFERROR(VLOOKUP(B387, PLANTA_BASE!A:R, 2, FALSE), "NO ENCONTRADO EN PLANTA"))</f>
        <v/>
      </c>
      <c r="B387" s="6" t="inlineStr"/>
      <c r="C387" s="7">
        <f>IF(B387="","",IFERROR(VLOOKUP(B387, PLANTA_BASE!A:R, 3, FALSE), ""))</f>
        <v/>
      </c>
      <c r="D387" s="5">
        <f>IF(B387="","",IFERROR(VLOOKUP(B387, PLANTA_BASE!A:R, 5, FALSE), "NO ENCONTRADO EN PLANTA"))</f>
        <v/>
      </c>
      <c r="E387" s="5">
        <f>IF(B387="","",IFERROR(VLOOKUP(B387, PLANTA_BASE!A:R, 6, FALSE), "NO ENCONTRADO EN PLANTA"))</f>
        <v/>
      </c>
      <c r="F387" s="7">
        <f>IF(B387="","",IFERROR(VLOOKUP(B387, PLANTA_BASE!A:R, 8, FALSE), "DOCENTE / FACILITADOR"))</f>
        <v/>
      </c>
      <c r="G387" s="7">
        <f>IF(B387="","",IFERROR(VLOOKUP(B387, PLANTA_BASE!A:R, 9, FALSE), "GENERAL"))</f>
        <v/>
      </c>
      <c r="H387" s="5">
        <f>IF(B387="","",IFERROR(VLOOKUP(B387, PLANTA_BASE!A:R, 17, FALSE), "GENERAL"))</f>
        <v/>
      </c>
    </row>
    <row r="388" ht="20" customHeight="1">
      <c r="A388" s="2">
        <f>IF(B388="","",IFERROR(VLOOKUP(B388, PLANTA_BASE!A:R, 2, FALSE), "NO ENCONTRADO EN PLANTA"))</f>
        <v/>
      </c>
      <c r="B388" s="3" t="inlineStr"/>
      <c r="C388" s="4">
        <f>IF(B388="","",IFERROR(VLOOKUP(B388, PLANTA_BASE!A:R, 3, FALSE), ""))</f>
        <v/>
      </c>
      <c r="D388" s="2">
        <f>IF(B388="","",IFERROR(VLOOKUP(B388, PLANTA_BASE!A:R, 5, FALSE), "NO ENCONTRADO EN PLANTA"))</f>
        <v/>
      </c>
      <c r="E388" s="2">
        <f>IF(B388="","",IFERROR(VLOOKUP(B388, PLANTA_BASE!A:R, 6, FALSE), "NO ENCONTRADO EN PLANTA"))</f>
        <v/>
      </c>
      <c r="F388" s="4">
        <f>IF(B388="","",IFERROR(VLOOKUP(B388, PLANTA_BASE!A:R, 8, FALSE), "DOCENTE / FACILITADOR"))</f>
        <v/>
      </c>
      <c r="G388" s="4">
        <f>IF(B388="","",IFERROR(VLOOKUP(B388, PLANTA_BASE!A:R, 9, FALSE), "GENERAL"))</f>
        <v/>
      </c>
      <c r="H388" s="2">
        <f>IF(B388="","",IFERROR(VLOOKUP(B388, PLANTA_BASE!A:R, 17, FALSE), "GENERAL"))</f>
        <v/>
      </c>
    </row>
    <row r="389" ht="20" customHeight="1">
      <c r="A389" s="5">
        <f>IF(B389="","",IFERROR(VLOOKUP(B389, PLANTA_BASE!A:R, 2, FALSE), "NO ENCONTRADO EN PLANTA"))</f>
        <v/>
      </c>
      <c r="B389" s="6" t="inlineStr"/>
      <c r="C389" s="7">
        <f>IF(B389="","",IFERROR(VLOOKUP(B389, PLANTA_BASE!A:R, 3, FALSE), ""))</f>
        <v/>
      </c>
      <c r="D389" s="5">
        <f>IF(B389="","",IFERROR(VLOOKUP(B389, PLANTA_BASE!A:R, 5, FALSE), "NO ENCONTRADO EN PLANTA"))</f>
        <v/>
      </c>
      <c r="E389" s="5">
        <f>IF(B389="","",IFERROR(VLOOKUP(B389, PLANTA_BASE!A:R, 6, FALSE), "NO ENCONTRADO EN PLANTA"))</f>
        <v/>
      </c>
      <c r="F389" s="7">
        <f>IF(B389="","",IFERROR(VLOOKUP(B389, PLANTA_BASE!A:R, 8, FALSE), "DOCENTE / FACILITADOR"))</f>
        <v/>
      </c>
      <c r="G389" s="7">
        <f>IF(B389="","",IFERROR(VLOOKUP(B389, PLANTA_BASE!A:R, 9, FALSE), "GENERAL"))</f>
        <v/>
      </c>
      <c r="H389" s="5">
        <f>IF(B389="","",IFERROR(VLOOKUP(B389, PLANTA_BASE!A:R, 17, FALSE), "GENERAL"))</f>
        <v/>
      </c>
    </row>
    <row r="390" ht="20" customHeight="1">
      <c r="A390" s="2">
        <f>IF(B390="","",IFERROR(VLOOKUP(B390, PLANTA_BASE!A:R, 2, FALSE), "NO ENCONTRADO EN PLANTA"))</f>
        <v/>
      </c>
      <c r="B390" s="3" t="inlineStr"/>
      <c r="C390" s="4">
        <f>IF(B390="","",IFERROR(VLOOKUP(B390, PLANTA_BASE!A:R, 3, FALSE), ""))</f>
        <v/>
      </c>
      <c r="D390" s="2">
        <f>IF(B390="","",IFERROR(VLOOKUP(B390, PLANTA_BASE!A:R, 5, FALSE), "NO ENCONTRADO EN PLANTA"))</f>
        <v/>
      </c>
      <c r="E390" s="2">
        <f>IF(B390="","",IFERROR(VLOOKUP(B390, PLANTA_BASE!A:R, 6, FALSE), "NO ENCONTRADO EN PLANTA"))</f>
        <v/>
      </c>
      <c r="F390" s="4">
        <f>IF(B390="","",IFERROR(VLOOKUP(B390, PLANTA_BASE!A:R, 8, FALSE), "DOCENTE / FACILITADOR"))</f>
        <v/>
      </c>
      <c r="G390" s="4">
        <f>IF(B390="","",IFERROR(VLOOKUP(B390, PLANTA_BASE!A:R, 9, FALSE), "GENERAL"))</f>
        <v/>
      </c>
      <c r="H390" s="2">
        <f>IF(B390="","",IFERROR(VLOOKUP(B390, PLANTA_BASE!A:R, 17, FALSE), "GENERAL"))</f>
        <v/>
      </c>
    </row>
    <row r="391" ht="20" customHeight="1">
      <c r="A391" s="5">
        <f>IF(B391="","",IFERROR(VLOOKUP(B391, PLANTA_BASE!A:R, 2, FALSE), "NO ENCONTRADO EN PLANTA"))</f>
        <v/>
      </c>
      <c r="B391" s="6" t="inlineStr"/>
      <c r="C391" s="7">
        <f>IF(B391="","",IFERROR(VLOOKUP(B391, PLANTA_BASE!A:R, 3, FALSE), ""))</f>
        <v/>
      </c>
      <c r="D391" s="5">
        <f>IF(B391="","",IFERROR(VLOOKUP(B391, PLANTA_BASE!A:R, 5, FALSE), "NO ENCONTRADO EN PLANTA"))</f>
        <v/>
      </c>
      <c r="E391" s="5">
        <f>IF(B391="","",IFERROR(VLOOKUP(B391, PLANTA_BASE!A:R, 6, FALSE), "NO ENCONTRADO EN PLANTA"))</f>
        <v/>
      </c>
      <c r="F391" s="7">
        <f>IF(B391="","",IFERROR(VLOOKUP(B391, PLANTA_BASE!A:R, 8, FALSE), "DOCENTE / FACILITADOR"))</f>
        <v/>
      </c>
      <c r="G391" s="7">
        <f>IF(B391="","",IFERROR(VLOOKUP(B391, PLANTA_BASE!A:R, 9, FALSE), "GENERAL"))</f>
        <v/>
      </c>
      <c r="H391" s="5">
        <f>IF(B391="","",IFERROR(VLOOKUP(B391, PLANTA_BASE!A:R, 17, FALSE), "GENERAL"))</f>
        <v/>
      </c>
    </row>
    <row r="392" ht="20" customHeight="1">
      <c r="A392" s="2">
        <f>IF(B392="","",IFERROR(VLOOKUP(B392, PLANTA_BASE!A:R, 2, FALSE), "NO ENCONTRADO EN PLANTA"))</f>
        <v/>
      </c>
      <c r="B392" s="3" t="inlineStr"/>
      <c r="C392" s="4">
        <f>IF(B392="","",IFERROR(VLOOKUP(B392, PLANTA_BASE!A:R, 3, FALSE), ""))</f>
        <v/>
      </c>
      <c r="D392" s="2">
        <f>IF(B392="","",IFERROR(VLOOKUP(B392, PLANTA_BASE!A:R, 5, FALSE), "NO ENCONTRADO EN PLANTA"))</f>
        <v/>
      </c>
      <c r="E392" s="2">
        <f>IF(B392="","",IFERROR(VLOOKUP(B392, PLANTA_BASE!A:R, 6, FALSE), "NO ENCONTRADO EN PLANTA"))</f>
        <v/>
      </c>
      <c r="F392" s="4">
        <f>IF(B392="","",IFERROR(VLOOKUP(B392, PLANTA_BASE!A:R, 8, FALSE), "DOCENTE / FACILITADOR"))</f>
        <v/>
      </c>
      <c r="G392" s="4">
        <f>IF(B392="","",IFERROR(VLOOKUP(B392, PLANTA_BASE!A:R, 9, FALSE), "GENERAL"))</f>
        <v/>
      </c>
      <c r="H392" s="2">
        <f>IF(B392="","",IFERROR(VLOOKUP(B392, PLANTA_BASE!A:R, 17, FALSE), "GENERAL"))</f>
        <v/>
      </c>
    </row>
    <row r="393" ht="20" customHeight="1">
      <c r="A393" s="5">
        <f>IF(B393="","",IFERROR(VLOOKUP(B393, PLANTA_BASE!A:R, 2, FALSE), "NO ENCONTRADO EN PLANTA"))</f>
        <v/>
      </c>
      <c r="B393" s="6" t="inlineStr"/>
      <c r="C393" s="7">
        <f>IF(B393="","",IFERROR(VLOOKUP(B393, PLANTA_BASE!A:R, 3, FALSE), ""))</f>
        <v/>
      </c>
      <c r="D393" s="5">
        <f>IF(B393="","",IFERROR(VLOOKUP(B393, PLANTA_BASE!A:R, 5, FALSE), "NO ENCONTRADO EN PLANTA"))</f>
        <v/>
      </c>
      <c r="E393" s="5">
        <f>IF(B393="","",IFERROR(VLOOKUP(B393, PLANTA_BASE!A:R, 6, FALSE), "NO ENCONTRADO EN PLANTA"))</f>
        <v/>
      </c>
      <c r="F393" s="7">
        <f>IF(B393="","",IFERROR(VLOOKUP(B393, PLANTA_BASE!A:R, 8, FALSE), "DOCENTE / FACILITADOR"))</f>
        <v/>
      </c>
      <c r="G393" s="7">
        <f>IF(B393="","",IFERROR(VLOOKUP(B393, PLANTA_BASE!A:R, 9, FALSE), "GENERAL"))</f>
        <v/>
      </c>
      <c r="H393" s="5">
        <f>IF(B393="","",IFERROR(VLOOKUP(B393, PLANTA_BASE!A:R, 17, FALSE), "GENERAL"))</f>
        <v/>
      </c>
    </row>
    <row r="394" ht="20" customHeight="1">
      <c r="A394" s="2">
        <f>IF(B394="","",IFERROR(VLOOKUP(B394, PLANTA_BASE!A:R, 2, FALSE), "NO ENCONTRADO EN PLANTA"))</f>
        <v/>
      </c>
      <c r="B394" s="3" t="inlineStr"/>
      <c r="C394" s="4">
        <f>IF(B394="","",IFERROR(VLOOKUP(B394, PLANTA_BASE!A:R, 3, FALSE), ""))</f>
        <v/>
      </c>
      <c r="D394" s="2">
        <f>IF(B394="","",IFERROR(VLOOKUP(B394, PLANTA_BASE!A:R, 5, FALSE), "NO ENCONTRADO EN PLANTA"))</f>
        <v/>
      </c>
      <c r="E394" s="2">
        <f>IF(B394="","",IFERROR(VLOOKUP(B394, PLANTA_BASE!A:R, 6, FALSE), "NO ENCONTRADO EN PLANTA"))</f>
        <v/>
      </c>
      <c r="F394" s="4">
        <f>IF(B394="","",IFERROR(VLOOKUP(B394, PLANTA_BASE!A:R, 8, FALSE), "DOCENTE / FACILITADOR"))</f>
        <v/>
      </c>
      <c r="G394" s="4">
        <f>IF(B394="","",IFERROR(VLOOKUP(B394, PLANTA_BASE!A:R, 9, FALSE), "GENERAL"))</f>
        <v/>
      </c>
      <c r="H394" s="2">
        <f>IF(B394="","",IFERROR(VLOOKUP(B394, PLANTA_BASE!A:R, 17, FALSE), "GENERAL"))</f>
        <v/>
      </c>
    </row>
    <row r="395" ht="20" customHeight="1">
      <c r="A395" s="5">
        <f>IF(B395="","",IFERROR(VLOOKUP(B395, PLANTA_BASE!A:R, 2, FALSE), "NO ENCONTRADO EN PLANTA"))</f>
        <v/>
      </c>
      <c r="B395" s="6" t="inlineStr"/>
      <c r="C395" s="7">
        <f>IF(B395="","",IFERROR(VLOOKUP(B395, PLANTA_BASE!A:R, 3, FALSE), ""))</f>
        <v/>
      </c>
      <c r="D395" s="5">
        <f>IF(B395="","",IFERROR(VLOOKUP(B395, PLANTA_BASE!A:R, 5, FALSE), "NO ENCONTRADO EN PLANTA"))</f>
        <v/>
      </c>
      <c r="E395" s="5">
        <f>IF(B395="","",IFERROR(VLOOKUP(B395, PLANTA_BASE!A:R, 6, FALSE), "NO ENCONTRADO EN PLANTA"))</f>
        <v/>
      </c>
      <c r="F395" s="7">
        <f>IF(B395="","",IFERROR(VLOOKUP(B395, PLANTA_BASE!A:R, 8, FALSE), "DOCENTE / FACILITADOR"))</f>
        <v/>
      </c>
      <c r="G395" s="7">
        <f>IF(B395="","",IFERROR(VLOOKUP(B395, PLANTA_BASE!A:R, 9, FALSE), "GENERAL"))</f>
        <v/>
      </c>
      <c r="H395" s="5">
        <f>IF(B395="","",IFERROR(VLOOKUP(B395, PLANTA_BASE!A:R, 17, FALSE), "GENERAL"))</f>
        <v/>
      </c>
    </row>
    <row r="396" ht="20" customHeight="1">
      <c r="A396" s="2">
        <f>IF(B396="","",IFERROR(VLOOKUP(B396, PLANTA_BASE!A:R, 2, FALSE), "NO ENCONTRADO EN PLANTA"))</f>
        <v/>
      </c>
      <c r="B396" s="3" t="inlineStr"/>
      <c r="C396" s="4">
        <f>IF(B396="","",IFERROR(VLOOKUP(B396, PLANTA_BASE!A:R, 3, FALSE), ""))</f>
        <v/>
      </c>
      <c r="D396" s="2">
        <f>IF(B396="","",IFERROR(VLOOKUP(B396, PLANTA_BASE!A:R, 5, FALSE), "NO ENCONTRADO EN PLANTA"))</f>
        <v/>
      </c>
      <c r="E396" s="2">
        <f>IF(B396="","",IFERROR(VLOOKUP(B396, PLANTA_BASE!A:R, 6, FALSE), "NO ENCONTRADO EN PLANTA"))</f>
        <v/>
      </c>
      <c r="F396" s="4">
        <f>IF(B396="","",IFERROR(VLOOKUP(B396, PLANTA_BASE!A:R, 8, FALSE), "DOCENTE / FACILITADOR"))</f>
        <v/>
      </c>
      <c r="G396" s="4">
        <f>IF(B396="","",IFERROR(VLOOKUP(B396, PLANTA_BASE!A:R, 9, FALSE), "GENERAL"))</f>
        <v/>
      </c>
      <c r="H396" s="2">
        <f>IF(B396="","",IFERROR(VLOOKUP(B396, PLANTA_BASE!A:R, 17, FALSE), "GENERAL"))</f>
        <v/>
      </c>
    </row>
    <row r="397" ht="20" customHeight="1">
      <c r="A397" s="5">
        <f>IF(B397="","",IFERROR(VLOOKUP(B397, PLANTA_BASE!A:R, 2, FALSE), "NO ENCONTRADO EN PLANTA"))</f>
        <v/>
      </c>
      <c r="B397" s="6" t="inlineStr"/>
      <c r="C397" s="7">
        <f>IF(B397="","",IFERROR(VLOOKUP(B397, PLANTA_BASE!A:R, 3, FALSE), ""))</f>
        <v/>
      </c>
      <c r="D397" s="5">
        <f>IF(B397="","",IFERROR(VLOOKUP(B397, PLANTA_BASE!A:R, 5, FALSE), "NO ENCONTRADO EN PLANTA"))</f>
        <v/>
      </c>
      <c r="E397" s="5">
        <f>IF(B397="","",IFERROR(VLOOKUP(B397, PLANTA_BASE!A:R, 6, FALSE), "NO ENCONTRADO EN PLANTA"))</f>
        <v/>
      </c>
      <c r="F397" s="7">
        <f>IF(B397="","",IFERROR(VLOOKUP(B397, PLANTA_BASE!A:R, 8, FALSE), "DOCENTE / FACILITADOR"))</f>
        <v/>
      </c>
      <c r="G397" s="7">
        <f>IF(B397="","",IFERROR(VLOOKUP(B397, PLANTA_BASE!A:R, 9, FALSE), "GENERAL"))</f>
        <v/>
      </c>
      <c r="H397" s="5">
        <f>IF(B397="","",IFERROR(VLOOKUP(B397, PLANTA_BASE!A:R, 17, FALSE), "GENERAL"))</f>
        <v/>
      </c>
    </row>
    <row r="398" ht="20" customHeight="1">
      <c r="A398" s="2">
        <f>IF(B398="","",IFERROR(VLOOKUP(B398, PLANTA_BASE!A:R, 2, FALSE), "NO ENCONTRADO EN PLANTA"))</f>
        <v/>
      </c>
      <c r="B398" s="3" t="inlineStr"/>
      <c r="C398" s="4">
        <f>IF(B398="","",IFERROR(VLOOKUP(B398, PLANTA_BASE!A:R, 3, FALSE), ""))</f>
        <v/>
      </c>
      <c r="D398" s="2">
        <f>IF(B398="","",IFERROR(VLOOKUP(B398, PLANTA_BASE!A:R, 5, FALSE), "NO ENCONTRADO EN PLANTA"))</f>
        <v/>
      </c>
      <c r="E398" s="2">
        <f>IF(B398="","",IFERROR(VLOOKUP(B398, PLANTA_BASE!A:R, 6, FALSE), "NO ENCONTRADO EN PLANTA"))</f>
        <v/>
      </c>
      <c r="F398" s="4">
        <f>IF(B398="","",IFERROR(VLOOKUP(B398, PLANTA_BASE!A:R, 8, FALSE), "DOCENTE / FACILITADOR"))</f>
        <v/>
      </c>
      <c r="G398" s="4">
        <f>IF(B398="","",IFERROR(VLOOKUP(B398, PLANTA_BASE!A:R, 9, FALSE), "GENERAL"))</f>
        <v/>
      </c>
      <c r="H398" s="2">
        <f>IF(B398="","",IFERROR(VLOOKUP(B398, PLANTA_BASE!A:R, 17, FALSE), "GENERAL"))</f>
        <v/>
      </c>
    </row>
    <row r="399" ht="20" customHeight="1">
      <c r="A399" s="5">
        <f>IF(B399="","",IFERROR(VLOOKUP(B399, PLANTA_BASE!A:R, 2, FALSE), "NO ENCONTRADO EN PLANTA"))</f>
        <v/>
      </c>
      <c r="B399" s="6" t="inlineStr"/>
      <c r="C399" s="7">
        <f>IF(B399="","",IFERROR(VLOOKUP(B399, PLANTA_BASE!A:R, 3, FALSE), ""))</f>
        <v/>
      </c>
      <c r="D399" s="5">
        <f>IF(B399="","",IFERROR(VLOOKUP(B399, PLANTA_BASE!A:R, 5, FALSE), "NO ENCONTRADO EN PLANTA"))</f>
        <v/>
      </c>
      <c r="E399" s="5">
        <f>IF(B399="","",IFERROR(VLOOKUP(B399, PLANTA_BASE!A:R, 6, FALSE), "NO ENCONTRADO EN PLANTA"))</f>
        <v/>
      </c>
      <c r="F399" s="7">
        <f>IF(B399="","",IFERROR(VLOOKUP(B399, PLANTA_BASE!A:R, 8, FALSE), "DOCENTE / FACILITADOR"))</f>
        <v/>
      </c>
      <c r="G399" s="7">
        <f>IF(B399="","",IFERROR(VLOOKUP(B399, PLANTA_BASE!A:R, 9, FALSE), "GENERAL"))</f>
        <v/>
      </c>
      <c r="H399" s="5">
        <f>IF(B399="","",IFERROR(VLOOKUP(B399, PLANTA_BASE!A:R, 17, FALSE), "GENERAL"))</f>
        <v/>
      </c>
    </row>
    <row r="400" ht="20" customHeight="1">
      <c r="A400" s="2">
        <f>IF(B400="","",IFERROR(VLOOKUP(B400, PLANTA_BASE!A:R, 2, FALSE), "NO ENCONTRADO EN PLANTA"))</f>
        <v/>
      </c>
      <c r="B400" s="3" t="inlineStr"/>
      <c r="C400" s="4">
        <f>IF(B400="","",IFERROR(VLOOKUP(B400, PLANTA_BASE!A:R, 3, FALSE), ""))</f>
        <v/>
      </c>
      <c r="D400" s="2">
        <f>IF(B400="","",IFERROR(VLOOKUP(B400, PLANTA_BASE!A:R, 5, FALSE), "NO ENCONTRADO EN PLANTA"))</f>
        <v/>
      </c>
      <c r="E400" s="2">
        <f>IF(B400="","",IFERROR(VLOOKUP(B400, PLANTA_BASE!A:R, 6, FALSE), "NO ENCONTRADO EN PLANTA"))</f>
        <v/>
      </c>
      <c r="F400" s="4">
        <f>IF(B400="","",IFERROR(VLOOKUP(B400, PLANTA_BASE!A:R, 8, FALSE), "DOCENTE / FACILITADOR"))</f>
        <v/>
      </c>
      <c r="G400" s="4">
        <f>IF(B400="","",IFERROR(VLOOKUP(B400, PLANTA_BASE!A:R, 9, FALSE), "GENERAL"))</f>
        <v/>
      </c>
      <c r="H400" s="2">
        <f>IF(B400="","",IFERROR(VLOOKUP(B400, PLANTA_BASE!A:R, 17, FALSE), "GENERAL"))</f>
        <v/>
      </c>
    </row>
    <row r="401" ht="20" customHeight="1">
      <c r="A401" s="5">
        <f>IF(B401="","",IFERROR(VLOOKUP(B401, PLANTA_BASE!A:R, 2, FALSE), "NO ENCONTRADO EN PLANTA"))</f>
        <v/>
      </c>
      <c r="B401" s="6" t="inlineStr"/>
      <c r="C401" s="7">
        <f>IF(B401="","",IFERROR(VLOOKUP(B401, PLANTA_BASE!A:R, 3, FALSE), ""))</f>
        <v/>
      </c>
      <c r="D401" s="5">
        <f>IF(B401="","",IFERROR(VLOOKUP(B401, PLANTA_BASE!A:R, 5, FALSE), "NO ENCONTRADO EN PLANTA"))</f>
        <v/>
      </c>
      <c r="E401" s="5">
        <f>IF(B401="","",IFERROR(VLOOKUP(B401, PLANTA_BASE!A:R, 6, FALSE), "NO ENCONTRADO EN PLANTA"))</f>
        <v/>
      </c>
      <c r="F401" s="7">
        <f>IF(B401="","",IFERROR(VLOOKUP(B401, PLANTA_BASE!A:R, 8, FALSE), "DOCENTE / FACILITADOR"))</f>
        <v/>
      </c>
      <c r="G401" s="7">
        <f>IF(B401="","",IFERROR(VLOOKUP(B401, PLANTA_BASE!A:R, 9, FALSE), "GENERAL"))</f>
        <v/>
      </c>
      <c r="H401" s="5">
        <f>IF(B401="","",IFERROR(VLOOKUP(B401, PLANTA_BASE!A:R, 17, FALSE), "GENERAL"))</f>
        <v/>
      </c>
    </row>
    <row r="402" ht="20" customHeight="1">
      <c r="A402" s="2">
        <f>IF(B402="","",IFERROR(VLOOKUP(B402, PLANTA_BASE!A:R, 2, FALSE), "NO ENCONTRADO EN PLANTA"))</f>
        <v/>
      </c>
      <c r="B402" s="3" t="inlineStr"/>
      <c r="C402" s="4">
        <f>IF(B402="","",IFERROR(VLOOKUP(B402, PLANTA_BASE!A:R, 3, FALSE), ""))</f>
        <v/>
      </c>
      <c r="D402" s="2">
        <f>IF(B402="","",IFERROR(VLOOKUP(B402, PLANTA_BASE!A:R, 5, FALSE), "NO ENCONTRADO EN PLANTA"))</f>
        <v/>
      </c>
      <c r="E402" s="2">
        <f>IF(B402="","",IFERROR(VLOOKUP(B402, PLANTA_BASE!A:R, 6, FALSE), "NO ENCONTRADO EN PLANTA"))</f>
        <v/>
      </c>
      <c r="F402" s="4">
        <f>IF(B402="","",IFERROR(VLOOKUP(B402, PLANTA_BASE!A:R, 8, FALSE), "DOCENTE / FACILITADOR"))</f>
        <v/>
      </c>
      <c r="G402" s="4">
        <f>IF(B402="","",IFERROR(VLOOKUP(B402, PLANTA_BASE!A:R, 9, FALSE), "GENERAL"))</f>
        <v/>
      </c>
      <c r="H402" s="2">
        <f>IF(B402="","",IFERROR(VLOOKUP(B402, PLANTA_BASE!A:R, 17, FALSE), "GENERAL"))</f>
        <v/>
      </c>
    </row>
    <row r="403" ht="20" customHeight="1">
      <c r="A403" s="5">
        <f>IF(B403="","",IFERROR(VLOOKUP(B403, PLANTA_BASE!A:R, 2, FALSE), "NO ENCONTRADO EN PLANTA"))</f>
        <v/>
      </c>
      <c r="B403" s="6" t="inlineStr"/>
      <c r="C403" s="7">
        <f>IF(B403="","",IFERROR(VLOOKUP(B403, PLANTA_BASE!A:R, 3, FALSE), ""))</f>
        <v/>
      </c>
      <c r="D403" s="5">
        <f>IF(B403="","",IFERROR(VLOOKUP(B403, PLANTA_BASE!A:R, 5, FALSE), "NO ENCONTRADO EN PLANTA"))</f>
        <v/>
      </c>
      <c r="E403" s="5">
        <f>IF(B403="","",IFERROR(VLOOKUP(B403, PLANTA_BASE!A:R, 6, FALSE), "NO ENCONTRADO EN PLANTA"))</f>
        <v/>
      </c>
      <c r="F403" s="7">
        <f>IF(B403="","",IFERROR(VLOOKUP(B403, PLANTA_BASE!A:R, 8, FALSE), "DOCENTE / FACILITADOR"))</f>
        <v/>
      </c>
      <c r="G403" s="7">
        <f>IF(B403="","",IFERROR(VLOOKUP(B403, PLANTA_BASE!A:R, 9, FALSE), "GENERAL"))</f>
        <v/>
      </c>
      <c r="H403" s="5">
        <f>IF(B403="","",IFERROR(VLOOKUP(B403, PLANTA_BASE!A:R, 17, FALSE), "GENERAL"))</f>
        <v/>
      </c>
    </row>
    <row r="404" ht="20" customHeight="1">
      <c r="A404" s="2">
        <f>IF(B404="","",IFERROR(VLOOKUP(B404, PLANTA_BASE!A:R, 2, FALSE), "NO ENCONTRADO EN PLANTA"))</f>
        <v/>
      </c>
      <c r="B404" s="3" t="inlineStr"/>
      <c r="C404" s="4">
        <f>IF(B404="","",IFERROR(VLOOKUP(B404, PLANTA_BASE!A:R, 3, FALSE), ""))</f>
        <v/>
      </c>
      <c r="D404" s="2">
        <f>IF(B404="","",IFERROR(VLOOKUP(B404, PLANTA_BASE!A:R, 5, FALSE), "NO ENCONTRADO EN PLANTA"))</f>
        <v/>
      </c>
      <c r="E404" s="2">
        <f>IF(B404="","",IFERROR(VLOOKUP(B404, PLANTA_BASE!A:R, 6, FALSE), "NO ENCONTRADO EN PLANTA"))</f>
        <v/>
      </c>
      <c r="F404" s="4">
        <f>IF(B404="","",IFERROR(VLOOKUP(B404, PLANTA_BASE!A:R, 8, FALSE), "DOCENTE / FACILITADOR"))</f>
        <v/>
      </c>
      <c r="G404" s="4">
        <f>IF(B404="","",IFERROR(VLOOKUP(B404, PLANTA_BASE!A:R, 9, FALSE), "GENERAL"))</f>
        <v/>
      </c>
      <c r="H404" s="2">
        <f>IF(B404="","",IFERROR(VLOOKUP(B404, PLANTA_BASE!A:R, 17, FALSE), "GENERAL"))</f>
        <v/>
      </c>
    </row>
    <row r="405" ht="20" customHeight="1">
      <c r="A405" s="5">
        <f>IF(B405="","",IFERROR(VLOOKUP(B405, PLANTA_BASE!A:R, 2, FALSE), "NO ENCONTRADO EN PLANTA"))</f>
        <v/>
      </c>
      <c r="B405" s="6" t="inlineStr"/>
      <c r="C405" s="7">
        <f>IF(B405="","",IFERROR(VLOOKUP(B405, PLANTA_BASE!A:R, 3, FALSE), ""))</f>
        <v/>
      </c>
      <c r="D405" s="5">
        <f>IF(B405="","",IFERROR(VLOOKUP(B405, PLANTA_BASE!A:R, 5, FALSE), "NO ENCONTRADO EN PLANTA"))</f>
        <v/>
      </c>
      <c r="E405" s="5">
        <f>IF(B405="","",IFERROR(VLOOKUP(B405, PLANTA_BASE!A:R, 6, FALSE), "NO ENCONTRADO EN PLANTA"))</f>
        <v/>
      </c>
      <c r="F405" s="7">
        <f>IF(B405="","",IFERROR(VLOOKUP(B405, PLANTA_BASE!A:R, 8, FALSE), "DOCENTE / FACILITADOR"))</f>
        <v/>
      </c>
      <c r="G405" s="7">
        <f>IF(B405="","",IFERROR(VLOOKUP(B405, PLANTA_BASE!A:R, 9, FALSE), "GENERAL"))</f>
        <v/>
      </c>
      <c r="H405" s="5">
        <f>IF(B405="","",IFERROR(VLOOKUP(B405, PLANTA_BASE!A:R, 17, FALSE), "GENERAL"))</f>
        <v/>
      </c>
    </row>
    <row r="406" ht="20" customHeight="1">
      <c r="A406" s="2">
        <f>IF(B406="","",IFERROR(VLOOKUP(B406, PLANTA_BASE!A:R, 2, FALSE), "NO ENCONTRADO EN PLANTA"))</f>
        <v/>
      </c>
      <c r="B406" s="3" t="inlineStr"/>
      <c r="C406" s="4">
        <f>IF(B406="","",IFERROR(VLOOKUP(B406, PLANTA_BASE!A:R, 3, FALSE), ""))</f>
        <v/>
      </c>
      <c r="D406" s="2">
        <f>IF(B406="","",IFERROR(VLOOKUP(B406, PLANTA_BASE!A:R, 5, FALSE), "NO ENCONTRADO EN PLANTA"))</f>
        <v/>
      </c>
      <c r="E406" s="2">
        <f>IF(B406="","",IFERROR(VLOOKUP(B406, PLANTA_BASE!A:R, 6, FALSE), "NO ENCONTRADO EN PLANTA"))</f>
        <v/>
      </c>
      <c r="F406" s="4">
        <f>IF(B406="","",IFERROR(VLOOKUP(B406, PLANTA_BASE!A:R, 8, FALSE), "DOCENTE / FACILITADOR"))</f>
        <v/>
      </c>
      <c r="G406" s="4">
        <f>IF(B406="","",IFERROR(VLOOKUP(B406, PLANTA_BASE!A:R, 9, FALSE), "GENERAL"))</f>
        <v/>
      </c>
      <c r="H406" s="2">
        <f>IF(B406="","",IFERROR(VLOOKUP(B406, PLANTA_BASE!A:R, 17, FALSE), "GENERAL"))</f>
        <v/>
      </c>
    </row>
    <row r="407" ht="20" customHeight="1">
      <c r="A407" s="5">
        <f>IF(B407="","",IFERROR(VLOOKUP(B407, PLANTA_BASE!A:R, 2, FALSE), "NO ENCONTRADO EN PLANTA"))</f>
        <v/>
      </c>
      <c r="B407" s="6" t="inlineStr"/>
      <c r="C407" s="7">
        <f>IF(B407="","",IFERROR(VLOOKUP(B407, PLANTA_BASE!A:R, 3, FALSE), ""))</f>
        <v/>
      </c>
      <c r="D407" s="5">
        <f>IF(B407="","",IFERROR(VLOOKUP(B407, PLANTA_BASE!A:R, 5, FALSE), "NO ENCONTRADO EN PLANTA"))</f>
        <v/>
      </c>
      <c r="E407" s="5">
        <f>IF(B407="","",IFERROR(VLOOKUP(B407, PLANTA_BASE!A:R, 6, FALSE), "NO ENCONTRADO EN PLANTA"))</f>
        <v/>
      </c>
      <c r="F407" s="7">
        <f>IF(B407="","",IFERROR(VLOOKUP(B407, PLANTA_BASE!A:R, 8, FALSE), "DOCENTE / FACILITADOR"))</f>
        <v/>
      </c>
      <c r="G407" s="7">
        <f>IF(B407="","",IFERROR(VLOOKUP(B407, PLANTA_BASE!A:R, 9, FALSE), "GENERAL"))</f>
        <v/>
      </c>
      <c r="H407" s="5">
        <f>IF(B407="","",IFERROR(VLOOKUP(B407, PLANTA_BASE!A:R, 17, FALSE), "GENERAL"))</f>
        <v/>
      </c>
    </row>
    <row r="408" ht="20" customHeight="1">
      <c r="A408" s="2">
        <f>IF(B408="","",IFERROR(VLOOKUP(B408, PLANTA_BASE!A:R, 2, FALSE), "NO ENCONTRADO EN PLANTA"))</f>
        <v/>
      </c>
      <c r="B408" s="3" t="inlineStr"/>
      <c r="C408" s="4">
        <f>IF(B408="","",IFERROR(VLOOKUP(B408, PLANTA_BASE!A:R, 3, FALSE), ""))</f>
        <v/>
      </c>
      <c r="D408" s="2">
        <f>IF(B408="","",IFERROR(VLOOKUP(B408, PLANTA_BASE!A:R, 5, FALSE), "NO ENCONTRADO EN PLANTA"))</f>
        <v/>
      </c>
      <c r="E408" s="2">
        <f>IF(B408="","",IFERROR(VLOOKUP(B408, PLANTA_BASE!A:R, 6, FALSE), "NO ENCONTRADO EN PLANTA"))</f>
        <v/>
      </c>
      <c r="F408" s="4">
        <f>IF(B408="","",IFERROR(VLOOKUP(B408, PLANTA_BASE!A:R, 8, FALSE), "DOCENTE / FACILITADOR"))</f>
        <v/>
      </c>
      <c r="G408" s="4">
        <f>IF(B408="","",IFERROR(VLOOKUP(B408, PLANTA_BASE!A:R, 9, FALSE), "GENERAL"))</f>
        <v/>
      </c>
      <c r="H408" s="2">
        <f>IF(B408="","",IFERROR(VLOOKUP(B408, PLANTA_BASE!A:R, 17, FALSE), "GENERAL"))</f>
        <v/>
      </c>
    </row>
    <row r="409" ht="20" customHeight="1">
      <c r="A409" s="5">
        <f>IF(B409="","",IFERROR(VLOOKUP(B409, PLANTA_BASE!A:R, 2, FALSE), "NO ENCONTRADO EN PLANTA"))</f>
        <v/>
      </c>
      <c r="B409" s="6" t="inlineStr"/>
      <c r="C409" s="7">
        <f>IF(B409="","",IFERROR(VLOOKUP(B409, PLANTA_BASE!A:R, 3, FALSE), ""))</f>
        <v/>
      </c>
      <c r="D409" s="5">
        <f>IF(B409="","",IFERROR(VLOOKUP(B409, PLANTA_BASE!A:R, 5, FALSE), "NO ENCONTRADO EN PLANTA"))</f>
        <v/>
      </c>
      <c r="E409" s="5">
        <f>IF(B409="","",IFERROR(VLOOKUP(B409, PLANTA_BASE!A:R, 6, FALSE), "NO ENCONTRADO EN PLANTA"))</f>
        <v/>
      </c>
      <c r="F409" s="7">
        <f>IF(B409="","",IFERROR(VLOOKUP(B409, PLANTA_BASE!A:R, 8, FALSE), "DOCENTE / FACILITADOR"))</f>
        <v/>
      </c>
      <c r="G409" s="7">
        <f>IF(B409="","",IFERROR(VLOOKUP(B409, PLANTA_BASE!A:R, 9, FALSE), "GENERAL"))</f>
        <v/>
      </c>
      <c r="H409" s="5">
        <f>IF(B409="","",IFERROR(VLOOKUP(B409, PLANTA_BASE!A:R, 17, FALSE), "GENERAL"))</f>
        <v/>
      </c>
    </row>
    <row r="410" ht="20" customHeight="1">
      <c r="A410" s="2">
        <f>IF(B410="","",IFERROR(VLOOKUP(B410, PLANTA_BASE!A:R, 2, FALSE), "NO ENCONTRADO EN PLANTA"))</f>
        <v/>
      </c>
      <c r="B410" s="3" t="inlineStr"/>
      <c r="C410" s="4">
        <f>IF(B410="","",IFERROR(VLOOKUP(B410, PLANTA_BASE!A:R, 3, FALSE), ""))</f>
        <v/>
      </c>
      <c r="D410" s="2">
        <f>IF(B410="","",IFERROR(VLOOKUP(B410, PLANTA_BASE!A:R, 5, FALSE), "NO ENCONTRADO EN PLANTA"))</f>
        <v/>
      </c>
      <c r="E410" s="2">
        <f>IF(B410="","",IFERROR(VLOOKUP(B410, PLANTA_BASE!A:R, 6, FALSE), "NO ENCONTRADO EN PLANTA"))</f>
        <v/>
      </c>
      <c r="F410" s="4">
        <f>IF(B410="","",IFERROR(VLOOKUP(B410, PLANTA_BASE!A:R, 8, FALSE), "DOCENTE / FACILITADOR"))</f>
        <v/>
      </c>
      <c r="G410" s="4">
        <f>IF(B410="","",IFERROR(VLOOKUP(B410, PLANTA_BASE!A:R, 9, FALSE), "GENERAL"))</f>
        <v/>
      </c>
      <c r="H410" s="2">
        <f>IF(B410="","",IFERROR(VLOOKUP(B410, PLANTA_BASE!A:R, 17, FALSE), "GENERAL"))</f>
        <v/>
      </c>
    </row>
    <row r="411" ht="20" customHeight="1">
      <c r="A411" s="5">
        <f>IF(B411="","",IFERROR(VLOOKUP(B411, PLANTA_BASE!A:R, 2, FALSE), "NO ENCONTRADO EN PLANTA"))</f>
        <v/>
      </c>
      <c r="B411" s="6" t="inlineStr"/>
      <c r="C411" s="7">
        <f>IF(B411="","",IFERROR(VLOOKUP(B411, PLANTA_BASE!A:R, 3, FALSE), ""))</f>
        <v/>
      </c>
      <c r="D411" s="5">
        <f>IF(B411="","",IFERROR(VLOOKUP(B411, PLANTA_BASE!A:R, 5, FALSE), "NO ENCONTRADO EN PLANTA"))</f>
        <v/>
      </c>
      <c r="E411" s="5">
        <f>IF(B411="","",IFERROR(VLOOKUP(B411, PLANTA_BASE!A:R, 6, FALSE), "NO ENCONTRADO EN PLANTA"))</f>
        <v/>
      </c>
      <c r="F411" s="7">
        <f>IF(B411="","",IFERROR(VLOOKUP(B411, PLANTA_BASE!A:R, 8, FALSE), "DOCENTE / FACILITADOR"))</f>
        <v/>
      </c>
      <c r="G411" s="7">
        <f>IF(B411="","",IFERROR(VLOOKUP(B411, PLANTA_BASE!A:R, 9, FALSE), "GENERAL"))</f>
        <v/>
      </c>
      <c r="H411" s="5">
        <f>IF(B411="","",IFERROR(VLOOKUP(B411, PLANTA_BASE!A:R, 17, FALSE), "GENERAL"))</f>
        <v/>
      </c>
    </row>
    <row r="412" ht="20" customHeight="1">
      <c r="A412" s="2">
        <f>IF(B412="","",IFERROR(VLOOKUP(B412, PLANTA_BASE!A:R, 2, FALSE), "NO ENCONTRADO EN PLANTA"))</f>
        <v/>
      </c>
      <c r="B412" s="3" t="inlineStr"/>
      <c r="C412" s="4">
        <f>IF(B412="","",IFERROR(VLOOKUP(B412, PLANTA_BASE!A:R, 3, FALSE), ""))</f>
        <v/>
      </c>
      <c r="D412" s="2">
        <f>IF(B412="","",IFERROR(VLOOKUP(B412, PLANTA_BASE!A:R, 5, FALSE), "NO ENCONTRADO EN PLANTA"))</f>
        <v/>
      </c>
      <c r="E412" s="2">
        <f>IF(B412="","",IFERROR(VLOOKUP(B412, PLANTA_BASE!A:R, 6, FALSE), "NO ENCONTRADO EN PLANTA"))</f>
        <v/>
      </c>
      <c r="F412" s="4">
        <f>IF(B412="","",IFERROR(VLOOKUP(B412, PLANTA_BASE!A:R, 8, FALSE), "DOCENTE / FACILITADOR"))</f>
        <v/>
      </c>
      <c r="G412" s="4">
        <f>IF(B412="","",IFERROR(VLOOKUP(B412, PLANTA_BASE!A:R, 9, FALSE), "GENERAL"))</f>
        <v/>
      </c>
      <c r="H412" s="2">
        <f>IF(B412="","",IFERROR(VLOOKUP(B412, PLANTA_BASE!A:R, 17, FALSE), "GENERAL"))</f>
        <v/>
      </c>
    </row>
    <row r="413" ht="20" customHeight="1">
      <c r="A413" s="5">
        <f>IF(B413="","",IFERROR(VLOOKUP(B413, PLANTA_BASE!A:R, 2, FALSE), "NO ENCONTRADO EN PLANTA"))</f>
        <v/>
      </c>
      <c r="B413" s="6" t="inlineStr"/>
      <c r="C413" s="7">
        <f>IF(B413="","",IFERROR(VLOOKUP(B413, PLANTA_BASE!A:R, 3, FALSE), ""))</f>
        <v/>
      </c>
      <c r="D413" s="5">
        <f>IF(B413="","",IFERROR(VLOOKUP(B413, PLANTA_BASE!A:R, 5, FALSE), "NO ENCONTRADO EN PLANTA"))</f>
        <v/>
      </c>
      <c r="E413" s="5">
        <f>IF(B413="","",IFERROR(VLOOKUP(B413, PLANTA_BASE!A:R, 6, FALSE), "NO ENCONTRADO EN PLANTA"))</f>
        <v/>
      </c>
      <c r="F413" s="7">
        <f>IF(B413="","",IFERROR(VLOOKUP(B413, PLANTA_BASE!A:R, 8, FALSE), "DOCENTE / FACILITADOR"))</f>
        <v/>
      </c>
      <c r="G413" s="7">
        <f>IF(B413="","",IFERROR(VLOOKUP(B413, PLANTA_BASE!A:R, 9, FALSE), "GENERAL"))</f>
        <v/>
      </c>
      <c r="H413" s="5">
        <f>IF(B413="","",IFERROR(VLOOKUP(B413, PLANTA_BASE!A:R, 17, FALSE), "GENERAL"))</f>
        <v/>
      </c>
    </row>
    <row r="414" ht="20" customHeight="1">
      <c r="A414" s="2">
        <f>IF(B414="","",IFERROR(VLOOKUP(B414, PLANTA_BASE!A:R, 2, FALSE), "NO ENCONTRADO EN PLANTA"))</f>
        <v/>
      </c>
      <c r="B414" s="3" t="inlineStr"/>
      <c r="C414" s="4">
        <f>IF(B414="","",IFERROR(VLOOKUP(B414, PLANTA_BASE!A:R, 3, FALSE), ""))</f>
        <v/>
      </c>
      <c r="D414" s="2">
        <f>IF(B414="","",IFERROR(VLOOKUP(B414, PLANTA_BASE!A:R, 5, FALSE), "NO ENCONTRADO EN PLANTA"))</f>
        <v/>
      </c>
      <c r="E414" s="2">
        <f>IF(B414="","",IFERROR(VLOOKUP(B414, PLANTA_BASE!A:R, 6, FALSE), "NO ENCONTRADO EN PLANTA"))</f>
        <v/>
      </c>
      <c r="F414" s="4">
        <f>IF(B414="","",IFERROR(VLOOKUP(B414, PLANTA_BASE!A:R, 8, FALSE), "DOCENTE / FACILITADOR"))</f>
        <v/>
      </c>
      <c r="G414" s="4">
        <f>IF(B414="","",IFERROR(VLOOKUP(B414, PLANTA_BASE!A:R, 9, FALSE), "GENERAL"))</f>
        <v/>
      </c>
      <c r="H414" s="2">
        <f>IF(B414="","",IFERROR(VLOOKUP(B414, PLANTA_BASE!A:R, 17, FALSE), "GENERAL"))</f>
        <v/>
      </c>
    </row>
    <row r="415" ht="20" customHeight="1">
      <c r="A415" s="5">
        <f>IF(B415="","",IFERROR(VLOOKUP(B415, PLANTA_BASE!A:R, 2, FALSE), "NO ENCONTRADO EN PLANTA"))</f>
        <v/>
      </c>
      <c r="B415" s="6" t="inlineStr"/>
      <c r="C415" s="7">
        <f>IF(B415="","",IFERROR(VLOOKUP(B415, PLANTA_BASE!A:R, 3, FALSE), ""))</f>
        <v/>
      </c>
      <c r="D415" s="5">
        <f>IF(B415="","",IFERROR(VLOOKUP(B415, PLANTA_BASE!A:R, 5, FALSE), "NO ENCONTRADO EN PLANTA"))</f>
        <v/>
      </c>
      <c r="E415" s="5">
        <f>IF(B415="","",IFERROR(VLOOKUP(B415, PLANTA_BASE!A:R, 6, FALSE), "NO ENCONTRADO EN PLANTA"))</f>
        <v/>
      </c>
      <c r="F415" s="7">
        <f>IF(B415="","",IFERROR(VLOOKUP(B415, PLANTA_BASE!A:R, 8, FALSE), "DOCENTE / FACILITADOR"))</f>
        <v/>
      </c>
      <c r="G415" s="7">
        <f>IF(B415="","",IFERROR(VLOOKUP(B415, PLANTA_BASE!A:R, 9, FALSE), "GENERAL"))</f>
        <v/>
      </c>
      <c r="H415" s="5">
        <f>IF(B415="","",IFERROR(VLOOKUP(B415, PLANTA_BASE!A:R, 17, FALSE), "GENERAL"))</f>
        <v/>
      </c>
    </row>
    <row r="416" ht="20" customHeight="1">
      <c r="A416" s="2">
        <f>IF(B416="","",IFERROR(VLOOKUP(B416, PLANTA_BASE!A:R, 2, FALSE), "NO ENCONTRADO EN PLANTA"))</f>
        <v/>
      </c>
      <c r="B416" s="3" t="inlineStr"/>
      <c r="C416" s="4">
        <f>IF(B416="","",IFERROR(VLOOKUP(B416, PLANTA_BASE!A:R, 3, FALSE), ""))</f>
        <v/>
      </c>
      <c r="D416" s="2">
        <f>IF(B416="","",IFERROR(VLOOKUP(B416, PLANTA_BASE!A:R, 5, FALSE), "NO ENCONTRADO EN PLANTA"))</f>
        <v/>
      </c>
      <c r="E416" s="2">
        <f>IF(B416="","",IFERROR(VLOOKUP(B416, PLANTA_BASE!A:R, 6, FALSE), "NO ENCONTRADO EN PLANTA"))</f>
        <v/>
      </c>
      <c r="F416" s="4">
        <f>IF(B416="","",IFERROR(VLOOKUP(B416, PLANTA_BASE!A:R, 8, FALSE), "DOCENTE / FACILITADOR"))</f>
        <v/>
      </c>
      <c r="G416" s="4">
        <f>IF(B416="","",IFERROR(VLOOKUP(B416, PLANTA_BASE!A:R, 9, FALSE), "GENERAL"))</f>
        <v/>
      </c>
      <c r="H416" s="2">
        <f>IF(B416="","",IFERROR(VLOOKUP(B416, PLANTA_BASE!A:R, 17, FALSE), "GENERAL"))</f>
        <v/>
      </c>
    </row>
    <row r="417" ht="20" customHeight="1">
      <c r="A417" s="5">
        <f>IF(B417="","",IFERROR(VLOOKUP(B417, PLANTA_BASE!A:R, 2, FALSE), "NO ENCONTRADO EN PLANTA"))</f>
        <v/>
      </c>
      <c r="B417" s="6" t="inlineStr"/>
      <c r="C417" s="7">
        <f>IF(B417="","",IFERROR(VLOOKUP(B417, PLANTA_BASE!A:R, 3, FALSE), ""))</f>
        <v/>
      </c>
      <c r="D417" s="5">
        <f>IF(B417="","",IFERROR(VLOOKUP(B417, PLANTA_BASE!A:R, 5, FALSE), "NO ENCONTRADO EN PLANTA"))</f>
        <v/>
      </c>
      <c r="E417" s="5">
        <f>IF(B417="","",IFERROR(VLOOKUP(B417, PLANTA_BASE!A:R, 6, FALSE), "NO ENCONTRADO EN PLANTA"))</f>
        <v/>
      </c>
      <c r="F417" s="7">
        <f>IF(B417="","",IFERROR(VLOOKUP(B417, PLANTA_BASE!A:R, 8, FALSE), "DOCENTE / FACILITADOR"))</f>
        <v/>
      </c>
      <c r="G417" s="7">
        <f>IF(B417="","",IFERROR(VLOOKUP(B417, PLANTA_BASE!A:R, 9, FALSE), "GENERAL"))</f>
        <v/>
      </c>
      <c r="H417" s="5">
        <f>IF(B417="","",IFERROR(VLOOKUP(B417, PLANTA_BASE!A:R, 17, FALSE), "GENERAL"))</f>
        <v/>
      </c>
    </row>
    <row r="418" ht="20" customHeight="1">
      <c r="A418" s="2">
        <f>IF(B418="","",IFERROR(VLOOKUP(B418, PLANTA_BASE!A:R, 2, FALSE), "NO ENCONTRADO EN PLANTA"))</f>
        <v/>
      </c>
      <c r="B418" s="3" t="inlineStr"/>
      <c r="C418" s="4">
        <f>IF(B418="","",IFERROR(VLOOKUP(B418, PLANTA_BASE!A:R, 3, FALSE), ""))</f>
        <v/>
      </c>
      <c r="D418" s="2">
        <f>IF(B418="","",IFERROR(VLOOKUP(B418, PLANTA_BASE!A:R, 5, FALSE), "NO ENCONTRADO EN PLANTA"))</f>
        <v/>
      </c>
      <c r="E418" s="2">
        <f>IF(B418="","",IFERROR(VLOOKUP(B418, PLANTA_BASE!A:R, 6, FALSE), "NO ENCONTRADO EN PLANTA"))</f>
        <v/>
      </c>
      <c r="F418" s="4">
        <f>IF(B418="","",IFERROR(VLOOKUP(B418, PLANTA_BASE!A:R, 8, FALSE), "DOCENTE / FACILITADOR"))</f>
        <v/>
      </c>
      <c r="G418" s="4">
        <f>IF(B418="","",IFERROR(VLOOKUP(B418, PLANTA_BASE!A:R, 9, FALSE), "GENERAL"))</f>
        <v/>
      </c>
      <c r="H418" s="2">
        <f>IF(B418="","",IFERROR(VLOOKUP(B418, PLANTA_BASE!A:R, 17, FALSE), "GENERAL"))</f>
        <v/>
      </c>
    </row>
    <row r="419" ht="20" customHeight="1">
      <c r="A419" s="5">
        <f>IF(B419="","",IFERROR(VLOOKUP(B419, PLANTA_BASE!A:R, 2, FALSE), "NO ENCONTRADO EN PLANTA"))</f>
        <v/>
      </c>
      <c r="B419" s="6" t="inlineStr"/>
      <c r="C419" s="7">
        <f>IF(B419="","",IFERROR(VLOOKUP(B419, PLANTA_BASE!A:R, 3, FALSE), ""))</f>
        <v/>
      </c>
      <c r="D419" s="5">
        <f>IF(B419="","",IFERROR(VLOOKUP(B419, PLANTA_BASE!A:R, 5, FALSE), "NO ENCONTRADO EN PLANTA"))</f>
        <v/>
      </c>
      <c r="E419" s="5">
        <f>IF(B419="","",IFERROR(VLOOKUP(B419, PLANTA_BASE!A:R, 6, FALSE), "NO ENCONTRADO EN PLANTA"))</f>
        <v/>
      </c>
      <c r="F419" s="7">
        <f>IF(B419="","",IFERROR(VLOOKUP(B419, PLANTA_BASE!A:R, 8, FALSE), "DOCENTE / FACILITADOR"))</f>
        <v/>
      </c>
      <c r="G419" s="7">
        <f>IF(B419="","",IFERROR(VLOOKUP(B419, PLANTA_BASE!A:R, 9, FALSE), "GENERAL"))</f>
        <v/>
      </c>
      <c r="H419" s="5">
        <f>IF(B419="","",IFERROR(VLOOKUP(B419, PLANTA_BASE!A:R, 17, FALSE), "GENERAL"))</f>
        <v/>
      </c>
    </row>
    <row r="420" ht="20" customHeight="1">
      <c r="A420" s="2">
        <f>IF(B420="","",IFERROR(VLOOKUP(B420, PLANTA_BASE!A:R, 2, FALSE), "NO ENCONTRADO EN PLANTA"))</f>
        <v/>
      </c>
      <c r="B420" s="3" t="inlineStr"/>
      <c r="C420" s="4">
        <f>IF(B420="","",IFERROR(VLOOKUP(B420, PLANTA_BASE!A:R, 3, FALSE), ""))</f>
        <v/>
      </c>
      <c r="D420" s="2">
        <f>IF(B420="","",IFERROR(VLOOKUP(B420, PLANTA_BASE!A:R, 5, FALSE), "NO ENCONTRADO EN PLANTA"))</f>
        <v/>
      </c>
      <c r="E420" s="2">
        <f>IF(B420="","",IFERROR(VLOOKUP(B420, PLANTA_BASE!A:R, 6, FALSE), "NO ENCONTRADO EN PLANTA"))</f>
        <v/>
      </c>
      <c r="F420" s="4">
        <f>IF(B420="","",IFERROR(VLOOKUP(B420, PLANTA_BASE!A:R, 8, FALSE), "DOCENTE / FACILITADOR"))</f>
        <v/>
      </c>
      <c r="G420" s="4">
        <f>IF(B420="","",IFERROR(VLOOKUP(B420, PLANTA_BASE!A:R, 9, FALSE), "GENERAL"))</f>
        <v/>
      </c>
      <c r="H420" s="2">
        <f>IF(B420="","",IFERROR(VLOOKUP(B420, PLANTA_BASE!A:R, 17, FALSE), "GENERAL"))</f>
        <v/>
      </c>
    </row>
    <row r="421" ht="20" customHeight="1">
      <c r="A421" s="5">
        <f>IF(B421="","",IFERROR(VLOOKUP(B421, PLANTA_BASE!A:R, 2, FALSE), "NO ENCONTRADO EN PLANTA"))</f>
        <v/>
      </c>
      <c r="B421" s="6" t="inlineStr"/>
      <c r="C421" s="7">
        <f>IF(B421="","",IFERROR(VLOOKUP(B421, PLANTA_BASE!A:R, 3, FALSE), ""))</f>
        <v/>
      </c>
      <c r="D421" s="5">
        <f>IF(B421="","",IFERROR(VLOOKUP(B421, PLANTA_BASE!A:R, 5, FALSE), "NO ENCONTRADO EN PLANTA"))</f>
        <v/>
      </c>
      <c r="E421" s="5">
        <f>IF(B421="","",IFERROR(VLOOKUP(B421, PLANTA_BASE!A:R, 6, FALSE), "NO ENCONTRADO EN PLANTA"))</f>
        <v/>
      </c>
      <c r="F421" s="7">
        <f>IF(B421="","",IFERROR(VLOOKUP(B421, PLANTA_BASE!A:R, 8, FALSE), "DOCENTE / FACILITADOR"))</f>
        <v/>
      </c>
      <c r="G421" s="7">
        <f>IF(B421="","",IFERROR(VLOOKUP(B421, PLANTA_BASE!A:R, 9, FALSE), "GENERAL"))</f>
        <v/>
      </c>
      <c r="H421" s="5">
        <f>IF(B421="","",IFERROR(VLOOKUP(B421, PLANTA_BASE!A:R, 17, FALSE), "GENERAL"))</f>
        <v/>
      </c>
    </row>
    <row r="422" ht="20" customHeight="1">
      <c r="A422" s="2">
        <f>IF(B422="","",IFERROR(VLOOKUP(B422, PLANTA_BASE!A:R, 2, FALSE), "NO ENCONTRADO EN PLANTA"))</f>
        <v/>
      </c>
      <c r="B422" s="3" t="inlineStr"/>
      <c r="C422" s="4">
        <f>IF(B422="","",IFERROR(VLOOKUP(B422, PLANTA_BASE!A:R, 3, FALSE), ""))</f>
        <v/>
      </c>
      <c r="D422" s="2">
        <f>IF(B422="","",IFERROR(VLOOKUP(B422, PLANTA_BASE!A:R, 5, FALSE), "NO ENCONTRADO EN PLANTA"))</f>
        <v/>
      </c>
      <c r="E422" s="2">
        <f>IF(B422="","",IFERROR(VLOOKUP(B422, PLANTA_BASE!A:R, 6, FALSE), "NO ENCONTRADO EN PLANTA"))</f>
        <v/>
      </c>
      <c r="F422" s="4">
        <f>IF(B422="","",IFERROR(VLOOKUP(B422, PLANTA_BASE!A:R, 8, FALSE), "DOCENTE / FACILITADOR"))</f>
        <v/>
      </c>
      <c r="G422" s="4">
        <f>IF(B422="","",IFERROR(VLOOKUP(B422, PLANTA_BASE!A:R, 9, FALSE), "GENERAL"))</f>
        <v/>
      </c>
      <c r="H422" s="2">
        <f>IF(B422="","",IFERROR(VLOOKUP(B422, PLANTA_BASE!A:R, 17, FALSE), "GENERAL"))</f>
        <v/>
      </c>
    </row>
    <row r="423" ht="20" customHeight="1">
      <c r="A423" s="5">
        <f>IF(B423="","",IFERROR(VLOOKUP(B423, PLANTA_BASE!A:R, 2, FALSE), "NO ENCONTRADO EN PLANTA"))</f>
        <v/>
      </c>
      <c r="B423" s="6" t="inlineStr"/>
      <c r="C423" s="7">
        <f>IF(B423="","",IFERROR(VLOOKUP(B423, PLANTA_BASE!A:R, 3, FALSE), ""))</f>
        <v/>
      </c>
      <c r="D423" s="5">
        <f>IF(B423="","",IFERROR(VLOOKUP(B423, PLANTA_BASE!A:R, 5, FALSE), "NO ENCONTRADO EN PLANTA"))</f>
        <v/>
      </c>
      <c r="E423" s="5">
        <f>IF(B423="","",IFERROR(VLOOKUP(B423, PLANTA_BASE!A:R, 6, FALSE), "NO ENCONTRADO EN PLANTA"))</f>
        <v/>
      </c>
      <c r="F423" s="7">
        <f>IF(B423="","",IFERROR(VLOOKUP(B423, PLANTA_BASE!A:R, 8, FALSE), "DOCENTE / FACILITADOR"))</f>
        <v/>
      </c>
      <c r="G423" s="7">
        <f>IF(B423="","",IFERROR(VLOOKUP(B423, PLANTA_BASE!A:R, 9, FALSE), "GENERAL"))</f>
        <v/>
      </c>
      <c r="H423" s="5">
        <f>IF(B423="","",IFERROR(VLOOKUP(B423, PLANTA_BASE!A:R, 17, FALSE), "GENERAL"))</f>
        <v/>
      </c>
    </row>
    <row r="424" ht="20" customHeight="1">
      <c r="A424" s="2">
        <f>IF(B424="","",IFERROR(VLOOKUP(B424, PLANTA_BASE!A:R, 2, FALSE), "NO ENCONTRADO EN PLANTA"))</f>
        <v/>
      </c>
      <c r="B424" s="3" t="inlineStr"/>
      <c r="C424" s="4">
        <f>IF(B424="","",IFERROR(VLOOKUP(B424, PLANTA_BASE!A:R, 3, FALSE), ""))</f>
        <v/>
      </c>
      <c r="D424" s="2">
        <f>IF(B424="","",IFERROR(VLOOKUP(B424, PLANTA_BASE!A:R, 5, FALSE), "NO ENCONTRADO EN PLANTA"))</f>
        <v/>
      </c>
      <c r="E424" s="2">
        <f>IF(B424="","",IFERROR(VLOOKUP(B424, PLANTA_BASE!A:R, 6, FALSE), "NO ENCONTRADO EN PLANTA"))</f>
        <v/>
      </c>
      <c r="F424" s="4">
        <f>IF(B424="","",IFERROR(VLOOKUP(B424, PLANTA_BASE!A:R, 8, FALSE), "DOCENTE / FACILITADOR"))</f>
        <v/>
      </c>
      <c r="G424" s="4">
        <f>IF(B424="","",IFERROR(VLOOKUP(B424, PLANTA_BASE!A:R, 9, FALSE), "GENERAL"))</f>
        <v/>
      </c>
      <c r="H424" s="2">
        <f>IF(B424="","",IFERROR(VLOOKUP(B424, PLANTA_BASE!A:R, 17, FALSE), "GENERAL"))</f>
        <v/>
      </c>
    </row>
    <row r="425" ht="20" customHeight="1">
      <c r="A425" s="5">
        <f>IF(B425="","",IFERROR(VLOOKUP(B425, PLANTA_BASE!A:R, 2, FALSE), "NO ENCONTRADO EN PLANTA"))</f>
        <v/>
      </c>
      <c r="B425" s="6" t="inlineStr"/>
      <c r="C425" s="7">
        <f>IF(B425="","",IFERROR(VLOOKUP(B425, PLANTA_BASE!A:R, 3, FALSE), ""))</f>
        <v/>
      </c>
      <c r="D425" s="5">
        <f>IF(B425="","",IFERROR(VLOOKUP(B425, PLANTA_BASE!A:R, 5, FALSE), "NO ENCONTRADO EN PLANTA"))</f>
        <v/>
      </c>
      <c r="E425" s="5">
        <f>IF(B425="","",IFERROR(VLOOKUP(B425, PLANTA_BASE!A:R, 6, FALSE), "NO ENCONTRADO EN PLANTA"))</f>
        <v/>
      </c>
      <c r="F425" s="7">
        <f>IF(B425="","",IFERROR(VLOOKUP(B425, PLANTA_BASE!A:R, 8, FALSE), "DOCENTE / FACILITADOR"))</f>
        <v/>
      </c>
      <c r="G425" s="7">
        <f>IF(B425="","",IFERROR(VLOOKUP(B425, PLANTA_BASE!A:R, 9, FALSE), "GENERAL"))</f>
        <v/>
      </c>
      <c r="H425" s="5">
        <f>IF(B425="","",IFERROR(VLOOKUP(B425, PLANTA_BASE!A:R, 17, FALSE), "GENERAL"))</f>
        <v/>
      </c>
    </row>
    <row r="426" ht="20" customHeight="1">
      <c r="A426" s="2">
        <f>IF(B426="","",IFERROR(VLOOKUP(B426, PLANTA_BASE!A:R, 2, FALSE), "NO ENCONTRADO EN PLANTA"))</f>
        <v/>
      </c>
      <c r="B426" s="3" t="inlineStr"/>
      <c r="C426" s="4">
        <f>IF(B426="","",IFERROR(VLOOKUP(B426, PLANTA_BASE!A:R, 3, FALSE), ""))</f>
        <v/>
      </c>
      <c r="D426" s="2">
        <f>IF(B426="","",IFERROR(VLOOKUP(B426, PLANTA_BASE!A:R, 5, FALSE), "NO ENCONTRADO EN PLANTA"))</f>
        <v/>
      </c>
      <c r="E426" s="2">
        <f>IF(B426="","",IFERROR(VLOOKUP(B426, PLANTA_BASE!A:R, 6, FALSE), "NO ENCONTRADO EN PLANTA"))</f>
        <v/>
      </c>
      <c r="F426" s="4">
        <f>IF(B426="","",IFERROR(VLOOKUP(B426, PLANTA_BASE!A:R, 8, FALSE), "DOCENTE / FACILITADOR"))</f>
        <v/>
      </c>
      <c r="G426" s="4">
        <f>IF(B426="","",IFERROR(VLOOKUP(B426, PLANTA_BASE!A:R, 9, FALSE), "GENERAL"))</f>
        <v/>
      </c>
      <c r="H426" s="2">
        <f>IF(B426="","",IFERROR(VLOOKUP(B426, PLANTA_BASE!A:R, 17, FALSE), "GENERAL"))</f>
        <v/>
      </c>
    </row>
    <row r="427" ht="20" customHeight="1">
      <c r="A427" s="5">
        <f>IF(B427="","",IFERROR(VLOOKUP(B427, PLANTA_BASE!A:R, 2, FALSE), "NO ENCONTRADO EN PLANTA"))</f>
        <v/>
      </c>
      <c r="B427" s="6" t="inlineStr"/>
      <c r="C427" s="7">
        <f>IF(B427="","",IFERROR(VLOOKUP(B427, PLANTA_BASE!A:R, 3, FALSE), ""))</f>
        <v/>
      </c>
      <c r="D427" s="5">
        <f>IF(B427="","",IFERROR(VLOOKUP(B427, PLANTA_BASE!A:R, 5, FALSE), "NO ENCONTRADO EN PLANTA"))</f>
        <v/>
      </c>
      <c r="E427" s="5">
        <f>IF(B427="","",IFERROR(VLOOKUP(B427, PLANTA_BASE!A:R, 6, FALSE), "NO ENCONTRADO EN PLANTA"))</f>
        <v/>
      </c>
      <c r="F427" s="7">
        <f>IF(B427="","",IFERROR(VLOOKUP(B427, PLANTA_BASE!A:R, 8, FALSE), "DOCENTE / FACILITADOR"))</f>
        <v/>
      </c>
      <c r="G427" s="7">
        <f>IF(B427="","",IFERROR(VLOOKUP(B427, PLANTA_BASE!A:R, 9, FALSE), "GENERAL"))</f>
        <v/>
      </c>
      <c r="H427" s="5">
        <f>IF(B427="","",IFERROR(VLOOKUP(B427, PLANTA_BASE!A:R, 17, FALSE), "GENERAL"))</f>
        <v/>
      </c>
    </row>
    <row r="428" ht="20" customHeight="1">
      <c r="A428" s="2">
        <f>IF(B428="","",IFERROR(VLOOKUP(B428, PLANTA_BASE!A:R, 2, FALSE), "NO ENCONTRADO EN PLANTA"))</f>
        <v/>
      </c>
      <c r="B428" s="3" t="inlineStr"/>
      <c r="C428" s="4">
        <f>IF(B428="","",IFERROR(VLOOKUP(B428, PLANTA_BASE!A:R, 3, FALSE), ""))</f>
        <v/>
      </c>
      <c r="D428" s="2">
        <f>IF(B428="","",IFERROR(VLOOKUP(B428, PLANTA_BASE!A:R, 5, FALSE), "NO ENCONTRADO EN PLANTA"))</f>
        <v/>
      </c>
      <c r="E428" s="2">
        <f>IF(B428="","",IFERROR(VLOOKUP(B428, PLANTA_BASE!A:R, 6, FALSE), "NO ENCONTRADO EN PLANTA"))</f>
        <v/>
      </c>
      <c r="F428" s="4">
        <f>IF(B428="","",IFERROR(VLOOKUP(B428, PLANTA_BASE!A:R, 8, FALSE), "DOCENTE / FACILITADOR"))</f>
        <v/>
      </c>
      <c r="G428" s="4">
        <f>IF(B428="","",IFERROR(VLOOKUP(B428, PLANTA_BASE!A:R, 9, FALSE), "GENERAL"))</f>
        <v/>
      </c>
      <c r="H428" s="2">
        <f>IF(B428="","",IFERROR(VLOOKUP(B428, PLANTA_BASE!A:R, 17, FALSE), "GENERAL"))</f>
        <v/>
      </c>
    </row>
    <row r="429" ht="20" customHeight="1">
      <c r="A429" s="5">
        <f>IF(B429="","",IFERROR(VLOOKUP(B429, PLANTA_BASE!A:R, 2, FALSE), "NO ENCONTRADO EN PLANTA"))</f>
        <v/>
      </c>
      <c r="B429" s="6" t="inlineStr"/>
      <c r="C429" s="7">
        <f>IF(B429="","",IFERROR(VLOOKUP(B429, PLANTA_BASE!A:R, 3, FALSE), ""))</f>
        <v/>
      </c>
      <c r="D429" s="5">
        <f>IF(B429="","",IFERROR(VLOOKUP(B429, PLANTA_BASE!A:R, 5, FALSE), "NO ENCONTRADO EN PLANTA"))</f>
        <v/>
      </c>
      <c r="E429" s="5">
        <f>IF(B429="","",IFERROR(VLOOKUP(B429, PLANTA_BASE!A:R, 6, FALSE), "NO ENCONTRADO EN PLANTA"))</f>
        <v/>
      </c>
      <c r="F429" s="7">
        <f>IF(B429="","",IFERROR(VLOOKUP(B429, PLANTA_BASE!A:R, 8, FALSE), "DOCENTE / FACILITADOR"))</f>
        <v/>
      </c>
      <c r="G429" s="7">
        <f>IF(B429="","",IFERROR(VLOOKUP(B429, PLANTA_BASE!A:R, 9, FALSE), "GENERAL"))</f>
        <v/>
      </c>
      <c r="H429" s="5">
        <f>IF(B429="","",IFERROR(VLOOKUP(B429, PLANTA_BASE!A:R, 17, FALSE), "GENERAL"))</f>
        <v/>
      </c>
    </row>
    <row r="430" ht="20" customHeight="1">
      <c r="A430" s="2">
        <f>IF(B430="","",IFERROR(VLOOKUP(B430, PLANTA_BASE!A:R, 2, FALSE), "NO ENCONTRADO EN PLANTA"))</f>
        <v/>
      </c>
      <c r="B430" s="3" t="inlineStr"/>
      <c r="C430" s="4">
        <f>IF(B430="","",IFERROR(VLOOKUP(B430, PLANTA_BASE!A:R, 3, FALSE), ""))</f>
        <v/>
      </c>
      <c r="D430" s="2">
        <f>IF(B430="","",IFERROR(VLOOKUP(B430, PLANTA_BASE!A:R, 5, FALSE), "NO ENCONTRADO EN PLANTA"))</f>
        <v/>
      </c>
      <c r="E430" s="2">
        <f>IF(B430="","",IFERROR(VLOOKUP(B430, PLANTA_BASE!A:R, 6, FALSE), "NO ENCONTRADO EN PLANTA"))</f>
        <v/>
      </c>
      <c r="F430" s="4">
        <f>IF(B430="","",IFERROR(VLOOKUP(B430, PLANTA_BASE!A:R, 8, FALSE), "DOCENTE / FACILITADOR"))</f>
        <v/>
      </c>
      <c r="G430" s="4">
        <f>IF(B430="","",IFERROR(VLOOKUP(B430, PLANTA_BASE!A:R, 9, FALSE), "GENERAL"))</f>
        <v/>
      </c>
      <c r="H430" s="2">
        <f>IF(B430="","",IFERROR(VLOOKUP(B430, PLANTA_BASE!A:R, 17, FALSE), "GENERAL"))</f>
        <v/>
      </c>
    </row>
    <row r="431" ht="20" customHeight="1">
      <c r="A431" s="5">
        <f>IF(B431="","",IFERROR(VLOOKUP(B431, PLANTA_BASE!A:R, 2, FALSE), "NO ENCONTRADO EN PLANTA"))</f>
        <v/>
      </c>
      <c r="B431" s="6" t="inlineStr"/>
      <c r="C431" s="7">
        <f>IF(B431="","",IFERROR(VLOOKUP(B431, PLANTA_BASE!A:R, 3, FALSE), ""))</f>
        <v/>
      </c>
      <c r="D431" s="5">
        <f>IF(B431="","",IFERROR(VLOOKUP(B431, PLANTA_BASE!A:R, 5, FALSE), "NO ENCONTRADO EN PLANTA"))</f>
        <v/>
      </c>
      <c r="E431" s="5">
        <f>IF(B431="","",IFERROR(VLOOKUP(B431, PLANTA_BASE!A:R, 6, FALSE), "NO ENCONTRADO EN PLANTA"))</f>
        <v/>
      </c>
      <c r="F431" s="7">
        <f>IF(B431="","",IFERROR(VLOOKUP(B431, PLANTA_BASE!A:R, 8, FALSE), "DOCENTE / FACILITADOR"))</f>
        <v/>
      </c>
      <c r="G431" s="7">
        <f>IF(B431="","",IFERROR(VLOOKUP(B431, PLANTA_BASE!A:R, 9, FALSE), "GENERAL"))</f>
        <v/>
      </c>
      <c r="H431" s="5">
        <f>IF(B431="","",IFERROR(VLOOKUP(B431, PLANTA_BASE!A:R, 17, FALSE), "GENERAL"))</f>
        <v/>
      </c>
    </row>
    <row r="432" ht="20" customHeight="1">
      <c r="A432" s="2">
        <f>IF(B432="","",IFERROR(VLOOKUP(B432, PLANTA_BASE!A:R, 2, FALSE), "NO ENCONTRADO EN PLANTA"))</f>
        <v/>
      </c>
      <c r="B432" s="3" t="inlineStr"/>
      <c r="C432" s="4">
        <f>IF(B432="","",IFERROR(VLOOKUP(B432, PLANTA_BASE!A:R, 3, FALSE), ""))</f>
        <v/>
      </c>
      <c r="D432" s="2">
        <f>IF(B432="","",IFERROR(VLOOKUP(B432, PLANTA_BASE!A:R, 5, FALSE), "NO ENCONTRADO EN PLANTA"))</f>
        <v/>
      </c>
      <c r="E432" s="2">
        <f>IF(B432="","",IFERROR(VLOOKUP(B432, PLANTA_BASE!A:R, 6, FALSE), "NO ENCONTRADO EN PLANTA"))</f>
        <v/>
      </c>
      <c r="F432" s="4">
        <f>IF(B432="","",IFERROR(VLOOKUP(B432, PLANTA_BASE!A:R, 8, FALSE), "DOCENTE / FACILITADOR"))</f>
        <v/>
      </c>
      <c r="G432" s="4">
        <f>IF(B432="","",IFERROR(VLOOKUP(B432, PLANTA_BASE!A:R, 9, FALSE), "GENERAL"))</f>
        <v/>
      </c>
      <c r="H432" s="2">
        <f>IF(B432="","",IFERROR(VLOOKUP(B432, PLANTA_BASE!A:R, 17, FALSE), "GENERAL"))</f>
        <v/>
      </c>
    </row>
    <row r="433" ht="20" customHeight="1">
      <c r="A433" s="5">
        <f>IF(B433="","",IFERROR(VLOOKUP(B433, PLANTA_BASE!A:R, 2, FALSE), "NO ENCONTRADO EN PLANTA"))</f>
        <v/>
      </c>
      <c r="B433" s="6" t="inlineStr"/>
      <c r="C433" s="7">
        <f>IF(B433="","",IFERROR(VLOOKUP(B433, PLANTA_BASE!A:R, 3, FALSE), ""))</f>
        <v/>
      </c>
      <c r="D433" s="5">
        <f>IF(B433="","",IFERROR(VLOOKUP(B433, PLANTA_BASE!A:R, 5, FALSE), "NO ENCONTRADO EN PLANTA"))</f>
        <v/>
      </c>
      <c r="E433" s="5">
        <f>IF(B433="","",IFERROR(VLOOKUP(B433, PLANTA_BASE!A:R, 6, FALSE), "NO ENCONTRADO EN PLANTA"))</f>
        <v/>
      </c>
      <c r="F433" s="7">
        <f>IF(B433="","",IFERROR(VLOOKUP(B433, PLANTA_BASE!A:R, 8, FALSE), "DOCENTE / FACILITADOR"))</f>
        <v/>
      </c>
      <c r="G433" s="7">
        <f>IF(B433="","",IFERROR(VLOOKUP(B433, PLANTA_BASE!A:R, 9, FALSE), "GENERAL"))</f>
        <v/>
      </c>
      <c r="H433" s="5">
        <f>IF(B433="","",IFERROR(VLOOKUP(B433, PLANTA_BASE!A:R, 17, FALSE), "GENERAL"))</f>
        <v/>
      </c>
    </row>
    <row r="434" ht="20" customHeight="1">
      <c r="A434" s="2">
        <f>IF(B434="","",IFERROR(VLOOKUP(B434, PLANTA_BASE!A:R, 2, FALSE), "NO ENCONTRADO EN PLANTA"))</f>
        <v/>
      </c>
      <c r="B434" s="3" t="inlineStr"/>
      <c r="C434" s="4">
        <f>IF(B434="","",IFERROR(VLOOKUP(B434, PLANTA_BASE!A:R, 3, FALSE), ""))</f>
        <v/>
      </c>
      <c r="D434" s="2">
        <f>IF(B434="","",IFERROR(VLOOKUP(B434, PLANTA_BASE!A:R, 5, FALSE), "NO ENCONTRADO EN PLANTA"))</f>
        <v/>
      </c>
      <c r="E434" s="2">
        <f>IF(B434="","",IFERROR(VLOOKUP(B434, PLANTA_BASE!A:R, 6, FALSE), "NO ENCONTRADO EN PLANTA"))</f>
        <v/>
      </c>
      <c r="F434" s="4">
        <f>IF(B434="","",IFERROR(VLOOKUP(B434, PLANTA_BASE!A:R, 8, FALSE), "DOCENTE / FACILITADOR"))</f>
        <v/>
      </c>
      <c r="G434" s="4">
        <f>IF(B434="","",IFERROR(VLOOKUP(B434, PLANTA_BASE!A:R, 9, FALSE), "GENERAL"))</f>
        <v/>
      </c>
      <c r="H434" s="2">
        <f>IF(B434="","",IFERROR(VLOOKUP(B434, PLANTA_BASE!A:R, 17, FALSE), "GENERAL"))</f>
        <v/>
      </c>
    </row>
    <row r="435" ht="20" customHeight="1">
      <c r="A435" s="5">
        <f>IF(B435="","",IFERROR(VLOOKUP(B435, PLANTA_BASE!A:R, 2, FALSE), "NO ENCONTRADO EN PLANTA"))</f>
        <v/>
      </c>
      <c r="B435" s="6" t="inlineStr"/>
      <c r="C435" s="7">
        <f>IF(B435="","",IFERROR(VLOOKUP(B435, PLANTA_BASE!A:R, 3, FALSE), ""))</f>
        <v/>
      </c>
      <c r="D435" s="5">
        <f>IF(B435="","",IFERROR(VLOOKUP(B435, PLANTA_BASE!A:R, 5, FALSE), "NO ENCONTRADO EN PLANTA"))</f>
        <v/>
      </c>
      <c r="E435" s="5">
        <f>IF(B435="","",IFERROR(VLOOKUP(B435, PLANTA_BASE!A:R, 6, FALSE), "NO ENCONTRADO EN PLANTA"))</f>
        <v/>
      </c>
      <c r="F435" s="7">
        <f>IF(B435="","",IFERROR(VLOOKUP(B435, PLANTA_BASE!A:R, 8, FALSE), "DOCENTE / FACILITADOR"))</f>
        <v/>
      </c>
      <c r="G435" s="7">
        <f>IF(B435="","",IFERROR(VLOOKUP(B435, PLANTA_BASE!A:R, 9, FALSE), "GENERAL"))</f>
        <v/>
      </c>
      <c r="H435" s="5">
        <f>IF(B435="","",IFERROR(VLOOKUP(B435, PLANTA_BASE!A:R, 17, FALSE), "GENERAL"))</f>
        <v/>
      </c>
    </row>
    <row r="436" ht="20" customHeight="1">
      <c r="A436" s="2">
        <f>IF(B436="","",IFERROR(VLOOKUP(B436, PLANTA_BASE!A:R, 2, FALSE), "NO ENCONTRADO EN PLANTA"))</f>
        <v/>
      </c>
      <c r="B436" s="3" t="inlineStr"/>
      <c r="C436" s="4">
        <f>IF(B436="","",IFERROR(VLOOKUP(B436, PLANTA_BASE!A:R, 3, FALSE), ""))</f>
        <v/>
      </c>
      <c r="D436" s="2">
        <f>IF(B436="","",IFERROR(VLOOKUP(B436, PLANTA_BASE!A:R, 5, FALSE), "NO ENCONTRADO EN PLANTA"))</f>
        <v/>
      </c>
      <c r="E436" s="2">
        <f>IF(B436="","",IFERROR(VLOOKUP(B436, PLANTA_BASE!A:R, 6, FALSE), "NO ENCONTRADO EN PLANTA"))</f>
        <v/>
      </c>
      <c r="F436" s="4">
        <f>IF(B436="","",IFERROR(VLOOKUP(B436, PLANTA_BASE!A:R, 8, FALSE), "DOCENTE / FACILITADOR"))</f>
        <v/>
      </c>
      <c r="G436" s="4">
        <f>IF(B436="","",IFERROR(VLOOKUP(B436, PLANTA_BASE!A:R, 9, FALSE), "GENERAL"))</f>
        <v/>
      </c>
      <c r="H436" s="2">
        <f>IF(B436="","",IFERROR(VLOOKUP(B436, PLANTA_BASE!A:R, 17, FALSE), "GENERAL"))</f>
        <v/>
      </c>
    </row>
    <row r="437" ht="20" customHeight="1">
      <c r="A437" s="5">
        <f>IF(B437="","",IFERROR(VLOOKUP(B437, PLANTA_BASE!A:R, 2, FALSE), "NO ENCONTRADO EN PLANTA"))</f>
        <v/>
      </c>
      <c r="B437" s="6" t="inlineStr"/>
      <c r="C437" s="7">
        <f>IF(B437="","",IFERROR(VLOOKUP(B437, PLANTA_BASE!A:R, 3, FALSE), ""))</f>
        <v/>
      </c>
      <c r="D437" s="5">
        <f>IF(B437="","",IFERROR(VLOOKUP(B437, PLANTA_BASE!A:R, 5, FALSE), "NO ENCONTRADO EN PLANTA"))</f>
        <v/>
      </c>
      <c r="E437" s="5">
        <f>IF(B437="","",IFERROR(VLOOKUP(B437, PLANTA_BASE!A:R, 6, FALSE), "NO ENCONTRADO EN PLANTA"))</f>
        <v/>
      </c>
      <c r="F437" s="7">
        <f>IF(B437="","",IFERROR(VLOOKUP(B437, PLANTA_BASE!A:R, 8, FALSE), "DOCENTE / FACILITADOR"))</f>
        <v/>
      </c>
      <c r="G437" s="7">
        <f>IF(B437="","",IFERROR(VLOOKUP(B437, PLANTA_BASE!A:R, 9, FALSE), "GENERAL"))</f>
        <v/>
      </c>
      <c r="H437" s="5">
        <f>IF(B437="","",IFERROR(VLOOKUP(B437, PLANTA_BASE!A:R, 17, FALSE), "GENERAL"))</f>
        <v/>
      </c>
    </row>
    <row r="438" ht="20" customHeight="1">
      <c r="A438" s="2">
        <f>IF(B438="","",IFERROR(VLOOKUP(B438, PLANTA_BASE!A:R, 2, FALSE), "NO ENCONTRADO EN PLANTA"))</f>
        <v/>
      </c>
      <c r="B438" s="3" t="inlineStr"/>
      <c r="C438" s="4">
        <f>IF(B438="","",IFERROR(VLOOKUP(B438, PLANTA_BASE!A:R, 3, FALSE), ""))</f>
        <v/>
      </c>
      <c r="D438" s="2">
        <f>IF(B438="","",IFERROR(VLOOKUP(B438, PLANTA_BASE!A:R, 5, FALSE), "NO ENCONTRADO EN PLANTA"))</f>
        <v/>
      </c>
      <c r="E438" s="2">
        <f>IF(B438="","",IFERROR(VLOOKUP(B438, PLANTA_BASE!A:R, 6, FALSE), "NO ENCONTRADO EN PLANTA"))</f>
        <v/>
      </c>
      <c r="F438" s="4">
        <f>IF(B438="","",IFERROR(VLOOKUP(B438, PLANTA_BASE!A:R, 8, FALSE), "DOCENTE / FACILITADOR"))</f>
        <v/>
      </c>
      <c r="G438" s="4">
        <f>IF(B438="","",IFERROR(VLOOKUP(B438, PLANTA_BASE!A:R, 9, FALSE), "GENERAL"))</f>
        <v/>
      </c>
      <c r="H438" s="2">
        <f>IF(B438="","",IFERROR(VLOOKUP(B438, PLANTA_BASE!A:R, 17, FALSE), "GENERAL"))</f>
        <v/>
      </c>
    </row>
    <row r="439" ht="20" customHeight="1">
      <c r="A439" s="5">
        <f>IF(B439="","",IFERROR(VLOOKUP(B439, PLANTA_BASE!A:R, 2, FALSE), "NO ENCONTRADO EN PLANTA"))</f>
        <v/>
      </c>
      <c r="B439" s="6" t="inlineStr"/>
      <c r="C439" s="7">
        <f>IF(B439="","",IFERROR(VLOOKUP(B439, PLANTA_BASE!A:R, 3, FALSE), ""))</f>
        <v/>
      </c>
      <c r="D439" s="5">
        <f>IF(B439="","",IFERROR(VLOOKUP(B439, PLANTA_BASE!A:R, 5, FALSE), "NO ENCONTRADO EN PLANTA"))</f>
        <v/>
      </c>
      <c r="E439" s="5">
        <f>IF(B439="","",IFERROR(VLOOKUP(B439, PLANTA_BASE!A:R, 6, FALSE), "NO ENCONTRADO EN PLANTA"))</f>
        <v/>
      </c>
      <c r="F439" s="7">
        <f>IF(B439="","",IFERROR(VLOOKUP(B439, PLANTA_BASE!A:R, 8, FALSE), "DOCENTE / FACILITADOR"))</f>
        <v/>
      </c>
      <c r="G439" s="7">
        <f>IF(B439="","",IFERROR(VLOOKUP(B439, PLANTA_BASE!A:R, 9, FALSE), "GENERAL"))</f>
        <v/>
      </c>
      <c r="H439" s="5">
        <f>IF(B439="","",IFERROR(VLOOKUP(B439, PLANTA_BASE!A:R, 17, FALSE), "GENERAL"))</f>
        <v/>
      </c>
    </row>
    <row r="440" ht="20" customHeight="1">
      <c r="A440" s="2">
        <f>IF(B440="","",IFERROR(VLOOKUP(B440, PLANTA_BASE!A:R, 2, FALSE), "NO ENCONTRADO EN PLANTA"))</f>
        <v/>
      </c>
      <c r="B440" s="3" t="inlineStr"/>
      <c r="C440" s="4">
        <f>IF(B440="","",IFERROR(VLOOKUP(B440, PLANTA_BASE!A:R, 3, FALSE), ""))</f>
        <v/>
      </c>
      <c r="D440" s="2">
        <f>IF(B440="","",IFERROR(VLOOKUP(B440, PLANTA_BASE!A:R, 5, FALSE), "NO ENCONTRADO EN PLANTA"))</f>
        <v/>
      </c>
      <c r="E440" s="2">
        <f>IF(B440="","",IFERROR(VLOOKUP(B440, PLANTA_BASE!A:R, 6, FALSE), "NO ENCONTRADO EN PLANTA"))</f>
        <v/>
      </c>
      <c r="F440" s="4">
        <f>IF(B440="","",IFERROR(VLOOKUP(B440, PLANTA_BASE!A:R, 8, FALSE), "DOCENTE / FACILITADOR"))</f>
        <v/>
      </c>
      <c r="G440" s="4">
        <f>IF(B440="","",IFERROR(VLOOKUP(B440, PLANTA_BASE!A:R, 9, FALSE), "GENERAL"))</f>
        <v/>
      </c>
      <c r="H440" s="2">
        <f>IF(B440="","",IFERROR(VLOOKUP(B440, PLANTA_BASE!A:R, 17, FALSE), "GENERAL"))</f>
        <v/>
      </c>
    </row>
    <row r="441" ht="20" customHeight="1">
      <c r="A441" s="5">
        <f>IF(B441="","",IFERROR(VLOOKUP(B441, PLANTA_BASE!A:R, 2, FALSE), "NO ENCONTRADO EN PLANTA"))</f>
        <v/>
      </c>
      <c r="B441" s="6" t="inlineStr"/>
      <c r="C441" s="7">
        <f>IF(B441="","",IFERROR(VLOOKUP(B441, PLANTA_BASE!A:R, 3, FALSE), ""))</f>
        <v/>
      </c>
      <c r="D441" s="5">
        <f>IF(B441="","",IFERROR(VLOOKUP(B441, PLANTA_BASE!A:R, 5, FALSE), "NO ENCONTRADO EN PLANTA"))</f>
        <v/>
      </c>
      <c r="E441" s="5">
        <f>IF(B441="","",IFERROR(VLOOKUP(B441, PLANTA_BASE!A:R, 6, FALSE), "NO ENCONTRADO EN PLANTA"))</f>
        <v/>
      </c>
      <c r="F441" s="7">
        <f>IF(B441="","",IFERROR(VLOOKUP(B441, PLANTA_BASE!A:R, 8, FALSE), "DOCENTE / FACILITADOR"))</f>
        <v/>
      </c>
      <c r="G441" s="7">
        <f>IF(B441="","",IFERROR(VLOOKUP(B441, PLANTA_BASE!A:R, 9, FALSE), "GENERAL"))</f>
        <v/>
      </c>
      <c r="H441" s="5">
        <f>IF(B441="","",IFERROR(VLOOKUP(B441, PLANTA_BASE!A:R, 17, FALSE), "GENERAL"))</f>
        <v/>
      </c>
    </row>
    <row r="442" ht="20" customHeight="1">
      <c r="A442" s="2">
        <f>IF(B442="","",IFERROR(VLOOKUP(B442, PLANTA_BASE!A:R, 2, FALSE), "NO ENCONTRADO EN PLANTA"))</f>
        <v/>
      </c>
      <c r="B442" s="3" t="inlineStr"/>
      <c r="C442" s="4">
        <f>IF(B442="","",IFERROR(VLOOKUP(B442, PLANTA_BASE!A:R, 3, FALSE), ""))</f>
        <v/>
      </c>
      <c r="D442" s="2">
        <f>IF(B442="","",IFERROR(VLOOKUP(B442, PLANTA_BASE!A:R, 5, FALSE), "NO ENCONTRADO EN PLANTA"))</f>
        <v/>
      </c>
      <c r="E442" s="2">
        <f>IF(B442="","",IFERROR(VLOOKUP(B442, PLANTA_BASE!A:R, 6, FALSE), "NO ENCONTRADO EN PLANTA"))</f>
        <v/>
      </c>
      <c r="F442" s="4">
        <f>IF(B442="","",IFERROR(VLOOKUP(B442, PLANTA_BASE!A:R, 8, FALSE), "DOCENTE / FACILITADOR"))</f>
        <v/>
      </c>
      <c r="G442" s="4">
        <f>IF(B442="","",IFERROR(VLOOKUP(B442, PLANTA_BASE!A:R, 9, FALSE), "GENERAL"))</f>
        <v/>
      </c>
      <c r="H442" s="2">
        <f>IF(B442="","",IFERROR(VLOOKUP(B442, PLANTA_BASE!A:R, 17, FALSE), "GENERAL"))</f>
        <v/>
      </c>
    </row>
    <row r="443" ht="20" customHeight="1">
      <c r="A443" s="5">
        <f>IF(B443="","",IFERROR(VLOOKUP(B443, PLANTA_BASE!A:R, 2, FALSE), "NO ENCONTRADO EN PLANTA"))</f>
        <v/>
      </c>
      <c r="B443" s="6" t="inlineStr"/>
      <c r="C443" s="7">
        <f>IF(B443="","",IFERROR(VLOOKUP(B443, PLANTA_BASE!A:R, 3, FALSE), ""))</f>
        <v/>
      </c>
      <c r="D443" s="5">
        <f>IF(B443="","",IFERROR(VLOOKUP(B443, PLANTA_BASE!A:R, 5, FALSE), "NO ENCONTRADO EN PLANTA"))</f>
        <v/>
      </c>
      <c r="E443" s="5">
        <f>IF(B443="","",IFERROR(VLOOKUP(B443, PLANTA_BASE!A:R, 6, FALSE), "NO ENCONTRADO EN PLANTA"))</f>
        <v/>
      </c>
      <c r="F443" s="7">
        <f>IF(B443="","",IFERROR(VLOOKUP(B443, PLANTA_BASE!A:R, 8, FALSE), "DOCENTE / FACILITADOR"))</f>
        <v/>
      </c>
      <c r="G443" s="7">
        <f>IF(B443="","",IFERROR(VLOOKUP(B443, PLANTA_BASE!A:R, 9, FALSE), "GENERAL"))</f>
        <v/>
      </c>
      <c r="H443" s="5">
        <f>IF(B443="","",IFERROR(VLOOKUP(B443, PLANTA_BASE!A:R, 17, FALSE), "GENERAL"))</f>
        <v/>
      </c>
    </row>
    <row r="444" ht="20" customHeight="1">
      <c r="A444" s="2">
        <f>IF(B444="","",IFERROR(VLOOKUP(B444, PLANTA_BASE!A:R, 2, FALSE), "NO ENCONTRADO EN PLANTA"))</f>
        <v/>
      </c>
      <c r="B444" s="3" t="inlineStr"/>
      <c r="C444" s="4">
        <f>IF(B444="","",IFERROR(VLOOKUP(B444, PLANTA_BASE!A:R, 3, FALSE), ""))</f>
        <v/>
      </c>
      <c r="D444" s="2">
        <f>IF(B444="","",IFERROR(VLOOKUP(B444, PLANTA_BASE!A:R, 5, FALSE), "NO ENCONTRADO EN PLANTA"))</f>
        <v/>
      </c>
      <c r="E444" s="2">
        <f>IF(B444="","",IFERROR(VLOOKUP(B444, PLANTA_BASE!A:R, 6, FALSE), "NO ENCONTRADO EN PLANTA"))</f>
        <v/>
      </c>
      <c r="F444" s="4">
        <f>IF(B444="","",IFERROR(VLOOKUP(B444, PLANTA_BASE!A:R, 8, FALSE), "DOCENTE / FACILITADOR"))</f>
        <v/>
      </c>
      <c r="G444" s="4">
        <f>IF(B444="","",IFERROR(VLOOKUP(B444, PLANTA_BASE!A:R, 9, FALSE), "GENERAL"))</f>
        <v/>
      </c>
      <c r="H444" s="2">
        <f>IF(B444="","",IFERROR(VLOOKUP(B444, PLANTA_BASE!A:R, 17, FALSE), "GENERAL"))</f>
        <v/>
      </c>
    </row>
    <row r="445" ht="20" customHeight="1">
      <c r="A445" s="5">
        <f>IF(B445="","",IFERROR(VLOOKUP(B445, PLANTA_BASE!A:R, 2, FALSE), "NO ENCONTRADO EN PLANTA"))</f>
        <v/>
      </c>
      <c r="B445" s="6" t="inlineStr"/>
      <c r="C445" s="7">
        <f>IF(B445="","",IFERROR(VLOOKUP(B445, PLANTA_BASE!A:R, 3, FALSE), ""))</f>
        <v/>
      </c>
      <c r="D445" s="5">
        <f>IF(B445="","",IFERROR(VLOOKUP(B445, PLANTA_BASE!A:R, 5, FALSE), "NO ENCONTRADO EN PLANTA"))</f>
        <v/>
      </c>
      <c r="E445" s="5">
        <f>IF(B445="","",IFERROR(VLOOKUP(B445, PLANTA_BASE!A:R, 6, FALSE), "NO ENCONTRADO EN PLANTA"))</f>
        <v/>
      </c>
      <c r="F445" s="7">
        <f>IF(B445="","",IFERROR(VLOOKUP(B445, PLANTA_BASE!A:R, 8, FALSE), "DOCENTE / FACILITADOR"))</f>
        <v/>
      </c>
      <c r="G445" s="7">
        <f>IF(B445="","",IFERROR(VLOOKUP(B445, PLANTA_BASE!A:R, 9, FALSE), "GENERAL"))</f>
        <v/>
      </c>
      <c r="H445" s="5">
        <f>IF(B445="","",IFERROR(VLOOKUP(B445, PLANTA_BASE!A:R, 17, FALSE), "GENERAL"))</f>
        <v/>
      </c>
    </row>
    <row r="446" ht="20" customHeight="1">
      <c r="A446" s="2">
        <f>IF(B446="","",IFERROR(VLOOKUP(B446, PLANTA_BASE!A:R, 2, FALSE), "NO ENCONTRADO EN PLANTA"))</f>
        <v/>
      </c>
      <c r="B446" s="3" t="inlineStr"/>
      <c r="C446" s="4">
        <f>IF(B446="","",IFERROR(VLOOKUP(B446, PLANTA_BASE!A:R, 3, FALSE), ""))</f>
        <v/>
      </c>
      <c r="D446" s="2">
        <f>IF(B446="","",IFERROR(VLOOKUP(B446, PLANTA_BASE!A:R, 5, FALSE), "NO ENCONTRADO EN PLANTA"))</f>
        <v/>
      </c>
      <c r="E446" s="2">
        <f>IF(B446="","",IFERROR(VLOOKUP(B446, PLANTA_BASE!A:R, 6, FALSE), "NO ENCONTRADO EN PLANTA"))</f>
        <v/>
      </c>
      <c r="F446" s="4">
        <f>IF(B446="","",IFERROR(VLOOKUP(B446, PLANTA_BASE!A:R, 8, FALSE), "DOCENTE / FACILITADOR"))</f>
        <v/>
      </c>
      <c r="G446" s="4">
        <f>IF(B446="","",IFERROR(VLOOKUP(B446, PLANTA_BASE!A:R, 9, FALSE), "GENERAL"))</f>
        <v/>
      </c>
      <c r="H446" s="2">
        <f>IF(B446="","",IFERROR(VLOOKUP(B446, PLANTA_BASE!A:R, 17, FALSE), "GENERAL"))</f>
        <v/>
      </c>
    </row>
    <row r="447" ht="20" customHeight="1">
      <c r="A447" s="5">
        <f>IF(B447="","",IFERROR(VLOOKUP(B447, PLANTA_BASE!A:R, 2, FALSE), "NO ENCONTRADO EN PLANTA"))</f>
        <v/>
      </c>
      <c r="B447" s="6" t="inlineStr"/>
      <c r="C447" s="7">
        <f>IF(B447="","",IFERROR(VLOOKUP(B447, PLANTA_BASE!A:R, 3, FALSE), ""))</f>
        <v/>
      </c>
      <c r="D447" s="5">
        <f>IF(B447="","",IFERROR(VLOOKUP(B447, PLANTA_BASE!A:R, 5, FALSE), "NO ENCONTRADO EN PLANTA"))</f>
        <v/>
      </c>
      <c r="E447" s="5">
        <f>IF(B447="","",IFERROR(VLOOKUP(B447, PLANTA_BASE!A:R, 6, FALSE), "NO ENCONTRADO EN PLANTA"))</f>
        <v/>
      </c>
      <c r="F447" s="7">
        <f>IF(B447="","",IFERROR(VLOOKUP(B447, PLANTA_BASE!A:R, 8, FALSE), "DOCENTE / FACILITADOR"))</f>
        <v/>
      </c>
      <c r="G447" s="7">
        <f>IF(B447="","",IFERROR(VLOOKUP(B447, PLANTA_BASE!A:R, 9, FALSE), "GENERAL"))</f>
        <v/>
      </c>
      <c r="H447" s="5">
        <f>IF(B447="","",IFERROR(VLOOKUP(B447, PLANTA_BASE!A:R, 17, FALSE), "GENERAL"))</f>
        <v/>
      </c>
    </row>
    <row r="448" ht="20" customHeight="1">
      <c r="A448" s="2">
        <f>IF(B448="","",IFERROR(VLOOKUP(B448, PLANTA_BASE!A:R, 2, FALSE), "NO ENCONTRADO EN PLANTA"))</f>
        <v/>
      </c>
      <c r="B448" s="3" t="inlineStr"/>
      <c r="C448" s="4">
        <f>IF(B448="","",IFERROR(VLOOKUP(B448, PLANTA_BASE!A:R, 3, FALSE), ""))</f>
        <v/>
      </c>
      <c r="D448" s="2">
        <f>IF(B448="","",IFERROR(VLOOKUP(B448, PLANTA_BASE!A:R, 5, FALSE), "NO ENCONTRADO EN PLANTA"))</f>
        <v/>
      </c>
      <c r="E448" s="2">
        <f>IF(B448="","",IFERROR(VLOOKUP(B448, PLANTA_BASE!A:R, 6, FALSE), "NO ENCONTRADO EN PLANTA"))</f>
        <v/>
      </c>
      <c r="F448" s="4">
        <f>IF(B448="","",IFERROR(VLOOKUP(B448, PLANTA_BASE!A:R, 8, FALSE), "DOCENTE / FACILITADOR"))</f>
        <v/>
      </c>
      <c r="G448" s="4">
        <f>IF(B448="","",IFERROR(VLOOKUP(B448, PLANTA_BASE!A:R, 9, FALSE), "GENERAL"))</f>
        <v/>
      </c>
      <c r="H448" s="2">
        <f>IF(B448="","",IFERROR(VLOOKUP(B448, PLANTA_BASE!A:R, 17, FALSE), "GENERAL"))</f>
        <v/>
      </c>
    </row>
    <row r="449" ht="20" customHeight="1">
      <c r="A449" s="5">
        <f>IF(B449="","",IFERROR(VLOOKUP(B449, PLANTA_BASE!A:R, 2, FALSE), "NO ENCONTRADO EN PLANTA"))</f>
        <v/>
      </c>
      <c r="B449" s="6" t="inlineStr"/>
      <c r="C449" s="7">
        <f>IF(B449="","",IFERROR(VLOOKUP(B449, PLANTA_BASE!A:R, 3, FALSE), ""))</f>
        <v/>
      </c>
      <c r="D449" s="5">
        <f>IF(B449="","",IFERROR(VLOOKUP(B449, PLANTA_BASE!A:R, 5, FALSE), "NO ENCONTRADO EN PLANTA"))</f>
        <v/>
      </c>
      <c r="E449" s="5">
        <f>IF(B449="","",IFERROR(VLOOKUP(B449, PLANTA_BASE!A:R, 6, FALSE), "NO ENCONTRADO EN PLANTA"))</f>
        <v/>
      </c>
      <c r="F449" s="7">
        <f>IF(B449="","",IFERROR(VLOOKUP(B449, PLANTA_BASE!A:R, 8, FALSE), "DOCENTE / FACILITADOR"))</f>
        <v/>
      </c>
      <c r="G449" s="7">
        <f>IF(B449="","",IFERROR(VLOOKUP(B449, PLANTA_BASE!A:R, 9, FALSE), "GENERAL"))</f>
        <v/>
      </c>
      <c r="H449" s="5">
        <f>IF(B449="","",IFERROR(VLOOKUP(B449, PLANTA_BASE!A:R, 17, FALSE), "GENERAL"))</f>
        <v/>
      </c>
    </row>
    <row r="450" ht="20" customHeight="1">
      <c r="A450" s="2">
        <f>IF(B450="","",IFERROR(VLOOKUP(B450, PLANTA_BASE!A:R, 2, FALSE), "NO ENCONTRADO EN PLANTA"))</f>
        <v/>
      </c>
      <c r="B450" s="3" t="inlineStr"/>
      <c r="C450" s="4">
        <f>IF(B450="","",IFERROR(VLOOKUP(B450, PLANTA_BASE!A:R, 3, FALSE), ""))</f>
        <v/>
      </c>
      <c r="D450" s="2">
        <f>IF(B450="","",IFERROR(VLOOKUP(B450, PLANTA_BASE!A:R, 5, FALSE), "NO ENCONTRADO EN PLANTA"))</f>
        <v/>
      </c>
      <c r="E450" s="2">
        <f>IF(B450="","",IFERROR(VLOOKUP(B450, PLANTA_BASE!A:R, 6, FALSE), "NO ENCONTRADO EN PLANTA"))</f>
        <v/>
      </c>
      <c r="F450" s="4">
        <f>IF(B450="","",IFERROR(VLOOKUP(B450, PLANTA_BASE!A:R, 8, FALSE), "DOCENTE / FACILITADOR"))</f>
        <v/>
      </c>
      <c r="G450" s="4">
        <f>IF(B450="","",IFERROR(VLOOKUP(B450, PLANTA_BASE!A:R, 9, FALSE), "GENERAL"))</f>
        <v/>
      </c>
      <c r="H450" s="2">
        <f>IF(B450="","",IFERROR(VLOOKUP(B450, PLANTA_BASE!A:R, 17, FALSE), "GENERAL"))</f>
        <v/>
      </c>
    </row>
    <row r="451" ht="20" customHeight="1">
      <c r="A451" s="5">
        <f>IF(B451="","",IFERROR(VLOOKUP(B451, PLANTA_BASE!A:R, 2, FALSE), "NO ENCONTRADO EN PLANTA"))</f>
        <v/>
      </c>
      <c r="B451" s="6" t="inlineStr"/>
      <c r="C451" s="7">
        <f>IF(B451="","",IFERROR(VLOOKUP(B451, PLANTA_BASE!A:R, 3, FALSE), ""))</f>
        <v/>
      </c>
      <c r="D451" s="5">
        <f>IF(B451="","",IFERROR(VLOOKUP(B451, PLANTA_BASE!A:R, 5, FALSE), "NO ENCONTRADO EN PLANTA"))</f>
        <v/>
      </c>
      <c r="E451" s="5">
        <f>IF(B451="","",IFERROR(VLOOKUP(B451, PLANTA_BASE!A:R, 6, FALSE), "NO ENCONTRADO EN PLANTA"))</f>
        <v/>
      </c>
      <c r="F451" s="7">
        <f>IF(B451="","",IFERROR(VLOOKUP(B451, PLANTA_BASE!A:R, 8, FALSE), "DOCENTE / FACILITADOR"))</f>
        <v/>
      </c>
      <c r="G451" s="7">
        <f>IF(B451="","",IFERROR(VLOOKUP(B451, PLANTA_BASE!A:R, 9, FALSE), "GENERAL"))</f>
        <v/>
      </c>
      <c r="H451" s="5">
        <f>IF(B451="","",IFERROR(VLOOKUP(B451, PLANTA_BASE!A:R, 17, FALSE), "GENERAL"))</f>
        <v/>
      </c>
    </row>
    <row r="452" ht="20" customHeight="1">
      <c r="A452" s="2">
        <f>IF(B452="","",IFERROR(VLOOKUP(B452, PLANTA_BASE!A:R, 2, FALSE), "NO ENCONTRADO EN PLANTA"))</f>
        <v/>
      </c>
      <c r="B452" s="3" t="inlineStr"/>
      <c r="C452" s="4">
        <f>IF(B452="","",IFERROR(VLOOKUP(B452, PLANTA_BASE!A:R, 3, FALSE), ""))</f>
        <v/>
      </c>
      <c r="D452" s="2">
        <f>IF(B452="","",IFERROR(VLOOKUP(B452, PLANTA_BASE!A:R, 5, FALSE), "NO ENCONTRADO EN PLANTA"))</f>
        <v/>
      </c>
      <c r="E452" s="2">
        <f>IF(B452="","",IFERROR(VLOOKUP(B452, PLANTA_BASE!A:R, 6, FALSE), "NO ENCONTRADO EN PLANTA"))</f>
        <v/>
      </c>
      <c r="F452" s="4">
        <f>IF(B452="","",IFERROR(VLOOKUP(B452, PLANTA_BASE!A:R, 8, FALSE), "DOCENTE / FACILITADOR"))</f>
        <v/>
      </c>
      <c r="G452" s="4">
        <f>IF(B452="","",IFERROR(VLOOKUP(B452, PLANTA_BASE!A:R, 9, FALSE), "GENERAL"))</f>
        <v/>
      </c>
      <c r="H452" s="2">
        <f>IF(B452="","",IFERROR(VLOOKUP(B452, PLANTA_BASE!A:R, 17, FALSE), "GENERAL"))</f>
        <v/>
      </c>
    </row>
    <row r="453" ht="20" customHeight="1">
      <c r="A453" s="5">
        <f>IF(B453="","",IFERROR(VLOOKUP(B453, PLANTA_BASE!A:R, 2, FALSE), "NO ENCONTRADO EN PLANTA"))</f>
        <v/>
      </c>
      <c r="B453" s="6" t="inlineStr"/>
      <c r="C453" s="7">
        <f>IF(B453="","",IFERROR(VLOOKUP(B453, PLANTA_BASE!A:R, 3, FALSE), ""))</f>
        <v/>
      </c>
      <c r="D453" s="5">
        <f>IF(B453="","",IFERROR(VLOOKUP(B453, PLANTA_BASE!A:R, 5, FALSE), "NO ENCONTRADO EN PLANTA"))</f>
        <v/>
      </c>
      <c r="E453" s="5">
        <f>IF(B453="","",IFERROR(VLOOKUP(B453, PLANTA_BASE!A:R, 6, FALSE), "NO ENCONTRADO EN PLANTA"))</f>
        <v/>
      </c>
      <c r="F453" s="7">
        <f>IF(B453="","",IFERROR(VLOOKUP(B453, PLANTA_BASE!A:R, 8, FALSE), "DOCENTE / FACILITADOR"))</f>
        <v/>
      </c>
      <c r="G453" s="7">
        <f>IF(B453="","",IFERROR(VLOOKUP(B453, PLANTA_BASE!A:R, 9, FALSE), "GENERAL"))</f>
        <v/>
      </c>
      <c r="H453" s="5">
        <f>IF(B453="","",IFERROR(VLOOKUP(B453, PLANTA_BASE!A:R, 17, FALSE), "GENERAL"))</f>
        <v/>
      </c>
    </row>
    <row r="454" ht="20" customHeight="1">
      <c r="A454" s="2">
        <f>IF(B454="","",IFERROR(VLOOKUP(B454, PLANTA_BASE!A:R, 2, FALSE), "NO ENCONTRADO EN PLANTA"))</f>
        <v/>
      </c>
      <c r="B454" s="3" t="inlineStr"/>
      <c r="C454" s="4">
        <f>IF(B454="","",IFERROR(VLOOKUP(B454, PLANTA_BASE!A:R, 3, FALSE), ""))</f>
        <v/>
      </c>
      <c r="D454" s="2">
        <f>IF(B454="","",IFERROR(VLOOKUP(B454, PLANTA_BASE!A:R, 5, FALSE), "NO ENCONTRADO EN PLANTA"))</f>
        <v/>
      </c>
      <c r="E454" s="2">
        <f>IF(B454="","",IFERROR(VLOOKUP(B454, PLANTA_BASE!A:R, 6, FALSE), "NO ENCONTRADO EN PLANTA"))</f>
        <v/>
      </c>
      <c r="F454" s="4">
        <f>IF(B454="","",IFERROR(VLOOKUP(B454, PLANTA_BASE!A:R, 8, FALSE), "DOCENTE / FACILITADOR"))</f>
        <v/>
      </c>
      <c r="G454" s="4">
        <f>IF(B454="","",IFERROR(VLOOKUP(B454, PLANTA_BASE!A:R, 9, FALSE), "GENERAL"))</f>
        <v/>
      </c>
      <c r="H454" s="2">
        <f>IF(B454="","",IFERROR(VLOOKUP(B454, PLANTA_BASE!A:R, 17, FALSE), "GENERAL"))</f>
        <v/>
      </c>
    </row>
    <row r="455" ht="20" customHeight="1">
      <c r="A455" s="5">
        <f>IF(B455="","",IFERROR(VLOOKUP(B455, PLANTA_BASE!A:R, 2, FALSE), "NO ENCONTRADO EN PLANTA"))</f>
        <v/>
      </c>
      <c r="B455" s="6" t="inlineStr"/>
      <c r="C455" s="7">
        <f>IF(B455="","",IFERROR(VLOOKUP(B455, PLANTA_BASE!A:R, 3, FALSE), ""))</f>
        <v/>
      </c>
      <c r="D455" s="5">
        <f>IF(B455="","",IFERROR(VLOOKUP(B455, PLANTA_BASE!A:R, 5, FALSE), "NO ENCONTRADO EN PLANTA"))</f>
        <v/>
      </c>
      <c r="E455" s="5">
        <f>IF(B455="","",IFERROR(VLOOKUP(B455, PLANTA_BASE!A:R, 6, FALSE), "NO ENCONTRADO EN PLANTA"))</f>
        <v/>
      </c>
      <c r="F455" s="7">
        <f>IF(B455="","",IFERROR(VLOOKUP(B455, PLANTA_BASE!A:R, 8, FALSE), "DOCENTE / FACILITADOR"))</f>
        <v/>
      </c>
      <c r="G455" s="7">
        <f>IF(B455="","",IFERROR(VLOOKUP(B455, PLANTA_BASE!A:R, 9, FALSE), "GENERAL"))</f>
        <v/>
      </c>
      <c r="H455" s="5">
        <f>IF(B455="","",IFERROR(VLOOKUP(B455, PLANTA_BASE!A:R, 17, FALSE), "GENERAL"))</f>
        <v/>
      </c>
    </row>
    <row r="456" ht="20" customHeight="1">
      <c r="A456" s="2">
        <f>IF(B456="","",IFERROR(VLOOKUP(B456, PLANTA_BASE!A:R, 2, FALSE), "NO ENCONTRADO EN PLANTA"))</f>
        <v/>
      </c>
      <c r="B456" s="3" t="inlineStr"/>
      <c r="C456" s="4">
        <f>IF(B456="","",IFERROR(VLOOKUP(B456, PLANTA_BASE!A:R, 3, FALSE), ""))</f>
        <v/>
      </c>
      <c r="D456" s="2">
        <f>IF(B456="","",IFERROR(VLOOKUP(B456, PLANTA_BASE!A:R, 5, FALSE), "NO ENCONTRADO EN PLANTA"))</f>
        <v/>
      </c>
      <c r="E456" s="2">
        <f>IF(B456="","",IFERROR(VLOOKUP(B456, PLANTA_BASE!A:R, 6, FALSE), "NO ENCONTRADO EN PLANTA"))</f>
        <v/>
      </c>
      <c r="F456" s="4">
        <f>IF(B456="","",IFERROR(VLOOKUP(B456, PLANTA_BASE!A:R, 8, FALSE), "DOCENTE / FACILITADOR"))</f>
        <v/>
      </c>
      <c r="G456" s="4">
        <f>IF(B456="","",IFERROR(VLOOKUP(B456, PLANTA_BASE!A:R, 9, FALSE), "GENERAL"))</f>
        <v/>
      </c>
      <c r="H456" s="2">
        <f>IF(B456="","",IFERROR(VLOOKUP(B456, PLANTA_BASE!A:R, 17, FALSE), "GENERAL"))</f>
        <v/>
      </c>
    </row>
    <row r="457" ht="20" customHeight="1">
      <c r="A457" s="5">
        <f>IF(B457="","",IFERROR(VLOOKUP(B457, PLANTA_BASE!A:R, 2, FALSE), "NO ENCONTRADO EN PLANTA"))</f>
        <v/>
      </c>
      <c r="B457" s="6" t="inlineStr"/>
      <c r="C457" s="7">
        <f>IF(B457="","",IFERROR(VLOOKUP(B457, PLANTA_BASE!A:R, 3, FALSE), ""))</f>
        <v/>
      </c>
      <c r="D457" s="5">
        <f>IF(B457="","",IFERROR(VLOOKUP(B457, PLANTA_BASE!A:R, 5, FALSE), "NO ENCONTRADO EN PLANTA"))</f>
        <v/>
      </c>
      <c r="E457" s="5">
        <f>IF(B457="","",IFERROR(VLOOKUP(B457, PLANTA_BASE!A:R, 6, FALSE), "NO ENCONTRADO EN PLANTA"))</f>
        <v/>
      </c>
      <c r="F457" s="7">
        <f>IF(B457="","",IFERROR(VLOOKUP(B457, PLANTA_BASE!A:R, 8, FALSE), "DOCENTE / FACILITADOR"))</f>
        <v/>
      </c>
      <c r="G457" s="7">
        <f>IF(B457="","",IFERROR(VLOOKUP(B457, PLANTA_BASE!A:R, 9, FALSE), "GENERAL"))</f>
        <v/>
      </c>
      <c r="H457" s="5">
        <f>IF(B457="","",IFERROR(VLOOKUP(B457, PLANTA_BASE!A:R, 17, FALSE), "GENERAL"))</f>
        <v/>
      </c>
    </row>
    <row r="458" ht="20" customHeight="1">
      <c r="A458" s="2">
        <f>IF(B458="","",IFERROR(VLOOKUP(B458, PLANTA_BASE!A:R, 2, FALSE), "NO ENCONTRADO EN PLANTA"))</f>
        <v/>
      </c>
      <c r="B458" s="3" t="inlineStr"/>
      <c r="C458" s="4">
        <f>IF(B458="","",IFERROR(VLOOKUP(B458, PLANTA_BASE!A:R, 3, FALSE), ""))</f>
        <v/>
      </c>
      <c r="D458" s="2">
        <f>IF(B458="","",IFERROR(VLOOKUP(B458, PLANTA_BASE!A:R, 5, FALSE), "NO ENCONTRADO EN PLANTA"))</f>
        <v/>
      </c>
      <c r="E458" s="2">
        <f>IF(B458="","",IFERROR(VLOOKUP(B458, PLANTA_BASE!A:R, 6, FALSE), "NO ENCONTRADO EN PLANTA"))</f>
        <v/>
      </c>
      <c r="F458" s="4">
        <f>IF(B458="","",IFERROR(VLOOKUP(B458, PLANTA_BASE!A:R, 8, FALSE), "DOCENTE / FACILITADOR"))</f>
        <v/>
      </c>
      <c r="G458" s="4">
        <f>IF(B458="","",IFERROR(VLOOKUP(B458, PLANTA_BASE!A:R, 9, FALSE), "GENERAL"))</f>
        <v/>
      </c>
      <c r="H458" s="2">
        <f>IF(B458="","",IFERROR(VLOOKUP(B458, PLANTA_BASE!A:R, 17, FALSE), "GENERAL"))</f>
        <v/>
      </c>
    </row>
    <row r="459" ht="20" customHeight="1">
      <c r="A459" s="5">
        <f>IF(B459="","",IFERROR(VLOOKUP(B459, PLANTA_BASE!A:R, 2, FALSE), "NO ENCONTRADO EN PLANTA"))</f>
        <v/>
      </c>
      <c r="B459" s="6" t="inlineStr"/>
      <c r="C459" s="7">
        <f>IF(B459="","",IFERROR(VLOOKUP(B459, PLANTA_BASE!A:R, 3, FALSE), ""))</f>
        <v/>
      </c>
      <c r="D459" s="5">
        <f>IF(B459="","",IFERROR(VLOOKUP(B459, PLANTA_BASE!A:R, 5, FALSE), "NO ENCONTRADO EN PLANTA"))</f>
        <v/>
      </c>
      <c r="E459" s="5">
        <f>IF(B459="","",IFERROR(VLOOKUP(B459, PLANTA_BASE!A:R, 6, FALSE), "NO ENCONTRADO EN PLANTA"))</f>
        <v/>
      </c>
      <c r="F459" s="7">
        <f>IF(B459="","",IFERROR(VLOOKUP(B459, PLANTA_BASE!A:R, 8, FALSE), "DOCENTE / FACILITADOR"))</f>
        <v/>
      </c>
      <c r="G459" s="7">
        <f>IF(B459="","",IFERROR(VLOOKUP(B459, PLANTA_BASE!A:R, 9, FALSE), "GENERAL"))</f>
        <v/>
      </c>
      <c r="H459" s="5">
        <f>IF(B459="","",IFERROR(VLOOKUP(B459, PLANTA_BASE!A:R, 17, FALSE), "GENERAL"))</f>
        <v/>
      </c>
    </row>
    <row r="460" ht="20" customHeight="1">
      <c r="A460" s="2">
        <f>IF(B460="","",IFERROR(VLOOKUP(B460, PLANTA_BASE!A:R, 2, FALSE), "NO ENCONTRADO EN PLANTA"))</f>
        <v/>
      </c>
      <c r="B460" s="3" t="inlineStr"/>
      <c r="C460" s="4">
        <f>IF(B460="","",IFERROR(VLOOKUP(B460, PLANTA_BASE!A:R, 3, FALSE), ""))</f>
        <v/>
      </c>
      <c r="D460" s="2">
        <f>IF(B460="","",IFERROR(VLOOKUP(B460, PLANTA_BASE!A:R, 5, FALSE), "NO ENCONTRADO EN PLANTA"))</f>
        <v/>
      </c>
      <c r="E460" s="2">
        <f>IF(B460="","",IFERROR(VLOOKUP(B460, PLANTA_BASE!A:R, 6, FALSE), "NO ENCONTRADO EN PLANTA"))</f>
        <v/>
      </c>
      <c r="F460" s="4">
        <f>IF(B460="","",IFERROR(VLOOKUP(B460, PLANTA_BASE!A:R, 8, FALSE), "DOCENTE / FACILITADOR"))</f>
        <v/>
      </c>
      <c r="G460" s="4">
        <f>IF(B460="","",IFERROR(VLOOKUP(B460, PLANTA_BASE!A:R, 9, FALSE), "GENERAL"))</f>
        <v/>
      </c>
      <c r="H460" s="2">
        <f>IF(B460="","",IFERROR(VLOOKUP(B460, PLANTA_BASE!A:R, 17, FALSE), "GENERAL"))</f>
        <v/>
      </c>
    </row>
    <row r="461" ht="20" customHeight="1">
      <c r="A461" s="5">
        <f>IF(B461="","",IFERROR(VLOOKUP(B461, PLANTA_BASE!A:R, 2, FALSE), "NO ENCONTRADO EN PLANTA"))</f>
        <v/>
      </c>
      <c r="B461" s="6" t="inlineStr"/>
      <c r="C461" s="7">
        <f>IF(B461="","",IFERROR(VLOOKUP(B461, PLANTA_BASE!A:R, 3, FALSE), ""))</f>
        <v/>
      </c>
      <c r="D461" s="5">
        <f>IF(B461="","",IFERROR(VLOOKUP(B461, PLANTA_BASE!A:R, 5, FALSE), "NO ENCONTRADO EN PLANTA"))</f>
        <v/>
      </c>
      <c r="E461" s="5">
        <f>IF(B461="","",IFERROR(VLOOKUP(B461, PLANTA_BASE!A:R, 6, FALSE), "NO ENCONTRADO EN PLANTA"))</f>
        <v/>
      </c>
      <c r="F461" s="7">
        <f>IF(B461="","",IFERROR(VLOOKUP(B461, PLANTA_BASE!A:R, 8, FALSE), "DOCENTE / FACILITADOR"))</f>
        <v/>
      </c>
      <c r="G461" s="7">
        <f>IF(B461="","",IFERROR(VLOOKUP(B461, PLANTA_BASE!A:R, 9, FALSE), "GENERAL"))</f>
        <v/>
      </c>
      <c r="H461" s="5">
        <f>IF(B461="","",IFERROR(VLOOKUP(B461, PLANTA_BASE!A:R, 17, FALSE), "GENERAL"))</f>
        <v/>
      </c>
    </row>
    <row r="462" ht="20" customHeight="1">
      <c r="A462" s="2">
        <f>IF(B462="","",IFERROR(VLOOKUP(B462, PLANTA_BASE!A:R, 2, FALSE), "NO ENCONTRADO EN PLANTA"))</f>
        <v/>
      </c>
      <c r="B462" s="3" t="inlineStr"/>
      <c r="C462" s="4">
        <f>IF(B462="","",IFERROR(VLOOKUP(B462, PLANTA_BASE!A:R, 3, FALSE), ""))</f>
        <v/>
      </c>
      <c r="D462" s="2">
        <f>IF(B462="","",IFERROR(VLOOKUP(B462, PLANTA_BASE!A:R, 5, FALSE), "NO ENCONTRADO EN PLANTA"))</f>
        <v/>
      </c>
      <c r="E462" s="2">
        <f>IF(B462="","",IFERROR(VLOOKUP(B462, PLANTA_BASE!A:R, 6, FALSE), "NO ENCONTRADO EN PLANTA"))</f>
        <v/>
      </c>
      <c r="F462" s="4">
        <f>IF(B462="","",IFERROR(VLOOKUP(B462, PLANTA_BASE!A:R, 8, FALSE), "DOCENTE / FACILITADOR"))</f>
        <v/>
      </c>
      <c r="G462" s="4">
        <f>IF(B462="","",IFERROR(VLOOKUP(B462, PLANTA_BASE!A:R, 9, FALSE), "GENERAL"))</f>
        <v/>
      </c>
      <c r="H462" s="2">
        <f>IF(B462="","",IFERROR(VLOOKUP(B462, PLANTA_BASE!A:R, 17, FALSE), "GENERAL"))</f>
        <v/>
      </c>
    </row>
    <row r="463" ht="20" customHeight="1">
      <c r="A463" s="5">
        <f>IF(B463="","",IFERROR(VLOOKUP(B463, PLANTA_BASE!A:R, 2, FALSE), "NO ENCONTRADO EN PLANTA"))</f>
        <v/>
      </c>
      <c r="B463" s="6" t="inlineStr"/>
      <c r="C463" s="7">
        <f>IF(B463="","",IFERROR(VLOOKUP(B463, PLANTA_BASE!A:R, 3, FALSE), ""))</f>
        <v/>
      </c>
      <c r="D463" s="5">
        <f>IF(B463="","",IFERROR(VLOOKUP(B463, PLANTA_BASE!A:R, 5, FALSE), "NO ENCONTRADO EN PLANTA"))</f>
        <v/>
      </c>
      <c r="E463" s="5">
        <f>IF(B463="","",IFERROR(VLOOKUP(B463, PLANTA_BASE!A:R, 6, FALSE), "NO ENCONTRADO EN PLANTA"))</f>
        <v/>
      </c>
      <c r="F463" s="7">
        <f>IF(B463="","",IFERROR(VLOOKUP(B463, PLANTA_BASE!A:R, 8, FALSE), "DOCENTE / FACILITADOR"))</f>
        <v/>
      </c>
      <c r="G463" s="7">
        <f>IF(B463="","",IFERROR(VLOOKUP(B463, PLANTA_BASE!A:R, 9, FALSE), "GENERAL"))</f>
        <v/>
      </c>
      <c r="H463" s="5">
        <f>IF(B463="","",IFERROR(VLOOKUP(B463, PLANTA_BASE!A:R, 17, FALSE), "GENERAL"))</f>
        <v/>
      </c>
    </row>
    <row r="464" ht="20" customHeight="1">
      <c r="A464" s="2">
        <f>IF(B464="","",IFERROR(VLOOKUP(B464, PLANTA_BASE!A:R, 2, FALSE), "NO ENCONTRADO EN PLANTA"))</f>
        <v/>
      </c>
      <c r="B464" s="3" t="inlineStr"/>
      <c r="C464" s="4">
        <f>IF(B464="","",IFERROR(VLOOKUP(B464, PLANTA_BASE!A:R, 3, FALSE), ""))</f>
        <v/>
      </c>
      <c r="D464" s="2">
        <f>IF(B464="","",IFERROR(VLOOKUP(B464, PLANTA_BASE!A:R, 5, FALSE), "NO ENCONTRADO EN PLANTA"))</f>
        <v/>
      </c>
      <c r="E464" s="2">
        <f>IF(B464="","",IFERROR(VLOOKUP(B464, PLANTA_BASE!A:R, 6, FALSE), "NO ENCONTRADO EN PLANTA"))</f>
        <v/>
      </c>
      <c r="F464" s="4">
        <f>IF(B464="","",IFERROR(VLOOKUP(B464, PLANTA_BASE!A:R, 8, FALSE), "DOCENTE / FACILITADOR"))</f>
        <v/>
      </c>
      <c r="G464" s="4">
        <f>IF(B464="","",IFERROR(VLOOKUP(B464, PLANTA_BASE!A:R, 9, FALSE), "GENERAL"))</f>
        <v/>
      </c>
      <c r="H464" s="2">
        <f>IF(B464="","",IFERROR(VLOOKUP(B464, PLANTA_BASE!A:R, 17, FALSE), "GENERAL"))</f>
        <v/>
      </c>
    </row>
    <row r="465" ht="20" customHeight="1">
      <c r="A465" s="5">
        <f>IF(B465="","",IFERROR(VLOOKUP(B465, PLANTA_BASE!A:R, 2, FALSE), "NO ENCONTRADO EN PLANTA"))</f>
        <v/>
      </c>
      <c r="B465" s="6" t="inlineStr"/>
      <c r="C465" s="7">
        <f>IF(B465="","",IFERROR(VLOOKUP(B465, PLANTA_BASE!A:R, 3, FALSE), ""))</f>
        <v/>
      </c>
      <c r="D465" s="5">
        <f>IF(B465="","",IFERROR(VLOOKUP(B465, PLANTA_BASE!A:R, 5, FALSE), "NO ENCONTRADO EN PLANTA"))</f>
        <v/>
      </c>
      <c r="E465" s="5">
        <f>IF(B465="","",IFERROR(VLOOKUP(B465, PLANTA_BASE!A:R, 6, FALSE), "NO ENCONTRADO EN PLANTA"))</f>
        <v/>
      </c>
      <c r="F465" s="7">
        <f>IF(B465="","",IFERROR(VLOOKUP(B465, PLANTA_BASE!A:R, 8, FALSE), "DOCENTE / FACILITADOR"))</f>
        <v/>
      </c>
      <c r="G465" s="7">
        <f>IF(B465="","",IFERROR(VLOOKUP(B465, PLANTA_BASE!A:R, 9, FALSE), "GENERAL"))</f>
        <v/>
      </c>
      <c r="H465" s="5">
        <f>IF(B465="","",IFERROR(VLOOKUP(B465, PLANTA_BASE!A:R, 17, FALSE), "GENERAL"))</f>
        <v/>
      </c>
    </row>
    <row r="466" ht="20" customHeight="1">
      <c r="A466" s="2">
        <f>IF(B466="","",IFERROR(VLOOKUP(B466, PLANTA_BASE!A:R, 2, FALSE), "NO ENCONTRADO EN PLANTA"))</f>
        <v/>
      </c>
      <c r="B466" s="3" t="inlineStr"/>
      <c r="C466" s="4">
        <f>IF(B466="","",IFERROR(VLOOKUP(B466, PLANTA_BASE!A:R, 3, FALSE), ""))</f>
        <v/>
      </c>
      <c r="D466" s="2">
        <f>IF(B466="","",IFERROR(VLOOKUP(B466, PLANTA_BASE!A:R, 5, FALSE), "NO ENCONTRADO EN PLANTA"))</f>
        <v/>
      </c>
      <c r="E466" s="2">
        <f>IF(B466="","",IFERROR(VLOOKUP(B466, PLANTA_BASE!A:R, 6, FALSE), "NO ENCONTRADO EN PLANTA"))</f>
        <v/>
      </c>
      <c r="F466" s="4">
        <f>IF(B466="","",IFERROR(VLOOKUP(B466, PLANTA_BASE!A:R, 8, FALSE), "DOCENTE / FACILITADOR"))</f>
        <v/>
      </c>
      <c r="G466" s="4">
        <f>IF(B466="","",IFERROR(VLOOKUP(B466, PLANTA_BASE!A:R, 9, FALSE), "GENERAL"))</f>
        <v/>
      </c>
      <c r="H466" s="2">
        <f>IF(B466="","",IFERROR(VLOOKUP(B466, PLANTA_BASE!A:R, 17, FALSE), "GENERAL"))</f>
        <v/>
      </c>
    </row>
    <row r="467" ht="20" customHeight="1">
      <c r="A467" s="5">
        <f>IF(B467="","",IFERROR(VLOOKUP(B467, PLANTA_BASE!A:R, 2, FALSE), "NO ENCONTRADO EN PLANTA"))</f>
        <v/>
      </c>
      <c r="B467" s="6" t="inlineStr"/>
      <c r="C467" s="7">
        <f>IF(B467="","",IFERROR(VLOOKUP(B467, PLANTA_BASE!A:R, 3, FALSE), ""))</f>
        <v/>
      </c>
      <c r="D467" s="5">
        <f>IF(B467="","",IFERROR(VLOOKUP(B467, PLANTA_BASE!A:R, 5, FALSE), "NO ENCONTRADO EN PLANTA"))</f>
        <v/>
      </c>
      <c r="E467" s="5">
        <f>IF(B467="","",IFERROR(VLOOKUP(B467, PLANTA_BASE!A:R, 6, FALSE), "NO ENCONTRADO EN PLANTA"))</f>
        <v/>
      </c>
      <c r="F467" s="7">
        <f>IF(B467="","",IFERROR(VLOOKUP(B467, PLANTA_BASE!A:R, 8, FALSE), "DOCENTE / FACILITADOR"))</f>
        <v/>
      </c>
      <c r="G467" s="7">
        <f>IF(B467="","",IFERROR(VLOOKUP(B467, PLANTA_BASE!A:R, 9, FALSE), "GENERAL"))</f>
        <v/>
      </c>
      <c r="H467" s="5">
        <f>IF(B467="","",IFERROR(VLOOKUP(B467, PLANTA_BASE!A:R, 17, FALSE), "GENERAL"))</f>
        <v/>
      </c>
    </row>
    <row r="468" ht="20" customHeight="1">
      <c r="A468" s="2">
        <f>IF(B468="","",IFERROR(VLOOKUP(B468, PLANTA_BASE!A:R, 2, FALSE), "NO ENCONTRADO EN PLANTA"))</f>
        <v/>
      </c>
      <c r="B468" s="3" t="inlineStr"/>
      <c r="C468" s="4">
        <f>IF(B468="","",IFERROR(VLOOKUP(B468, PLANTA_BASE!A:R, 3, FALSE), ""))</f>
        <v/>
      </c>
      <c r="D468" s="2">
        <f>IF(B468="","",IFERROR(VLOOKUP(B468, PLANTA_BASE!A:R, 5, FALSE), "NO ENCONTRADO EN PLANTA"))</f>
        <v/>
      </c>
      <c r="E468" s="2">
        <f>IF(B468="","",IFERROR(VLOOKUP(B468, PLANTA_BASE!A:R, 6, FALSE), "NO ENCONTRADO EN PLANTA"))</f>
        <v/>
      </c>
      <c r="F468" s="4">
        <f>IF(B468="","",IFERROR(VLOOKUP(B468, PLANTA_BASE!A:R, 8, FALSE), "DOCENTE / FACILITADOR"))</f>
        <v/>
      </c>
      <c r="G468" s="4">
        <f>IF(B468="","",IFERROR(VLOOKUP(B468, PLANTA_BASE!A:R, 9, FALSE), "GENERAL"))</f>
        <v/>
      </c>
      <c r="H468" s="2">
        <f>IF(B468="","",IFERROR(VLOOKUP(B468, PLANTA_BASE!A:R, 17, FALSE), "GENERAL"))</f>
        <v/>
      </c>
    </row>
    <row r="469" ht="20" customHeight="1">
      <c r="A469" s="5">
        <f>IF(B469="","",IFERROR(VLOOKUP(B469, PLANTA_BASE!A:R, 2, FALSE), "NO ENCONTRADO EN PLANTA"))</f>
        <v/>
      </c>
      <c r="B469" s="6" t="inlineStr"/>
      <c r="C469" s="7">
        <f>IF(B469="","",IFERROR(VLOOKUP(B469, PLANTA_BASE!A:R, 3, FALSE), ""))</f>
        <v/>
      </c>
      <c r="D469" s="5">
        <f>IF(B469="","",IFERROR(VLOOKUP(B469, PLANTA_BASE!A:R, 5, FALSE), "NO ENCONTRADO EN PLANTA"))</f>
        <v/>
      </c>
      <c r="E469" s="5">
        <f>IF(B469="","",IFERROR(VLOOKUP(B469, PLANTA_BASE!A:R, 6, FALSE), "NO ENCONTRADO EN PLANTA"))</f>
        <v/>
      </c>
      <c r="F469" s="7">
        <f>IF(B469="","",IFERROR(VLOOKUP(B469, PLANTA_BASE!A:R, 8, FALSE), "DOCENTE / FACILITADOR"))</f>
        <v/>
      </c>
      <c r="G469" s="7">
        <f>IF(B469="","",IFERROR(VLOOKUP(B469, PLANTA_BASE!A:R, 9, FALSE), "GENERAL"))</f>
        <v/>
      </c>
      <c r="H469" s="5">
        <f>IF(B469="","",IFERROR(VLOOKUP(B469, PLANTA_BASE!A:R, 17, FALSE), "GENERAL"))</f>
        <v/>
      </c>
    </row>
    <row r="470" ht="20" customHeight="1">
      <c r="A470" s="2">
        <f>IF(B470="","",IFERROR(VLOOKUP(B470, PLANTA_BASE!A:R, 2, FALSE), "NO ENCONTRADO EN PLANTA"))</f>
        <v/>
      </c>
      <c r="B470" s="3" t="inlineStr"/>
      <c r="C470" s="4">
        <f>IF(B470="","",IFERROR(VLOOKUP(B470, PLANTA_BASE!A:R, 3, FALSE), ""))</f>
        <v/>
      </c>
      <c r="D470" s="2">
        <f>IF(B470="","",IFERROR(VLOOKUP(B470, PLANTA_BASE!A:R, 5, FALSE), "NO ENCONTRADO EN PLANTA"))</f>
        <v/>
      </c>
      <c r="E470" s="2">
        <f>IF(B470="","",IFERROR(VLOOKUP(B470, PLANTA_BASE!A:R, 6, FALSE), "NO ENCONTRADO EN PLANTA"))</f>
        <v/>
      </c>
      <c r="F470" s="4">
        <f>IF(B470="","",IFERROR(VLOOKUP(B470, PLANTA_BASE!A:R, 8, FALSE), "DOCENTE / FACILITADOR"))</f>
        <v/>
      </c>
      <c r="G470" s="4">
        <f>IF(B470="","",IFERROR(VLOOKUP(B470, PLANTA_BASE!A:R, 9, FALSE), "GENERAL"))</f>
        <v/>
      </c>
      <c r="H470" s="2">
        <f>IF(B470="","",IFERROR(VLOOKUP(B470, PLANTA_BASE!A:R, 17, FALSE), "GENERAL"))</f>
        <v/>
      </c>
    </row>
    <row r="471" ht="20" customHeight="1">
      <c r="A471" s="5">
        <f>IF(B471="","",IFERROR(VLOOKUP(B471, PLANTA_BASE!A:R, 2, FALSE), "NO ENCONTRADO EN PLANTA"))</f>
        <v/>
      </c>
      <c r="B471" s="6" t="inlineStr"/>
      <c r="C471" s="7">
        <f>IF(B471="","",IFERROR(VLOOKUP(B471, PLANTA_BASE!A:R, 3, FALSE), ""))</f>
        <v/>
      </c>
      <c r="D471" s="5">
        <f>IF(B471="","",IFERROR(VLOOKUP(B471, PLANTA_BASE!A:R, 5, FALSE), "NO ENCONTRADO EN PLANTA"))</f>
        <v/>
      </c>
      <c r="E471" s="5">
        <f>IF(B471="","",IFERROR(VLOOKUP(B471, PLANTA_BASE!A:R, 6, FALSE), "NO ENCONTRADO EN PLANTA"))</f>
        <v/>
      </c>
      <c r="F471" s="7">
        <f>IF(B471="","",IFERROR(VLOOKUP(B471, PLANTA_BASE!A:R, 8, FALSE), "DOCENTE / FACILITADOR"))</f>
        <v/>
      </c>
      <c r="G471" s="7">
        <f>IF(B471="","",IFERROR(VLOOKUP(B471, PLANTA_BASE!A:R, 9, FALSE), "GENERAL"))</f>
        <v/>
      </c>
      <c r="H471" s="5">
        <f>IF(B471="","",IFERROR(VLOOKUP(B471, PLANTA_BASE!A:R, 17, FALSE), "GENERAL"))</f>
        <v/>
      </c>
    </row>
    <row r="472" ht="20" customHeight="1">
      <c r="A472" s="2">
        <f>IF(B472="","",IFERROR(VLOOKUP(B472, PLANTA_BASE!A:R, 2, FALSE), "NO ENCONTRADO EN PLANTA"))</f>
        <v/>
      </c>
      <c r="B472" s="3" t="inlineStr"/>
      <c r="C472" s="4">
        <f>IF(B472="","",IFERROR(VLOOKUP(B472, PLANTA_BASE!A:R, 3, FALSE), ""))</f>
        <v/>
      </c>
      <c r="D472" s="2">
        <f>IF(B472="","",IFERROR(VLOOKUP(B472, PLANTA_BASE!A:R, 5, FALSE), "NO ENCONTRADO EN PLANTA"))</f>
        <v/>
      </c>
      <c r="E472" s="2">
        <f>IF(B472="","",IFERROR(VLOOKUP(B472, PLANTA_BASE!A:R, 6, FALSE), "NO ENCONTRADO EN PLANTA"))</f>
        <v/>
      </c>
      <c r="F472" s="4">
        <f>IF(B472="","",IFERROR(VLOOKUP(B472, PLANTA_BASE!A:R, 8, FALSE), "DOCENTE / FACILITADOR"))</f>
        <v/>
      </c>
      <c r="G472" s="4">
        <f>IF(B472="","",IFERROR(VLOOKUP(B472, PLANTA_BASE!A:R, 9, FALSE), "GENERAL"))</f>
        <v/>
      </c>
      <c r="H472" s="2">
        <f>IF(B472="","",IFERROR(VLOOKUP(B472, PLANTA_BASE!A:R, 17, FALSE), "GENERAL"))</f>
        <v/>
      </c>
    </row>
    <row r="473" ht="20" customHeight="1">
      <c r="A473" s="5">
        <f>IF(B473="","",IFERROR(VLOOKUP(B473, PLANTA_BASE!A:R, 2, FALSE), "NO ENCONTRADO EN PLANTA"))</f>
        <v/>
      </c>
      <c r="B473" s="6" t="inlineStr"/>
      <c r="C473" s="7">
        <f>IF(B473="","",IFERROR(VLOOKUP(B473, PLANTA_BASE!A:R, 3, FALSE), ""))</f>
        <v/>
      </c>
      <c r="D473" s="5">
        <f>IF(B473="","",IFERROR(VLOOKUP(B473, PLANTA_BASE!A:R, 5, FALSE), "NO ENCONTRADO EN PLANTA"))</f>
        <v/>
      </c>
      <c r="E473" s="5">
        <f>IF(B473="","",IFERROR(VLOOKUP(B473, PLANTA_BASE!A:R, 6, FALSE), "NO ENCONTRADO EN PLANTA"))</f>
        <v/>
      </c>
      <c r="F473" s="7">
        <f>IF(B473="","",IFERROR(VLOOKUP(B473, PLANTA_BASE!A:R, 8, FALSE), "DOCENTE / FACILITADOR"))</f>
        <v/>
      </c>
      <c r="G473" s="7">
        <f>IF(B473="","",IFERROR(VLOOKUP(B473, PLANTA_BASE!A:R, 9, FALSE), "GENERAL"))</f>
        <v/>
      </c>
      <c r="H473" s="5">
        <f>IF(B473="","",IFERROR(VLOOKUP(B473, PLANTA_BASE!A:R, 17, FALSE), "GENERAL"))</f>
        <v/>
      </c>
    </row>
    <row r="474" ht="20" customHeight="1">
      <c r="A474" s="2">
        <f>IF(B474="","",IFERROR(VLOOKUP(B474, PLANTA_BASE!A:R, 2, FALSE), "NO ENCONTRADO EN PLANTA"))</f>
        <v/>
      </c>
      <c r="B474" s="3" t="inlineStr"/>
      <c r="C474" s="4">
        <f>IF(B474="","",IFERROR(VLOOKUP(B474, PLANTA_BASE!A:R, 3, FALSE), ""))</f>
        <v/>
      </c>
      <c r="D474" s="2">
        <f>IF(B474="","",IFERROR(VLOOKUP(B474, PLANTA_BASE!A:R, 5, FALSE), "NO ENCONTRADO EN PLANTA"))</f>
        <v/>
      </c>
      <c r="E474" s="2">
        <f>IF(B474="","",IFERROR(VLOOKUP(B474, PLANTA_BASE!A:R, 6, FALSE), "NO ENCONTRADO EN PLANTA"))</f>
        <v/>
      </c>
      <c r="F474" s="4">
        <f>IF(B474="","",IFERROR(VLOOKUP(B474, PLANTA_BASE!A:R, 8, FALSE), "DOCENTE / FACILITADOR"))</f>
        <v/>
      </c>
      <c r="G474" s="4">
        <f>IF(B474="","",IFERROR(VLOOKUP(B474, PLANTA_BASE!A:R, 9, FALSE), "GENERAL"))</f>
        <v/>
      </c>
      <c r="H474" s="2">
        <f>IF(B474="","",IFERROR(VLOOKUP(B474, PLANTA_BASE!A:R, 17, FALSE), "GENERAL"))</f>
        <v/>
      </c>
    </row>
    <row r="475" ht="20" customHeight="1">
      <c r="A475" s="5">
        <f>IF(B475="","",IFERROR(VLOOKUP(B475, PLANTA_BASE!A:R, 2, FALSE), "NO ENCONTRADO EN PLANTA"))</f>
        <v/>
      </c>
      <c r="B475" s="6" t="inlineStr"/>
      <c r="C475" s="7">
        <f>IF(B475="","",IFERROR(VLOOKUP(B475, PLANTA_BASE!A:R, 3, FALSE), ""))</f>
        <v/>
      </c>
      <c r="D475" s="5">
        <f>IF(B475="","",IFERROR(VLOOKUP(B475, PLANTA_BASE!A:R, 5, FALSE), "NO ENCONTRADO EN PLANTA"))</f>
        <v/>
      </c>
      <c r="E475" s="5">
        <f>IF(B475="","",IFERROR(VLOOKUP(B475, PLANTA_BASE!A:R, 6, FALSE), "NO ENCONTRADO EN PLANTA"))</f>
        <v/>
      </c>
      <c r="F475" s="7">
        <f>IF(B475="","",IFERROR(VLOOKUP(B475, PLANTA_BASE!A:R, 8, FALSE), "DOCENTE / FACILITADOR"))</f>
        <v/>
      </c>
      <c r="G475" s="7">
        <f>IF(B475="","",IFERROR(VLOOKUP(B475, PLANTA_BASE!A:R, 9, FALSE), "GENERAL"))</f>
        <v/>
      </c>
      <c r="H475" s="5">
        <f>IF(B475="","",IFERROR(VLOOKUP(B475, PLANTA_BASE!A:R, 17, FALSE), "GENERAL"))</f>
        <v/>
      </c>
    </row>
    <row r="476" ht="20" customHeight="1">
      <c r="A476" s="2">
        <f>IF(B476="","",IFERROR(VLOOKUP(B476, PLANTA_BASE!A:R, 2, FALSE), "NO ENCONTRADO EN PLANTA"))</f>
        <v/>
      </c>
      <c r="B476" s="3" t="inlineStr"/>
      <c r="C476" s="4">
        <f>IF(B476="","",IFERROR(VLOOKUP(B476, PLANTA_BASE!A:R, 3, FALSE), ""))</f>
        <v/>
      </c>
      <c r="D476" s="2">
        <f>IF(B476="","",IFERROR(VLOOKUP(B476, PLANTA_BASE!A:R, 5, FALSE), "NO ENCONTRADO EN PLANTA"))</f>
        <v/>
      </c>
      <c r="E476" s="2">
        <f>IF(B476="","",IFERROR(VLOOKUP(B476, PLANTA_BASE!A:R, 6, FALSE), "NO ENCONTRADO EN PLANTA"))</f>
        <v/>
      </c>
      <c r="F476" s="4">
        <f>IF(B476="","",IFERROR(VLOOKUP(B476, PLANTA_BASE!A:R, 8, FALSE), "DOCENTE / FACILITADOR"))</f>
        <v/>
      </c>
      <c r="G476" s="4">
        <f>IF(B476="","",IFERROR(VLOOKUP(B476, PLANTA_BASE!A:R, 9, FALSE), "GENERAL"))</f>
        <v/>
      </c>
      <c r="H476" s="2">
        <f>IF(B476="","",IFERROR(VLOOKUP(B476, PLANTA_BASE!A:R, 17, FALSE), "GENERAL"))</f>
        <v/>
      </c>
    </row>
    <row r="477" ht="20" customHeight="1">
      <c r="A477" s="5">
        <f>IF(B477="","",IFERROR(VLOOKUP(B477, PLANTA_BASE!A:R, 2, FALSE), "NO ENCONTRADO EN PLANTA"))</f>
        <v/>
      </c>
      <c r="B477" s="6" t="inlineStr"/>
      <c r="C477" s="7">
        <f>IF(B477="","",IFERROR(VLOOKUP(B477, PLANTA_BASE!A:R, 3, FALSE), ""))</f>
        <v/>
      </c>
      <c r="D477" s="5">
        <f>IF(B477="","",IFERROR(VLOOKUP(B477, PLANTA_BASE!A:R, 5, FALSE), "NO ENCONTRADO EN PLANTA"))</f>
        <v/>
      </c>
      <c r="E477" s="5">
        <f>IF(B477="","",IFERROR(VLOOKUP(B477, PLANTA_BASE!A:R, 6, FALSE), "NO ENCONTRADO EN PLANTA"))</f>
        <v/>
      </c>
      <c r="F477" s="7">
        <f>IF(B477="","",IFERROR(VLOOKUP(B477, PLANTA_BASE!A:R, 8, FALSE), "DOCENTE / FACILITADOR"))</f>
        <v/>
      </c>
      <c r="G477" s="7">
        <f>IF(B477="","",IFERROR(VLOOKUP(B477, PLANTA_BASE!A:R, 9, FALSE), "GENERAL"))</f>
        <v/>
      </c>
      <c r="H477" s="5">
        <f>IF(B477="","",IFERROR(VLOOKUP(B477, PLANTA_BASE!A:R, 17, FALSE), "GENERAL"))</f>
        <v/>
      </c>
    </row>
    <row r="478" ht="20" customHeight="1">
      <c r="A478" s="2">
        <f>IF(B478="","",IFERROR(VLOOKUP(B478, PLANTA_BASE!A:R, 2, FALSE), "NO ENCONTRADO EN PLANTA"))</f>
        <v/>
      </c>
      <c r="B478" s="3" t="inlineStr"/>
      <c r="C478" s="4">
        <f>IF(B478="","",IFERROR(VLOOKUP(B478, PLANTA_BASE!A:R, 3, FALSE), ""))</f>
        <v/>
      </c>
      <c r="D478" s="2">
        <f>IF(B478="","",IFERROR(VLOOKUP(B478, PLANTA_BASE!A:R, 5, FALSE), "NO ENCONTRADO EN PLANTA"))</f>
        <v/>
      </c>
      <c r="E478" s="2">
        <f>IF(B478="","",IFERROR(VLOOKUP(B478, PLANTA_BASE!A:R, 6, FALSE), "NO ENCONTRADO EN PLANTA"))</f>
        <v/>
      </c>
      <c r="F478" s="4">
        <f>IF(B478="","",IFERROR(VLOOKUP(B478, PLANTA_BASE!A:R, 8, FALSE), "DOCENTE / FACILITADOR"))</f>
        <v/>
      </c>
      <c r="G478" s="4">
        <f>IF(B478="","",IFERROR(VLOOKUP(B478, PLANTA_BASE!A:R, 9, FALSE), "GENERAL"))</f>
        <v/>
      </c>
      <c r="H478" s="2">
        <f>IF(B478="","",IFERROR(VLOOKUP(B478, PLANTA_BASE!A:R, 17, FALSE), "GENERAL"))</f>
        <v/>
      </c>
    </row>
    <row r="479" ht="20" customHeight="1">
      <c r="A479" s="5">
        <f>IF(B479="","",IFERROR(VLOOKUP(B479, PLANTA_BASE!A:R, 2, FALSE), "NO ENCONTRADO EN PLANTA"))</f>
        <v/>
      </c>
      <c r="B479" s="6" t="inlineStr"/>
      <c r="C479" s="7">
        <f>IF(B479="","",IFERROR(VLOOKUP(B479, PLANTA_BASE!A:R, 3, FALSE), ""))</f>
        <v/>
      </c>
      <c r="D479" s="5">
        <f>IF(B479="","",IFERROR(VLOOKUP(B479, PLANTA_BASE!A:R, 5, FALSE), "NO ENCONTRADO EN PLANTA"))</f>
        <v/>
      </c>
      <c r="E479" s="5">
        <f>IF(B479="","",IFERROR(VLOOKUP(B479, PLANTA_BASE!A:R, 6, FALSE), "NO ENCONTRADO EN PLANTA"))</f>
        <v/>
      </c>
      <c r="F479" s="7">
        <f>IF(B479="","",IFERROR(VLOOKUP(B479, PLANTA_BASE!A:R, 8, FALSE), "DOCENTE / FACILITADOR"))</f>
        <v/>
      </c>
      <c r="G479" s="7">
        <f>IF(B479="","",IFERROR(VLOOKUP(B479, PLANTA_BASE!A:R, 9, FALSE), "GENERAL"))</f>
        <v/>
      </c>
      <c r="H479" s="5">
        <f>IF(B479="","",IFERROR(VLOOKUP(B479, PLANTA_BASE!A:R, 17, FALSE), "GENERAL"))</f>
        <v/>
      </c>
    </row>
    <row r="480" ht="20" customHeight="1">
      <c r="A480" s="2">
        <f>IF(B480="","",IFERROR(VLOOKUP(B480, PLANTA_BASE!A:R, 2, FALSE), "NO ENCONTRADO EN PLANTA"))</f>
        <v/>
      </c>
      <c r="B480" s="3" t="inlineStr"/>
      <c r="C480" s="4">
        <f>IF(B480="","",IFERROR(VLOOKUP(B480, PLANTA_BASE!A:R, 3, FALSE), ""))</f>
        <v/>
      </c>
      <c r="D480" s="2">
        <f>IF(B480="","",IFERROR(VLOOKUP(B480, PLANTA_BASE!A:R, 5, FALSE), "NO ENCONTRADO EN PLANTA"))</f>
        <v/>
      </c>
      <c r="E480" s="2">
        <f>IF(B480="","",IFERROR(VLOOKUP(B480, PLANTA_BASE!A:R, 6, FALSE), "NO ENCONTRADO EN PLANTA"))</f>
        <v/>
      </c>
      <c r="F480" s="4">
        <f>IF(B480="","",IFERROR(VLOOKUP(B480, PLANTA_BASE!A:R, 8, FALSE), "DOCENTE / FACILITADOR"))</f>
        <v/>
      </c>
      <c r="G480" s="4">
        <f>IF(B480="","",IFERROR(VLOOKUP(B480, PLANTA_BASE!A:R, 9, FALSE), "GENERAL"))</f>
        <v/>
      </c>
      <c r="H480" s="2">
        <f>IF(B480="","",IFERROR(VLOOKUP(B480, PLANTA_BASE!A:R, 17, FALSE), "GENERAL"))</f>
        <v/>
      </c>
    </row>
    <row r="481" ht="20" customHeight="1">
      <c r="A481" s="5">
        <f>IF(B481="","",IFERROR(VLOOKUP(B481, PLANTA_BASE!A:R, 2, FALSE), "NO ENCONTRADO EN PLANTA"))</f>
        <v/>
      </c>
      <c r="B481" s="6" t="inlineStr"/>
      <c r="C481" s="7">
        <f>IF(B481="","",IFERROR(VLOOKUP(B481, PLANTA_BASE!A:R, 3, FALSE), ""))</f>
        <v/>
      </c>
      <c r="D481" s="5">
        <f>IF(B481="","",IFERROR(VLOOKUP(B481, PLANTA_BASE!A:R, 5, FALSE), "NO ENCONTRADO EN PLANTA"))</f>
        <v/>
      </c>
      <c r="E481" s="5">
        <f>IF(B481="","",IFERROR(VLOOKUP(B481, PLANTA_BASE!A:R, 6, FALSE), "NO ENCONTRADO EN PLANTA"))</f>
        <v/>
      </c>
      <c r="F481" s="7">
        <f>IF(B481="","",IFERROR(VLOOKUP(B481, PLANTA_BASE!A:R, 8, FALSE), "DOCENTE / FACILITADOR"))</f>
        <v/>
      </c>
      <c r="G481" s="7">
        <f>IF(B481="","",IFERROR(VLOOKUP(B481, PLANTA_BASE!A:R, 9, FALSE), "GENERAL"))</f>
        <v/>
      </c>
      <c r="H481" s="5">
        <f>IF(B481="","",IFERROR(VLOOKUP(B481, PLANTA_BASE!A:R, 17, FALSE), "GENERAL"))</f>
        <v/>
      </c>
    </row>
    <row r="482" ht="20" customHeight="1">
      <c r="A482" s="2">
        <f>IF(B482="","",IFERROR(VLOOKUP(B482, PLANTA_BASE!A:R, 2, FALSE), "NO ENCONTRADO EN PLANTA"))</f>
        <v/>
      </c>
      <c r="B482" s="3" t="inlineStr"/>
      <c r="C482" s="4">
        <f>IF(B482="","",IFERROR(VLOOKUP(B482, PLANTA_BASE!A:R, 3, FALSE), ""))</f>
        <v/>
      </c>
      <c r="D482" s="2">
        <f>IF(B482="","",IFERROR(VLOOKUP(B482, PLANTA_BASE!A:R, 5, FALSE), "NO ENCONTRADO EN PLANTA"))</f>
        <v/>
      </c>
      <c r="E482" s="2">
        <f>IF(B482="","",IFERROR(VLOOKUP(B482, PLANTA_BASE!A:R, 6, FALSE), "NO ENCONTRADO EN PLANTA"))</f>
        <v/>
      </c>
      <c r="F482" s="4">
        <f>IF(B482="","",IFERROR(VLOOKUP(B482, PLANTA_BASE!A:R, 8, FALSE), "DOCENTE / FACILITADOR"))</f>
        <v/>
      </c>
      <c r="G482" s="4">
        <f>IF(B482="","",IFERROR(VLOOKUP(B482, PLANTA_BASE!A:R, 9, FALSE), "GENERAL"))</f>
        <v/>
      </c>
      <c r="H482" s="2">
        <f>IF(B482="","",IFERROR(VLOOKUP(B482, PLANTA_BASE!A:R, 17, FALSE), "GENERAL"))</f>
        <v/>
      </c>
    </row>
    <row r="483" ht="20" customHeight="1">
      <c r="A483" s="5">
        <f>IF(B483="","",IFERROR(VLOOKUP(B483, PLANTA_BASE!A:R, 2, FALSE), "NO ENCONTRADO EN PLANTA"))</f>
        <v/>
      </c>
      <c r="B483" s="6" t="inlineStr"/>
      <c r="C483" s="7">
        <f>IF(B483="","",IFERROR(VLOOKUP(B483, PLANTA_BASE!A:R, 3, FALSE), ""))</f>
        <v/>
      </c>
      <c r="D483" s="5">
        <f>IF(B483="","",IFERROR(VLOOKUP(B483, PLANTA_BASE!A:R, 5, FALSE), "NO ENCONTRADO EN PLANTA"))</f>
        <v/>
      </c>
      <c r="E483" s="5">
        <f>IF(B483="","",IFERROR(VLOOKUP(B483, PLANTA_BASE!A:R, 6, FALSE), "NO ENCONTRADO EN PLANTA"))</f>
        <v/>
      </c>
      <c r="F483" s="7">
        <f>IF(B483="","",IFERROR(VLOOKUP(B483, PLANTA_BASE!A:R, 8, FALSE), "DOCENTE / FACILITADOR"))</f>
        <v/>
      </c>
      <c r="G483" s="7">
        <f>IF(B483="","",IFERROR(VLOOKUP(B483, PLANTA_BASE!A:R, 9, FALSE), "GENERAL"))</f>
        <v/>
      </c>
      <c r="H483" s="5">
        <f>IF(B483="","",IFERROR(VLOOKUP(B483, PLANTA_BASE!A:R, 17, FALSE), "GENERAL"))</f>
        <v/>
      </c>
    </row>
    <row r="484" ht="20" customHeight="1">
      <c r="A484" s="2">
        <f>IF(B484="","",IFERROR(VLOOKUP(B484, PLANTA_BASE!A:R, 2, FALSE), "NO ENCONTRADO EN PLANTA"))</f>
        <v/>
      </c>
      <c r="B484" s="3" t="inlineStr"/>
      <c r="C484" s="4">
        <f>IF(B484="","",IFERROR(VLOOKUP(B484, PLANTA_BASE!A:R, 3, FALSE), ""))</f>
        <v/>
      </c>
      <c r="D484" s="2">
        <f>IF(B484="","",IFERROR(VLOOKUP(B484, PLANTA_BASE!A:R, 5, FALSE), "NO ENCONTRADO EN PLANTA"))</f>
        <v/>
      </c>
      <c r="E484" s="2">
        <f>IF(B484="","",IFERROR(VLOOKUP(B484, PLANTA_BASE!A:R, 6, FALSE), "NO ENCONTRADO EN PLANTA"))</f>
        <v/>
      </c>
      <c r="F484" s="4">
        <f>IF(B484="","",IFERROR(VLOOKUP(B484, PLANTA_BASE!A:R, 8, FALSE), "DOCENTE / FACILITADOR"))</f>
        <v/>
      </c>
      <c r="G484" s="4">
        <f>IF(B484="","",IFERROR(VLOOKUP(B484, PLANTA_BASE!A:R, 9, FALSE), "GENERAL"))</f>
        <v/>
      </c>
      <c r="H484" s="2">
        <f>IF(B484="","",IFERROR(VLOOKUP(B484, PLANTA_BASE!A:R, 17, FALSE), "GENERAL"))</f>
        <v/>
      </c>
    </row>
    <row r="485" ht="20" customHeight="1">
      <c r="A485" s="5">
        <f>IF(B485="","",IFERROR(VLOOKUP(B485, PLANTA_BASE!A:R, 2, FALSE), "NO ENCONTRADO EN PLANTA"))</f>
        <v/>
      </c>
      <c r="B485" s="6" t="inlineStr"/>
      <c r="C485" s="7">
        <f>IF(B485="","",IFERROR(VLOOKUP(B485, PLANTA_BASE!A:R, 3, FALSE), ""))</f>
        <v/>
      </c>
      <c r="D485" s="5">
        <f>IF(B485="","",IFERROR(VLOOKUP(B485, PLANTA_BASE!A:R, 5, FALSE), "NO ENCONTRADO EN PLANTA"))</f>
        <v/>
      </c>
      <c r="E485" s="5">
        <f>IF(B485="","",IFERROR(VLOOKUP(B485, PLANTA_BASE!A:R, 6, FALSE), "NO ENCONTRADO EN PLANTA"))</f>
        <v/>
      </c>
      <c r="F485" s="7">
        <f>IF(B485="","",IFERROR(VLOOKUP(B485, PLANTA_BASE!A:R, 8, FALSE), "DOCENTE / FACILITADOR"))</f>
        <v/>
      </c>
      <c r="G485" s="7">
        <f>IF(B485="","",IFERROR(VLOOKUP(B485, PLANTA_BASE!A:R, 9, FALSE), "GENERAL"))</f>
        <v/>
      </c>
      <c r="H485" s="5">
        <f>IF(B485="","",IFERROR(VLOOKUP(B485, PLANTA_BASE!A:R, 17, FALSE), "GENERAL"))</f>
        <v/>
      </c>
    </row>
    <row r="486" ht="20" customHeight="1">
      <c r="A486" s="2">
        <f>IF(B486="","",IFERROR(VLOOKUP(B486, PLANTA_BASE!A:R, 2, FALSE), "NO ENCONTRADO EN PLANTA"))</f>
        <v/>
      </c>
      <c r="B486" s="3" t="inlineStr"/>
      <c r="C486" s="4">
        <f>IF(B486="","",IFERROR(VLOOKUP(B486, PLANTA_BASE!A:R, 3, FALSE), ""))</f>
        <v/>
      </c>
      <c r="D486" s="2">
        <f>IF(B486="","",IFERROR(VLOOKUP(B486, PLANTA_BASE!A:R, 5, FALSE), "NO ENCONTRADO EN PLANTA"))</f>
        <v/>
      </c>
      <c r="E486" s="2">
        <f>IF(B486="","",IFERROR(VLOOKUP(B486, PLANTA_BASE!A:R, 6, FALSE), "NO ENCONTRADO EN PLANTA"))</f>
        <v/>
      </c>
      <c r="F486" s="4">
        <f>IF(B486="","",IFERROR(VLOOKUP(B486, PLANTA_BASE!A:R, 8, FALSE), "DOCENTE / FACILITADOR"))</f>
        <v/>
      </c>
      <c r="G486" s="4">
        <f>IF(B486="","",IFERROR(VLOOKUP(B486, PLANTA_BASE!A:R, 9, FALSE), "GENERAL"))</f>
        <v/>
      </c>
      <c r="H486" s="2">
        <f>IF(B486="","",IFERROR(VLOOKUP(B486, PLANTA_BASE!A:R, 17, FALSE), "GENERAL"))</f>
        <v/>
      </c>
    </row>
    <row r="487" ht="20" customHeight="1">
      <c r="A487" s="5">
        <f>IF(B487="","",IFERROR(VLOOKUP(B487, PLANTA_BASE!A:R, 2, FALSE), "NO ENCONTRADO EN PLANTA"))</f>
        <v/>
      </c>
      <c r="B487" s="6" t="inlineStr"/>
      <c r="C487" s="7">
        <f>IF(B487="","",IFERROR(VLOOKUP(B487, PLANTA_BASE!A:R, 3, FALSE), ""))</f>
        <v/>
      </c>
      <c r="D487" s="5">
        <f>IF(B487="","",IFERROR(VLOOKUP(B487, PLANTA_BASE!A:R, 5, FALSE), "NO ENCONTRADO EN PLANTA"))</f>
        <v/>
      </c>
      <c r="E487" s="5">
        <f>IF(B487="","",IFERROR(VLOOKUP(B487, PLANTA_BASE!A:R, 6, FALSE), "NO ENCONTRADO EN PLANTA"))</f>
        <v/>
      </c>
      <c r="F487" s="7">
        <f>IF(B487="","",IFERROR(VLOOKUP(B487, PLANTA_BASE!A:R, 8, FALSE), "DOCENTE / FACILITADOR"))</f>
        <v/>
      </c>
      <c r="G487" s="7">
        <f>IF(B487="","",IFERROR(VLOOKUP(B487, PLANTA_BASE!A:R, 9, FALSE), "GENERAL"))</f>
        <v/>
      </c>
      <c r="H487" s="5">
        <f>IF(B487="","",IFERROR(VLOOKUP(B487, PLANTA_BASE!A:R, 17, FALSE), "GENERAL"))</f>
        <v/>
      </c>
    </row>
    <row r="488" ht="20" customHeight="1">
      <c r="A488" s="2">
        <f>IF(B488="","",IFERROR(VLOOKUP(B488, PLANTA_BASE!A:R, 2, FALSE), "NO ENCONTRADO EN PLANTA"))</f>
        <v/>
      </c>
      <c r="B488" s="3" t="inlineStr"/>
      <c r="C488" s="4">
        <f>IF(B488="","",IFERROR(VLOOKUP(B488, PLANTA_BASE!A:R, 3, FALSE), ""))</f>
        <v/>
      </c>
      <c r="D488" s="2">
        <f>IF(B488="","",IFERROR(VLOOKUP(B488, PLANTA_BASE!A:R, 5, FALSE), "NO ENCONTRADO EN PLANTA"))</f>
        <v/>
      </c>
      <c r="E488" s="2">
        <f>IF(B488="","",IFERROR(VLOOKUP(B488, PLANTA_BASE!A:R, 6, FALSE), "NO ENCONTRADO EN PLANTA"))</f>
        <v/>
      </c>
      <c r="F488" s="4">
        <f>IF(B488="","",IFERROR(VLOOKUP(B488, PLANTA_BASE!A:R, 8, FALSE), "DOCENTE / FACILITADOR"))</f>
        <v/>
      </c>
      <c r="G488" s="4">
        <f>IF(B488="","",IFERROR(VLOOKUP(B488, PLANTA_BASE!A:R, 9, FALSE), "GENERAL"))</f>
        <v/>
      </c>
      <c r="H488" s="2">
        <f>IF(B488="","",IFERROR(VLOOKUP(B488, PLANTA_BASE!A:R, 17, FALSE), "GENERAL"))</f>
        <v/>
      </c>
    </row>
    <row r="489" ht="20" customHeight="1">
      <c r="A489" s="5">
        <f>IF(B489="","",IFERROR(VLOOKUP(B489, PLANTA_BASE!A:R, 2, FALSE), "NO ENCONTRADO EN PLANTA"))</f>
        <v/>
      </c>
      <c r="B489" s="6" t="inlineStr"/>
      <c r="C489" s="7">
        <f>IF(B489="","",IFERROR(VLOOKUP(B489, PLANTA_BASE!A:R, 3, FALSE), ""))</f>
        <v/>
      </c>
      <c r="D489" s="5">
        <f>IF(B489="","",IFERROR(VLOOKUP(B489, PLANTA_BASE!A:R, 5, FALSE), "NO ENCONTRADO EN PLANTA"))</f>
        <v/>
      </c>
      <c r="E489" s="5">
        <f>IF(B489="","",IFERROR(VLOOKUP(B489, PLANTA_BASE!A:R, 6, FALSE), "NO ENCONTRADO EN PLANTA"))</f>
        <v/>
      </c>
      <c r="F489" s="7">
        <f>IF(B489="","",IFERROR(VLOOKUP(B489, PLANTA_BASE!A:R, 8, FALSE), "DOCENTE / FACILITADOR"))</f>
        <v/>
      </c>
      <c r="G489" s="7">
        <f>IF(B489="","",IFERROR(VLOOKUP(B489, PLANTA_BASE!A:R, 9, FALSE), "GENERAL"))</f>
        <v/>
      </c>
      <c r="H489" s="5">
        <f>IF(B489="","",IFERROR(VLOOKUP(B489, PLANTA_BASE!A:R, 17, FALSE), "GENERAL"))</f>
        <v/>
      </c>
    </row>
    <row r="490" ht="20" customHeight="1">
      <c r="A490" s="2">
        <f>IF(B490="","",IFERROR(VLOOKUP(B490, PLANTA_BASE!A:R, 2, FALSE), "NO ENCONTRADO EN PLANTA"))</f>
        <v/>
      </c>
      <c r="B490" s="3" t="inlineStr"/>
      <c r="C490" s="4">
        <f>IF(B490="","",IFERROR(VLOOKUP(B490, PLANTA_BASE!A:R, 3, FALSE), ""))</f>
        <v/>
      </c>
      <c r="D490" s="2">
        <f>IF(B490="","",IFERROR(VLOOKUP(B490, PLANTA_BASE!A:R, 5, FALSE), "NO ENCONTRADO EN PLANTA"))</f>
        <v/>
      </c>
      <c r="E490" s="2">
        <f>IF(B490="","",IFERROR(VLOOKUP(B490, PLANTA_BASE!A:R, 6, FALSE), "NO ENCONTRADO EN PLANTA"))</f>
        <v/>
      </c>
      <c r="F490" s="4">
        <f>IF(B490="","",IFERROR(VLOOKUP(B490, PLANTA_BASE!A:R, 8, FALSE), "DOCENTE / FACILITADOR"))</f>
        <v/>
      </c>
      <c r="G490" s="4">
        <f>IF(B490="","",IFERROR(VLOOKUP(B490, PLANTA_BASE!A:R, 9, FALSE), "GENERAL"))</f>
        <v/>
      </c>
      <c r="H490" s="2">
        <f>IF(B490="","",IFERROR(VLOOKUP(B490, PLANTA_BASE!A:R, 17, FALSE), "GENERAL"))</f>
        <v/>
      </c>
    </row>
    <row r="491" ht="20" customHeight="1">
      <c r="A491" s="5">
        <f>IF(B491="","",IFERROR(VLOOKUP(B491, PLANTA_BASE!A:R, 2, FALSE), "NO ENCONTRADO EN PLANTA"))</f>
        <v/>
      </c>
      <c r="B491" s="6" t="inlineStr"/>
      <c r="C491" s="7">
        <f>IF(B491="","",IFERROR(VLOOKUP(B491, PLANTA_BASE!A:R, 3, FALSE), ""))</f>
        <v/>
      </c>
      <c r="D491" s="5">
        <f>IF(B491="","",IFERROR(VLOOKUP(B491, PLANTA_BASE!A:R, 5, FALSE), "NO ENCONTRADO EN PLANTA"))</f>
        <v/>
      </c>
      <c r="E491" s="5">
        <f>IF(B491="","",IFERROR(VLOOKUP(B491, PLANTA_BASE!A:R, 6, FALSE), "NO ENCONTRADO EN PLANTA"))</f>
        <v/>
      </c>
      <c r="F491" s="7">
        <f>IF(B491="","",IFERROR(VLOOKUP(B491, PLANTA_BASE!A:R, 8, FALSE), "DOCENTE / FACILITADOR"))</f>
        <v/>
      </c>
      <c r="G491" s="7">
        <f>IF(B491="","",IFERROR(VLOOKUP(B491, PLANTA_BASE!A:R, 9, FALSE), "GENERAL"))</f>
        <v/>
      </c>
      <c r="H491" s="5">
        <f>IF(B491="","",IFERROR(VLOOKUP(B491, PLANTA_BASE!A:R, 17, FALSE), "GENERAL"))</f>
        <v/>
      </c>
    </row>
    <row r="492" ht="20" customHeight="1">
      <c r="A492" s="2">
        <f>IF(B492="","",IFERROR(VLOOKUP(B492, PLANTA_BASE!A:R, 2, FALSE), "NO ENCONTRADO EN PLANTA"))</f>
        <v/>
      </c>
      <c r="B492" s="3" t="inlineStr"/>
      <c r="C492" s="4">
        <f>IF(B492="","",IFERROR(VLOOKUP(B492, PLANTA_BASE!A:R, 3, FALSE), ""))</f>
        <v/>
      </c>
      <c r="D492" s="2">
        <f>IF(B492="","",IFERROR(VLOOKUP(B492, PLANTA_BASE!A:R, 5, FALSE), "NO ENCONTRADO EN PLANTA"))</f>
        <v/>
      </c>
      <c r="E492" s="2">
        <f>IF(B492="","",IFERROR(VLOOKUP(B492, PLANTA_BASE!A:R, 6, FALSE), "NO ENCONTRADO EN PLANTA"))</f>
        <v/>
      </c>
      <c r="F492" s="4">
        <f>IF(B492="","",IFERROR(VLOOKUP(B492, PLANTA_BASE!A:R, 8, FALSE), "DOCENTE / FACILITADOR"))</f>
        <v/>
      </c>
      <c r="G492" s="4">
        <f>IF(B492="","",IFERROR(VLOOKUP(B492, PLANTA_BASE!A:R, 9, FALSE), "GENERAL"))</f>
        <v/>
      </c>
      <c r="H492" s="2">
        <f>IF(B492="","",IFERROR(VLOOKUP(B492, PLANTA_BASE!A:R, 17, FALSE), "GENERAL"))</f>
        <v/>
      </c>
    </row>
    <row r="493" ht="20" customHeight="1">
      <c r="A493" s="5">
        <f>IF(B493="","",IFERROR(VLOOKUP(B493, PLANTA_BASE!A:R, 2, FALSE), "NO ENCONTRADO EN PLANTA"))</f>
        <v/>
      </c>
      <c r="B493" s="6" t="inlineStr"/>
      <c r="C493" s="7">
        <f>IF(B493="","",IFERROR(VLOOKUP(B493, PLANTA_BASE!A:R, 3, FALSE), ""))</f>
        <v/>
      </c>
      <c r="D493" s="5">
        <f>IF(B493="","",IFERROR(VLOOKUP(B493, PLANTA_BASE!A:R, 5, FALSE), "NO ENCONTRADO EN PLANTA"))</f>
        <v/>
      </c>
      <c r="E493" s="5">
        <f>IF(B493="","",IFERROR(VLOOKUP(B493, PLANTA_BASE!A:R, 6, FALSE), "NO ENCONTRADO EN PLANTA"))</f>
        <v/>
      </c>
      <c r="F493" s="7">
        <f>IF(B493="","",IFERROR(VLOOKUP(B493, PLANTA_BASE!A:R, 8, FALSE), "DOCENTE / FACILITADOR"))</f>
        <v/>
      </c>
      <c r="G493" s="7">
        <f>IF(B493="","",IFERROR(VLOOKUP(B493, PLANTA_BASE!A:R, 9, FALSE), "GENERAL"))</f>
        <v/>
      </c>
      <c r="H493" s="5">
        <f>IF(B493="","",IFERROR(VLOOKUP(B493, PLANTA_BASE!A:R, 17, FALSE), "GENERAL"))</f>
        <v/>
      </c>
    </row>
    <row r="494" ht="20" customHeight="1">
      <c r="A494" s="2">
        <f>IF(B494="","",IFERROR(VLOOKUP(B494, PLANTA_BASE!A:R, 2, FALSE), "NO ENCONTRADO EN PLANTA"))</f>
        <v/>
      </c>
      <c r="B494" s="3" t="inlineStr"/>
      <c r="C494" s="4">
        <f>IF(B494="","",IFERROR(VLOOKUP(B494, PLANTA_BASE!A:R, 3, FALSE), ""))</f>
        <v/>
      </c>
      <c r="D494" s="2">
        <f>IF(B494="","",IFERROR(VLOOKUP(B494, PLANTA_BASE!A:R, 5, FALSE), "NO ENCONTRADO EN PLANTA"))</f>
        <v/>
      </c>
      <c r="E494" s="2">
        <f>IF(B494="","",IFERROR(VLOOKUP(B494, PLANTA_BASE!A:R, 6, FALSE), "NO ENCONTRADO EN PLANTA"))</f>
        <v/>
      </c>
      <c r="F494" s="4">
        <f>IF(B494="","",IFERROR(VLOOKUP(B494, PLANTA_BASE!A:R, 8, FALSE), "DOCENTE / FACILITADOR"))</f>
        <v/>
      </c>
      <c r="G494" s="4">
        <f>IF(B494="","",IFERROR(VLOOKUP(B494, PLANTA_BASE!A:R, 9, FALSE), "GENERAL"))</f>
        <v/>
      </c>
      <c r="H494" s="2">
        <f>IF(B494="","",IFERROR(VLOOKUP(B494, PLANTA_BASE!A:R, 17, FALSE), "GENERAL"))</f>
        <v/>
      </c>
    </row>
    <row r="495" ht="20" customHeight="1">
      <c r="A495" s="5">
        <f>IF(B495="","",IFERROR(VLOOKUP(B495, PLANTA_BASE!A:R, 2, FALSE), "NO ENCONTRADO EN PLANTA"))</f>
        <v/>
      </c>
      <c r="B495" s="6" t="inlineStr"/>
      <c r="C495" s="7">
        <f>IF(B495="","",IFERROR(VLOOKUP(B495, PLANTA_BASE!A:R, 3, FALSE), ""))</f>
        <v/>
      </c>
      <c r="D495" s="5">
        <f>IF(B495="","",IFERROR(VLOOKUP(B495, PLANTA_BASE!A:R, 5, FALSE), "NO ENCONTRADO EN PLANTA"))</f>
        <v/>
      </c>
      <c r="E495" s="5">
        <f>IF(B495="","",IFERROR(VLOOKUP(B495, PLANTA_BASE!A:R, 6, FALSE), "NO ENCONTRADO EN PLANTA"))</f>
        <v/>
      </c>
      <c r="F495" s="7">
        <f>IF(B495="","",IFERROR(VLOOKUP(B495, PLANTA_BASE!A:R, 8, FALSE), "DOCENTE / FACILITADOR"))</f>
        <v/>
      </c>
      <c r="G495" s="7">
        <f>IF(B495="","",IFERROR(VLOOKUP(B495, PLANTA_BASE!A:R, 9, FALSE), "GENERAL"))</f>
        <v/>
      </c>
      <c r="H495" s="5">
        <f>IF(B495="","",IFERROR(VLOOKUP(B495, PLANTA_BASE!A:R, 17, FALSE), "GENERAL"))</f>
        <v/>
      </c>
    </row>
    <row r="496" ht="20" customHeight="1">
      <c r="A496" s="2">
        <f>IF(B496="","",IFERROR(VLOOKUP(B496, PLANTA_BASE!A:R, 2, FALSE), "NO ENCONTRADO EN PLANTA"))</f>
        <v/>
      </c>
      <c r="B496" s="3" t="inlineStr"/>
      <c r="C496" s="4">
        <f>IF(B496="","",IFERROR(VLOOKUP(B496, PLANTA_BASE!A:R, 3, FALSE), ""))</f>
        <v/>
      </c>
      <c r="D496" s="2">
        <f>IF(B496="","",IFERROR(VLOOKUP(B496, PLANTA_BASE!A:R, 5, FALSE), "NO ENCONTRADO EN PLANTA"))</f>
        <v/>
      </c>
      <c r="E496" s="2">
        <f>IF(B496="","",IFERROR(VLOOKUP(B496, PLANTA_BASE!A:R, 6, FALSE), "NO ENCONTRADO EN PLANTA"))</f>
        <v/>
      </c>
      <c r="F496" s="4">
        <f>IF(B496="","",IFERROR(VLOOKUP(B496, PLANTA_BASE!A:R, 8, FALSE), "DOCENTE / FACILITADOR"))</f>
        <v/>
      </c>
      <c r="G496" s="4">
        <f>IF(B496="","",IFERROR(VLOOKUP(B496, PLANTA_BASE!A:R, 9, FALSE), "GENERAL"))</f>
        <v/>
      </c>
      <c r="H496" s="2">
        <f>IF(B496="","",IFERROR(VLOOKUP(B496, PLANTA_BASE!A:R, 17, FALSE), "GENERAL"))</f>
        <v/>
      </c>
    </row>
    <row r="497" ht="20" customHeight="1">
      <c r="A497" s="5">
        <f>IF(B497="","",IFERROR(VLOOKUP(B497, PLANTA_BASE!A:R, 2, FALSE), "NO ENCONTRADO EN PLANTA"))</f>
        <v/>
      </c>
      <c r="B497" s="6" t="inlineStr"/>
      <c r="C497" s="7">
        <f>IF(B497="","",IFERROR(VLOOKUP(B497, PLANTA_BASE!A:R, 3, FALSE), ""))</f>
        <v/>
      </c>
      <c r="D497" s="5">
        <f>IF(B497="","",IFERROR(VLOOKUP(B497, PLANTA_BASE!A:R, 5, FALSE), "NO ENCONTRADO EN PLANTA"))</f>
        <v/>
      </c>
      <c r="E497" s="5">
        <f>IF(B497="","",IFERROR(VLOOKUP(B497, PLANTA_BASE!A:R, 6, FALSE), "NO ENCONTRADO EN PLANTA"))</f>
        <v/>
      </c>
      <c r="F497" s="7">
        <f>IF(B497="","",IFERROR(VLOOKUP(B497, PLANTA_BASE!A:R, 8, FALSE), "DOCENTE / FACILITADOR"))</f>
        <v/>
      </c>
      <c r="G497" s="7">
        <f>IF(B497="","",IFERROR(VLOOKUP(B497, PLANTA_BASE!A:R, 9, FALSE), "GENERAL"))</f>
        <v/>
      </c>
      <c r="H497" s="5">
        <f>IF(B497="","",IFERROR(VLOOKUP(B497, PLANTA_BASE!A:R, 17, FALSE), "GENERAL"))</f>
        <v/>
      </c>
    </row>
    <row r="498" ht="20" customHeight="1">
      <c r="A498" s="2">
        <f>IF(B498="","",IFERROR(VLOOKUP(B498, PLANTA_BASE!A:R, 2, FALSE), "NO ENCONTRADO EN PLANTA"))</f>
        <v/>
      </c>
      <c r="B498" s="3" t="inlineStr"/>
      <c r="C498" s="4">
        <f>IF(B498="","",IFERROR(VLOOKUP(B498, PLANTA_BASE!A:R, 3, FALSE), ""))</f>
        <v/>
      </c>
      <c r="D498" s="2">
        <f>IF(B498="","",IFERROR(VLOOKUP(B498, PLANTA_BASE!A:R, 5, FALSE), "NO ENCONTRADO EN PLANTA"))</f>
        <v/>
      </c>
      <c r="E498" s="2">
        <f>IF(B498="","",IFERROR(VLOOKUP(B498, PLANTA_BASE!A:R, 6, FALSE), "NO ENCONTRADO EN PLANTA"))</f>
        <v/>
      </c>
      <c r="F498" s="4">
        <f>IF(B498="","",IFERROR(VLOOKUP(B498, PLANTA_BASE!A:R, 8, FALSE), "DOCENTE / FACILITADOR"))</f>
        <v/>
      </c>
      <c r="G498" s="4">
        <f>IF(B498="","",IFERROR(VLOOKUP(B498, PLANTA_BASE!A:R, 9, FALSE), "GENERAL"))</f>
        <v/>
      </c>
      <c r="H498" s="2">
        <f>IF(B498="","",IFERROR(VLOOKUP(B498, PLANTA_BASE!A:R, 17, FALSE), "GENERAL"))</f>
        <v/>
      </c>
    </row>
    <row r="499" ht="20" customHeight="1">
      <c r="A499" s="5">
        <f>IF(B499="","",IFERROR(VLOOKUP(B499, PLANTA_BASE!A:R, 2, FALSE), "NO ENCONTRADO EN PLANTA"))</f>
        <v/>
      </c>
      <c r="B499" s="6" t="inlineStr"/>
      <c r="C499" s="7">
        <f>IF(B499="","",IFERROR(VLOOKUP(B499, PLANTA_BASE!A:R, 3, FALSE), ""))</f>
        <v/>
      </c>
      <c r="D499" s="5">
        <f>IF(B499="","",IFERROR(VLOOKUP(B499, PLANTA_BASE!A:R, 5, FALSE), "NO ENCONTRADO EN PLANTA"))</f>
        <v/>
      </c>
      <c r="E499" s="5">
        <f>IF(B499="","",IFERROR(VLOOKUP(B499, PLANTA_BASE!A:R, 6, FALSE), "NO ENCONTRADO EN PLANTA"))</f>
        <v/>
      </c>
      <c r="F499" s="7">
        <f>IF(B499="","",IFERROR(VLOOKUP(B499, PLANTA_BASE!A:R, 8, FALSE), "DOCENTE / FACILITADOR"))</f>
        <v/>
      </c>
      <c r="G499" s="7">
        <f>IF(B499="","",IFERROR(VLOOKUP(B499, PLANTA_BASE!A:R, 9, FALSE), "GENERAL"))</f>
        <v/>
      </c>
      <c r="H499" s="5">
        <f>IF(B499="","",IFERROR(VLOOKUP(B499, PLANTA_BASE!A:R, 17, FALSE), "GENERAL"))</f>
        <v/>
      </c>
    </row>
    <row r="500" ht="20" customHeight="1">
      <c r="A500" s="2">
        <f>IF(B500="","",IFERROR(VLOOKUP(B500, PLANTA_BASE!A:R, 2, FALSE), "NO ENCONTRADO EN PLANTA"))</f>
        <v/>
      </c>
      <c r="B500" s="3" t="inlineStr"/>
      <c r="C500" s="4">
        <f>IF(B500="","",IFERROR(VLOOKUP(B500, PLANTA_BASE!A:R, 3, FALSE), ""))</f>
        <v/>
      </c>
      <c r="D500" s="2">
        <f>IF(B500="","",IFERROR(VLOOKUP(B500, PLANTA_BASE!A:R, 5, FALSE), "NO ENCONTRADO EN PLANTA"))</f>
        <v/>
      </c>
      <c r="E500" s="2">
        <f>IF(B500="","",IFERROR(VLOOKUP(B500, PLANTA_BASE!A:R, 6, FALSE), "NO ENCONTRADO EN PLANTA"))</f>
        <v/>
      </c>
      <c r="F500" s="4">
        <f>IF(B500="","",IFERROR(VLOOKUP(B500, PLANTA_BASE!A:R, 8, FALSE), "DOCENTE / FACILITADOR"))</f>
        <v/>
      </c>
      <c r="G500" s="4">
        <f>IF(B500="","",IFERROR(VLOOKUP(B500, PLANTA_BASE!A:R, 9, FALSE), "GENERAL"))</f>
        <v/>
      </c>
      <c r="H500" s="2">
        <f>IF(B500="","",IFERROR(VLOOKUP(B500, PLANTA_BASE!A:R, 17, FALSE), "GENERAL"))</f>
        <v/>
      </c>
    </row>
    <row r="501" ht="20" customHeight="1">
      <c r="A501" s="5">
        <f>IF(B501="","",IFERROR(VLOOKUP(B501, PLANTA_BASE!A:R, 2, FALSE), "NO ENCONTRADO EN PLANTA"))</f>
        <v/>
      </c>
      <c r="B501" s="6" t="inlineStr"/>
      <c r="C501" s="7">
        <f>IF(B501="","",IFERROR(VLOOKUP(B501, PLANTA_BASE!A:R, 3, FALSE), ""))</f>
        <v/>
      </c>
      <c r="D501" s="5">
        <f>IF(B501="","",IFERROR(VLOOKUP(B501, PLANTA_BASE!A:R, 5, FALSE), "NO ENCONTRADO EN PLANTA"))</f>
        <v/>
      </c>
      <c r="E501" s="5">
        <f>IF(B501="","",IFERROR(VLOOKUP(B501, PLANTA_BASE!A:R, 6, FALSE), "NO ENCONTRADO EN PLANTA"))</f>
        <v/>
      </c>
      <c r="F501" s="7">
        <f>IF(B501="","",IFERROR(VLOOKUP(B501, PLANTA_BASE!A:R, 8, FALSE), "DOCENTE / FACILITADOR"))</f>
        <v/>
      </c>
      <c r="G501" s="7">
        <f>IF(B501="","",IFERROR(VLOOKUP(B501, PLANTA_BASE!A:R, 9, FALSE), "GENERAL"))</f>
        <v/>
      </c>
      <c r="H501" s="5">
        <f>IF(B501="","",IFERROR(VLOOKUP(B501, PLANTA_BASE!A:R, 17, FALSE), "GENERAL"))</f>
        <v/>
      </c>
    </row>
    <row r="502" ht="20" customHeight="1">
      <c r="A502" s="2">
        <f>IF(B502="","",IFERROR(VLOOKUP(B502, PLANTA_BASE!A:R, 2, FALSE), "NO ENCONTRADO EN PLANTA"))</f>
        <v/>
      </c>
      <c r="B502" s="3" t="inlineStr"/>
      <c r="C502" s="4">
        <f>IF(B502="","",IFERROR(VLOOKUP(B502, PLANTA_BASE!A:R, 3, FALSE), ""))</f>
        <v/>
      </c>
      <c r="D502" s="2">
        <f>IF(B502="","",IFERROR(VLOOKUP(B502, PLANTA_BASE!A:R, 5, FALSE), "NO ENCONTRADO EN PLANTA"))</f>
        <v/>
      </c>
      <c r="E502" s="2">
        <f>IF(B502="","",IFERROR(VLOOKUP(B502, PLANTA_BASE!A:R, 6, FALSE), "NO ENCONTRADO EN PLANTA"))</f>
        <v/>
      </c>
      <c r="F502" s="4">
        <f>IF(B502="","",IFERROR(VLOOKUP(B502, PLANTA_BASE!A:R, 8, FALSE), "DOCENTE / FACILITADOR"))</f>
        <v/>
      </c>
      <c r="G502" s="4">
        <f>IF(B502="","",IFERROR(VLOOKUP(B502, PLANTA_BASE!A:R, 9, FALSE), "GENERAL"))</f>
        <v/>
      </c>
      <c r="H502" s="2">
        <f>IF(B502="","",IFERROR(VLOOKUP(B502, PLANTA_BASE!A:R, 17, FALSE), "GENERAL"))</f>
        <v/>
      </c>
    </row>
    <row r="503" ht="20" customHeight="1">
      <c r="A503" s="5">
        <f>IF(B503="","",IFERROR(VLOOKUP(B503, PLANTA_BASE!A:R, 2, FALSE), "NO ENCONTRADO EN PLANTA"))</f>
        <v/>
      </c>
      <c r="B503" s="6" t="inlineStr"/>
      <c r="C503" s="7">
        <f>IF(B503="","",IFERROR(VLOOKUP(B503, PLANTA_BASE!A:R, 3, FALSE), ""))</f>
        <v/>
      </c>
      <c r="D503" s="5">
        <f>IF(B503="","",IFERROR(VLOOKUP(B503, PLANTA_BASE!A:R, 5, FALSE), "NO ENCONTRADO EN PLANTA"))</f>
        <v/>
      </c>
      <c r="E503" s="5">
        <f>IF(B503="","",IFERROR(VLOOKUP(B503, PLANTA_BASE!A:R, 6, FALSE), "NO ENCONTRADO EN PLANTA"))</f>
        <v/>
      </c>
      <c r="F503" s="7">
        <f>IF(B503="","",IFERROR(VLOOKUP(B503, PLANTA_BASE!A:R, 8, FALSE), "DOCENTE / FACILITADOR"))</f>
        <v/>
      </c>
      <c r="G503" s="7">
        <f>IF(B503="","",IFERROR(VLOOKUP(B503, PLANTA_BASE!A:R, 9, FALSE), "GENERAL"))</f>
        <v/>
      </c>
      <c r="H503" s="5">
        <f>IF(B503="","",IFERROR(VLOOKUP(B503, PLANTA_BASE!A:R, 17, FALSE), "GENERAL"))</f>
        <v/>
      </c>
    </row>
    <row r="504" ht="20" customHeight="1">
      <c r="A504" s="2">
        <f>IF(B504="","",IFERROR(VLOOKUP(B504, PLANTA_BASE!A:R, 2, FALSE), "NO ENCONTRADO EN PLANTA"))</f>
        <v/>
      </c>
      <c r="B504" s="3" t="inlineStr"/>
      <c r="C504" s="4">
        <f>IF(B504="","",IFERROR(VLOOKUP(B504, PLANTA_BASE!A:R, 3, FALSE), ""))</f>
        <v/>
      </c>
      <c r="D504" s="2">
        <f>IF(B504="","",IFERROR(VLOOKUP(B504, PLANTA_BASE!A:R, 5, FALSE), "NO ENCONTRADO EN PLANTA"))</f>
        <v/>
      </c>
      <c r="E504" s="2">
        <f>IF(B504="","",IFERROR(VLOOKUP(B504, PLANTA_BASE!A:R, 6, FALSE), "NO ENCONTRADO EN PLANTA"))</f>
        <v/>
      </c>
      <c r="F504" s="4">
        <f>IF(B504="","",IFERROR(VLOOKUP(B504, PLANTA_BASE!A:R, 8, FALSE), "DOCENTE / FACILITADOR"))</f>
        <v/>
      </c>
      <c r="G504" s="4">
        <f>IF(B504="","",IFERROR(VLOOKUP(B504, PLANTA_BASE!A:R, 9, FALSE), "GENERAL"))</f>
        <v/>
      </c>
      <c r="H504" s="2">
        <f>IF(B504="","",IFERROR(VLOOKUP(B504, PLANTA_BASE!A:R, 17, FALSE), "GENERAL"))</f>
        <v/>
      </c>
    </row>
    <row r="505" ht="20" customHeight="1">
      <c r="A505" s="5">
        <f>IF(B505="","",IFERROR(VLOOKUP(B505, PLANTA_BASE!A:R, 2, FALSE), "NO ENCONTRADO EN PLANTA"))</f>
        <v/>
      </c>
      <c r="B505" s="6" t="inlineStr"/>
      <c r="C505" s="7">
        <f>IF(B505="","",IFERROR(VLOOKUP(B505, PLANTA_BASE!A:R, 3, FALSE), ""))</f>
        <v/>
      </c>
      <c r="D505" s="5">
        <f>IF(B505="","",IFERROR(VLOOKUP(B505, PLANTA_BASE!A:R, 5, FALSE), "NO ENCONTRADO EN PLANTA"))</f>
        <v/>
      </c>
      <c r="E505" s="5">
        <f>IF(B505="","",IFERROR(VLOOKUP(B505, PLANTA_BASE!A:R, 6, FALSE), "NO ENCONTRADO EN PLANTA"))</f>
        <v/>
      </c>
      <c r="F505" s="7">
        <f>IF(B505="","",IFERROR(VLOOKUP(B505, PLANTA_BASE!A:R, 8, FALSE), "DOCENTE / FACILITADOR"))</f>
        <v/>
      </c>
      <c r="G505" s="7">
        <f>IF(B505="","",IFERROR(VLOOKUP(B505, PLANTA_BASE!A:R, 9, FALSE), "GENERAL"))</f>
        <v/>
      </c>
      <c r="H505" s="5">
        <f>IF(B505="","",IFERROR(VLOOKUP(B505, PLANTA_BASE!A:R, 17, FALSE), "GENERAL"))</f>
        <v/>
      </c>
    </row>
    <row r="506" ht="20" customHeight="1">
      <c r="A506" s="2">
        <f>IF(B506="","",IFERROR(VLOOKUP(B506, PLANTA_BASE!A:R, 2, FALSE), "NO ENCONTRADO EN PLANTA"))</f>
        <v/>
      </c>
      <c r="B506" s="3" t="inlineStr"/>
      <c r="C506" s="4">
        <f>IF(B506="","",IFERROR(VLOOKUP(B506, PLANTA_BASE!A:R, 3, FALSE), ""))</f>
        <v/>
      </c>
      <c r="D506" s="2">
        <f>IF(B506="","",IFERROR(VLOOKUP(B506, PLANTA_BASE!A:R, 5, FALSE), "NO ENCONTRADO EN PLANTA"))</f>
        <v/>
      </c>
      <c r="E506" s="2">
        <f>IF(B506="","",IFERROR(VLOOKUP(B506, PLANTA_BASE!A:R, 6, FALSE), "NO ENCONTRADO EN PLANTA"))</f>
        <v/>
      </c>
      <c r="F506" s="4">
        <f>IF(B506="","",IFERROR(VLOOKUP(B506, PLANTA_BASE!A:R, 8, FALSE), "DOCENTE / FACILITADOR"))</f>
        <v/>
      </c>
      <c r="G506" s="4">
        <f>IF(B506="","",IFERROR(VLOOKUP(B506, PLANTA_BASE!A:R, 9, FALSE), "GENERAL"))</f>
        <v/>
      </c>
      <c r="H506" s="2">
        <f>IF(B506="","",IFERROR(VLOOKUP(B506, PLANTA_BASE!A:R, 17, FALSE), "GENERAL"))</f>
        <v/>
      </c>
    </row>
    <row r="507" ht="20" customHeight="1">
      <c r="A507" s="5">
        <f>IF(B507="","",IFERROR(VLOOKUP(B507, PLANTA_BASE!A:R, 2, FALSE), "NO ENCONTRADO EN PLANTA"))</f>
        <v/>
      </c>
      <c r="B507" s="6" t="inlineStr"/>
      <c r="C507" s="7">
        <f>IF(B507="","",IFERROR(VLOOKUP(B507, PLANTA_BASE!A:R, 3, FALSE), ""))</f>
        <v/>
      </c>
      <c r="D507" s="5">
        <f>IF(B507="","",IFERROR(VLOOKUP(B507, PLANTA_BASE!A:R, 5, FALSE), "NO ENCONTRADO EN PLANTA"))</f>
        <v/>
      </c>
      <c r="E507" s="5">
        <f>IF(B507="","",IFERROR(VLOOKUP(B507, PLANTA_BASE!A:R, 6, FALSE), "NO ENCONTRADO EN PLANTA"))</f>
        <v/>
      </c>
      <c r="F507" s="7">
        <f>IF(B507="","",IFERROR(VLOOKUP(B507, PLANTA_BASE!A:R, 8, FALSE), "DOCENTE / FACILITADOR"))</f>
        <v/>
      </c>
      <c r="G507" s="7">
        <f>IF(B507="","",IFERROR(VLOOKUP(B507, PLANTA_BASE!A:R, 9, FALSE), "GENERAL"))</f>
        <v/>
      </c>
      <c r="H507" s="5">
        <f>IF(B507="","",IFERROR(VLOOKUP(B507, PLANTA_BASE!A:R, 17, FALSE), "GENERAL"))</f>
        <v/>
      </c>
    </row>
    <row r="508" ht="20" customHeight="1">
      <c r="A508" s="2">
        <f>IF(B508="","",IFERROR(VLOOKUP(B508, PLANTA_BASE!A:R, 2, FALSE), "NO ENCONTRADO EN PLANTA"))</f>
        <v/>
      </c>
      <c r="B508" s="3" t="inlineStr"/>
      <c r="C508" s="4">
        <f>IF(B508="","",IFERROR(VLOOKUP(B508, PLANTA_BASE!A:R, 3, FALSE), ""))</f>
        <v/>
      </c>
      <c r="D508" s="2">
        <f>IF(B508="","",IFERROR(VLOOKUP(B508, PLANTA_BASE!A:R, 5, FALSE), "NO ENCONTRADO EN PLANTA"))</f>
        <v/>
      </c>
      <c r="E508" s="2">
        <f>IF(B508="","",IFERROR(VLOOKUP(B508, PLANTA_BASE!A:R, 6, FALSE), "NO ENCONTRADO EN PLANTA"))</f>
        <v/>
      </c>
      <c r="F508" s="4">
        <f>IF(B508="","",IFERROR(VLOOKUP(B508, PLANTA_BASE!A:R, 8, FALSE), "DOCENTE / FACILITADOR"))</f>
        <v/>
      </c>
      <c r="G508" s="4">
        <f>IF(B508="","",IFERROR(VLOOKUP(B508, PLANTA_BASE!A:R, 9, FALSE), "GENERAL"))</f>
        <v/>
      </c>
      <c r="H508" s="2">
        <f>IF(B508="","",IFERROR(VLOOKUP(B508, PLANTA_BASE!A:R, 17, FALSE), "GENERAL"))</f>
        <v/>
      </c>
    </row>
    <row r="509" ht="20" customHeight="1">
      <c r="A509" s="5">
        <f>IF(B509="","",IFERROR(VLOOKUP(B509, PLANTA_BASE!A:R, 2, FALSE), "NO ENCONTRADO EN PLANTA"))</f>
        <v/>
      </c>
      <c r="B509" s="6" t="inlineStr"/>
      <c r="C509" s="7">
        <f>IF(B509="","",IFERROR(VLOOKUP(B509, PLANTA_BASE!A:R, 3, FALSE), ""))</f>
        <v/>
      </c>
      <c r="D509" s="5">
        <f>IF(B509="","",IFERROR(VLOOKUP(B509, PLANTA_BASE!A:R, 5, FALSE), "NO ENCONTRADO EN PLANTA"))</f>
        <v/>
      </c>
      <c r="E509" s="5">
        <f>IF(B509="","",IFERROR(VLOOKUP(B509, PLANTA_BASE!A:R, 6, FALSE), "NO ENCONTRADO EN PLANTA"))</f>
        <v/>
      </c>
      <c r="F509" s="7">
        <f>IF(B509="","",IFERROR(VLOOKUP(B509, PLANTA_BASE!A:R, 8, FALSE), "DOCENTE / FACILITADOR"))</f>
        <v/>
      </c>
      <c r="G509" s="7">
        <f>IF(B509="","",IFERROR(VLOOKUP(B509, PLANTA_BASE!A:R, 9, FALSE), "GENERAL"))</f>
        <v/>
      </c>
      <c r="H509" s="5">
        <f>IF(B509="","",IFERROR(VLOOKUP(B509, PLANTA_BASE!A:R, 17, FALSE), "GENERAL"))</f>
        <v/>
      </c>
    </row>
    <row r="510" ht="20" customHeight="1">
      <c r="A510" s="2">
        <f>IF(B510="","",IFERROR(VLOOKUP(B510, PLANTA_BASE!A:R, 2, FALSE), "NO ENCONTRADO EN PLANTA"))</f>
        <v/>
      </c>
      <c r="B510" s="3" t="inlineStr"/>
      <c r="C510" s="4">
        <f>IF(B510="","",IFERROR(VLOOKUP(B510, PLANTA_BASE!A:R, 3, FALSE), ""))</f>
        <v/>
      </c>
      <c r="D510" s="2">
        <f>IF(B510="","",IFERROR(VLOOKUP(B510, PLANTA_BASE!A:R, 5, FALSE), "NO ENCONTRADO EN PLANTA"))</f>
        <v/>
      </c>
      <c r="E510" s="2">
        <f>IF(B510="","",IFERROR(VLOOKUP(B510, PLANTA_BASE!A:R, 6, FALSE), "NO ENCONTRADO EN PLANTA"))</f>
        <v/>
      </c>
      <c r="F510" s="4">
        <f>IF(B510="","",IFERROR(VLOOKUP(B510, PLANTA_BASE!A:R, 8, FALSE), "DOCENTE / FACILITADOR"))</f>
        <v/>
      </c>
      <c r="G510" s="4">
        <f>IF(B510="","",IFERROR(VLOOKUP(B510, PLANTA_BASE!A:R, 9, FALSE), "GENERAL"))</f>
        <v/>
      </c>
      <c r="H510" s="2">
        <f>IF(B510="","",IFERROR(VLOOKUP(B510, PLANTA_BASE!A:R, 17, FALSE), "GENERAL"))</f>
        <v/>
      </c>
    </row>
    <row r="511" ht="20" customHeight="1">
      <c r="A511" s="5">
        <f>IF(B511="","",IFERROR(VLOOKUP(B511, PLANTA_BASE!A:R, 2, FALSE), "NO ENCONTRADO EN PLANTA"))</f>
        <v/>
      </c>
      <c r="B511" s="6" t="inlineStr"/>
      <c r="C511" s="7">
        <f>IF(B511="","",IFERROR(VLOOKUP(B511, PLANTA_BASE!A:R, 3, FALSE), ""))</f>
        <v/>
      </c>
      <c r="D511" s="5">
        <f>IF(B511="","",IFERROR(VLOOKUP(B511, PLANTA_BASE!A:R, 5, FALSE), "NO ENCONTRADO EN PLANTA"))</f>
        <v/>
      </c>
      <c r="E511" s="5">
        <f>IF(B511="","",IFERROR(VLOOKUP(B511, PLANTA_BASE!A:R, 6, FALSE), "NO ENCONTRADO EN PLANTA"))</f>
        <v/>
      </c>
      <c r="F511" s="7">
        <f>IF(B511="","",IFERROR(VLOOKUP(B511, PLANTA_BASE!A:R, 8, FALSE), "DOCENTE / FACILITADOR"))</f>
        <v/>
      </c>
      <c r="G511" s="7">
        <f>IF(B511="","",IFERROR(VLOOKUP(B511, PLANTA_BASE!A:R, 9, FALSE), "GENERAL"))</f>
        <v/>
      </c>
      <c r="H511" s="5">
        <f>IF(B511="","",IFERROR(VLOOKUP(B511, PLANTA_BASE!A:R, 17, FALSE), "GENERAL"))</f>
        <v/>
      </c>
    </row>
    <row r="512" ht="20" customHeight="1">
      <c r="A512" s="2">
        <f>IF(B512="","",IFERROR(VLOOKUP(B512, PLANTA_BASE!A:R, 2, FALSE), "NO ENCONTRADO EN PLANTA"))</f>
        <v/>
      </c>
      <c r="B512" s="3" t="inlineStr"/>
      <c r="C512" s="4">
        <f>IF(B512="","",IFERROR(VLOOKUP(B512, PLANTA_BASE!A:R, 3, FALSE), ""))</f>
        <v/>
      </c>
      <c r="D512" s="2">
        <f>IF(B512="","",IFERROR(VLOOKUP(B512, PLANTA_BASE!A:R, 5, FALSE), "NO ENCONTRADO EN PLANTA"))</f>
        <v/>
      </c>
      <c r="E512" s="2">
        <f>IF(B512="","",IFERROR(VLOOKUP(B512, PLANTA_BASE!A:R, 6, FALSE), "NO ENCONTRADO EN PLANTA"))</f>
        <v/>
      </c>
      <c r="F512" s="4">
        <f>IF(B512="","",IFERROR(VLOOKUP(B512, PLANTA_BASE!A:R, 8, FALSE), "DOCENTE / FACILITADOR"))</f>
        <v/>
      </c>
      <c r="G512" s="4">
        <f>IF(B512="","",IFERROR(VLOOKUP(B512, PLANTA_BASE!A:R, 9, FALSE), "GENERAL"))</f>
        <v/>
      </c>
      <c r="H512" s="2">
        <f>IF(B512="","",IFERROR(VLOOKUP(B512, PLANTA_BASE!A:R, 17, FALSE), "GENERAL"))</f>
        <v/>
      </c>
    </row>
    <row r="513" ht="20" customHeight="1">
      <c r="A513" s="5">
        <f>IF(B513="","",IFERROR(VLOOKUP(B513, PLANTA_BASE!A:R, 2, FALSE), "NO ENCONTRADO EN PLANTA"))</f>
        <v/>
      </c>
      <c r="B513" s="6" t="inlineStr"/>
      <c r="C513" s="7">
        <f>IF(B513="","",IFERROR(VLOOKUP(B513, PLANTA_BASE!A:R, 3, FALSE), ""))</f>
        <v/>
      </c>
      <c r="D513" s="5">
        <f>IF(B513="","",IFERROR(VLOOKUP(B513, PLANTA_BASE!A:R, 5, FALSE), "NO ENCONTRADO EN PLANTA"))</f>
        <v/>
      </c>
      <c r="E513" s="5">
        <f>IF(B513="","",IFERROR(VLOOKUP(B513, PLANTA_BASE!A:R, 6, FALSE), "NO ENCONTRADO EN PLANTA"))</f>
        <v/>
      </c>
      <c r="F513" s="7">
        <f>IF(B513="","",IFERROR(VLOOKUP(B513, PLANTA_BASE!A:R, 8, FALSE), "DOCENTE / FACILITADOR"))</f>
        <v/>
      </c>
      <c r="G513" s="7">
        <f>IF(B513="","",IFERROR(VLOOKUP(B513, PLANTA_BASE!A:R, 9, FALSE), "GENERAL"))</f>
        <v/>
      </c>
      <c r="H513" s="5">
        <f>IF(B513="","",IFERROR(VLOOKUP(B513, PLANTA_BASE!A:R, 17, FALSE), "GENERAL"))</f>
        <v/>
      </c>
    </row>
    <row r="514" ht="20" customHeight="1">
      <c r="A514" s="2">
        <f>IF(B514="","",IFERROR(VLOOKUP(B514, PLANTA_BASE!A:R, 2, FALSE), "NO ENCONTRADO EN PLANTA"))</f>
        <v/>
      </c>
      <c r="B514" s="3" t="inlineStr"/>
      <c r="C514" s="4">
        <f>IF(B514="","",IFERROR(VLOOKUP(B514, PLANTA_BASE!A:R, 3, FALSE), ""))</f>
        <v/>
      </c>
      <c r="D514" s="2">
        <f>IF(B514="","",IFERROR(VLOOKUP(B514, PLANTA_BASE!A:R, 5, FALSE), "NO ENCONTRADO EN PLANTA"))</f>
        <v/>
      </c>
      <c r="E514" s="2">
        <f>IF(B514="","",IFERROR(VLOOKUP(B514, PLANTA_BASE!A:R, 6, FALSE), "NO ENCONTRADO EN PLANTA"))</f>
        <v/>
      </c>
      <c r="F514" s="4">
        <f>IF(B514="","",IFERROR(VLOOKUP(B514, PLANTA_BASE!A:R, 8, FALSE), "DOCENTE / FACILITADOR"))</f>
        <v/>
      </c>
      <c r="G514" s="4">
        <f>IF(B514="","",IFERROR(VLOOKUP(B514, PLANTA_BASE!A:R, 9, FALSE), "GENERAL"))</f>
        <v/>
      </c>
      <c r="H514" s="2">
        <f>IF(B514="","",IFERROR(VLOOKUP(B514, PLANTA_BASE!A:R, 17, FALSE), "GENERAL"))</f>
        <v/>
      </c>
    </row>
    <row r="515" ht="20" customHeight="1">
      <c r="A515" s="5">
        <f>IF(B515="","",IFERROR(VLOOKUP(B515, PLANTA_BASE!A:R, 2, FALSE), "NO ENCONTRADO EN PLANTA"))</f>
        <v/>
      </c>
      <c r="B515" s="6" t="inlineStr"/>
      <c r="C515" s="7">
        <f>IF(B515="","",IFERROR(VLOOKUP(B515, PLANTA_BASE!A:R, 3, FALSE), ""))</f>
        <v/>
      </c>
      <c r="D515" s="5">
        <f>IF(B515="","",IFERROR(VLOOKUP(B515, PLANTA_BASE!A:R, 5, FALSE), "NO ENCONTRADO EN PLANTA"))</f>
        <v/>
      </c>
      <c r="E515" s="5">
        <f>IF(B515="","",IFERROR(VLOOKUP(B515, PLANTA_BASE!A:R, 6, FALSE), "NO ENCONTRADO EN PLANTA"))</f>
        <v/>
      </c>
      <c r="F515" s="7">
        <f>IF(B515="","",IFERROR(VLOOKUP(B515, PLANTA_BASE!A:R, 8, FALSE), "DOCENTE / FACILITADOR"))</f>
        <v/>
      </c>
      <c r="G515" s="7">
        <f>IF(B515="","",IFERROR(VLOOKUP(B515, PLANTA_BASE!A:R, 9, FALSE), "GENERAL"))</f>
        <v/>
      </c>
      <c r="H515" s="5">
        <f>IF(B515="","",IFERROR(VLOOKUP(B515, PLANTA_BASE!A:R, 17, FALSE), "GENERAL"))</f>
        <v/>
      </c>
    </row>
    <row r="516" ht="20" customHeight="1">
      <c r="A516" s="2">
        <f>IF(B516="","",IFERROR(VLOOKUP(B516, PLANTA_BASE!A:R, 2, FALSE), "NO ENCONTRADO EN PLANTA"))</f>
        <v/>
      </c>
      <c r="B516" s="3" t="inlineStr"/>
      <c r="C516" s="4">
        <f>IF(B516="","",IFERROR(VLOOKUP(B516, PLANTA_BASE!A:R, 3, FALSE), ""))</f>
        <v/>
      </c>
      <c r="D516" s="2">
        <f>IF(B516="","",IFERROR(VLOOKUP(B516, PLANTA_BASE!A:R, 5, FALSE), "NO ENCONTRADO EN PLANTA"))</f>
        <v/>
      </c>
      <c r="E516" s="2">
        <f>IF(B516="","",IFERROR(VLOOKUP(B516, PLANTA_BASE!A:R, 6, FALSE), "NO ENCONTRADO EN PLANTA"))</f>
        <v/>
      </c>
      <c r="F516" s="4">
        <f>IF(B516="","",IFERROR(VLOOKUP(B516, PLANTA_BASE!A:R, 8, FALSE), "DOCENTE / FACILITADOR"))</f>
        <v/>
      </c>
      <c r="G516" s="4">
        <f>IF(B516="","",IFERROR(VLOOKUP(B516, PLANTA_BASE!A:R, 9, FALSE), "GENERAL"))</f>
        <v/>
      </c>
      <c r="H516" s="2">
        <f>IF(B516="","",IFERROR(VLOOKUP(B516, PLANTA_BASE!A:R, 17, FALSE), "GENERAL"))</f>
        <v/>
      </c>
    </row>
    <row r="517" ht="20" customHeight="1">
      <c r="A517" s="5">
        <f>IF(B517="","",IFERROR(VLOOKUP(B517, PLANTA_BASE!A:R, 2, FALSE), "NO ENCONTRADO EN PLANTA"))</f>
        <v/>
      </c>
      <c r="B517" s="6" t="inlineStr"/>
      <c r="C517" s="7">
        <f>IF(B517="","",IFERROR(VLOOKUP(B517, PLANTA_BASE!A:R, 3, FALSE), ""))</f>
        <v/>
      </c>
      <c r="D517" s="5">
        <f>IF(B517="","",IFERROR(VLOOKUP(B517, PLANTA_BASE!A:R, 5, FALSE), "NO ENCONTRADO EN PLANTA"))</f>
        <v/>
      </c>
      <c r="E517" s="5">
        <f>IF(B517="","",IFERROR(VLOOKUP(B517, PLANTA_BASE!A:R, 6, FALSE), "NO ENCONTRADO EN PLANTA"))</f>
        <v/>
      </c>
      <c r="F517" s="7">
        <f>IF(B517="","",IFERROR(VLOOKUP(B517, PLANTA_BASE!A:R, 8, FALSE), "DOCENTE / FACILITADOR"))</f>
        <v/>
      </c>
      <c r="G517" s="7">
        <f>IF(B517="","",IFERROR(VLOOKUP(B517, PLANTA_BASE!A:R, 9, FALSE), "GENERAL"))</f>
        <v/>
      </c>
      <c r="H517" s="5">
        <f>IF(B517="","",IFERROR(VLOOKUP(B517, PLANTA_BASE!A:R, 17, FALSE), "GENERAL"))</f>
        <v/>
      </c>
    </row>
    <row r="518" ht="20" customHeight="1">
      <c r="A518" s="2">
        <f>IF(B518="","",IFERROR(VLOOKUP(B518, PLANTA_BASE!A:R, 2, FALSE), "NO ENCONTRADO EN PLANTA"))</f>
        <v/>
      </c>
      <c r="B518" s="3" t="inlineStr"/>
      <c r="C518" s="4">
        <f>IF(B518="","",IFERROR(VLOOKUP(B518, PLANTA_BASE!A:R, 3, FALSE), ""))</f>
        <v/>
      </c>
      <c r="D518" s="2">
        <f>IF(B518="","",IFERROR(VLOOKUP(B518, PLANTA_BASE!A:R, 5, FALSE), "NO ENCONTRADO EN PLANTA"))</f>
        <v/>
      </c>
      <c r="E518" s="2">
        <f>IF(B518="","",IFERROR(VLOOKUP(B518, PLANTA_BASE!A:R, 6, FALSE), "NO ENCONTRADO EN PLANTA"))</f>
        <v/>
      </c>
      <c r="F518" s="4">
        <f>IF(B518="","",IFERROR(VLOOKUP(B518, PLANTA_BASE!A:R, 8, FALSE), "DOCENTE / FACILITADOR"))</f>
        <v/>
      </c>
      <c r="G518" s="4">
        <f>IF(B518="","",IFERROR(VLOOKUP(B518, PLANTA_BASE!A:R, 9, FALSE), "GENERAL"))</f>
        <v/>
      </c>
      <c r="H518" s="2">
        <f>IF(B518="","",IFERROR(VLOOKUP(B518, PLANTA_BASE!A:R, 17, FALSE), "GENERAL"))</f>
        <v/>
      </c>
    </row>
    <row r="519" ht="20" customHeight="1">
      <c r="A519" s="5">
        <f>IF(B519="","",IFERROR(VLOOKUP(B519, PLANTA_BASE!A:R, 2, FALSE), "NO ENCONTRADO EN PLANTA"))</f>
        <v/>
      </c>
      <c r="B519" s="6" t="inlineStr"/>
      <c r="C519" s="7">
        <f>IF(B519="","",IFERROR(VLOOKUP(B519, PLANTA_BASE!A:R, 3, FALSE), ""))</f>
        <v/>
      </c>
      <c r="D519" s="5">
        <f>IF(B519="","",IFERROR(VLOOKUP(B519, PLANTA_BASE!A:R, 5, FALSE), "NO ENCONTRADO EN PLANTA"))</f>
        <v/>
      </c>
      <c r="E519" s="5">
        <f>IF(B519="","",IFERROR(VLOOKUP(B519, PLANTA_BASE!A:R, 6, FALSE), "NO ENCONTRADO EN PLANTA"))</f>
        <v/>
      </c>
      <c r="F519" s="7">
        <f>IF(B519="","",IFERROR(VLOOKUP(B519, PLANTA_BASE!A:R, 8, FALSE), "DOCENTE / FACILITADOR"))</f>
        <v/>
      </c>
      <c r="G519" s="7">
        <f>IF(B519="","",IFERROR(VLOOKUP(B519, PLANTA_BASE!A:R, 9, FALSE), "GENERAL"))</f>
        <v/>
      </c>
      <c r="H519" s="5">
        <f>IF(B519="","",IFERROR(VLOOKUP(B519, PLANTA_BASE!A:R, 17, FALSE), "GENERAL"))</f>
        <v/>
      </c>
    </row>
    <row r="520" ht="20" customHeight="1">
      <c r="A520" s="2">
        <f>IF(B520="","",IFERROR(VLOOKUP(B520, PLANTA_BASE!A:R, 2, FALSE), "NO ENCONTRADO EN PLANTA"))</f>
        <v/>
      </c>
      <c r="B520" s="3" t="inlineStr"/>
      <c r="C520" s="4">
        <f>IF(B520="","",IFERROR(VLOOKUP(B520, PLANTA_BASE!A:R, 3, FALSE), ""))</f>
        <v/>
      </c>
      <c r="D520" s="2">
        <f>IF(B520="","",IFERROR(VLOOKUP(B520, PLANTA_BASE!A:R, 5, FALSE), "NO ENCONTRADO EN PLANTA"))</f>
        <v/>
      </c>
      <c r="E520" s="2">
        <f>IF(B520="","",IFERROR(VLOOKUP(B520, PLANTA_BASE!A:R, 6, FALSE), "NO ENCONTRADO EN PLANTA"))</f>
        <v/>
      </c>
      <c r="F520" s="4">
        <f>IF(B520="","",IFERROR(VLOOKUP(B520, PLANTA_BASE!A:R, 8, FALSE), "DOCENTE / FACILITADOR"))</f>
        <v/>
      </c>
      <c r="G520" s="4">
        <f>IF(B520="","",IFERROR(VLOOKUP(B520, PLANTA_BASE!A:R, 9, FALSE), "GENERAL"))</f>
        <v/>
      </c>
      <c r="H520" s="2">
        <f>IF(B520="","",IFERROR(VLOOKUP(B520, PLANTA_BASE!A:R, 17, FALSE), "GENERAL"))</f>
        <v/>
      </c>
    </row>
    <row r="521" ht="20" customHeight="1">
      <c r="A521" s="5">
        <f>IF(B521="","",IFERROR(VLOOKUP(B521, PLANTA_BASE!A:R, 2, FALSE), "NO ENCONTRADO EN PLANTA"))</f>
        <v/>
      </c>
      <c r="B521" s="6" t="inlineStr"/>
      <c r="C521" s="7">
        <f>IF(B521="","",IFERROR(VLOOKUP(B521, PLANTA_BASE!A:R, 3, FALSE), ""))</f>
        <v/>
      </c>
      <c r="D521" s="5">
        <f>IF(B521="","",IFERROR(VLOOKUP(B521, PLANTA_BASE!A:R, 5, FALSE), "NO ENCONTRADO EN PLANTA"))</f>
        <v/>
      </c>
      <c r="E521" s="5">
        <f>IF(B521="","",IFERROR(VLOOKUP(B521, PLANTA_BASE!A:R, 6, FALSE), "NO ENCONTRADO EN PLANTA"))</f>
        <v/>
      </c>
      <c r="F521" s="7">
        <f>IF(B521="","",IFERROR(VLOOKUP(B521, PLANTA_BASE!A:R, 8, FALSE), "DOCENTE / FACILITADOR"))</f>
        <v/>
      </c>
      <c r="G521" s="7">
        <f>IF(B521="","",IFERROR(VLOOKUP(B521, PLANTA_BASE!A:R, 9, FALSE), "GENERAL"))</f>
        <v/>
      </c>
      <c r="H521" s="5">
        <f>IF(B521="","",IFERROR(VLOOKUP(B521, PLANTA_BASE!A:R, 17, FALSE), "GENERAL"))</f>
        <v/>
      </c>
    </row>
    <row r="522" ht="20" customHeight="1">
      <c r="A522" s="2">
        <f>IF(B522="","",IFERROR(VLOOKUP(B522, PLANTA_BASE!A:R, 2, FALSE), "NO ENCONTRADO EN PLANTA"))</f>
        <v/>
      </c>
      <c r="B522" s="3" t="inlineStr"/>
      <c r="C522" s="4">
        <f>IF(B522="","",IFERROR(VLOOKUP(B522, PLANTA_BASE!A:R, 3, FALSE), ""))</f>
        <v/>
      </c>
      <c r="D522" s="2">
        <f>IF(B522="","",IFERROR(VLOOKUP(B522, PLANTA_BASE!A:R, 5, FALSE), "NO ENCONTRADO EN PLANTA"))</f>
        <v/>
      </c>
      <c r="E522" s="2">
        <f>IF(B522="","",IFERROR(VLOOKUP(B522, PLANTA_BASE!A:R, 6, FALSE), "NO ENCONTRADO EN PLANTA"))</f>
        <v/>
      </c>
      <c r="F522" s="4">
        <f>IF(B522="","",IFERROR(VLOOKUP(B522, PLANTA_BASE!A:R, 8, FALSE), "DOCENTE / FACILITADOR"))</f>
        <v/>
      </c>
      <c r="G522" s="4">
        <f>IF(B522="","",IFERROR(VLOOKUP(B522, PLANTA_BASE!A:R, 9, FALSE), "GENERAL"))</f>
        <v/>
      </c>
      <c r="H522" s="2">
        <f>IF(B522="","",IFERROR(VLOOKUP(B522, PLANTA_BASE!A:R, 17, FALSE), "GENERAL"))</f>
        <v/>
      </c>
    </row>
    <row r="523" ht="20" customHeight="1">
      <c r="A523" s="5">
        <f>IF(B523="","",IFERROR(VLOOKUP(B523, PLANTA_BASE!A:R, 2, FALSE), "NO ENCONTRADO EN PLANTA"))</f>
        <v/>
      </c>
      <c r="B523" s="6" t="inlineStr"/>
      <c r="C523" s="7">
        <f>IF(B523="","",IFERROR(VLOOKUP(B523, PLANTA_BASE!A:R, 3, FALSE), ""))</f>
        <v/>
      </c>
      <c r="D523" s="5">
        <f>IF(B523="","",IFERROR(VLOOKUP(B523, PLANTA_BASE!A:R, 5, FALSE), "NO ENCONTRADO EN PLANTA"))</f>
        <v/>
      </c>
      <c r="E523" s="5">
        <f>IF(B523="","",IFERROR(VLOOKUP(B523, PLANTA_BASE!A:R, 6, FALSE), "NO ENCONTRADO EN PLANTA"))</f>
        <v/>
      </c>
      <c r="F523" s="7">
        <f>IF(B523="","",IFERROR(VLOOKUP(B523, PLANTA_BASE!A:R, 8, FALSE), "DOCENTE / FACILITADOR"))</f>
        <v/>
      </c>
      <c r="G523" s="7">
        <f>IF(B523="","",IFERROR(VLOOKUP(B523, PLANTA_BASE!A:R, 9, FALSE), "GENERAL"))</f>
        <v/>
      </c>
      <c r="H523" s="5">
        <f>IF(B523="","",IFERROR(VLOOKUP(B523, PLANTA_BASE!A:R, 17, FALSE), "GENERAL"))</f>
        <v/>
      </c>
    </row>
    <row r="524" ht="20" customHeight="1">
      <c r="A524" s="2">
        <f>IF(B524="","",IFERROR(VLOOKUP(B524, PLANTA_BASE!A:R, 2, FALSE), "NO ENCONTRADO EN PLANTA"))</f>
        <v/>
      </c>
      <c r="B524" s="3" t="inlineStr"/>
      <c r="C524" s="4">
        <f>IF(B524="","",IFERROR(VLOOKUP(B524, PLANTA_BASE!A:R, 3, FALSE), ""))</f>
        <v/>
      </c>
      <c r="D524" s="2">
        <f>IF(B524="","",IFERROR(VLOOKUP(B524, PLANTA_BASE!A:R, 5, FALSE), "NO ENCONTRADO EN PLANTA"))</f>
        <v/>
      </c>
      <c r="E524" s="2">
        <f>IF(B524="","",IFERROR(VLOOKUP(B524, PLANTA_BASE!A:R, 6, FALSE), "NO ENCONTRADO EN PLANTA"))</f>
        <v/>
      </c>
      <c r="F524" s="4">
        <f>IF(B524="","",IFERROR(VLOOKUP(B524, PLANTA_BASE!A:R, 8, FALSE), "DOCENTE / FACILITADOR"))</f>
        <v/>
      </c>
      <c r="G524" s="4">
        <f>IF(B524="","",IFERROR(VLOOKUP(B524, PLANTA_BASE!A:R, 9, FALSE), "GENERAL"))</f>
        <v/>
      </c>
      <c r="H524" s="2">
        <f>IF(B524="","",IFERROR(VLOOKUP(B524, PLANTA_BASE!A:R, 17, FALSE), "GENERAL"))</f>
        <v/>
      </c>
    </row>
    <row r="525" ht="20" customHeight="1">
      <c r="A525" s="5">
        <f>IF(B525="","",IFERROR(VLOOKUP(B525, PLANTA_BASE!A:R, 2, FALSE), "NO ENCONTRADO EN PLANTA"))</f>
        <v/>
      </c>
      <c r="B525" s="6" t="inlineStr"/>
      <c r="C525" s="7">
        <f>IF(B525="","",IFERROR(VLOOKUP(B525, PLANTA_BASE!A:R, 3, FALSE), ""))</f>
        <v/>
      </c>
      <c r="D525" s="5">
        <f>IF(B525="","",IFERROR(VLOOKUP(B525, PLANTA_BASE!A:R, 5, FALSE), "NO ENCONTRADO EN PLANTA"))</f>
        <v/>
      </c>
      <c r="E525" s="5">
        <f>IF(B525="","",IFERROR(VLOOKUP(B525, PLANTA_BASE!A:R, 6, FALSE), "NO ENCONTRADO EN PLANTA"))</f>
        <v/>
      </c>
      <c r="F525" s="7">
        <f>IF(B525="","",IFERROR(VLOOKUP(B525, PLANTA_BASE!A:R, 8, FALSE), "DOCENTE / FACILITADOR"))</f>
        <v/>
      </c>
      <c r="G525" s="7">
        <f>IF(B525="","",IFERROR(VLOOKUP(B525, PLANTA_BASE!A:R, 9, FALSE), "GENERAL"))</f>
        <v/>
      </c>
      <c r="H525" s="5">
        <f>IF(B525="","",IFERROR(VLOOKUP(B525, PLANTA_BASE!A:R, 17, FALSE), "GENERAL"))</f>
        <v/>
      </c>
    </row>
    <row r="526" ht="20" customHeight="1">
      <c r="A526" s="2">
        <f>IF(B526="","",IFERROR(VLOOKUP(B526, PLANTA_BASE!A:R, 2, FALSE), "NO ENCONTRADO EN PLANTA"))</f>
        <v/>
      </c>
      <c r="B526" s="3" t="inlineStr"/>
      <c r="C526" s="4">
        <f>IF(B526="","",IFERROR(VLOOKUP(B526, PLANTA_BASE!A:R, 3, FALSE), ""))</f>
        <v/>
      </c>
      <c r="D526" s="2">
        <f>IF(B526="","",IFERROR(VLOOKUP(B526, PLANTA_BASE!A:R, 5, FALSE), "NO ENCONTRADO EN PLANTA"))</f>
        <v/>
      </c>
      <c r="E526" s="2">
        <f>IF(B526="","",IFERROR(VLOOKUP(B526, PLANTA_BASE!A:R, 6, FALSE), "NO ENCONTRADO EN PLANTA"))</f>
        <v/>
      </c>
      <c r="F526" s="4">
        <f>IF(B526="","",IFERROR(VLOOKUP(B526, PLANTA_BASE!A:R, 8, FALSE), "DOCENTE / FACILITADOR"))</f>
        <v/>
      </c>
      <c r="G526" s="4">
        <f>IF(B526="","",IFERROR(VLOOKUP(B526, PLANTA_BASE!A:R, 9, FALSE), "GENERAL"))</f>
        <v/>
      </c>
      <c r="H526" s="2">
        <f>IF(B526="","",IFERROR(VLOOKUP(B526, PLANTA_BASE!A:R, 17, FALSE), "GENERAL"))</f>
        <v/>
      </c>
    </row>
    <row r="527" ht="20" customHeight="1">
      <c r="A527" s="5">
        <f>IF(B527="","",IFERROR(VLOOKUP(B527, PLANTA_BASE!A:R, 2, FALSE), "NO ENCONTRADO EN PLANTA"))</f>
        <v/>
      </c>
      <c r="B527" s="6" t="inlineStr"/>
      <c r="C527" s="7">
        <f>IF(B527="","",IFERROR(VLOOKUP(B527, PLANTA_BASE!A:R, 3, FALSE), ""))</f>
        <v/>
      </c>
      <c r="D527" s="5">
        <f>IF(B527="","",IFERROR(VLOOKUP(B527, PLANTA_BASE!A:R, 5, FALSE), "NO ENCONTRADO EN PLANTA"))</f>
        <v/>
      </c>
      <c r="E527" s="5">
        <f>IF(B527="","",IFERROR(VLOOKUP(B527, PLANTA_BASE!A:R, 6, FALSE), "NO ENCONTRADO EN PLANTA"))</f>
        <v/>
      </c>
      <c r="F527" s="7">
        <f>IF(B527="","",IFERROR(VLOOKUP(B527, PLANTA_BASE!A:R, 8, FALSE), "DOCENTE / FACILITADOR"))</f>
        <v/>
      </c>
      <c r="G527" s="7">
        <f>IF(B527="","",IFERROR(VLOOKUP(B527, PLANTA_BASE!A:R, 9, FALSE), "GENERAL"))</f>
        <v/>
      </c>
      <c r="H527" s="5">
        <f>IF(B527="","",IFERROR(VLOOKUP(B527, PLANTA_BASE!A:R, 17, FALSE), "GENERAL"))</f>
        <v/>
      </c>
    </row>
    <row r="528" ht="20" customHeight="1">
      <c r="A528" s="2">
        <f>IF(B528="","",IFERROR(VLOOKUP(B528, PLANTA_BASE!A:R, 2, FALSE), "NO ENCONTRADO EN PLANTA"))</f>
        <v/>
      </c>
      <c r="B528" s="3" t="inlineStr"/>
      <c r="C528" s="4">
        <f>IF(B528="","",IFERROR(VLOOKUP(B528, PLANTA_BASE!A:R, 3, FALSE), ""))</f>
        <v/>
      </c>
      <c r="D528" s="2">
        <f>IF(B528="","",IFERROR(VLOOKUP(B528, PLANTA_BASE!A:R, 5, FALSE), "NO ENCONTRADO EN PLANTA"))</f>
        <v/>
      </c>
      <c r="E528" s="2">
        <f>IF(B528="","",IFERROR(VLOOKUP(B528, PLANTA_BASE!A:R, 6, FALSE), "NO ENCONTRADO EN PLANTA"))</f>
        <v/>
      </c>
      <c r="F528" s="4">
        <f>IF(B528="","",IFERROR(VLOOKUP(B528, PLANTA_BASE!A:R, 8, FALSE), "DOCENTE / FACILITADOR"))</f>
        <v/>
      </c>
      <c r="G528" s="4">
        <f>IF(B528="","",IFERROR(VLOOKUP(B528, PLANTA_BASE!A:R, 9, FALSE), "GENERAL"))</f>
        <v/>
      </c>
      <c r="H528" s="2">
        <f>IF(B528="","",IFERROR(VLOOKUP(B528, PLANTA_BASE!A:R, 17, FALSE), "GENERAL"))</f>
        <v/>
      </c>
    </row>
    <row r="529" ht="20" customHeight="1">
      <c r="A529" s="5">
        <f>IF(B529="","",IFERROR(VLOOKUP(B529, PLANTA_BASE!A:R, 2, FALSE), "NO ENCONTRADO EN PLANTA"))</f>
        <v/>
      </c>
      <c r="B529" s="6" t="inlineStr"/>
      <c r="C529" s="7">
        <f>IF(B529="","",IFERROR(VLOOKUP(B529, PLANTA_BASE!A:R, 3, FALSE), ""))</f>
        <v/>
      </c>
      <c r="D529" s="5">
        <f>IF(B529="","",IFERROR(VLOOKUP(B529, PLANTA_BASE!A:R, 5, FALSE), "NO ENCONTRADO EN PLANTA"))</f>
        <v/>
      </c>
      <c r="E529" s="5">
        <f>IF(B529="","",IFERROR(VLOOKUP(B529, PLANTA_BASE!A:R, 6, FALSE), "NO ENCONTRADO EN PLANTA"))</f>
        <v/>
      </c>
      <c r="F529" s="7">
        <f>IF(B529="","",IFERROR(VLOOKUP(B529, PLANTA_BASE!A:R, 8, FALSE), "DOCENTE / FACILITADOR"))</f>
        <v/>
      </c>
      <c r="G529" s="7">
        <f>IF(B529="","",IFERROR(VLOOKUP(B529, PLANTA_BASE!A:R, 9, FALSE), "GENERAL"))</f>
        <v/>
      </c>
      <c r="H529" s="5">
        <f>IF(B529="","",IFERROR(VLOOKUP(B529, PLANTA_BASE!A:R, 17, FALSE), "GENERAL"))</f>
        <v/>
      </c>
    </row>
    <row r="530" ht="20" customHeight="1">
      <c r="A530" s="2">
        <f>IF(B530="","",IFERROR(VLOOKUP(B530, PLANTA_BASE!A:R, 2, FALSE), "NO ENCONTRADO EN PLANTA"))</f>
        <v/>
      </c>
      <c r="B530" s="3" t="inlineStr"/>
      <c r="C530" s="4">
        <f>IF(B530="","",IFERROR(VLOOKUP(B530, PLANTA_BASE!A:R, 3, FALSE), ""))</f>
        <v/>
      </c>
      <c r="D530" s="2">
        <f>IF(B530="","",IFERROR(VLOOKUP(B530, PLANTA_BASE!A:R, 5, FALSE), "NO ENCONTRADO EN PLANTA"))</f>
        <v/>
      </c>
      <c r="E530" s="2">
        <f>IF(B530="","",IFERROR(VLOOKUP(B530, PLANTA_BASE!A:R, 6, FALSE), "NO ENCONTRADO EN PLANTA"))</f>
        <v/>
      </c>
      <c r="F530" s="4">
        <f>IF(B530="","",IFERROR(VLOOKUP(B530, PLANTA_BASE!A:R, 8, FALSE), "DOCENTE / FACILITADOR"))</f>
        <v/>
      </c>
      <c r="G530" s="4">
        <f>IF(B530="","",IFERROR(VLOOKUP(B530, PLANTA_BASE!A:R, 9, FALSE), "GENERAL"))</f>
        <v/>
      </c>
      <c r="H530" s="2">
        <f>IF(B530="","",IFERROR(VLOOKUP(B530, PLANTA_BASE!A:R, 17, FALSE), "GENERAL"))</f>
        <v/>
      </c>
    </row>
    <row r="531" ht="20" customHeight="1">
      <c r="A531" s="5">
        <f>IF(B531="","",IFERROR(VLOOKUP(B531, PLANTA_BASE!A:R, 2, FALSE), "NO ENCONTRADO EN PLANTA"))</f>
        <v/>
      </c>
      <c r="B531" s="6" t="inlineStr"/>
      <c r="C531" s="7">
        <f>IF(B531="","",IFERROR(VLOOKUP(B531, PLANTA_BASE!A:R, 3, FALSE), ""))</f>
        <v/>
      </c>
      <c r="D531" s="5">
        <f>IF(B531="","",IFERROR(VLOOKUP(B531, PLANTA_BASE!A:R, 5, FALSE), "NO ENCONTRADO EN PLANTA"))</f>
        <v/>
      </c>
      <c r="E531" s="5">
        <f>IF(B531="","",IFERROR(VLOOKUP(B531, PLANTA_BASE!A:R, 6, FALSE), "NO ENCONTRADO EN PLANTA"))</f>
        <v/>
      </c>
      <c r="F531" s="7">
        <f>IF(B531="","",IFERROR(VLOOKUP(B531, PLANTA_BASE!A:R, 8, FALSE), "DOCENTE / FACILITADOR"))</f>
        <v/>
      </c>
      <c r="G531" s="7">
        <f>IF(B531="","",IFERROR(VLOOKUP(B531, PLANTA_BASE!A:R, 9, FALSE), "GENERAL"))</f>
        <v/>
      </c>
      <c r="H531" s="5">
        <f>IF(B531="","",IFERROR(VLOOKUP(B531, PLANTA_BASE!A:R, 17, FALSE), "GENERAL"))</f>
        <v/>
      </c>
    </row>
    <row r="532" ht="20" customHeight="1">
      <c r="A532" s="2">
        <f>IF(B532="","",IFERROR(VLOOKUP(B532, PLANTA_BASE!A:R, 2, FALSE), "NO ENCONTRADO EN PLANTA"))</f>
        <v/>
      </c>
      <c r="B532" s="3" t="inlineStr"/>
      <c r="C532" s="4">
        <f>IF(B532="","",IFERROR(VLOOKUP(B532, PLANTA_BASE!A:R, 3, FALSE), ""))</f>
        <v/>
      </c>
      <c r="D532" s="2">
        <f>IF(B532="","",IFERROR(VLOOKUP(B532, PLANTA_BASE!A:R, 5, FALSE), "NO ENCONTRADO EN PLANTA"))</f>
        <v/>
      </c>
      <c r="E532" s="2">
        <f>IF(B532="","",IFERROR(VLOOKUP(B532, PLANTA_BASE!A:R, 6, FALSE), "NO ENCONTRADO EN PLANTA"))</f>
        <v/>
      </c>
      <c r="F532" s="4">
        <f>IF(B532="","",IFERROR(VLOOKUP(B532, PLANTA_BASE!A:R, 8, FALSE), "DOCENTE / FACILITADOR"))</f>
        <v/>
      </c>
      <c r="G532" s="4">
        <f>IF(B532="","",IFERROR(VLOOKUP(B532, PLANTA_BASE!A:R, 9, FALSE), "GENERAL"))</f>
        <v/>
      </c>
      <c r="H532" s="2">
        <f>IF(B532="","",IFERROR(VLOOKUP(B532, PLANTA_BASE!A:R, 17, FALSE), "GENERAL"))</f>
        <v/>
      </c>
    </row>
    <row r="533" ht="20" customHeight="1">
      <c r="A533" s="5">
        <f>IF(B533="","",IFERROR(VLOOKUP(B533, PLANTA_BASE!A:R, 2, FALSE), "NO ENCONTRADO EN PLANTA"))</f>
        <v/>
      </c>
      <c r="B533" s="6" t="inlineStr"/>
      <c r="C533" s="7">
        <f>IF(B533="","",IFERROR(VLOOKUP(B533, PLANTA_BASE!A:R, 3, FALSE), ""))</f>
        <v/>
      </c>
      <c r="D533" s="5">
        <f>IF(B533="","",IFERROR(VLOOKUP(B533, PLANTA_BASE!A:R, 5, FALSE), "NO ENCONTRADO EN PLANTA"))</f>
        <v/>
      </c>
      <c r="E533" s="5">
        <f>IF(B533="","",IFERROR(VLOOKUP(B533, PLANTA_BASE!A:R, 6, FALSE), "NO ENCONTRADO EN PLANTA"))</f>
        <v/>
      </c>
      <c r="F533" s="7">
        <f>IF(B533="","",IFERROR(VLOOKUP(B533, PLANTA_BASE!A:R, 8, FALSE), "DOCENTE / FACILITADOR"))</f>
        <v/>
      </c>
      <c r="G533" s="7">
        <f>IF(B533="","",IFERROR(VLOOKUP(B533, PLANTA_BASE!A:R, 9, FALSE), "GENERAL"))</f>
        <v/>
      </c>
      <c r="H533" s="5">
        <f>IF(B533="","",IFERROR(VLOOKUP(B533, PLANTA_BASE!A:R, 17, FALSE), "GENERAL"))</f>
        <v/>
      </c>
    </row>
    <row r="534" ht="20" customHeight="1">
      <c r="A534" s="2">
        <f>IF(B534="","",IFERROR(VLOOKUP(B534, PLANTA_BASE!A:R, 2, FALSE), "NO ENCONTRADO EN PLANTA"))</f>
        <v/>
      </c>
      <c r="B534" s="3" t="inlineStr"/>
      <c r="C534" s="4">
        <f>IF(B534="","",IFERROR(VLOOKUP(B534, PLANTA_BASE!A:R, 3, FALSE), ""))</f>
        <v/>
      </c>
      <c r="D534" s="2">
        <f>IF(B534="","",IFERROR(VLOOKUP(B534, PLANTA_BASE!A:R, 5, FALSE), "NO ENCONTRADO EN PLANTA"))</f>
        <v/>
      </c>
      <c r="E534" s="2">
        <f>IF(B534="","",IFERROR(VLOOKUP(B534, PLANTA_BASE!A:R, 6, FALSE), "NO ENCONTRADO EN PLANTA"))</f>
        <v/>
      </c>
      <c r="F534" s="4">
        <f>IF(B534="","",IFERROR(VLOOKUP(B534, PLANTA_BASE!A:R, 8, FALSE), "DOCENTE / FACILITADOR"))</f>
        <v/>
      </c>
      <c r="G534" s="4">
        <f>IF(B534="","",IFERROR(VLOOKUP(B534, PLANTA_BASE!A:R, 9, FALSE), "GENERAL"))</f>
        <v/>
      </c>
      <c r="H534" s="2">
        <f>IF(B534="","",IFERROR(VLOOKUP(B534, PLANTA_BASE!A:R, 17, FALSE), "GENERAL"))</f>
        <v/>
      </c>
    </row>
    <row r="535" ht="20" customHeight="1">
      <c r="A535" s="5">
        <f>IF(B535="","",IFERROR(VLOOKUP(B535, PLANTA_BASE!A:R, 2, FALSE), "NO ENCONTRADO EN PLANTA"))</f>
        <v/>
      </c>
      <c r="B535" s="6" t="inlineStr"/>
      <c r="C535" s="7">
        <f>IF(B535="","",IFERROR(VLOOKUP(B535, PLANTA_BASE!A:R, 3, FALSE), ""))</f>
        <v/>
      </c>
      <c r="D535" s="5">
        <f>IF(B535="","",IFERROR(VLOOKUP(B535, PLANTA_BASE!A:R, 5, FALSE), "NO ENCONTRADO EN PLANTA"))</f>
        <v/>
      </c>
      <c r="E535" s="5">
        <f>IF(B535="","",IFERROR(VLOOKUP(B535, PLANTA_BASE!A:R, 6, FALSE), "NO ENCONTRADO EN PLANTA"))</f>
        <v/>
      </c>
      <c r="F535" s="7">
        <f>IF(B535="","",IFERROR(VLOOKUP(B535, PLANTA_BASE!A:R, 8, FALSE), "DOCENTE / FACILITADOR"))</f>
        <v/>
      </c>
      <c r="G535" s="7">
        <f>IF(B535="","",IFERROR(VLOOKUP(B535, PLANTA_BASE!A:R, 9, FALSE), "GENERAL"))</f>
        <v/>
      </c>
      <c r="H535" s="5">
        <f>IF(B535="","",IFERROR(VLOOKUP(B535, PLANTA_BASE!A:R, 17, FALSE), "GENERAL"))</f>
        <v/>
      </c>
    </row>
    <row r="536" ht="20" customHeight="1">
      <c r="A536" s="2">
        <f>IF(B536="","",IFERROR(VLOOKUP(B536, PLANTA_BASE!A:R, 2, FALSE), "NO ENCONTRADO EN PLANTA"))</f>
        <v/>
      </c>
      <c r="B536" s="3" t="inlineStr"/>
      <c r="C536" s="4">
        <f>IF(B536="","",IFERROR(VLOOKUP(B536, PLANTA_BASE!A:R, 3, FALSE), ""))</f>
        <v/>
      </c>
      <c r="D536" s="2">
        <f>IF(B536="","",IFERROR(VLOOKUP(B536, PLANTA_BASE!A:R, 5, FALSE), "NO ENCONTRADO EN PLANTA"))</f>
        <v/>
      </c>
      <c r="E536" s="2">
        <f>IF(B536="","",IFERROR(VLOOKUP(B536, PLANTA_BASE!A:R, 6, FALSE), "NO ENCONTRADO EN PLANTA"))</f>
        <v/>
      </c>
      <c r="F536" s="4">
        <f>IF(B536="","",IFERROR(VLOOKUP(B536, PLANTA_BASE!A:R, 8, FALSE), "DOCENTE / FACILITADOR"))</f>
        <v/>
      </c>
      <c r="G536" s="4">
        <f>IF(B536="","",IFERROR(VLOOKUP(B536, PLANTA_BASE!A:R, 9, FALSE), "GENERAL"))</f>
        <v/>
      </c>
      <c r="H536" s="2">
        <f>IF(B536="","",IFERROR(VLOOKUP(B536, PLANTA_BASE!A:R, 17, FALSE), "GENERAL"))</f>
        <v/>
      </c>
    </row>
    <row r="537" ht="20" customHeight="1">
      <c r="A537" s="5">
        <f>IF(B537="","",IFERROR(VLOOKUP(B537, PLANTA_BASE!A:R, 2, FALSE), "NO ENCONTRADO EN PLANTA"))</f>
        <v/>
      </c>
      <c r="B537" s="6" t="inlineStr"/>
      <c r="C537" s="7">
        <f>IF(B537="","",IFERROR(VLOOKUP(B537, PLANTA_BASE!A:R, 3, FALSE), ""))</f>
        <v/>
      </c>
      <c r="D537" s="5">
        <f>IF(B537="","",IFERROR(VLOOKUP(B537, PLANTA_BASE!A:R, 5, FALSE), "NO ENCONTRADO EN PLANTA"))</f>
        <v/>
      </c>
      <c r="E537" s="5">
        <f>IF(B537="","",IFERROR(VLOOKUP(B537, PLANTA_BASE!A:R, 6, FALSE), "NO ENCONTRADO EN PLANTA"))</f>
        <v/>
      </c>
      <c r="F537" s="7">
        <f>IF(B537="","",IFERROR(VLOOKUP(B537, PLANTA_BASE!A:R, 8, FALSE), "DOCENTE / FACILITADOR"))</f>
        <v/>
      </c>
      <c r="G537" s="7">
        <f>IF(B537="","",IFERROR(VLOOKUP(B537, PLANTA_BASE!A:R, 9, FALSE), "GENERAL"))</f>
        <v/>
      </c>
      <c r="H537" s="5">
        <f>IF(B537="","",IFERROR(VLOOKUP(B537, PLANTA_BASE!A:R, 17, FALSE), "GENERAL"))</f>
        <v/>
      </c>
    </row>
    <row r="538" ht="20" customHeight="1">
      <c r="A538" s="2">
        <f>IF(B538="","",IFERROR(VLOOKUP(B538, PLANTA_BASE!A:R, 2, FALSE), "NO ENCONTRADO EN PLANTA"))</f>
        <v/>
      </c>
      <c r="B538" s="3" t="inlineStr"/>
      <c r="C538" s="4">
        <f>IF(B538="","",IFERROR(VLOOKUP(B538, PLANTA_BASE!A:R, 3, FALSE), ""))</f>
        <v/>
      </c>
      <c r="D538" s="2">
        <f>IF(B538="","",IFERROR(VLOOKUP(B538, PLANTA_BASE!A:R, 5, FALSE), "NO ENCONTRADO EN PLANTA"))</f>
        <v/>
      </c>
      <c r="E538" s="2">
        <f>IF(B538="","",IFERROR(VLOOKUP(B538, PLANTA_BASE!A:R, 6, FALSE), "NO ENCONTRADO EN PLANTA"))</f>
        <v/>
      </c>
      <c r="F538" s="4">
        <f>IF(B538="","",IFERROR(VLOOKUP(B538, PLANTA_BASE!A:R, 8, FALSE), "DOCENTE / FACILITADOR"))</f>
        <v/>
      </c>
      <c r="G538" s="4">
        <f>IF(B538="","",IFERROR(VLOOKUP(B538, PLANTA_BASE!A:R, 9, FALSE), "GENERAL"))</f>
        <v/>
      </c>
      <c r="H538" s="2">
        <f>IF(B538="","",IFERROR(VLOOKUP(B538, PLANTA_BASE!A:R, 17, FALSE), "GENERAL"))</f>
        <v/>
      </c>
    </row>
    <row r="539" ht="20" customHeight="1">
      <c r="A539" s="5">
        <f>IF(B539="","",IFERROR(VLOOKUP(B539, PLANTA_BASE!A:R, 2, FALSE), "NO ENCONTRADO EN PLANTA"))</f>
        <v/>
      </c>
      <c r="B539" s="6" t="inlineStr"/>
      <c r="C539" s="7">
        <f>IF(B539="","",IFERROR(VLOOKUP(B539, PLANTA_BASE!A:R, 3, FALSE), ""))</f>
        <v/>
      </c>
      <c r="D539" s="5">
        <f>IF(B539="","",IFERROR(VLOOKUP(B539, PLANTA_BASE!A:R, 5, FALSE), "NO ENCONTRADO EN PLANTA"))</f>
        <v/>
      </c>
      <c r="E539" s="5">
        <f>IF(B539="","",IFERROR(VLOOKUP(B539, PLANTA_BASE!A:R, 6, FALSE), "NO ENCONTRADO EN PLANTA"))</f>
        <v/>
      </c>
      <c r="F539" s="7">
        <f>IF(B539="","",IFERROR(VLOOKUP(B539, PLANTA_BASE!A:R, 8, FALSE), "DOCENTE / FACILITADOR"))</f>
        <v/>
      </c>
      <c r="G539" s="7">
        <f>IF(B539="","",IFERROR(VLOOKUP(B539, PLANTA_BASE!A:R, 9, FALSE), "GENERAL"))</f>
        <v/>
      </c>
      <c r="H539" s="5">
        <f>IF(B539="","",IFERROR(VLOOKUP(B539, PLANTA_BASE!A:R, 17, FALSE), "GENERAL"))</f>
        <v/>
      </c>
    </row>
    <row r="540" ht="20" customHeight="1">
      <c r="A540" s="2">
        <f>IF(B540="","",IFERROR(VLOOKUP(B540, PLANTA_BASE!A:R, 2, FALSE), "NO ENCONTRADO EN PLANTA"))</f>
        <v/>
      </c>
      <c r="B540" s="3" t="inlineStr"/>
      <c r="C540" s="4">
        <f>IF(B540="","",IFERROR(VLOOKUP(B540, PLANTA_BASE!A:R, 3, FALSE), ""))</f>
        <v/>
      </c>
      <c r="D540" s="2">
        <f>IF(B540="","",IFERROR(VLOOKUP(B540, PLANTA_BASE!A:R, 5, FALSE), "NO ENCONTRADO EN PLANTA"))</f>
        <v/>
      </c>
      <c r="E540" s="2">
        <f>IF(B540="","",IFERROR(VLOOKUP(B540, PLANTA_BASE!A:R, 6, FALSE), "NO ENCONTRADO EN PLANTA"))</f>
        <v/>
      </c>
      <c r="F540" s="4">
        <f>IF(B540="","",IFERROR(VLOOKUP(B540, PLANTA_BASE!A:R, 8, FALSE), "DOCENTE / FACILITADOR"))</f>
        <v/>
      </c>
      <c r="G540" s="4">
        <f>IF(B540="","",IFERROR(VLOOKUP(B540, PLANTA_BASE!A:R, 9, FALSE), "GENERAL"))</f>
        <v/>
      </c>
      <c r="H540" s="2">
        <f>IF(B540="","",IFERROR(VLOOKUP(B540, PLANTA_BASE!A:R, 17, FALSE), "GENERAL"))</f>
        <v/>
      </c>
    </row>
    <row r="541" ht="20" customHeight="1">
      <c r="A541" s="5">
        <f>IF(B541="","",IFERROR(VLOOKUP(B541, PLANTA_BASE!A:R, 2, FALSE), "NO ENCONTRADO EN PLANTA"))</f>
        <v/>
      </c>
      <c r="B541" s="6" t="inlineStr"/>
      <c r="C541" s="7">
        <f>IF(B541="","",IFERROR(VLOOKUP(B541, PLANTA_BASE!A:R, 3, FALSE), ""))</f>
        <v/>
      </c>
      <c r="D541" s="5">
        <f>IF(B541="","",IFERROR(VLOOKUP(B541, PLANTA_BASE!A:R, 5, FALSE), "NO ENCONTRADO EN PLANTA"))</f>
        <v/>
      </c>
      <c r="E541" s="5">
        <f>IF(B541="","",IFERROR(VLOOKUP(B541, PLANTA_BASE!A:R, 6, FALSE), "NO ENCONTRADO EN PLANTA"))</f>
        <v/>
      </c>
      <c r="F541" s="7">
        <f>IF(B541="","",IFERROR(VLOOKUP(B541, PLANTA_BASE!A:R, 8, FALSE), "DOCENTE / FACILITADOR"))</f>
        <v/>
      </c>
      <c r="G541" s="7">
        <f>IF(B541="","",IFERROR(VLOOKUP(B541, PLANTA_BASE!A:R, 9, FALSE), "GENERAL"))</f>
        <v/>
      </c>
      <c r="H541" s="5">
        <f>IF(B541="","",IFERROR(VLOOKUP(B541, PLANTA_BASE!A:R, 17, FALSE), "GENERAL"))</f>
        <v/>
      </c>
    </row>
    <row r="542" ht="20" customHeight="1">
      <c r="A542" s="2">
        <f>IF(B542="","",IFERROR(VLOOKUP(B542, PLANTA_BASE!A:R, 2, FALSE), "NO ENCONTRADO EN PLANTA"))</f>
        <v/>
      </c>
      <c r="B542" s="3" t="inlineStr"/>
      <c r="C542" s="4">
        <f>IF(B542="","",IFERROR(VLOOKUP(B542, PLANTA_BASE!A:R, 3, FALSE), ""))</f>
        <v/>
      </c>
      <c r="D542" s="2">
        <f>IF(B542="","",IFERROR(VLOOKUP(B542, PLANTA_BASE!A:R, 5, FALSE), "NO ENCONTRADO EN PLANTA"))</f>
        <v/>
      </c>
      <c r="E542" s="2">
        <f>IF(B542="","",IFERROR(VLOOKUP(B542, PLANTA_BASE!A:R, 6, FALSE), "NO ENCONTRADO EN PLANTA"))</f>
        <v/>
      </c>
      <c r="F542" s="4">
        <f>IF(B542="","",IFERROR(VLOOKUP(B542, PLANTA_BASE!A:R, 8, FALSE), "DOCENTE / FACILITADOR"))</f>
        <v/>
      </c>
      <c r="G542" s="4">
        <f>IF(B542="","",IFERROR(VLOOKUP(B542, PLANTA_BASE!A:R, 9, FALSE), "GENERAL"))</f>
        <v/>
      </c>
      <c r="H542" s="2">
        <f>IF(B542="","",IFERROR(VLOOKUP(B542, PLANTA_BASE!A:R, 17, FALSE), "GENERAL"))</f>
        <v/>
      </c>
    </row>
    <row r="543" ht="20" customHeight="1">
      <c r="A543" s="5">
        <f>IF(B543="","",IFERROR(VLOOKUP(B543, PLANTA_BASE!A:R, 2, FALSE), "NO ENCONTRADO EN PLANTA"))</f>
        <v/>
      </c>
      <c r="B543" s="6" t="inlineStr"/>
      <c r="C543" s="7">
        <f>IF(B543="","",IFERROR(VLOOKUP(B543, PLANTA_BASE!A:R, 3, FALSE), ""))</f>
        <v/>
      </c>
      <c r="D543" s="5">
        <f>IF(B543="","",IFERROR(VLOOKUP(B543, PLANTA_BASE!A:R, 5, FALSE), "NO ENCONTRADO EN PLANTA"))</f>
        <v/>
      </c>
      <c r="E543" s="5">
        <f>IF(B543="","",IFERROR(VLOOKUP(B543, PLANTA_BASE!A:R, 6, FALSE), "NO ENCONTRADO EN PLANTA"))</f>
        <v/>
      </c>
      <c r="F543" s="7">
        <f>IF(B543="","",IFERROR(VLOOKUP(B543, PLANTA_BASE!A:R, 8, FALSE), "DOCENTE / FACILITADOR"))</f>
        <v/>
      </c>
      <c r="G543" s="7">
        <f>IF(B543="","",IFERROR(VLOOKUP(B543, PLANTA_BASE!A:R, 9, FALSE), "GENERAL"))</f>
        <v/>
      </c>
      <c r="H543" s="5">
        <f>IF(B543="","",IFERROR(VLOOKUP(B543, PLANTA_BASE!A:R, 17, FALSE), "GENERAL"))</f>
        <v/>
      </c>
    </row>
    <row r="544" ht="20" customHeight="1">
      <c r="A544" s="2">
        <f>IF(B544="","",IFERROR(VLOOKUP(B544, PLANTA_BASE!A:R, 2, FALSE), "NO ENCONTRADO EN PLANTA"))</f>
        <v/>
      </c>
      <c r="B544" s="3" t="inlineStr"/>
      <c r="C544" s="4">
        <f>IF(B544="","",IFERROR(VLOOKUP(B544, PLANTA_BASE!A:R, 3, FALSE), ""))</f>
        <v/>
      </c>
      <c r="D544" s="2">
        <f>IF(B544="","",IFERROR(VLOOKUP(B544, PLANTA_BASE!A:R, 5, FALSE), "NO ENCONTRADO EN PLANTA"))</f>
        <v/>
      </c>
      <c r="E544" s="2">
        <f>IF(B544="","",IFERROR(VLOOKUP(B544, PLANTA_BASE!A:R, 6, FALSE), "NO ENCONTRADO EN PLANTA"))</f>
        <v/>
      </c>
      <c r="F544" s="4">
        <f>IF(B544="","",IFERROR(VLOOKUP(B544, PLANTA_BASE!A:R, 8, FALSE), "DOCENTE / FACILITADOR"))</f>
        <v/>
      </c>
      <c r="G544" s="4">
        <f>IF(B544="","",IFERROR(VLOOKUP(B544, PLANTA_BASE!A:R, 9, FALSE), "GENERAL"))</f>
        <v/>
      </c>
      <c r="H544" s="2">
        <f>IF(B544="","",IFERROR(VLOOKUP(B544, PLANTA_BASE!A:R, 17, FALSE), "GENERAL"))</f>
        <v/>
      </c>
    </row>
    <row r="545" ht="20" customHeight="1">
      <c r="A545" s="5">
        <f>IF(B545="","",IFERROR(VLOOKUP(B545, PLANTA_BASE!A:R, 2, FALSE), "NO ENCONTRADO EN PLANTA"))</f>
        <v/>
      </c>
      <c r="B545" s="6" t="inlineStr"/>
      <c r="C545" s="7">
        <f>IF(B545="","",IFERROR(VLOOKUP(B545, PLANTA_BASE!A:R, 3, FALSE), ""))</f>
        <v/>
      </c>
      <c r="D545" s="5">
        <f>IF(B545="","",IFERROR(VLOOKUP(B545, PLANTA_BASE!A:R, 5, FALSE), "NO ENCONTRADO EN PLANTA"))</f>
        <v/>
      </c>
      <c r="E545" s="5">
        <f>IF(B545="","",IFERROR(VLOOKUP(B545, PLANTA_BASE!A:R, 6, FALSE), "NO ENCONTRADO EN PLANTA"))</f>
        <v/>
      </c>
      <c r="F545" s="7">
        <f>IF(B545="","",IFERROR(VLOOKUP(B545, PLANTA_BASE!A:R, 8, FALSE), "DOCENTE / FACILITADOR"))</f>
        <v/>
      </c>
      <c r="G545" s="7">
        <f>IF(B545="","",IFERROR(VLOOKUP(B545, PLANTA_BASE!A:R, 9, FALSE), "GENERAL"))</f>
        <v/>
      </c>
      <c r="H545" s="5">
        <f>IF(B545="","",IFERROR(VLOOKUP(B545, PLANTA_BASE!A:R, 17, FALSE), "GENERAL"))</f>
        <v/>
      </c>
    </row>
    <row r="546" ht="20" customHeight="1">
      <c r="A546" s="2">
        <f>IF(B546="","",IFERROR(VLOOKUP(B546, PLANTA_BASE!A:R, 2, FALSE), "NO ENCONTRADO EN PLANTA"))</f>
        <v/>
      </c>
      <c r="B546" s="3" t="inlineStr"/>
      <c r="C546" s="4">
        <f>IF(B546="","",IFERROR(VLOOKUP(B546, PLANTA_BASE!A:R, 3, FALSE), ""))</f>
        <v/>
      </c>
      <c r="D546" s="2">
        <f>IF(B546="","",IFERROR(VLOOKUP(B546, PLANTA_BASE!A:R, 5, FALSE), "NO ENCONTRADO EN PLANTA"))</f>
        <v/>
      </c>
      <c r="E546" s="2">
        <f>IF(B546="","",IFERROR(VLOOKUP(B546, PLANTA_BASE!A:R, 6, FALSE), "NO ENCONTRADO EN PLANTA"))</f>
        <v/>
      </c>
      <c r="F546" s="4">
        <f>IF(B546="","",IFERROR(VLOOKUP(B546, PLANTA_BASE!A:R, 8, FALSE), "DOCENTE / FACILITADOR"))</f>
        <v/>
      </c>
      <c r="G546" s="4">
        <f>IF(B546="","",IFERROR(VLOOKUP(B546, PLANTA_BASE!A:R, 9, FALSE), "GENERAL"))</f>
        <v/>
      </c>
      <c r="H546" s="2">
        <f>IF(B546="","",IFERROR(VLOOKUP(B546, PLANTA_BASE!A:R, 17, FALSE), "GENERAL"))</f>
        <v/>
      </c>
    </row>
    <row r="547" ht="20" customHeight="1">
      <c r="A547" s="5">
        <f>IF(B547="","",IFERROR(VLOOKUP(B547, PLANTA_BASE!A:R, 2, FALSE), "NO ENCONTRADO EN PLANTA"))</f>
        <v/>
      </c>
      <c r="B547" s="6" t="inlineStr"/>
      <c r="C547" s="7">
        <f>IF(B547="","",IFERROR(VLOOKUP(B547, PLANTA_BASE!A:R, 3, FALSE), ""))</f>
        <v/>
      </c>
      <c r="D547" s="5">
        <f>IF(B547="","",IFERROR(VLOOKUP(B547, PLANTA_BASE!A:R, 5, FALSE), "NO ENCONTRADO EN PLANTA"))</f>
        <v/>
      </c>
      <c r="E547" s="5">
        <f>IF(B547="","",IFERROR(VLOOKUP(B547, PLANTA_BASE!A:R, 6, FALSE), "NO ENCONTRADO EN PLANTA"))</f>
        <v/>
      </c>
      <c r="F547" s="7">
        <f>IF(B547="","",IFERROR(VLOOKUP(B547, PLANTA_BASE!A:R, 8, FALSE), "DOCENTE / FACILITADOR"))</f>
        <v/>
      </c>
      <c r="G547" s="7">
        <f>IF(B547="","",IFERROR(VLOOKUP(B547, PLANTA_BASE!A:R, 9, FALSE), "GENERAL"))</f>
        <v/>
      </c>
      <c r="H547" s="5">
        <f>IF(B547="","",IFERROR(VLOOKUP(B547, PLANTA_BASE!A:R, 17, FALSE), "GENERAL"))</f>
        <v/>
      </c>
    </row>
    <row r="548" ht="20" customHeight="1">
      <c r="A548" s="2">
        <f>IF(B548="","",IFERROR(VLOOKUP(B548, PLANTA_BASE!A:R, 2, FALSE), "NO ENCONTRADO EN PLANTA"))</f>
        <v/>
      </c>
      <c r="B548" s="3" t="inlineStr"/>
      <c r="C548" s="4">
        <f>IF(B548="","",IFERROR(VLOOKUP(B548, PLANTA_BASE!A:R, 3, FALSE), ""))</f>
        <v/>
      </c>
      <c r="D548" s="2">
        <f>IF(B548="","",IFERROR(VLOOKUP(B548, PLANTA_BASE!A:R, 5, FALSE), "NO ENCONTRADO EN PLANTA"))</f>
        <v/>
      </c>
      <c r="E548" s="2">
        <f>IF(B548="","",IFERROR(VLOOKUP(B548, PLANTA_BASE!A:R, 6, FALSE), "NO ENCONTRADO EN PLANTA"))</f>
        <v/>
      </c>
      <c r="F548" s="4">
        <f>IF(B548="","",IFERROR(VLOOKUP(B548, PLANTA_BASE!A:R, 8, FALSE), "DOCENTE / FACILITADOR"))</f>
        <v/>
      </c>
      <c r="G548" s="4">
        <f>IF(B548="","",IFERROR(VLOOKUP(B548, PLANTA_BASE!A:R, 9, FALSE), "GENERAL"))</f>
        <v/>
      </c>
      <c r="H548" s="2">
        <f>IF(B548="","",IFERROR(VLOOKUP(B548, PLANTA_BASE!A:R, 17, FALSE), "GENERAL"))</f>
        <v/>
      </c>
    </row>
    <row r="549" ht="20" customHeight="1">
      <c r="A549" s="5">
        <f>IF(B549="","",IFERROR(VLOOKUP(B549, PLANTA_BASE!A:R, 2, FALSE), "NO ENCONTRADO EN PLANTA"))</f>
        <v/>
      </c>
      <c r="B549" s="6" t="inlineStr"/>
      <c r="C549" s="7">
        <f>IF(B549="","",IFERROR(VLOOKUP(B549, PLANTA_BASE!A:R, 3, FALSE), ""))</f>
        <v/>
      </c>
      <c r="D549" s="5">
        <f>IF(B549="","",IFERROR(VLOOKUP(B549, PLANTA_BASE!A:R, 5, FALSE), "NO ENCONTRADO EN PLANTA"))</f>
        <v/>
      </c>
      <c r="E549" s="5">
        <f>IF(B549="","",IFERROR(VLOOKUP(B549, PLANTA_BASE!A:R, 6, FALSE), "NO ENCONTRADO EN PLANTA"))</f>
        <v/>
      </c>
      <c r="F549" s="7">
        <f>IF(B549="","",IFERROR(VLOOKUP(B549, PLANTA_BASE!A:R, 8, FALSE), "DOCENTE / FACILITADOR"))</f>
        <v/>
      </c>
      <c r="G549" s="7">
        <f>IF(B549="","",IFERROR(VLOOKUP(B549, PLANTA_BASE!A:R, 9, FALSE), "GENERAL"))</f>
        <v/>
      </c>
      <c r="H549" s="5">
        <f>IF(B549="","",IFERROR(VLOOKUP(B549, PLANTA_BASE!A:R, 17, FALSE), "GENERAL"))</f>
        <v/>
      </c>
    </row>
    <row r="550" ht="20" customHeight="1">
      <c r="A550" s="2">
        <f>IF(B550="","",IFERROR(VLOOKUP(B550, PLANTA_BASE!A:R, 2, FALSE), "NO ENCONTRADO EN PLANTA"))</f>
        <v/>
      </c>
      <c r="B550" s="3" t="inlineStr"/>
      <c r="C550" s="4">
        <f>IF(B550="","",IFERROR(VLOOKUP(B550, PLANTA_BASE!A:R, 3, FALSE), ""))</f>
        <v/>
      </c>
      <c r="D550" s="2">
        <f>IF(B550="","",IFERROR(VLOOKUP(B550, PLANTA_BASE!A:R, 5, FALSE), "NO ENCONTRADO EN PLANTA"))</f>
        <v/>
      </c>
      <c r="E550" s="2">
        <f>IF(B550="","",IFERROR(VLOOKUP(B550, PLANTA_BASE!A:R, 6, FALSE), "NO ENCONTRADO EN PLANTA"))</f>
        <v/>
      </c>
      <c r="F550" s="4">
        <f>IF(B550="","",IFERROR(VLOOKUP(B550, PLANTA_BASE!A:R, 8, FALSE), "DOCENTE / FACILITADOR"))</f>
        <v/>
      </c>
      <c r="G550" s="4">
        <f>IF(B550="","",IFERROR(VLOOKUP(B550, PLANTA_BASE!A:R, 9, FALSE), "GENERAL"))</f>
        <v/>
      </c>
      <c r="H550" s="2">
        <f>IF(B550="","",IFERROR(VLOOKUP(B550, PLANTA_BASE!A:R, 17, FALSE), "GENERAL"))</f>
        <v/>
      </c>
    </row>
    <row r="551" ht="20" customHeight="1">
      <c r="A551" s="5">
        <f>IF(B551="","",IFERROR(VLOOKUP(B551, PLANTA_BASE!A:R, 2, FALSE), "NO ENCONTRADO EN PLANTA"))</f>
        <v/>
      </c>
      <c r="B551" s="6" t="inlineStr"/>
      <c r="C551" s="7">
        <f>IF(B551="","",IFERROR(VLOOKUP(B551, PLANTA_BASE!A:R, 3, FALSE), ""))</f>
        <v/>
      </c>
      <c r="D551" s="5">
        <f>IF(B551="","",IFERROR(VLOOKUP(B551, PLANTA_BASE!A:R, 5, FALSE), "NO ENCONTRADO EN PLANTA"))</f>
        <v/>
      </c>
      <c r="E551" s="5">
        <f>IF(B551="","",IFERROR(VLOOKUP(B551, PLANTA_BASE!A:R, 6, FALSE), "NO ENCONTRADO EN PLANTA"))</f>
        <v/>
      </c>
      <c r="F551" s="7">
        <f>IF(B551="","",IFERROR(VLOOKUP(B551, PLANTA_BASE!A:R, 8, FALSE), "DOCENTE / FACILITADOR"))</f>
        <v/>
      </c>
      <c r="G551" s="7">
        <f>IF(B551="","",IFERROR(VLOOKUP(B551, PLANTA_BASE!A:R, 9, FALSE), "GENERAL"))</f>
        <v/>
      </c>
      <c r="H551" s="5">
        <f>IF(B551="","",IFERROR(VLOOKUP(B551, PLANTA_BASE!A:R, 17, FALSE), "GENERAL"))</f>
        <v/>
      </c>
    </row>
    <row r="552" ht="20" customHeight="1">
      <c r="A552" s="2">
        <f>IF(B552="","",IFERROR(VLOOKUP(B552, PLANTA_BASE!A:R, 2, FALSE), "NO ENCONTRADO EN PLANTA"))</f>
        <v/>
      </c>
      <c r="B552" s="3" t="inlineStr"/>
      <c r="C552" s="4">
        <f>IF(B552="","",IFERROR(VLOOKUP(B552, PLANTA_BASE!A:R, 3, FALSE), ""))</f>
        <v/>
      </c>
      <c r="D552" s="2">
        <f>IF(B552="","",IFERROR(VLOOKUP(B552, PLANTA_BASE!A:R, 5, FALSE), "NO ENCONTRADO EN PLANTA"))</f>
        <v/>
      </c>
      <c r="E552" s="2">
        <f>IF(B552="","",IFERROR(VLOOKUP(B552, PLANTA_BASE!A:R, 6, FALSE), "NO ENCONTRADO EN PLANTA"))</f>
        <v/>
      </c>
      <c r="F552" s="4">
        <f>IF(B552="","",IFERROR(VLOOKUP(B552, PLANTA_BASE!A:R, 8, FALSE), "DOCENTE / FACILITADOR"))</f>
        <v/>
      </c>
      <c r="G552" s="4">
        <f>IF(B552="","",IFERROR(VLOOKUP(B552, PLANTA_BASE!A:R, 9, FALSE), "GENERAL"))</f>
        <v/>
      </c>
      <c r="H552" s="2">
        <f>IF(B552="","",IFERROR(VLOOKUP(B552, PLANTA_BASE!A:R, 17, FALSE), "GENERAL"))</f>
        <v/>
      </c>
    </row>
    <row r="553" ht="20" customHeight="1">
      <c r="A553" s="5">
        <f>IF(B553="","",IFERROR(VLOOKUP(B553, PLANTA_BASE!A:R, 2, FALSE), "NO ENCONTRADO EN PLANTA"))</f>
        <v/>
      </c>
      <c r="B553" s="6" t="inlineStr"/>
      <c r="C553" s="7">
        <f>IF(B553="","",IFERROR(VLOOKUP(B553, PLANTA_BASE!A:R, 3, FALSE), ""))</f>
        <v/>
      </c>
      <c r="D553" s="5">
        <f>IF(B553="","",IFERROR(VLOOKUP(B553, PLANTA_BASE!A:R, 5, FALSE), "NO ENCONTRADO EN PLANTA"))</f>
        <v/>
      </c>
      <c r="E553" s="5">
        <f>IF(B553="","",IFERROR(VLOOKUP(B553, PLANTA_BASE!A:R, 6, FALSE), "NO ENCONTRADO EN PLANTA"))</f>
        <v/>
      </c>
      <c r="F553" s="7">
        <f>IF(B553="","",IFERROR(VLOOKUP(B553, PLANTA_BASE!A:R, 8, FALSE), "DOCENTE / FACILITADOR"))</f>
        <v/>
      </c>
      <c r="G553" s="7">
        <f>IF(B553="","",IFERROR(VLOOKUP(B553, PLANTA_BASE!A:R, 9, FALSE), "GENERAL"))</f>
        <v/>
      </c>
      <c r="H553" s="5">
        <f>IF(B553="","",IFERROR(VLOOKUP(B553, PLANTA_BASE!A:R, 17, FALSE), "GENERAL"))</f>
        <v/>
      </c>
    </row>
    <row r="554" ht="20" customHeight="1">
      <c r="A554" s="2">
        <f>IF(B554="","",IFERROR(VLOOKUP(B554, PLANTA_BASE!A:R, 2, FALSE), "NO ENCONTRADO EN PLANTA"))</f>
        <v/>
      </c>
      <c r="B554" s="3" t="inlineStr"/>
      <c r="C554" s="4">
        <f>IF(B554="","",IFERROR(VLOOKUP(B554, PLANTA_BASE!A:R, 3, FALSE), ""))</f>
        <v/>
      </c>
      <c r="D554" s="2">
        <f>IF(B554="","",IFERROR(VLOOKUP(B554, PLANTA_BASE!A:R, 5, FALSE), "NO ENCONTRADO EN PLANTA"))</f>
        <v/>
      </c>
      <c r="E554" s="2">
        <f>IF(B554="","",IFERROR(VLOOKUP(B554, PLANTA_BASE!A:R, 6, FALSE), "NO ENCONTRADO EN PLANTA"))</f>
        <v/>
      </c>
      <c r="F554" s="4">
        <f>IF(B554="","",IFERROR(VLOOKUP(B554, PLANTA_BASE!A:R, 8, FALSE), "DOCENTE / FACILITADOR"))</f>
        <v/>
      </c>
      <c r="G554" s="4">
        <f>IF(B554="","",IFERROR(VLOOKUP(B554, PLANTA_BASE!A:R, 9, FALSE), "GENERAL"))</f>
        <v/>
      </c>
      <c r="H554" s="2">
        <f>IF(B554="","",IFERROR(VLOOKUP(B554, PLANTA_BASE!A:R, 17, FALSE), "GENERAL"))</f>
        <v/>
      </c>
    </row>
    <row r="555" ht="20" customHeight="1">
      <c r="A555" s="5">
        <f>IF(B555="","",IFERROR(VLOOKUP(B555, PLANTA_BASE!A:R, 2, FALSE), "NO ENCONTRADO EN PLANTA"))</f>
        <v/>
      </c>
      <c r="B555" s="6" t="inlineStr"/>
      <c r="C555" s="7">
        <f>IF(B555="","",IFERROR(VLOOKUP(B555, PLANTA_BASE!A:R, 3, FALSE), ""))</f>
        <v/>
      </c>
      <c r="D555" s="5">
        <f>IF(B555="","",IFERROR(VLOOKUP(B555, PLANTA_BASE!A:R, 5, FALSE), "NO ENCONTRADO EN PLANTA"))</f>
        <v/>
      </c>
      <c r="E555" s="5">
        <f>IF(B555="","",IFERROR(VLOOKUP(B555, PLANTA_BASE!A:R, 6, FALSE), "NO ENCONTRADO EN PLANTA"))</f>
        <v/>
      </c>
      <c r="F555" s="7">
        <f>IF(B555="","",IFERROR(VLOOKUP(B555, PLANTA_BASE!A:R, 8, FALSE), "DOCENTE / FACILITADOR"))</f>
        <v/>
      </c>
      <c r="G555" s="7">
        <f>IF(B555="","",IFERROR(VLOOKUP(B555, PLANTA_BASE!A:R, 9, FALSE), "GENERAL"))</f>
        <v/>
      </c>
      <c r="H555" s="5">
        <f>IF(B555="","",IFERROR(VLOOKUP(B555, PLANTA_BASE!A:R, 17, FALSE), "GENERAL"))</f>
        <v/>
      </c>
    </row>
    <row r="556" ht="20" customHeight="1">
      <c r="A556" s="2">
        <f>IF(B556="","",IFERROR(VLOOKUP(B556, PLANTA_BASE!A:R, 2, FALSE), "NO ENCONTRADO EN PLANTA"))</f>
        <v/>
      </c>
      <c r="B556" s="3" t="inlineStr"/>
      <c r="C556" s="4">
        <f>IF(B556="","",IFERROR(VLOOKUP(B556, PLANTA_BASE!A:R, 3, FALSE), ""))</f>
        <v/>
      </c>
      <c r="D556" s="2">
        <f>IF(B556="","",IFERROR(VLOOKUP(B556, PLANTA_BASE!A:R, 5, FALSE), "NO ENCONTRADO EN PLANTA"))</f>
        <v/>
      </c>
      <c r="E556" s="2">
        <f>IF(B556="","",IFERROR(VLOOKUP(B556, PLANTA_BASE!A:R, 6, FALSE), "NO ENCONTRADO EN PLANTA"))</f>
        <v/>
      </c>
      <c r="F556" s="4">
        <f>IF(B556="","",IFERROR(VLOOKUP(B556, PLANTA_BASE!A:R, 8, FALSE), "DOCENTE / FACILITADOR"))</f>
        <v/>
      </c>
      <c r="G556" s="4">
        <f>IF(B556="","",IFERROR(VLOOKUP(B556, PLANTA_BASE!A:R, 9, FALSE), "GENERAL"))</f>
        <v/>
      </c>
      <c r="H556" s="2">
        <f>IF(B556="","",IFERROR(VLOOKUP(B556, PLANTA_BASE!A:R, 17, FALSE), "GENERAL"))</f>
        <v/>
      </c>
    </row>
    <row r="557" ht="20" customHeight="1">
      <c r="A557" s="5">
        <f>IF(B557="","",IFERROR(VLOOKUP(B557, PLANTA_BASE!A:R, 2, FALSE), "NO ENCONTRADO EN PLANTA"))</f>
        <v/>
      </c>
      <c r="B557" s="6" t="inlineStr"/>
      <c r="C557" s="7">
        <f>IF(B557="","",IFERROR(VLOOKUP(B557, PLANTA_BASE!A:R, 3, FALSE), ""))</f>
        <v/>
      </c>
      <c r="D557" s="5">
        <f>IF(B557="","",IFERROR(VLOOKUP(B557, PLANTA_BASE!A:R, 5, FALSE), "NO ENCONTRADO EN PLANTA"))</f>
        <v/>
      </c>
      <c r="E557" s="5">
        <f>IF(B557="","",IFERROR(VLOOKUP(B557, PLANTA_BASE!A:R, 6, FALSE), "NO ENCONTRADO EN PLANTA"))</f>
        <v/>
      </c>
      <c r="F557" s="7">
        <f>IF(B557="","",IFERROR(VLOOKUP(B557, PLANTA_BASE!A:R, 8, FALSE), "DOCENTE / FACILITADOR"))</f>
        <v/>
      </c>
      <c r="G557" s="7">
        <f>IF(B557="","",IFERROR(VLOOKUP(B557, PLANTA_BASE!A:R, 9, FALSE), "GENERAL"))</f>
        <v/>
      </c>
      <c r="H557" s="5">
        <f>IF(B557="","",IFERROR(VLOOKUP(B557, PLANTA_BASE!A:R, 17, FALSE), "GENERAL"))</f>
        <v/>
      </c>
    </row>
    <row r="558" ht="20" customHeight="1">
      <c r="A558" s="2">
        <f>IF(B558="","",IFERROR(VLOOKUP(B558, PLANTA_BASE!A:R, 2, FALSE), "NO ENCONTRADO EN PLANTA"))</f>
        <v/>
      </c>
      <c r="B558" s="3" t="inlineStr"/>
      <c r="C558" s="4">
        <f>IF(B558="","",IFERROR(VLOOKUP(B558, PLANTA_BASE!A:R, 3, FALSE), ""))</f>
        <v/>
      </c>
      <c r="D558" s="2">
        <f>IF(B558="","",IFERROR(VLOOKUP(B558, PLANTA_BASE!A:R, 5, FALSE), "NO ENCONTRADO EN PLANTA"))</f>
        <v/>
      </c>
      <c r="E558" s="2">
        <f>IF(B558="","",IFERROR(VLOOKUP(B558, PLANTA_BASE!A:R, 6, FALSE), "NO ENCONTRADO EN PLANTA"))</f>
        <v/>
      </c>
      <c r="F558" s="4">
        <f>IF(B558="","",IFERROR(VLOOKUP(B558, PLANTA_BASE!A:R, 8, FALSE), "DOCENTE / FACILITADOR"))</f>
        <v/>
      </c>
      <c r="G558" s="4">
        <f>IF(B558="","",IFERROR(VLOOKUP(B558, PLANTA_BASE!A:R, 9, FALSE), "GENERAL"))</f>
        <v/>
      </c>
      <c r="H558" s="2">
        <f>IF(B558="","",IFERROR(VLOOKUP(B558, PLANTA_BASE!A:R, 17, FALSE), "GENERAL"))</f>
        <v/>
      </c>
    </row>
    <row r="559" ht="20" customHeight="1">
      <c r="A559" s="5">
        <f>IF(B559="","",IFERROR(VLOOKUP(B559, PLANTA_BASE!A:R, 2, FALSE), "NO ENCONTRADO EN PLANTA"))</f>
        <v/>
      </c>
      <c r="B559" s="6" t="inlineStr"/>
      <c r="C559" s="7">
        <f>IF(B559="","",IFERROR(VLOOKUP(B559, PLANTA_BASE!A:R, 3, FALSE), ""))</f>
        <v/>
      </c>
      <c r="D559" s="5">
        <f>IF(B559="","",IFERROR(VLOOKUP(B559, PLANTA_BASE!A:R, 5, FALSE), "NO ENCONTRADO EN PLANTA"))</f>
        <v/>
      </c>
      <c r="E559" s="5">
        <f>IF(B559="","",IFERROR(VLOOKUP(B559, PLANTA_BASE!A:R, 6, FALSE), "NO ENCONTRADO EN PLANTA"))</f>
        <v/>
      </c>
      <c r="F559" s="7">
        <f>IF(B559="","",IFERROR(VLOOKUP(B559, PLANTA_BASE!A:R, 8, FALSE), "DOCENTE / FACILITADOR"))</f>
        <v/>
      </c>
      <c r="G559" s="7">
        <f>IF(B559="","",IFERROR(VLOOKUP(B559, PLANTA_BASE!A:R, 9, FALSE), "GENERAL"))</f>
        <v/>
      </c>
      <c r="H559" s="5">
        <f>IF(B559="","",IFERROR(VLOOKUP(B559, PLANTA_BASE!A:R, 17, FALSE), "GENERAL"))</f>
        <v/>
      </c>
    </row>
    <row r="560" ht="20" customHeight="1">
      <c r="A560" s="2">
        <f>IF(B560="","",IFERROR(VLOOKUP(B560, PLANTA_BASE!A:R, 2, FALSE), "NO ENCONTRADO EN PLANTA"))</f>
        <v/>
      </c>
      <c r="B560" s="3" t="inlineStr"/>
      <c r="C560" s="4">
        <f>IF(B560="","",IFERROR(VLOOKUP(B560, PLANTA_BASE!A:R, 3, FALSE), ""))</f>
        <v/>
      </c>
      <c r="D560" s="2">
        <f>IF(B560="","",IFERROR(VLOOKUP(B560, PLANTA_BASE!A:R, 5, FALSE), "NO ENCONTRADO EN PLANTA"))</f>
        <v/>
      </c>
      <c r="E560" s="2">
        <f>IF(B560="","",IFERROR(VLOOKUP(B560, PLANTA_BASE!A:R, 6, FALSE), "NO ENCONTRADO EN PLANTA"))</f>
        <v/>
      </c>
      <c r="F560" s="4">
        <f>IF(B560="","",IFERROR(VLOOKUP(B560, PLANTA_BASE!A:R, 8, FALSE), "DOCENTE / FACILITADOR"))</f>
        <v/>
      </c>
      <c r="G560" s="4">
        <f>IF(B560="","",IFERROR(VLOOKUP(B560, PLANTA_BASE!A:R, 9, FALSE), "GENERAL"))</f>
        <v/>
      </c>
      <c r="H560" s="2">
        <f>IF(B560="","",IFERROR(VLOOKUP(B560, PLANTA_BASE!A:R, 17, FALSE), "GENERAL"))</f>
        <v/>
      </c>
    </row>
    <row r="561" ht="20" customHeight="1">
      <c r="A561" s="5">
        <f>IF(B561="","",IFERROR(VLOOKUP(B561, PLANTA_BASE!A:R, 2, FALSE), "NO ENCONTRADO EN PLANTA"))</f>
        <v/>
      </c>
      <c r="B561" s="6" t="inlineStr"/>
      <c r="C561" s="7">
        <f>IF(B561="","",IFERROR(VLOOKUP(B561, PLANTA_BASE!A:R, 3, FALSE), ""))</f>
        <v/>
      </c>
      <c r="D561" s="5">
        <f>IF(B561="","",IFERROR(VLOOKUP(B561, PLANTA_BASE!A:R, 5, FALSE), "NO ENCONTRADO EN PLANTA"))</f>
        <v/>
      </c>
      <c r="E561" s="5">
        <f>IF(B561="","",IFERROR(VLOOKUP(B561, PLANTA_BASE!A:R, 6, FALSE), "NO ENCONTRADO EN PLANTA"))</f>
        <v/>
      </c>
      <c r="F561" s="7">
        <f>IF(B561="","",IFERROR(VLOOKUP(B561, PLANTA_BASE!A:R, 8, FALSE), "DOCENTE / FACILITADOR"))</f>
        <v/>
      </c>
      <c r="G561" s="7">
        <f>IF(B561="","",IFERROR(VLOOKUP(B561, PLANTA_BASE!A:R, 9, FALSE), "GENERAL"))</f>
        <v/>
      </c>
      <c r="H561" s="5">
        <f>IF(B561="","",IFERROR(VLOOKUP(B561, PLANTA_BASE!A:R, 17, FALSE), "GENERAL"))</f>
        <v/>
      </c>
    </row>
    <row r="562" ht="20" customHeight="1">
      <c r="A562" s="2">
        <f>IF(B562="","",IFERROR(VLOOKUP(B562, PLANTA_BASE!A:R, 2, FALSE), "NO ENCONTRADO EN PLANTA"))</f>
        <v/>
      </c>
      <c r="B562" s="3" t="inlineStr"/>
      <c r="C562" s="4">
        <f>IF(B562="","",IFERROR(VLOOKUP(B562, PLANTA_BASE!A:R, 3, FALSE), ""))</f>
        <v/>
      </c>
      <c r="D562" s="2">
        <f>IF(B562="","",IFERROR(VLOOKUP(B562, PLANTA_BASE!A:R, 5, FALSE), "NO ENCONTRADO EN PLANTA"))</f>
        <v/>
      </c>
      <c r="E562" s="2">
        <f>IF(B562="","",IFERROR(VLOOKUP(B562, PLANTA_BASE!A:R, 6, FALSE), "NO ENCONTRADO EN PLANTA"))</f>
        <v/>
      </c>
      <c r="F562" s="4">
        <f>IF(B562="","",IFERROR(VLOOKUP(B562, PLANTA_BASE!A:R, 8, FALSE), "DOCENTE / FACILITADOR"))</f>
        <v/>
      </c>
      <c r="G562" s="4">
        <f>IF(B562="","",IFERROR(VLOOKUP(B562, PLANTA_BASE!A:R, 9, FALSE), "GENERAL"))</f>
        <v/>
      </c>
      <c r="H562" s="2">
        <f>IF(B562="","",IFERROR(VLOOKUP(B562, PLANTA_BASE!A:R, 17, FALSE), "GENERAL"))</f>
        <v/>
      </c>
    </row>
    <row r="563" ht="20" customHeight="1">
      <c r="A563" s="5">
        <f>IF(B563="","",IFERROR(VLOOKUP(B563, PLANTA_BASE!A:R, 2, FALSE), "NO ENCONTRADO EN PLANTA"))</f>
        <v/>
      </c>
      <c r="B563" s="6" t="inlineStr"/>
      <c r="C563" s="7">
        <f>IF(B563="","",IFERROR(VLOOKUP(B563, PLANTA_BASE!A:R, 3, FALSE), ""))</f>
        <v/>
      </c>
      <c r="D563" s="5">
        <f>IF(B563="","",IFERROR(VLOOKUP(B563, PLANTA_BASE!A:R, 5, FALSE), "NO ENCONTRADO EN PLANTA"))</f>
        <v/>
      </c>
      <c r="E563" s="5">
        <f>IF(B563="","",IFERROR(VLOOKUP(B563, PLANTA_BASE!A:R, 6, FALSE), "NO ENCONTRADO EN PLANTA"))</f>
        <v/>
      </c>
      <c r="F563" s="7">
        <f>IF(B563="","",IFERROR(VLOOKUP(B563, PLANTA_BASE!A:R, 8, FALSE), "DOCENTE / FACILITADOR"))</f>
        <v/>
      </c>
      <c r="G563" s="7">
        <f>IF(B563="","",IFERROR(VLOOKUP(B563, PLANTA_BASE!A:R, 9, FALSE), "GENERAL"))</f>
        <v/>
      </c>
      <c r="H563" s="5">
        <f>IF(B563="","",IFERROR(VLOOKUP(B563, PLANTA_BASE!A:R, 17, FALSE), "GENERAL"))</f>
        <v/>
      </c>
    </row>
    <row r="564" ht="20" customHeight="1">
      <c r="A564" s="2">
        <f>IF(B564="","",IFERROR(VLOOKUP(B564, PLANTA_BASE!A:R, 2, FALSE), "NO ENCONTRADO EN PLANTA"))</f>
        <v/>
      </c>
      <c r="B564" s="3" t="inlineStr"/>
      <c r="C564" s="4">
        <f>IF(B564="","",IFERROR(VLOOKUP(B564, PLANTA_BASE!A:R, 3, FALSE), ""))</f>
        <v/>
      </c>
      <c r="D564" s="2">
        <f>IF(B564="","",IFERROR(VLOOKUP(B564, PLANTA_BASE!A:R, 5, FALSE), "NO ENCONTRADO EN PLANTA"))</f>
        <v/>
      </c>
      <c r="E564" s="2">
        <f>IF(B564="","",IFERROR(VLOOKUP(B564, PLANTA_BASE!A:R, 6, FALSE), "NO ENCONTRADO EN PLANTA"))</f>
        <v/>
      </c>
      <c r="F564" s="4">
        <f>IF(B564="","",IFERROR(VLOOKUP(B564, PLANTA_BASE!A:R, 8, FALSE), "DOCENTE / FACILITADOR"))</f>
        <v/>
      </c>
      <c r="G564" s="4">
        <f>IF(B564="","",IFERROR(VLOOKUP(B564, PLANTA_BASE!A:R, 9, FALSE), "GENERAL"))</f>
        <v/>
      </c>
      <c r="H564" s="2">
        <f>IF(B564="","",IFERROR(VLOOKUP(B564, PLANTA_BASE!A:R, 17, FALSE), "GENERAL"))</f>
        <v/>
      </c>
    </row>
    <row r="565" ht="20" customHeight="1">
      <c r="A565" s="5">
        <f>IF(B565="","",IFERROR(VLOOKUP(B565, PLANTA_BASE!A:R, 2, FALSE), "NO ENCONTRADO EN PLANTA"))</f>
        <v/>
      </c>
      <c r="B565" s="6" t="inlineStr"/>
      <c r="C565" s="7">
        <f>IF(B565="","",IFERROR(VLOOKUP(B565, PLANTA_BASE!A:R, 3, FALSE), ""))</f>
        <v/>
      </c>
      <c r="D565" s="5">
        <f>IF(B565="","",IFERROR(VLOOKUP(B565, PLANTA_BASE!A:R, 5, FALSE), "NO ENCONTRADO EN PLANTA"))</f>
        <v/>
      </c>
      <c r="E565" s="5">
        <f>IF(B565="","",IFERROR(VLOOKUP(B565, PLANTA_BASE!A:R, 6, FALSE), "NO ENCONTRADO EN PLANTA"))</f>
        <v/>
      </c>
      <c r="F565" s="7">
        <f>IF(B565="","",IFERROR(VLOOKUP(B565, PLANTA_BASE!A:R, 8, FALSE), "DOCENTE / FACILITADOR"))</f>
        <v/>
      </c>
      <c r="G565" s="7">
        <f>IF(B565="","",IFERROR(VLOOKUP(B565, PLANTA_BASE!A:R, 9, FALSE), "GENERAL"))</f>
        <v/>
      </c>
      <c r="H565" s="5">
        <f>IF(B565="","",IFERROR(VLOOKUP(B565, PLANTA_BASE!A:R, 17, FALSE), "GENERAL"))</f>
        <v/>
      </c>
    </row>
    <row r="566" ht="20" customHeight="1">
      <c r="A566" s="2">
        <f>IF(B566="","",IFERROR(VLOOKUP(B566, PLANTA_BASE!A:R, 2, FALSE), "NO ENCONTRADO EN PLANTA"))</f>
        <v/>
      </c>
      <c r="B566" s="3" t="inlineStr"/>
      <c r="C566" s="4">
        <f>IF(B566="","",IFERROR(VLOOKUP(B566, PLANTA_BASE!A:R, 3, FALSE), ""))</f>
        <v/>
      </c>
      <c r="D566" s="2">
        <f>IF(B566="","",IFERROR(VLOOKUP(B566, PLANTA_BASE!A:R, 5, FALSE), "NO ENCONTRADO EN PLANTA"))</f>
        <v/>
      </c>
      <c r="E566" s="2">
        <f>IF(B566="","",IFERROR(VLOOKUP(B566, PLANTA_BASE!A:R, 6, FALSE), "NO ENCONTRADO EN PLANTA"))</f>
        <v/>
      </c>
      <c r="F566" s="4">
        <f>IF(B566="","",IFERROR(VLOOKUP(B566, PLANTA_BASE!A:R, 8, FALSE), "DOCENTE / FACILITADOR"))</f>
        <v/>
      </c>
      <c r="G566" s="4">
        <f>IF(B566="","",IFERROR(VLOOKUP(B566, PLANTA_BASE!A:R, 9, FALSE), "GENERAL"))</f>
        <v/>
      </c>
      <c r="H566" s="2">
        <f>IF(B566="","",IFERROR(VLOOKUP(B566, PLANTA_BASE!A:R, 17, FALSE), "GENERAL"))</f>
        <v/>
      </c>
    </row>
    <row r="567" ht="20" customHeight="1">
      <c r="A567" s="5">
        <f>IF(B567="","",IFERROR(VLOOKUP(B567, PLANTA_BASE!A:R, 2, FALSE), "NO ENCONTRADO EN PLANTA"))</f>
        <v/>
      </c>
      <c r="B567" s="6" t="inlineStr"/>
      <c r="C567" s="7">
        <f>IF(B567="","",IFERROR(VLOOKUP(B567, PLANTA_BASE!A:R, 3, FALSE), ""))</f>
        <v/>
      </c>
      <c r="D567" s="5">
        <f>IF(B567="","",IFERROR(VLOOKUP(B567, PLANTA_BASE!A:R, 5, FALSE), "NO ENCONTRADO EN PLANTA"))</f>
        <v/>
      </c>
      <c r="E567" s="5">
        <f>IF(B567="","",IFERROR(VLOOKUP(B567, PLANTA_BASE!A:R, 6, FALSE), "NO ENCONTRADO EN PLANTA"))</f>
        <v/>
      </c>
      <c r="F567" s="7">
        <f>IF(B567="","",IFERROR(VLOOKUP(B567, PLANTA_BASE!A:R, 8, FALSE), "DOCENTE / FACILITADOR"))</f>
        <v/>
      </c>
      <c r="G567" s="7">
        <f>IF(B567="","",IFERROR(VLOOKUP(B567, PLANTA_BASE!A:R, 9, FALSE), "GENERAL"))</f>
        <v/>
      </c>
      <c r="H567" s="5">
        <f>IF(B567="","",IFERROR(VLOOKUP(B567, PLANTA_BASE!A:R, 17, FALSE), "GENERAL"))</f>
        <v/>
      </c>
    </row>
    <row r="568" ht="20" customHeight="1">
      <c r="A568" s="2">
        <f>IF(B568="","",IFERROR(VLOOKUP(B568, PLANTA_BASE!A:R, 2, FALSE), "NO ENCONTRADO EN PLANTA"))</f>
        <v/>
      </c>
      <c r="B568" s="3" t="inlineStr"/>
      <c r="C568" s="4">
        <f>IF(B568="","",IFERROR(VLOOKUP(B568, PLANTA_BASE!A:R, 3, FALSE), ""))</f>
        <v/>
      </c>
      <c r="D568" s="2">
        <f>IF(B568="","",IFERROR(VLOOKUP(B568, PLANTA_BASE!A:R, 5, FALSE), "NO ENCONTRADO EN PLANTA"))</f>
        <v/>
      </c>
      <c r="E568" s="2">
        <f>IF(B568="","",IFERROR(VLOOKUP(B568, PLANTA_BASE!A:R, 6, FALSE), "NO ENCONTRADO EN PLANTA"))</f>
        <v/>
      </c>
      <c r="F568" s="4">
        <f>IF(B568="","",IFERROR(VLOOKUP(B568, PLANTA_BASE!A:R, 8, FALSE), "DOCENTE / FACILITADOR"))</f>
        <v/>
      </c>
      <c r="G568" s="4">
        <f>IF(B568="","",IFERROR(VLOOKUP(B568, PLANTA_BASE!A:R, 9, FALSE), "GENERAL"))</f>
        <v/>
      </c>
      <c r="H568" s="2">
        <f>IF(B568="","",IFERROR(VLOOKUP(B568, PLANTA_BASE!A:R, 17, FALSE), "GENERAL"))</f>
        <v/>
      </c>
    </row>
    <row r="569" ht="20" customHeight="1">
      <c r="A569" s="5">
        <f>IF(B569="","",IFERROR(VLOOKUP(B569, PLANTA_BASE!A:R, 2, FALSE), "NO ENCONTRADO EN PLANTA"))</f>
        <v/>
      </c>
      <c r="B569" s="6" t="inlineStr"/>
      <c r="C569" s="7">
        <f>IF(B569="","",IFERROR(VLOOKUP(B569, PLANTA_BASE!A:R, 3, FALSE), ""))</f>
        <v/>
      </c>
      <c r="D569" s="5">
        <f>IF(B569="","",IFERROR(VLOOKUP(B569, PLANTA_BASE!A:R, 5, FALSE), "NO ENCONTRADO EN PLANTA"))</f>
        <v/>
      </c>
      <c r="E569" s="5">
        <f>IF(B569="","",IFERROR(VLOOKUP(B569, PLANTA_BASE!A:R, 6, FALSE), "NO ENCONTRADO EN PLANTA"))</f>
        <v/>
      </c>
      <c r="F569" s="7">
        <f>IF(B569="","",IFERROR(VLOOKUP(B569, PLANTA_BASE!A:R, 8, FALSE), "DOCENTE / FACILITADOR"))</f>
        <v/>
      </c>
      <c r="G569" s="7">
        <f>IF(B569="","",IFERROR(VLOOKUP(B569, PLANTA_BASE!A:R, 9, FALSE), "GENERAL"))</f>
        <v/>
      </c>
      <c r="H569" s="5">
        <f>IF(B569="","",IFERROR(VLOOKUP(B569, PLANTA_BASE!A:R, 17, FALSE), "GENERAL"))</f>
        <v/>
      </c>
    </row>
    <row r="570" ht="20" customHeight="1">
      <c r="A570" s="2">
        <f>IF(B570="","",IFERROR(VLOOKUP(B570, PLANTA_BASE!A:R, 2, FALSE), "NO ENCONTRADO EN PLANTA"))</f>
        <v/>
      </c>
      <c r="B570" s="3" t="inlineStr"/>
      <c r="C570" s="4">
        <f>IF(B570="","",IFERROR(VLOOKUP(B570, PLANTA_BASE!A:R, 3, FALSE), ""))</f>
        <v/>
      </c>
      <c r="D570" s="2">
        <f>IF(B570="","",IFERROR(VLOOKUP(B570, PLANTA_BASE!A:R, 5, FALSE), "NO ENCONTRADO EN PLANTA"))</f>
        <v/>
      </c>
      <c r="E570" s="2">
        <f>IF(B570="","",IFERROR(VLOOKUP(B570, PLANTA_BASE!A:R, 6, FALSE), "NO ENCONTRADO EN PLANTA"))</f>
        <v/>
      </c>
      <c r="F570" s="4">
        <f>IF(B570="","",IFERROR(VLOOKUP(B570, PLANTA_BASE!A:R, 8, FALSE), "DOCENTE / FACILITADOR"))</f>
        <v/>
      </c>
      <c r="G570" s="4">
        <f>IF(B570="","",IFERROR(VLOOKUP(B570, PLANTA_BASE!A:R, 9, FALSE), "GENERAL"))</f>
        <v/>
      </c>
      <c r="H570" s="2">
        <f>IF(B570="","",IFERROR(VLOOKUP(B570, PLANTA_BASE!A:R, 17, FALSE), "GENERAL"))</f>
        <v/>
      </c>
    </row>
    <row r="571" ht="20" customHeight="1">
      <c r="A571" s="5">
        <f>IF(B571="","",IFERROR(VLOOKUP(B571, PLANTA_BASE!A:R, 2, FALSE), "NO ENCONTRADO EN PLANTA"))</f>
        <v/>
      </c>
      <c r="B571" s="6" t="inlineStr"/>
      <c r="C571" s="7">
        <f>IF(B571="","",IFERROR(VLOOKUP(B571, PLANTA_BASE!A:R, 3, FALSE), ""))</f>
        <v/>
      </c>
      <c r="D571" s="5">
        <f>IF(B571="","",IFERROR(VLOOKUP(B571, PLANTA_BASE!A:R, 5, FALSE), "NO ENCONTRADO EN PLANTA"))</f>
        <v/>
      </c>
      <c r="E571" s="5">
        <f>IF(B571="","",IFERROR(VLOOKUP(B571, PLANTA_BASE!A:R, 6, FALSE), "NO ENCONTRADO EN PLANTA"))</f>
        <v/>
      </c>
      <c r="F571" s="7">
        <f>IF(B571="","",IFERROR(VLOOKUP(B571, PLANTA_BASE!A:R, 8, FALSE), "DOCENTE / FACILITADOR"))</f>
        <v/>
      </c>
      <c r="G571" s="7">
        <f>IF(B571="","",IFERROR(VLOOKUP(B571, PLANTA_BASE!A:R, 9, FALSE), "GENERAL"))</f>
        <v/>
      </c>
      <c r="H571" s="5">
        <f>IF(B571="","",IFERROR(VLOOKUP(B571, PLANTA_BASE!A:R, 17, FALSE), "GENERAL"))</f>
        <v/>
      </c>
    </row>
    <row r="572" ht="20" customHeight="1">
      <c r="A572" s="2">
        <f>IF(B572="","",IFERROR(VLOOKUP(B572, PLANTA_BASE!A:R, 2, FALSE), "NO ENCONTRADO EN PLANTA"))</f>
        <v/>
      </c>
      <c r="B572" s="3" t="inlineStr"/>
      <c r="C572" s="4">
        <f>IF(B572="","",IFERROR(VLOOKUP(B572, PLANTA_BASE!A:R, 3, FALSE), ""))</f>
        <v/>
      </c>
      <c r="D572" s="2">
        <f>IF(B572="","",IFERROR(VLOOKUP(B572, PLANTA_BASE!A:R, 5, FALSE), "NO ENCONTRADO EN PLANTA"))</f>
        <v/>
      </c>
      <c r="E572" s="2">
        <f>IF(B572="","",IFERROR(VLOOKUP(B572, PLANTA_BASE!A:R, 6, FALSE), "NO ENCONTRADO EN PLANTA"))</f>
        <v/>
      </c>
      <c r="F572" s="4">
        <f>IF(B572="","",IFERROR(VLOOKUP(B572, PLANTA_BASE!A:R, 8, FALSE), "DOCENTE / FACILITADOR"))</f>
        <v/>
      </c>
      <c r="G572" s="4">
        <f>IF(B572="","",IFERROR(VLOOKUP(B572, PLANTA_BASE!A:R, 9, FALSE), "GENERAL"))</f>
        <v/>
      </c>
      <c r="H572" s="2">
        <f>IF(B572="","",IFERROR(VLOOKUP(B572, PLANTA_BASE!A:R, 17, FALSE), "GENERAL"))</f>
        <v/>
      </c>
    </row>
    <row r="573" ht="20" customHeight="1">
      <c r="A573" s="5">
        <f>IF(B573="","",IFERROR(VLOOKUP(B573, PLANTA_BASE!A:R, 2, FALSE), "NO ENCONTRADO EN PLANTA"))</f>
        <v/>
      </c>
      <c r="B573" s="6" t="inlineStr"/>
      <c r="C573" s="7">
        <f>IF(B573="","",IFERROR(VLOOKUP(B573, PLANTA_BASE!A:R, 3, FALSE), ""))</f>
        <v/>
      </c>
      <c r="D573" s="5">
        <f>IF(B573="","",IFERROR(VLOOKUP(B573, PLANTA_BASE!A:R, 5, FALSE), "NO ENCONTRADO EN PLANTA"))</f>
        <v/>
      </c>
      <c r="E573" s="5">
        <f>IF(B573="","",IFERROR(VLOOKUP(B573, PLANTA_BASE!A:R, 6, FALSE), "NO ENCONTRADO EN PLANTA"))</f>
        <v/>
      </c>
      <c r="F573" s="7">
        <f>IF(B573="","",IFERROR(VLOOKUP(B573, PLANTA_BASE!A:R, 8, FALSE), "DOCENTE / FACILITADOR"))</f>
        <v/>
      </c>
      <c r="G573" s="7">
        <f>IF(B573="","",IFERROR(VLOOKUP(B573, PLANTA_BASE!A:R, 9, FALSE), "GENERAL"))</f>
        <v/>
      </c>
      <c r="H573" s="5">
        <f>IF(B573="","",IFERROR(VLOOKUP(B573, PLANTA_BASE!A:R, 17, FALSE), "GENERAL"))</f>
        <v/>
      </c>
    </row>
    <row r="574" ht="20" customHeight="1">
      <c r="A574" s="2">
        <f>IF(B574="","",IFERROR(VLOOKUP(B574, PLANTA_BASE!A:R, 2, FALSE), "NO ENCONTRADO EN PLANTA"))</f>
        <v/>
      </c>
      <c r="B574" s="3" t="inlineStr"/>
      <c r="C574" s="4">
        <f>IF(B574="","",IFERROR(VLOOKUP(B574, PLANTA_BASE!A:R, 3, FALSE), ""))</f>
        <v/>
      </c>
      <c r="D574" s="2">
        <f>IF(B574="","",IFERROR(VLOOKUP(B574, PLANTA_BASE!A:R, 5, FALSE), "NO ENCONTRADO EN PLANTA"))</f>
        <v/>
      </c>
      <c r="E574" s="2">
        <f>IF(B574="","",IFERROR(VLOOKUP(B574, PLANTA_BASE!A:R, 6, FALSE), "NO ENCONTRADO EN PLANTA"))</f>
        <v/>
      </c>
      <c r="F574" s="4">
        <f>IF(B574="","",IFERROR(VLOOKUP(B574, PLANTA_BASE!A:R, 8, FALSE), "DOCENTE / FACILITADOR"))</f>
        <v/>
      </c>
      <c r="G574" s="4">
        <f>IF(B574="","",IFERROR(VLOOKUP(B574, PLANTA_BASE!A:R, 9, FALSE), "GENERAL"))</f>
        <v/>
      </c>
      <c r="H574" s="2">
        <f>IF(B574="","",IFERROR(VLOOKUP(B574, PLANTA_BASE!A:R, 17, FALSE), "GENERAL"))</f>
        <v/>
      </c>
    </row>
    <row r="575" ht="20" customHeight="1">
      <c r="A575" s="5">
        <f>IF(B575="","",IFERROR(VLOOKUP(B575, PLANTA_BASE!A:R, 2, FALSE), "NO ENCONTRADO EN PLANTA"))</f>
        <v/>
      </c>
      <c r="B575" s="6" t="inlineStr"/>
      <c r="C575" s="7">
        <f>IF(B575="","",IFERROR(VLOOKUP(B575, PLANTA_BASE!A:R, 3, FALSE), ""))</f>
        <v/>
      </c>
      <c r="D575" s="5">
        <f>IF(B575="","",IFERROR(VLOOKUP(B575, PLANTA_BASE!A:R, 5, FALSE), "NO ENCONTRADO EN PLANTA"))</f>
        <v/>
      </c>
      <c r="E575" s="5">
        <f>IF(B575="","",IFERROR(VLOOKUP(B575, PLANTA_BASE!A:R, 6, FALSE), "NO ENCONTRADO EN PLANTA"))</f>
        <v/>
      </c>
      <c r="F575" s="7">
        <f>IF(B575="","",IFERROR(VLOOKUP(B575, PLANTA_BASE!A:R, 8, FALSE), "DOCENTE / FACILITADOR"))</f>
        <v/>
      </c>
      <c r="G575" s="7">
        <f>IF(B575="","",IFERROR(VLOOKUP(B575, PLANTA_BASE!A:R, 9, FALSE), "GENERAL"))</f>
        <v/>
      </c>
      <c r="H575" s="5">
        <f>IF(B575="","",IFERROR(VLOOKUP(B575, PLANTA_BASE!A:R, 17, FALSE), "GENERAL"))</f>
        <v/>
      </c>
    </row>
    <row r="576" ht="20" customHeight="1">
      <c r="A576" s="2">
        <f>IF(B576="","",IFERROR(VLOOKUP(B576, PLANTA_BASE!A:R, 2, FALSE), "NO ENCONTRADO EN PLANTA"))</f>
        <v/>
      </c>
      <c r="B576" s="3" t="inlineStr"/>
      <c r="C576" s="4">
        <f>IF(B576="","",IFERROR(VLOOKUP(B576, PLANTA_BASE!A:R, 3, FALSE), ""))</f>
        <v/>
      </c>
      <c r="D576" s="2">
        <f>IF(B576="","",IFERROR(VLOOKUP(B576, PLANTA_BASE!A:R, 5, FALSE), "NO ENCONTRADO EN PLANTA"))</f>
        <v/>
      </c>
      <c r="E576" s="2">
        <f>IF(B576="","",IFERROR(VLOOKUP(B576, PLANTA_BASE!A:R, 6, FALSE), "NO ENCONTRADO EN PLANTA"))</f>
        <v/>
      </c>
      <c r="F576" s="4">
        <f>IF(B576="","",IFERROR(VLOOKUP(B576, PLANTA_BASE!A:R, 8, FALSE), "DOCENTE / FACILITADOR"))</f>
        <v/>
      </c>
      <c r="G576" s="4">
        <f>IF(B576="","",IFERROR(VLOOKUP(B576, PLANTA_BASE!A:R, 9, FALSE), "GENERAL"))</f>
        <v/>
      </c>
      <c r="H576" s="2">
        <f>IF(B576="","",IFERROR(VLOOKUP(B576, PLANTA_BASE!A:R, 17, FALSE), "GENERAL"))</f>
        <v/>
      </c>
    </row>
    <row r="577" ht="20" customHeight="1">
      <c r="A577" s="5">
        <f>IF(B577="","",IFERROR(VLOOKUP(B577, PLANTA_BASE!A:R, 2, FALSE), "NO ENCONTRADO EN PLANTA"))</f>
        <v/>
      </c>
      <c r="B577" s="6" t="inlineStr"/>
      <c r="C577" s="7">
        <f>IF(B577="","",IFERROR(VLOOKUP(B577, PLANTA_BASE!A:R, 3, FALSE), ""))</f>
        <v/>
      </c>
      <c r="D577" s="5">
        <f>IF(B577="","",IFERROR(VLOOKUP(B577, PLANTA_BASE!A:R, 5, FALSE), "NO ENCONTRADO EN PLANTA"))</f>
        <v/>
      </c>
      <c r="E577" s="5">
        <f>IF(B577="","",IFERROR(VLOOKUP(B577, PLANTA_BASE!A:R, 6, FALSE), "NO ENCONTRADO EN PLANTA"))</f>
        <v/>
      </c>
      <c r="F577" s="7">
        <f>IF(B577="","",IFERROR(VLOOKUP(B577, PLANTA_BASE!A:R, 8, FALSE), "DOCENTE / FACILITADOR"))</f>
        <v/>
      </c>
      <c r="G577" s="7">
        <f>IF(B577="","",IFERROR(VLOOKUP(B577, PLANTA_BASE!A:R, 9, FALSE), "GENERAL"))</f>
        <v/>
      </c>
      <c r="H577" s="5">
        <f>IF(B577="","",IFERROR(VLOOKUP(B577, PLANTA_BASE!A:R, 17, FALSE), "GENERAL"))</f>
        <v/>
      </c>
    </row>
    <row r="578" ht="20" customHeight="1">
      <c r="A578" s="2">
        <f>IF(B578="","",IFERROR(VLOOKUP(B578, PLANTA_BASE!A:R, 2, FALSE), "NO ENCONTRADO EN PLANTA"))</f>
        <v/>
      </c>
      <c r="B578" s="3" t="inlineStr"/>
      <c r="C578" s="4">
        <f>IF(B578="","",IFERROR(VLOOKUP(B578, PLANTA_BASE!A:R, 3, FALSE), ""))</f>
        <v/>
      </c>
      <c r="D578" s="2">
        <f>IF(B578="","",IFERROR(VLOOKUP(B578, PLANTA_BASE!A:R, 5, FALSE), "NO ENCONTRADO EN PLANTA"))</f>
        <v/>
      </c>
      <c r="E578" s="2">
        <f>IF(B578="","",IFERROR(VLOOKUP(B578, PLANTA_BASE!A:R, 6, FALSE), "NO ENCONTRADO EN PLANTA"))</f>
        <v/>
      </c>
      <c r="F578" s="4">
        <f>IF(B578="","",IFERROR(VLOOKUP(B578, PLANTA_BASE!A:R, 8, FALSE), "DOCENTE / FACILITADOR"))</f>
        <v/>
      </c>
      <c r="G578" s="4">
        <f>IF(B578="","",IFERROR(VLOOKUP(B578, PLANTA_BASE!A:R, 9, FALSE), "GENERAL"))</f>
        <v/>
      </c>
      <c r="H578" s="2">
        <f>IF(B578="","",IFERROR(VLOOKUP(B578, PLANTA_BASE!A:R, 17, FALSE), "GENERAL"))</f>
        <v/>
      </c>
    </row>
    <row r="579" ht="20" customHeight="1">
      <c r="A579" s="5">
        <f>IF(B579="","",IFERROR(VLOOKUP(B579, PLANTA_BASE!A:R, 2, FALSE), "NO ENCONTRADO EN PLANTA"))</f>
        <v/>
      </c>
      <c r="B579" s="6" t="inlineStr"/>
      <c r="C579" s="7">
        <f>IF(B579="","",IFERROR(VLOOKUP(B579, PLANTA_BASE!A:R, 3, FALSE), ""))</f>
        <v/>
      </c>
      <c r="D579" s="5">
        <f>IF(B579="","",IFERROR(VLOOKUP(B579, PLANTA_BASE!A:R, 5, FALSE), "NO ENCONTRADO EN PLANTA"))</f>
        <v/>
      </c>
      <c r="E579" s="5">
        <f>IF(B579="","",IFERROR(VLOOKUP(B579, PLANTA_BASE!A:R, 6, FALSE), "NO ENCONTRADO EN PLANTA"))</f>
        <v/>
      </c>
      <c r="F579" s="7">
        <f>IF(B579="","",IFERROR(VLOOKUP(B579, PLANTA_BASE!A:R, 8, FALSE), "DOCENTE / FACILITADOR"))</f>
        <v/>
      </c>
      <c r="G579" s="7">
        <f>IF(B579="","",IFERROR(VLOOKUP(B579, PLANTA_BASE!A:R, 9, FALSE), "GENERAL"))</f>
        <v/>
      </c>
      <c r="H579" s="5">
        <f>IF(B579="","",IFERROR(VLOOKUP(B579, PLANTA_BASE!A:R, 17, FALSE), "GENERAL"))</f>
        <v/>
      </c>
    </row>
    <row r="580" ht="20" customHeight="1">
      <c r="A580" s="2">
        <f>IF(B580="","",IFERROR(VLOOKUP(B580, PLANTA_BASE!A:R, 2, FALSE), "NO ENCONTRADO EN PLANTA"))</f>
        <v/>
      </c>
      <c r="B580" s="3" t="inlineStr"/>
      <c r="C580" s="4">
        <f>IF(B580="","",IFERROR(VLOOKUP(B580, PLANTA_BASE!A:R, 3, FALSE), ""))</f>
        <v/>
      </c>
      <c r="D580" s="2">
        <f>IF(B580="","",IFERROR(VLOOKUP(B580, PLANTA_BASE!A:R, 5, FALSE), "NO ENCONTRADO EN PLANTA"))</f>
        <v/>
      </c>
      <c r="E580" s="2">
        <f>IF(B580="","",IFERROR(VLOOKUP(B580, PLANTA_BASE!A:R, 6, FALSE), "NO ENCONTRADO EN PLANTA"))</f>
        <v/>
      </c>
      <c r="F580" s="4">
        <f>IF(B580="","",IFERROR(VLOOKUP(B580, PLANTA_BASE!A:R, 8, FALSE), "DOCENTE / FACILITADOR"))</f>
        <v/>
      </c>
      <c r="G580" s="4">
        <f>IF(B580="","",IFERROR(VLOOKUP(B580, PLANTA_BASE!A:R, 9, FALSE), "GENERAL"))</f>
        <v/>
      </c>
      <c r="H580" s="2">
        <f>IF(B580="","",IFERROR(VLOOKUP(B580, PLANTA_BASE!A:R, 17, FALSE), "GENERAL"))</f>
        <v/>
      </c>
    </row>
    <row r="581" ht="20" customHeight="1">
      <c r="A581" s="5">
        <f>IF(B581="","",IFERROR(VLOOKUP(B581, PLANTA_BASE!A:R, 2, FALSE), "NO ENCONTRADO EN PLANTA"))</f>
        <v/>
      </c>
      <c r="B581" s="6" t="inlineStr"/>
      <c r="C581" s="7">
        <f>IF(B581="","",IFERROR(VLOOKUP(B581, PLANTA_BASE!A:R, 3, FALSE), ""))</f>
        <v/>
      </c>
      <c r="D581" s="5">
        <f>IF(B581="","",IFERROR(VLOOKUP(B581, PLANTA_BASE!A:R, 5, FALSE), "NO ENCONTRADO EN PLANTA"))</f>
        <v/>
      </c>
      <c r="E581" s="5">
        <f>IF(B581="","",IFERROR(VLOOKUP(B581, PLANTA_BASE!A:R, 6, FALSE), "NO ENCONTRADO EN PLANTA"))</f>
        <v/>
      </c>
      <c r="F581" s="7">
        <f>IF(B581="","",IFERROR(VLOOKUP(B581, PLANTA_BASE!A:R, 8, FALSE), "DOCENTE / FACILITADOR"))</f>
        <v/>
      </c>
      <c r="G581" s="7">
        <f>IF(B581="","",IFERROR(VLOOKUP(B581, PLANTA_BASE!A:R, 9, FALSE), "GENERAL"))</f>
        <v/>
      </c>
      <c r="H581" s="5">
        <f>IF(B581="","",IFERROR(VLOOKUP(B581, PLANTA_BASE!A:R, 17, FALSE), "GENERAL"))</f>
        <v/>
      </c>
    </row>
    <row r="582" ht="20" customHeight="1">
      <c r="A582" s="2">
        <f>IF(B582="","",IFERROR(VLOOKUP(B582, PLANTA_BASE!A:R, 2, FALSE), "NO ENCONTRADO EN PLANTA"))</f>
        <v/>
      </c>
      <c r="B582" s="3" t="inlineStr"/>
      <c r="C582" s="4">
        <f>IF(B582="","",IFERROR(VLOOKUP(B582, PLANTA_BASE!A:R, 3, FALSE), ""))</f>
        <v/>
      </c>
      <c r="D582" s="2">
        <f>IF(B582="","",IFERROR(VLOOKUP(B582, PLANTA_BASE!A:R, 5, FALSE), "NO ENCONTRADO EN PLANTA"))</f>
        <v/>
      </c>
      <c r="E582" s="2">
        <f>IF(B582="","",IFERROR(VLOOKUP(B582, PLANTA_BASE!A:R, 6, FALSE), "NO ENCONTRADO EN PLANTA"))</f>
        <v/>
      </c>
      <c r="F582" s="4">
        <f>IF(B582="","",IFERROR(VLOOKUP(B582, PLANTA_BASE!A:R, 8, FALSE), "DOCENTE / FACILITADOR"))</f>
        <v/>
      </c>
      <c r="G582" s="4">
        <f>IF(B582="","",IFERROR(VLOOKUP(B582, PLANTA_BASE!A:R, 9, FALSE), "GENERAL"))</f>
        <v/>
      </c>
      <c r="H582" s="2">
        <f>IF(B582="","",IFERROR(VLOOKUP(B582, PLANTA_BASE!A:R, 17, FALSE), "GENERAL"))</f>
        <v/>
      </c>
    </row>
    <row r="583" ht="20" customHeight="1">
      <c r="A583" s="5">
        <f>IF(B583="","",IFERROR(VLOOKUP(B583, PLANTA_BASE!A:R, 2, FALSE), "NO ENCONTRADO EN PLANTA"))</f>
        <v/>
      </c>
      <c r="B583" s="6" t="inlineStr"/>
      <c r="C583" s="7">
        <f>IF(B583="","",IFERROR(VLOOKUP(B583, PLANTA_BASE!A:R, 3, FALSE), ""))</f>
        <v/>
      </c>
      <c r="D583" s="5">
        <f>IF(B583="","",IFERROR(VLOOKUP(B583, PLANTA_BASE!A:R, 5, FALSE), "NO ENCONTRADO EN PLANTA"))</f>
        <v/>
      </c>
      <c r="E583" s="5">
        <f>IF(B583="","",IFERROR(VLOOKUP(B583, PLANTA_BASE!A:R, 6, FALSE), "NO ENCONTRADO EN PLANTA"))</f>
        <v/>
      </c>
      <c r="F583" s="7">
        <f>IF(B583="","",IFERROR(VLOOKUP(B583, PLANTA_BASE!A:R, 8, FALSE), "DOCENTE / FACILITADOR"))</f>
        <v/>
      </c>
      <c r="G583" s="7">
        <f>IF(B583="","",IFERROR(VLOOKUP(B583, PLANTA_BASE!A:R, 9, FALSE), "GENERAL"))</f>
        <v/>
      </c>
      <c r="H583" s="5">
        <f>IF(B583="","",IFERROR(VLOOKUP(B583, PLANTA_BASE!A:R, 17, FALSE), "GENERAL"))</f>
        <v/>
      </c>
    </row>
    <row r="584" ht="20" customHeight="1">
      <c r="A584" s="2">
        <f>IF(B584="","",IFERROR(VLOOKUP(B584, PLANTA_BASE!A:R, 2, FALSE), "NO ENCONTRADO EN PLANTA"))</f>
        <v/>
      </c>
      <c r="B584" s="3" t="inlineStr"/>
      <c r="C584" s="4">
        <f>IF(B584="","",IFERROR(VLOOKUP(B584, PLANTA_BASE!A:R, 3, FALSE), ""))</f>
        <v/>
      </c>
      <c r="D584" s="2">
        <f>IF(B584="","",IFERROR(VLOOKUP(B584, PLANTA_BASE!A:R, 5, FALSE), "NO ENCONTRADO EN PLANTA"))</f>
        <v/>
      </c>
      <c r="E584" s="2">
        <f>IF(B584="","",IFERROR(VLOOKUP(B584, PLANTA_BASE!A:R, 6, FALSE), "NO ENCONTRADO EN PLANTA"))</f>
        <v/>
      </c>
      <c r="F584" s="4">
        <f>IF(B584="","",IFERROR(VLOOKUP(B584, PLANTA_BASE!A:R, 8, FALSE), "DOCENTE / FACILITADOR"))</f>
        <v/>
      </c>
      <c r="G584" s="4">
        <f>IF(B584="","",IFERROR(VLOOKUP(B584, PLANTA_BASE!A:R, 9, FALSE), "GENERAL"))</f>
        <v/>
      </c>
      <c r="H584" s="2">
        <f>IF(B584="","",IFERROR(VLOOKUP(B584, PLANTA_BASE!A:R, 17, FALSE), "GENERAL"))</f>
        <v/>
      </c>
    </row>
    <row r="585" ht="20" customHeight="1">
      <c r="A585" s="5">
        <f>IF(B585="","",IFERROR(VLOOKUP(B585, PLANTA_BASE!A:R, 2, FALSE), "NO ENCONTRADO EN PLANTA"))</f>
        <v/>
      </c>
      <c r="B585" s="6" t="inlineStr"/>
      <c r="C585" s="7">
        <f>IF(B585="","",IFERROR(VLOOKUP(B585, PLANTA_BASE!A:R, 3, FALSE), ""))</f>
        <v/>
      </c>
      <c r="D585" s="5">
        <f>IF(B585="","",IFERROR(VLOOKUP(B585, PLANTA_BASE!A:R, 5, FALSE), "NO ENCONTRADO EN PLANTA"))</f>
        <v/>
      </c>
      <c r="E585" s="5">
        <f>IF(B585="","",IFERROR(VLOOKUP(B585, PLANTA_BASE!A:R, 6, FALSE), "NO ENCONTRADO EN PLANTA"))</f>
        <v/>
      </c>
      <c r="F585" s="7">
        <f>IF(B585="","",IFERROR(VLOOKUP(B585, PLANTA_BASE!A:R, 8, FALSE), "DOCENTE / FACILITADOR"))</f>
        <v/>
      </c>
      <c r="G585" s="7">
        <f>IF(B585="","",IFERROR(VLOOKUP(B585, PLANTA_BASE!A:R, 9, FALSE), "GENERAL"))</f>
        <v/>
      </c>
      <c r="H585" s="5">
        <f>IF(B585="","",IFERROR(VLOOKUP(B585, PLANTA_BASE!A:R, 17, FALSE), "GENERAL"))</f>
        <v/>
      </c>
    </row>
    <row r="586" ht="20" customHeight="1">
      <c r="A586" s="2">
        <f>IF(B586="","",IFERROR(VLOOKUP(B586, PLANTA_BASE!A:R, 2, FALSE), "NO ENCONTRADO EN PLANTA"))</f>
        <v/>
      </c>
      <c r="B586" s="3" t="inlineStr"/>
      <c r="C586" s="4">
        <f>IF(B586="","",IFERROR(VLOOKUP(B586, PLANTA_BASE!A:R, 3, FALSE), ""))</f>
        <v/>
      </c>
      <c r="D586" s="2">
        <f>IF(B586="","",IFERROR(VLOOKUP(B586, PLANTA_BASE!A:R, 5, FALSE), "NO ENCONTRADO EN PLANTA"))</f>
        <v/>
      </c>
      <c r="E586" s="2">
        <f>IF(B586="","",IFERROR(VLOOKUP(B586, PLANTA_BASE!A:R, 6, FALSE), "NO ENCONTRADO EN PLANTA"))</f>
        <v/>
      </c>
      <c r="F586" s="4">
        <f>IF(B586="","",IFERROR(VLOOKUP(B586, PLANTA_BASE!A:R, 8, FALSE), "DOCENTE / FACILITADOR"))</f>
        <v/>
      </c>
      <c r="G586" s="4">
        <f>IF(B586="","",IFERROR(VLOOKUP(B586, PLANTA_BASE!A:R, 9, FALSE), "GENERAL"))</f>
        <v/>
      </c>
      <c r="H586" s="2">
        <f>IF(B586="","",IFERROR(VLOOKUP(B586, PLANTA_BASE!A:R, 17, FALSE), "GENERAL"))</f>
        <v/>
      </c>
    </row>
    <row r="587" ht="20" customHeight="1">
      <c r="A587" s="5">
        <f>IF(B587="","",IFERROR(VLOOKUP(B587, PLANTA_BASE!A:R, 2, FALSE), "NO ENCONTRADO EN PLANTA"))</f>
        <v/>
      </c>
      <c r="B587" s="6" t="inlineStr"/>
      <c r="C587" s="7">
        <f>IF(B587="","",IFERROR(VLOOKUP(B587, PLANTA_BASE!A:R, 3, FALSE), ""))</f>
        <v/>
      </c>
      <c r="D587" s="5">
        <f>IF(B587="","",IFERROR(VLOOKUP(B587, PLANTA_BASE!A:R, 5, FALSE), "NO ENCONTRADO EN PLANTA"))</f>
        <v/>
      </c>
      <c r="E587" s="5">
        <f>IF(B587="","",IFERROR(VLOOKUP(B587, PLANTA_BASE!A:R, 6, FALSE), "NO ENCONTRADO EN PLANTA"))</f>
        <v/>
      </c>
      <c r="F587" s="7">
        <f>IF(B587="","",IFERROR(VLOOKUP(B587, PLANTA_BASE!A:R, 8, FALSE), "DOCENTE / FACILITADOR"))</f>
        <v/>
      </c>
      <c r="G587" s="7">
        <f>IF(B587="","",IFERROR(VLOOKUP(B587, PLANTA_BASE!A:R, 9, FALSE), "GENERAL"))</f>
        <v/>
      </c>
      <c r="H587" s="5">
        <f>IF(B587="","",IFERROR(VLOOKUP(B587, PLANTA_BASE!A:R, 17, FALSE), "GENERAL"))</f>
        <v/>
      </c>
    </row>
    <row r="588" ht="20" customHeight="1">
      <c r="A588" s="2">
        <f>IF(B588="","",IFERROR(VLOOKUP(B588, PLANTA_BASE!A:R, 2, FALSE), "NO ENCONTRADO EN PLANTA"))</f>
        <v/>
      </c>
      <c r="B588" s="3" t="inlineStr"/>
      <c r="C588" s="4">
        <f>IF(B588="","",IFERROR(VLOOKUP(B588, PLANTA_BASE!A:R, 3, FALSE), ""))</f>
        <v/>
      </c>
      <c r="D588" s="2">
        <f>IF(B588="","",IFERROR(VLOOKUP(B588, PLANTA_BASE!A:R, 5, FALSE), "NO ENCONTRADO EN PLANTA"))</f>
        <v/>
      </c>
      <c r="E588" s="2">
        <f>IF(B588="","",IFERROR(VLOOKUP(B588, PLANTA_BASE!A:R, 6, FALSE), "NO ENCONTRADO EN PLANTA"))</f>
        <v/>
      </c>
      <c r="F588" s="4">
        <f>IF(B588="","",IFERROR(VLOOKUP(B588, PLANTA_BASE!A:R, 8, FALSE), "DOCENTE / FACILITADOR"))</f>
        <v/>
      </c>
      <c r="G588" s="4">
        <f>IF(B588="","",IFERROR(VLOOKUP(B588, PLANTA_BASE!A:R, 9, FALSE), "GENERAL"))</f>
        <v/>
      </c>
      <c r="H588" s="2">
        <f>IF(B588="","",IFERROR(VLOOKUP(B588, PLANTA_BASE!A:R, 17, FALSE), "GENERAL"))</f>
        <v/>
      </c>
    </row>
    <row r="589" ht="20" customHeight="1">
      <c r="A589" s="5">
        <f>IF(B589="","",IFERROR(VLOOKUP(B589, PLANTA_BASE!A:R, 2, FALSE), "NO ENCONTRADO EN PLANTA"))</f>
        <v/>
      </c>
      <c r="B589" s="6" t="inlineStr"/>
      <c r="C589" s="7">
        <f>IF(B589="","",IFERROR(VLOOKUP(B589, PLANTA_BASE!A:R, 3, FALSE), ""))</f>
        <v/>
      </c>
      <c r="D589" s="5">
        <f>IF(B589="","",IFERROR(VLOOKUP(B589, PLANTA_BASE!A:R, 5, FALSE), "NO ENCONTRADO EN PLANTA"))</f>
        <v/>
      </c>
      <c r="E589" s="5">
        <f>IF(B589="","",IFERROR(VLOOKUP(B589, PLANTA_BASE!A:R, 6, FALSE), "NO ENCONTRADO EN PLANTA"))</f>
        <v/>
      </c>
      <c r="F589" s="7">
        <f>IF(B589="","",IFERROR(VLOOKUP(B589, PLANTA_BASE!A:R, 8, FALSE), "DOCENTE / FACILITADOR"))</f>
        <v/>
      </c>
      <c r="G589" s="7">
        <f>IF(B589="","",IFERROR(VLOOKUP(B589, PLANTA_BASE!A:R, 9, FALSE), "GENERAL"))</f>
        <v/>
      </c>
      <c r="H589" s="5">
        <f>IF(B589="","",IFERROR(VLOOKUP(B589, PLANTA_BASE!A:R, 17, FALSE), "GENERAL"))</f>
        <v/>
      </c>
    </row>
    <row r="590" ht="20" customHeight="1">
      <c r="A590" s="2">
        <f>IF(B590="","",IFERROR(VLOOKUP(B590, PLANTA_BASE!A:R, 2, FALSE), "NO ENCONTRADO EN PLANTA"))</f>
        <v/>
      </c>
      <c r="B590" s="3" t="inlineStr"/>
      <c r="C590" s="4">
        <f>IF(B590="","",IFERROR(VLOOKUP(B590, PLANTA_BASE!A:R, 3, FALSE), ""))</f>
        <v/>
      </c>
      <c r="D590" s="2">
        <f>IF(B590="","",IFERROR(VLOOKUP(B590, PLANTA_BASE!A:R, 5, FALSE), "NO ENCONTRADO EN PLANTA"))</f>
        <v/>
      </c>
      <c r="E590" s="2">
        <f>IF(B590="","",IFERROR(VLOOKUP(B590, PLANTA_BASE!A:R, 6, FALSE), "NO ENCONTRADO EN PLANTA"))</f>
        <v/>
      </c>
      <c r="F590" s="4">
        <f>IF(B590="","",IFERROR(VLOOKUP(B590, PLANTA_BASE!A:R, 8, FALSE), "DOCENTE / FACILITADOR"))</f>
        <v/>
      </c>
      <c r="G590" s="4">
        <f>IF(B590="","",IFERROR(VLOOKUP(B590, PLANTA_BASE!A:R, 9, FALSE), "GENERAL"))</f>
        <v/>
      </c>
      <c r="H590" s="2">
        <f>IF(B590="","",IFERROR(VLOOKUP(B590, PLANTA_BASE!A:R, 17, FALSE), "GENERAL"))</f>
        <v/>
      </c>
    </row>
    <row r="591" ht="20" customHeight="1">
      <c r="A591" s="5">
        <f>IF(B591="","",IFERROR(VLOOKUP(B591, PLANTA_BASE!A:R, 2, FALSE), "NO ENCONTRADO EN PLANTA"))</f>
        <v/>
      </c>
      <c r="B591" s="6" t="inlineStr"/>
      <c r="C591" s="7">
        <f>IF(B591="","",IFERROR(VLOOKUP(B591, PLANTA_BASE!A:R, 3, FALSE), ""))</f>
        <v/>
      </c>
      <c r="D591" s="5">
        <f>IF(B591="","",IFERROR(VLOOKUP(B591, PLANTA_BASE!A:R, 5, FALSE), "NO ENCONTRADO EN PLANTA"))</f>
        <v/>
      </c>
      <c r="E591" s="5">
        <f>IF(B591="","",IFERROR(VLOOKUP(B591, PLANTA_BASE!A:R, 6, FALSE), "NO ENCONTRADO EN PLANTA"))</f>
        <v/>
      </c>
      <c r="F591" s="7">
        <f>IF(B591="","",IFERROR(VLOOKUP(B591, PLANTA_BASE!A:R, 8, FALSE), "DOCENTE / FACILITADOR"))</f>
        <v/>
      </c>
      <c r="G591" s="7">
        <f>IF(B591="","",IFERROR(VLOOKUP(B591, PLANTA_BASE!A:R, 9, FALSE), "GENERAL"))</f>
        <v/>
      </c>
      <c r="H591" s="5">
        <f>IF(B591="","",IFERROR(VLOOKUP(B591, PLANTA_BASE!A:R, 17, FALSE), "GENERAL"))</f>
        <v/>
      </c>
    </row>
    <row r="592" ht="20" customHeight="1">
      <c r="A592" s="2">
        <f>IF(B592="","",IFERROR(VLOOKUP(B592, PLANTA_BASE!A:R, 2, FALSE), "NO ENCONTRADO EN PLANTA"))</f>
        <v/>
      </c>
      <c r="B592" s="3" t="inlineStr"/>
      <c r="C592" s="4">
        <f>IF(B592="","",IFERROR(VLOOKUP(B592, PLANTA_BASE!A:R, 3, FALSE), ""))</f>
        <v/>
      </c>
      <c r="D592" s="2">
        <f>IF(B592="","",IFERROR(VLOOKUP(B592, PLANTA_BASE!A:R, 5, FALSE), "NO ENCONTRADO EN PLANTA"))</f>
        <v/>
      </c>
      <c r="E592" s="2">
        <f>IF(B592="","",IFERROR(VLOOKUP(B592, PLANTA_BASE!A:R, 6, FALSE), "NO ENCONTRADO EN PLANTA"))</f>
        <v/>
      </c>
      <c r="F592" s="4">
        <f>IF(B592="","",IFERROR(VLOOKUP(B592, PLANTA_BASE!A:R, 8, FALSE), "DOCENTE / FACILITADOR"))</f>
        <v/>
      </c>
      <c r="G592" s="4">
        <f>IF(B592="","",IFERROR(VLOOKUP(B592, PLANTA_BASE!A:R, 9, FALSE), "GENERAL"))</f>
        <v/>
      </c>
      <c r="H592" s="2">
        <f>IF(B592="","",IFERROR(VLOOKUP(B592, PLANTA_BASE!A:R, 17, FALSE), "GENERAL"))</f>
        <v/>
      </c>
    </row>
    <row r="593" ht="20" customHeight="1">
      <c r="A593" s="5">
        <f>IF(B593="","",IFERROR(VLOOKUP(B593, PLANTA_BASE!A:R, 2, FALSE), "NO ENCONTRADO EN PLANTA"))</f>
        <v/>
      </c>
      <c r="B593" s="6" t="inlineStr"/>
      <c r="C593" s="7">
        <f>IF(B593="","",IFERROR(VLOOKUP(B593, PLANTA_BASE!A:R, 3, FALSE), ""))</f>
        <v/>
      </c>
      <c r="D593" s="5">
        <f>IF(B593="","",IFERROR(VLOOKUP(B593, PLANTA_BASE!A:R, 5, FALSE), "NO ENCONTRADO EN PLANTA"))</f>
        <v/>
      </c>
      <c r="E593" s="5">
        <f>IF(B593="","",IFERROR(VLOOKUP(B593, PLANTA_BASE!A:R, 6, FALSE), "NO ENCONTRADO EN PLANTA"))</f>
        <v/>
      </c>
      <c r="F593" s="7">
        <f>IF(B593="","",IFERROR(VLOOKUP(B593, PLANTA_BASE!A:R, 8, FALSE), "DOCENTE / FACILITADOR"))</f>
        <v/>
      </c>
      <c r="G593" s="7">
        <f>IF(B593="","",IFERROR(VLOOKUP(B593, PLANTA_BASE!A:R, 9, FALSE), "GENERAL"))</f>
        <v/>
      </c>
      <c r="H593" s="5">
        <f>IF(B593="","",IFERROR(VLOOKUP(B593, PLANTA_BASE!A:R, 17, FALSE), "GENERAL"))</f>
        <v/>
      </c>
    </row>
    <row r="594" ht="20" customHeight="1">
      <c r="A594" s="2">
        <f>IF(B594="","",IFERROR(VLOOKUP(B594, PLANTA_BASE!A:R, 2, FALSE), "NO ENCONTRADO EN PLANTA"))</f>
        <v/>
      </c>
      <c r="B594" s="3" t="inlineStr"/>
      <c r="C594" s="4">
        <f>IF(B594="","",IFERROR(VLOOKUP(B594, PLANTA_BASE!A:R, 3, FALSE), ""))</f>
        <v/>
      </c>
      <c r="D594" s="2">
        <f>IF(B594="","",IFERROR(VLOOKUP(B594, PLANTA_BASE!A:R, 5, FALSE), "NO ENCONTRADO EN PLANTA"))</f>
        <v/>
      </c>
      <c r="E594" s="2">
        <f>IF(B594="","",IFERROR(VLOOKUP(B594, PLANTA_BASE!A:R, 6, FALSE), "NO ENCONTRADO EN PLANTA"))</f>
        <v/>
      </c>
      <c r="F594" s="4">
        <f>IF(B594="","",IFERROR(VLOOKUP(B594, PLANTA_BASE!A:R, 8, FALSE), "DOCENTE / FACILITADOR"))</f>
        <v/>
      </c>
      <c r="G594" s="4">
        <f>IF(B594="","",IFERROR(VLOOKUP(B594, PLANTA_BASE!A:R, 9, FALSE), "GENERAL"))</f>
        <v/>
      </c>
      <c r="H594" s="2">
        <f>IF(B594="","",IFERROR(VLOOKUP(B594, PLANTA_BASE!A:R, 17, FALSE), "GENERAL"))</f>
        <v/>
      </c>
    </row>
    <row r="595" ht="20" customHeight="1">
      <c r="A595" s="5">
        <f>IF(B595="","",IFERROR(VLOOKUP(B595, PLANTA_BASE!A:R, 2, FALSE), "NO ENCONTRADO EN PLANTA"))</f>
        <v/>
      </c>
      <c r="B595" s="6" t="inlineStr"/>
      <c r="C595" s="7">
        <f>IF(B595="","",IFERROR(VLOOKUP(B595, PLANTA_BASE!A:R, 3, FALSE), ""))</f>
        <v/>
      </c>
      <c r="D595" s="5">
        <f>IF(B595="","",IFERROR(VLOOKUP(B595, PLANTA_BASE!A:R, 5, FALSE), "NO ENCONTRADO EN PLANTA"))</f>
        <v/>
      </c>
      <c r="E595" s="5">
        <f>IF(B595="","",IFERROR(VLOOKUP(B595, PLANTA_BASE!A:R, 6, FALSE), "NO ENCONTRADO EN PLANTA"))</f>
        <v/>
      </c>
      <c r="F595" s="7">
        <f>IF(B595="","",IFERROR(VLOOKUP(B595, PLANTA_BASE!A:R, 8, FALSE), "DOCENTE / FACILITADOR"))</f>
        <v/>
      </c>
      <c r="G595" s="7">
        <f>IF(B595="","",IFERROR(VLOOKUP(B595, PLANTA_BASE!A:R, 9, FALSE), "GENERAL"))</f>
        <v/>
      </c>
      <c r="H595" s="5">
        <f>IF(B595="","",IFERROR(VLOOKUP(B595, PLANTA_BASE!A:R, 17, FALSE), "GENERAL"))</f>
        <v/>
      </c>
    </row>
    <row r="596" ht="20" customHeight="1">
      <c r="A596" s="2">
        <f>IF(B596="","",IFERROR(VLOOKUP(B596, PLANTA_BASE!A:R, 2, FALSE), "NO ENCONTRADO EN PLANTA"))</f>
        <v/>
      </c>
      <c r="B596" s="3" t="inlineStr"/>
      <c r="C596" s="4">
        <f>IF(B596="","",IFERROR(VLOOKUP(B596, PLANTA_BASE!A:R, 3, FALSE), ""))</f>
        <v/>
      </c>
      <c r="D596" s="2">
        <f>IF(B596="","",IFERROR(VLOOKUP(B596, PLANTA_BASE!A:R, 5, FALSE), "NO ENCONTRADO EN PLANTA"))</f>
        <v/>
      </c>
      <c r="E596" s="2">
        <f>IF(B596="","",IFERROR(VLOOKUP(B596, PLANTA_BASE!A:R, 6, FALSE), "NO ENCONTRADO EN PLANTA"))</f>
        <v/>
      </c>
      <c r="F596" s="4">
        <f>IF(B596="","",IFERROR(VLOOKUP(B596, PLANTA_BASE!A:R, 8, FALSE), "DOCENTE / FACILITADOR"))</f>
        <v/>
      </c>
      <c r="G596" s="4">
        <f>IF(B596="","",IFERROR(VLOOKUP(B596, PLANTA_BASE!A:R, 9, FALSE), "GENERAL"))</f>
        <v/>
      </c>
      <c r="H596" s="2">
        <f>IF(B596="","",IFERROR(VLOOKUP(B596, PLANTA_BASE!A:R, 17, FALSE), "GENERAL"))</f>
        <v/>
      </c>
    </row>
    <row r="597" ht="20" customHeight="1">
      <c r="A597" s="5">
        <f>IF(B597="","",IFERROR(VLOOKUP(B597, PLANTA_BASE!A:R, 2, FALSE), "NO ENCONTRADO EN PLANTA"))</f>
        <v/>
      </c>
      <c r="B597" s="6" t="inlineStr"/>
      <c r="C597" s="7">
        <f>IF(B597="","",IFERROR(VLOOKUP(B597, PLANTA_BASE!A:R, 3, FALSE), ""))</f>
        <v/>
      </c>
      <c r="D597" s="5">
        <f>IF(B597="","",IFERROR(VLOOKUP(B597, PLANTA_BASE!A:R, 5, FALSE), "NO ENCONTRADO EN PLANTA"))</f>
        <v/>
      </c>
      <c r="E597" s="5">
        <f>IF(B597="","",IFERROR(VLOOKUP(B597, PLANTA_BASE!A:R, 6, FALSE), "NO ENCONTRADO EN PLANTA"))</f>
        <v/>
      </c>
      <c r="F597" s="7">
        <f>IF(B597="","",IFERROR(VLOOKUP(B597, PLANTA_BASE!A:R, 8, FALSE), "DOCENTE / FACILITADOR"))</f>
        <v/>
      </c>
      <c r="G597" s="7">
        <f>IF(B597="","",IFERROR(VLOOKUP(B597, PLANTA_BASE!A:R, 9, FALSE), "GENERAL"))</f>
        <v/>
      </c>
      <c r="H597" s="5">
        <f>IF(B597="","",IFERROR(VLOOKUP(B597, PLANTA_BASE!A:R, 17, FALSE), "GENERAL"))</f>
        <v/>
      </c>
    </row>
    <row r="598" ht="20" customHeight="1">
      <c r="A598" s="2">
        <f>IF(B598="","",IFERROR(VLOOKUP(B598, PLANTA_BASE!A:R, 2, FALSE), "NO ENCONTRADO EN PLANTA"))</f>
        <v/>
      </c>
      <c r="B598" s="3" t="inlineStr"/>
      <c r="C598" s="4">
        <f>IF(B598="","",IFERROR(VLOOKUP(B598, PLANTA_BASE!A:R, 3, FALSE), ""))</f>
        <v/>
      </c>
      <c r="D598" s="2">
        <f>IF(B598="","",IFERROR(VLOOKUP(B598, PLANTA_BASE!A:R, 5, FALSE), "NO ENCONTRADO EN PLANTA"))</f>
        <v/>
      </c>
      <c r="E598" s="2">
        <f>IF(B598="","",IFERROR(VLOOKUP(B598, PLANTA_BASE!A:R, 6, FALSE), "NO ENCONTRADO EN PLANTA"))</f>
        <v/>
      </c>
      <c r="F598" s="4">
        <f>IF(B598="","",IFERROR(VLOOKUP(B598, PLANTA_BASE!A:R, 8, FALSE), "DOCENTE / FACILITADOR"))</f>
        <v/>
      </c>
      <c r="G598" s="4">
        <f>IF(B598="","",IFERROR(VLOOKUP(B598, PLANTA_BASE!A:R, 9, FALSE), "GENERAL"))</f>
        <v/>
      </c>
      <c r="H598" s="2">
        <f>IF(B598="","",IFERROR(VLOOKUP(B598, PLANTA_BASE!A:R, 17, FALSE), "GENERAL"))</f>
        <v/>
      </c>
    </row>
    <row r="599" ht="20" customHeight="1">
      <c r="A599" s="5">
        <f>IF(B599="","",IFERROR(VLOOKUP(B599, PLANTA_BASE!A:R, 2, FALSE), "NO ENCONTRADO EN PLANTA"))</f>
        <v/>
      </c>
      <c r="B599" s="6" t="inlineStr"/>
      <c r="C599" s="7">
        <f>IF(B599="","",IFERROR(VLOOKUP(B599, PLANTA_BASE!A:R, 3, FALSE), ""))</f>
        <v/>
      </c>
      <c r="D599" s="5">
        <f>IF(B599="","",IFERROR(VLOOKUP(B599, PLANTA_BASE!A:R, 5, FALSE), "NO ENCONTRADO EN PLANTA"))</f>
        <v/>
      </c>
      <c r="E599" s="5">
        <f>IF(B599="","",IFERROR(VLOOKUP(B599, PLANTA_BASE!A:R, 6, FALSE), "NO ENCONTRADO EN PLANTA"))</f>
        <v/>
      </c>
      <c r="F599" s="7">
        <f>IF(B599="","",IFERROR(VLOOKUP(B599, PLANTA_BASE!A:R, 8, FALSE), "DOCENTE / FACILITADOR"))</f>
        <v/>
      </c>
      <c r="G599" s="7">
        <f>IF(B599="","",IFERROR(VLOOKUP(B599, PLANTA_BASE!A:R, 9, FALSE), "GENERAL"))</f>
        <v/>
      </c>
      <c r="H599" s="5">
        <f>IF(B599="","",IFERROR(VLOOKUP(B599, PLANTA_BASE!A:R, 17, FALSE), "GENERAL"))</f>
        <v/>
      </c>
    </row>
    <row r="600" ht="20" customHeight="1">
      <c r="A600" s="2">
        <f>IF(B600="","",IFERROR(VLOOKUP(B600, PLANTA_BASE!A:R, 2, FALSE), "NO ENCONTRADO EN PLANTA"))</f>
        <v/>
      </c>
      <c r="B600" s="3" t="inlineStr"/>
      <c r="C600" s="4">
        <f>IF(B600="","",IFERROR(VLOOKUP(B600, PLANTA_BASE!A:R, 3, FALSE), ""))</f>
        <v/>
      </c>
      <c r="D600" s="2">
        <f>IF(B600="","",IFERROR(VLOOKUP(B600, PLANTA_BASE!A:R, 5, FALSE), "NO ENCONTRADO EN PLANTA"))</f>
        <v/>
      </c>
      <c r="E600" s="2">
        <f>IF(B600="","",IFERROR(VLOOKUP(B600, PLANTA_BASE!A:R, 6, FALSE), "NO ENCONTRADO EN PLANTA"))</f>
        <v/>
      </c>
      <c r="F600" s="4">
        <f>IF(B600="","",IFERROR(VLOOKUP(B600, PLANTA_BASE!A:R, 8, FALSE), "DOCENTE / FACILITADOR"))</f>
        <v/>
      </c>
      <c r="G600" s="4">
        <f>IF(B600="","",IFERROR(VLOOKUP(B600, PLANTA_BASE!A:R, 9, FALSE), "GENERAL"))</f>
        <v/>
      </c>
      <c r="H600" s="2">
        <f>IF(B600="","",IFERROR(VLOOKUP(B600, PLANTA_BASE!A:R, 17, FALSE), "GENERAL"))</f>
        <v/>
      </c>
    </row>
    <row r="601" ht="20" customHeight="1">
      <c r="A601" s="5">
        <f>IF(B601="","",IFERROR(VLOOKUP(B601, PLANTA_BASE!A:R, 2, FALSE), "NO ENCONTRADO EN PLANTA"))</f>
        <v/>
      </c>
      <c r="B601" s="6" t="inlineStr"/>
      <c r="C601" s="7">
        <f>IF(B601="","",IFERROR(VLOOKUP(B601, PLANTA_BASE!A:R, 3, FALSE), ""))</f>
        <v/>
      </c>
      <c r="D601" s="5">
        <f>IF(B601="","",IFERROR(VLOOKUP(B601, PLANTA_BASE!A:R, 5, FALSE), "NO ENCONTRADO EN PLANTA"))</f>
        <v/>
      </c>
      <c r="E601" s="5">
        <f>IF(B601="","",IFERROR(VLOOKUP(B601, PLANTA_BASE!A:R, 6, FALSE), "NO ENCONTRADO EN PLANTA"))</f>
        <v/>
      </c>
      <c r="F601" s="7">
        <f>IF(B601="","",IFERROR(VLOOKUP(B601, PLANTA_BASE!A:R, 8, FALSE), "DOCENTE / FACILITADOR"))</f>
        <v/>
      </c>
      <c r="G601" s="7">
        <f>IF(B601="","",IFERROR(VLOOKUP(B601, PLANTA_BASE!A:R, 9, FALSE), "GENERAL"))</f>
        <v/>
      </c>
      <c r="H601" s="5">
        <f>IF(B601="","",IFERROR(VLOOKUP(B601, PLANTA_BASE!A:R, 17, FALSE), "GENERAL"))</f>
        <v/>
      </c>
    </row>
    <row r="602" ht="20" customHeight="1">
      <c r="A602" s="2">
        <f>IF(B602="","",IFERROR(VLOOKUP(B602, PLANTA_BASE!A:R, 2, FALSE), "NO ENCONTRADO EN PLANTA"))</f>
        <v/>
      </c>
      <c r="B602" s="3" t="inlineStr"/>
      <c r="C602" s="4">
        <f>IF(B602="","",IFERROR(VLOOKUP(B602, PLANTA_BASE!A:R, 3, FALSE), ""))</f>
        <v/>
      </c>
      <c r="D602" s="2">
        <f>IF(B602="","",IFERROR(VLOOKUP(B602, PLANTA_BASE!A:R, 5, FALSE), "NO ENCONTRADO EN PLANTA"))</f>
        <v/>
      </c>
      <c r="E602" s="2">
        <f>IF(B602="","",IFERROR(VLOOKUP(B602, PLANTA_BASE!A:R, 6, FALSE), "NO ENCONTRADO EN PLANTA"))</f>
        <v/>
      </c>
      <c r="F602" s="4">
        <f>IF(B602="","",IFERROR(VLOOKUP(B602, PLANTA_BASE!A:R, 8, FALSE), "DOCENTE / FACILITADOR"))</f>
        <v/>
      </c>
      <c r="G602" s="4">
        <f>IF(B602="","",IFERROR(VLOOKUP(B602, PLANTA_BASE!A:R, 9, FALSE), "GENERAL"))</f>
        <v/>
      </c>
      <c r="H602" s="2">
        <f>IF(B602="","",IFERROR(VLOOKUP(B602, PLANTA_BASE!A:R, 17, FALSE), "GENERAL"))</f>
        <v/>
      </c>
    </row>
    <row r="603" ht="20" customHeight="1">
      <c r="A603" s="5">
        <f>IF(B603="","",IFERROR(VLOOKUP(B603, PLANTA_BASE!A:R, 2, FALSE), "NO ENCONTRADO EN PLANTA"))</f>
        <v/>
      </c>
      <c r="B603" s="6" t="inlineStr"/>
      <c r="C603" s="7">
        <f>IF(B603="","",IFERROR(VLOOKUP(B603, PLANTA_BASE!A:R, 3, FALSE), ""))</f>
        <v/>
      </c>
      <c r="D603" s="5">
        <f>IF(B603="","",IFERROR(VLOOKUP(B603, PLANTA_BASE!A:R, 5, FALSE), "NO ENCONTRADO EN PLANTA"))</f>
        <v/>
      </c>
      <c r="E603" s="5">
        <f>IF(B603="","",IFERROR(VLOOKUP(B603, PLANTA_BASE!A:R, 6, FALSE), "NO ENCONTRADO EN PLANTA"))</f>
        <v/>
      </c>
      <c r="F603" s="7">
        <f>IF(B603="","",IFERROR(VLOOKUP(B603, PLANTA_BASE!A:R, 8, FALSE), "DOCENTE / FACILITADOR"))</f>
        <v/>
      </c>
      <c r="G603" s="7">
        <f>IF(B603="","",IFERROR(VLOOKUP(B603, PLANTA_BASE!A:R, 9, FALSE), "GENERAL"))</f>
        <v/>
      </c>
      <c r="H603" s="5">
        <f>IF(B603="","",IFERROR(VLOOKUP(B603, PLANTA_BASE!A:R, 17, FALSE), "GENERAL"))</f>
        <v/>
      </c>
    </row>
    <row r="604" ht="20" customHeight="1">
      <c r="A604" s="2">
        <f>IF(B604="","",IFERROR(VLOOKUP(B604, PLANTA_BASE!A:R, 2, FALSE), "NO ENCONTRADO EN PLANTA"))</f>
        <v/>
      </c>
      <c r="B604" s="3" t="inlineStr"/>
      <c r="C604" s="4">
        <f>IF(B604="","",IFERROR(VLOOKUP(B604, PLANTA_BASE!A:R, 3, FALSE), ""))</f>
        <v/>
      </c>
      <c r="D604" s="2">
        <f>IF(B604="","",IFERROR(VLOOKUP(B604, PLANTA_BASE!A:R, 5, FALSE), "NO ENCONTRADO EN PLANTA"))</f>
        <v/>
      </c>
      <c r="E604" s="2">
        <f>IF(B604="","",IFERROR(VLOOKUP(B604, PLANTA_BASE!A:R, 6, FALSE), "NO ENCONTRADO EN PLANTA"))</f>
        <v/>
      </c>
      <c r="F604" s="4">
        <f>IF(B604="","",IFERROR(VLOOKUP(B604, PLANTA_BASE!A:R, 8, FALSE), "DOCENTE / FACILITADOR"))</f>
        <v/>
      </c>
      <c r="G604" s="4">
        <f>IF(B604="","",IFERROR(VLOOKUP(B604, PLANTA_BASE!A:R, 9, FALSE), "GENERAL"))</f>
        <v/>
      </c>
      <c r="H604" s="2">
        <f>IF(B604="","",IFERROR(VLOOKUP(B604, PLANTA_BASE!A:R, 17, FALSE), "GENERAL"))</f>
        <v/>
      </c>
    </row>
    <row r="605" ht="20" customHeight="1">
      <c r="A605" s="5">
        <f>IF(B605="","",IFERROR(VLOOKUP(B605, PLANTA_BASE!A:R, 2, FALSE), "NO ENCONTRADO EN PLANTA"))</f>
        <v/>
      </c>
      <c r="B605" s="6" t="inlineStr"/>
      <c r="C605" s="7">
        <f>IF(B605="","",IFERROR(VLOOKUP(B605, PLANTA_BASE!A:R, 3, FALSE), ""))</f>
        <v/>
      </c>
      <c r="D605" s="5">
        <f>IF(B605="","",IFERROR(VLOOKUP(B605, PLANTA_BASE!A:R, 5, FALSE), "NO ENCONTRADO EN PLANTA"))</f>
        <v/>
      </c>
      <c r="E605" s="5">
        <f>IF(B605="","",IFERROR(VLOOKUP(B605, PLANTA_BASE!A:R, 6, FALSE), "NO ENCONTRADO EN PLANTA"))</f>
        <v/>
      </c>
      <c r="F605" s="7">
        <f>IF(B605="","",IFERROR(VLOOKUP(B605, PLANTA_BASE!A:R, 8, FALSE), "DOCENTE / FACILITADOR"))</f>
        <v/>
      </c>
      <c r="G605" s="7">
        <f>IF(B605="","",IFERROR(VLOOKUP(B605, PLANTA_BASE!A:R, 9, FALSE), "GENERAL"))</f>
        <v/>
      </c>
      <c r="H605" s="5">
        <f>IF(B605="","",IFERROR(VLOOKUP(B605, PLANTA_BASE!A:R, 17, FALSE), "GENERAL"))</f>
        <v/>
      </c>
    </row>
    <row r="606" ht="20" customHeight="1">
      <c r="A606" s="2">
        <f>IF(B606="","",IFERROR(VLOOKUP(B606, PLANTA_BASE!A:R, 2, FALSE), "NO ENCONTRADO EN PLANTA"))</f>
        <v/>
      </c>
      <c r="B606" s="3" t="inlineStr"/>
      <c r="C606" s="4">
        <f>IF(B606="","",IFERROR(VLOOKUP(B606, PLANTA_BASE!A:R, 3, FALSE), ""))</f>
        <v/>
      </c>
      <c r="D606" s="2">
        <f>IF(B606="","",IFERROR(VLOOKUP(B606, PLANTA_BASE!A:R, 5, FALSE), "NO ENCONTRADO EN PLANTA"))</f>
        <v/>
      </c>
      <c r="E606" s="2">
        <f>IF(B606="","",IFERROR(VLOOKUP(B606, PLANTA_BASE!A:R, 6, FALSE), "NO ENCONTRADO EN PLANTA"))</f>
        <v/>
      </c>
      <c r="F606" s="4">
        <f>IF(B606="","",IFERROR(VLOOKUP(B606, PLANTA_BASE!A:R, 8, FALSE), "DOCENTE / FACILITADOR"))</f>
        <v/>
      </c>
      <c r="G606" s="4">
        <f>IF(B606="","",IFERROR(VLOOKUP(B606, PLANTA_BASE!A:R, 9, FALSE), "GENERAL"))</f>
        <v/>
      </c>
      <c r="H606" s="2">
        <f>IF(B606="","",IFERROR(VLOOKUP(B606, PLANTA_BASE!A:R, 17, FALSE), "GENERAL"))</f>
        <v/>
      </c>
    </row>
    <row r="607" ht="20" customHeight="1">
      <c r="A607" s="5">
        <f>IF(B607="","",IFERROR(VLOOKUP(B607, PLANTA_BASE!A:R, 2, FALSE), "NO ENCONTRADO EN PLANTA"))</f>
        <v/>
      </c>
      <c r="B607" s="6" t="inlineStr"/>
      <c r="C607" s="7">
        <f>IF(B607="","",IFERROR(VLOOKUP(B607, PLANTA_BASE!A:R, 3, FALSE), ""))</f>
        <v/>
      </c>
      <c r="D607" s="5">
        <f>IF(B607="","",IFERROR(VLOOKUP(B607, PLANTA_BASE!A:R, 5, FALSE), "NO ENCONTRADO EN PLANTA"))</f>
        <v/>
      </c>
      <c r="E607" s="5">
        <f>IF(B607="","",IFERROR(VLOOKUP(B607, PLANTA_BASE!A:R, 6, FALSE), "NO ENCONTRADO EN PLANTA"))</f>
        <v/>
      </c>
      <c r="F607" s="7">
        <f>IF(B607="","",IFERROR(VLOOKUP(B607, PLANTA_BASE!A:R, 8, FALSE), "DOCENTE / FACILITADOR"))</f>
        <v/>
      </c>
      <c r="G607" s="7">
        <f>IF(B607="","",IFERROR(VLOOKUP(B607, PLANTA_BASE!A:R, 9, FALSE), "GENERAL"))</f>
        <v/>
      </c>
      <c r="H607" s="5">
        <f>IF(B607="","",IFERROR(VLOOKUP(B607, PLANTA_BASE!A:R, 17, FALSE), "GENERAL"))</f>
        <v/>
      </c>
    </row>
    <row r="608" ht="20" customHeight="1">
      <c r="A608" s="2">
        <f>IF(B608="","",IFERROR(VLOOKUP(B608, PLANTA_BASE!A:R, 2, FALSE), "NO ENCONTRADO EN PLANTA"))</f>
        <v/>
      </c>
      <c r="B608" s="3" t="inlineStr"/>
      <c r="C608" s="4">
        <f>IF(B608="","",IFERROR(VLOOKUP(B608, PLANTA_BASE!A:R, 3, FALSE), ""))</f>
        <v/>
      </c>
      <c r="D608" s="2">
        <f>IF(B608="","",IFERROR(VLOOKUP(B608, PLANTA_BASE!A:R, 5, FALSE), "NO ENCONTRADO EN PLANTA"))</f>
        <v/>
      </c>
      <c r="E608" s="2">
        <f>IF(B608="","",IFERROR(VLOOKUP(B608, PLANTA_BASE!A:R, 6, FALSE), "NO ENCONTRADO EN PLANTA"))</f>
        <v/>
      </c>
      <c r="F608" s="4">
        <f>IF(B608="","",IFERROR(VLOOKUP(B608, PLANTA_BASE!A:R, 8, FALSE), "DOCENTE / FACILITADOR"))</f>
        <v/>
      </c>
      <c r="G608" s="4">
        <f>IF(B608="","",IFERROR(VLOOKUP(B608, PLANTA_BASE!A:R, 9, FALSE), "GENERAL"))</f>
        <v/>
      </c>
      <c r="H608" s="2">
        <f>IF(B608="","",IFERROR(VLOOKUP(B608, PLANTA_BASE!A:R, 17, FALSE), "GENERAL"))</f>
        <v/>
      </c>
    </row>
    <row r="609" ht="20" customHeight="1">
      <c r="A609" s="5">
        <f>IF(B609="","",IFERROR(VLOOKUP(B609, PLANTA_BASE!A:R, 2, FALSE), "NO ENCONTRADO EN PLANTA"))</f>
        <v/>
      </c>
      <c r="B609" s="6" t="inlineStr"/>
      <c r="C609" s="7">
        <f>IF(B609="","",IFERROR(VLOOKUP(B609, PLANTA_BASE!A:R, 3, FALSE), ""))</f>
        <v/>
      </c>
      <c r="D609" s="5">
        <f>IF(B609="","",IFERROR(VLOOKUP(B609, PLANTA_BASE!A:R, 5, FALSE), "NO ENCONTRADO EN PLANTA"))</f>
        <v/>
      </c>
      <c r="E609" s="5">
        <f>IF(B609="","",IFERROR(VLOOKUP(B609, PLANTA_BASE!A:R, 6, FALSE), "NO ENCONTRADO EN PLANTA"))</f>
        <v/>
      </c>
      <c r="F609" s="7">
        <f>IF(B609="","",IFERROR(VLOOKUP(B609, PLANTA_BASE!A:R, 8, FALSE), "DOCENTE / FACILITADOR"))</f>
        <v/>
      </c>
      <c r="G609" s="7">
        <f>IF(B609="","",IFERROR(VLOOKUP(B609, PLANTA_BASE!A:R, 9, FALSE), "GENERAL"))</f>
        <v/>
      </c>
      <c r="H609" s="5">
        <f>IF(B609="","",IFERROR(VLOOKUP(B609, PLANTA_BASE!A:R, 17, FALSE), "GENERAL"))</f>
        <v/>
      </c>
    </row>
    <row r="610" ht="20" customHeight="1">
      <c r="A610" s="2">
        <f>IF(B610="","",IFERROR(VLOOKUP(B610, PLANTA_BASE!A:R, 2, FALSE), "NO ENCONTRADO EN PLANTA"))</f>
        <v/>
      </c>
      <c r="B610" s="3" t="inlineStr"/>
      <c r="C610" s="4">
        <f>IF(B610="","",IFERROR(VLOOKUP(B610, PLANTA_BASE!A:R, 3, FALSE), ""))</f>
        <v/>
      </c>
      <c r="D610" s="2">
        <f>IF(B610="","",IFERROR(VLOOKUP(B610, PLANTA_BASE!A:R, 5, FALSE), "NO ENCONTRADO EN PLANTA"))</f>
        <v/>
      </c>
      <c r="E610" s="2">
        <f>IF(B610="","",IFERROR(VLOOKUP(B610, PLANTA_BASE!A:R, 6, FALSE), "NO ENCONTRADO EN PLANTA"))</f>
        <v/>
      </c>
      <c r="F610" s="4">
        <f>IF(B610="","",IFERROR(VLOOKUP(B610, PLANTA_BASE!A:R, 8, FALSE), "DOCENTE / FACILITADOR"))</f>
        <v/>
      </c>
      <c r="G610" s="4">
        <f>IF(B610="","",IFERROR(VLOOKUP(B610, PLANTA_BASE!A:R, 9, FALSE), "GENERAL"))</f>
        <v/>
      </c>
      <c r="H610" s="2">
        <f>IF(B610="","",IFERROR(VLOOKUP(B610, PLANTA_BASE!A:R, 17, FALSE), "GENERAL"))</f>
        <v/>
      </c>
    </row>
    <row r="611" ht="20" customHeight="1">
      <c r="A611" s="5">
        <f>IF(B611="","",IFERROR(VLOOKUP(B611, PLANTA_BASE!A:R, 2, FALSE), "NO ENCONTRADO EN PLANTA"))</f>
        <v/>
      </c>
      <c r="B611" s="6" t="inlineStr"/>
      <c r="C611" s="7">
        <f>IF(B611="","",IFERROR(VLOOKUP(B611, PLANTA_BASE!A:R, 3, FALSE), ""))</f>
        <v/>
      </c>
      <c r="D611" s="5">
        <f>IF(B611="","",IFERROR(VLOOKUP(B611, PLANTA_BASE!A:R, 5, FALSE), "NO ENCONTRADO EN PLANTA"))</f>
        <v/>
      </c>
      <c r="E611" s="5">
        <f>IF(B611="","",IFERROR(VLOOKUP(B611, PLANTA_BASE!A:R, 6, FALSE), "NO ENCONTRADO EN PLANTA"))</f>
        <v/>
      </c>
      <c r="F611" s="7">
        <f>IF(B611="","",IFERROR(VLOOKUP(B611, PLANTA_BASE!A:R, 8, FALSE), "DOCENTE / FACILITADOR"))</f>
        <v/>
      </c>
      <c r="G611" s="7">
        <f>IF(B611="","",IFERROR(VLOOKUP(B611, PLANTA_BASE!A:R, 9, FALSE), "GENERAL"))</f>
        <v/>
      </c>
      <c r="H611" s="5">
        <f>IF(B611="","",IFERROR(VLOOKUP(B611, PLANTA_BASE!A:R, 17, FALSE), "GENERAL"))</f>
        <v/>
      </c>
    </row>
    <row r="612" ht="20" customHeight="1">
      <c r="A612" s="2">
        <f>IF(B612="","",IFERROR(VLOOKUP(B612, PLANTA_BASE!A:R, 2, FALSE), "NO ENCONTRADO EN PLANTA"))</f>
        <v/>
      </c>
      <c r="B612" s="3" t="inlineStr"/>
      <c r="C612" s="4">
        <f>IF(B612="","",IFERROR(VLOOKUP(B612, PLANTA_BASE!A:R, 3, FALSE), ""))</f>
        <v/>
      </c>
      <c r="D612" s="2">
        <f>IF(B612="","",IFERROR(VLOOKUP(B612, PLANTA_BASE!A:R, 5, FALSE), "NO ENCONTRADO EN PLANTA"))</f>
        <v/>
      </c>
      <c r="E612" s="2">
        <f>IF(B612="","",IFERROR(VLOOKUP(B612, PLANTA_BASE!A:R, 6, FALSE), "NO ENCONTRADO EN PLANTA"))</f>
        <v/>
      </c>
      <c r="F612" s="4">
        <f>IF(B612="","",IFERROR(VLOOKUP(B612, PLANTA_BASE!A:R, 8, FALSE), "DOCENTE / FACILITADOR"))</f>
        <v/>
      </c>
      <c r="G612" s="4">
        <f>IF(B612="","",IFERROR(VLOOKUP(B612, PLANTA_BASE!A:R, 9, FALSE), "GENERAL"))</f>
        <v/>
      </c>
      <c r="H612" s="2">
        <f>IF(B612="","",IFERROR(VLOOKUP(B612, PLANTA_BASE!A:R, 17, FALSE), "GENERAL"))</f>
        <v/>
      </c>
    </row>
    <row r="613" ht="20" customHeight="1">
      <c r="A613" s="5">
        <f>IF(B613="","",IFERROR(VLOOKUP(B613, PLANTA_BASE!A:R, 2, FALSE), "NO ENCONTRADO EN PLANTA"))</f>
        <v/>
      </c>
      <c r="B613" s="6" t="inlineStr"/>
      <c r="C613" s="7">
        <f>IF(B613="","",IFERROR(VLOOKUP(B613, PLANTA_BASE!A:R, 3, FALSE), ""))</f>
        <v/>
      </c>
      <c r="D613" s="5">
        <f>IF(B613="","",IFERROR(VLOOKUP(B613, PLANTA_BASE!A:R, 5, FALSE), "NO ENCONTRADO EN PLANTA"))</f>
        <v/>
      </c>
      <c r="E613" s="5">
        <f>IF(B613="","",IFERROR(VLOOKUP(B613, PLANTA_BASE!A:R, 6, FALSE), "NO ENCONTRADO EN PLANTA"))</f>
        <v/>
      </c>
      <c r="F613" s="7">
        <f>IF(B613="","",IFERROR(VLOOKUP(B613, PLANTA_BASE!A:R, 8, FALSE), "DOCENTE / FACILITADOR"))</f>
        <v/>
      </c>
      <c r="G613" s="7">
        <f>IF(B613="","",IFERROR(VLOOKUP(B613, PLANTA_BASE!A:R, 9, FALSE), "GENERAL"))</f>
        <v/>
      </c>
      <c r="H613" s="5">
        <f>IF(B613="","",IFERROR(VLOOKUP(B613, PLANTA_BASE!A:R, 17, FALSE), "GENERAL"))</f>
        <v/>
      </c>
    </row>
    <row r="614" ht="20" customHeight="1">
      <c r="A614" s="2">
        <f>IF(B614="","",IFERROR(VLOOKUP(B614, PLANTA_BASE!A:R, 2, FALSE), "NO ENCONTRADO EN PLANTA"))</f>
        <v/>
      </c>
      <c r="B614" s="3" t="inlineStr"/>
      <c r="C614" s="4">
        <f>IF(B614="","",IFERROR(VLOOKUP(B614, PLANTA_BASE!A:R, 3, FALSE), ""))</f>
        <v/>
      </c>
      <c r="D614" s="2">
        <f>IF(B614="","",IFERROR(VLOOKUP(B614, PLANTA_BASE!A:R, 5, FALSE), "NO ENCONTRADO EN PLANTA"))</f>
        <v/>
      </c>
      <c r="E614" s="2">
        <f>IF(B614="","",IFERROR(VLOOKUP(B614, PLANTA_BASE!A:R, 6, FALSE), "NO ENCONTRADO EN PLANTA"))</f>
        <v/>
      </c>
      <c r="F614" s="4">
        <f>IF(B614="","",IFERROR(VLOOKUP(B614, PLANTA_BASE!A:R, 8, FALSE), "DOCENTE / FACILITADOR"))</f>
        <v/>
      </c>
      <c r="G614" s="4">
        <f>IF(B614="","",IFERROR(VLOOKUP(B614, PLANTA_BASE!A:R, 9, FALSE), "GENERAL"))</f>
        <v/>
      </c>
      <c r="H614" s="2">
        <f>IF(B614="","",IFERROR(VLOOKUP(B614, PLANTA_BASE!A:R, 17, FALSE), "GENERAL"))</f>
        <v/>
      </c>
    </row>
    <row r="615" ht="20" customHeight="1">
      <c r="A615" s="5">
        <f>IF(B615="","",IFERROR(VLOOKUP(B615, PLANTA_BASE!A:R, 2, FALSE), "NO ENCONTRADO EN PLANTA"))</f>
        <v/>
      </c>
      <c r="B615" s="6" t="inlineStr"/>
      <c r="C615" s="7">
        <f>IF(B615="","",IFERROR(VLOOKUP(B615, PLANTA_BASE!A:R, 3, FALSE), ""))</f>
        <v/>
      </c>
      <c r="D615" s="5">
        <f>IF(B615="","",IFERROR(VLOOKUP(B615, PLANTA_BASE!A:R, 5, FALSE), "NO ENCONTRADO EN PLANTA"))</f>
        <v/>
      </c>
      <c r="E615" s="5">
        <f>IF(B615="","",IFERROR(VLOOKUP(B615, PLANTA_BASE!A:R, 6, FALSE), "NO ENCONTRADO EN PLANTA"))</f>
        <v/>
      </c>
      <c r="F615" s="7">
        <f>IF(B615="","",IFERROR(VLOOKUP(B615, PLANTA_BASE!A:R, 8, FALSE), "DOCENTE / FACILITADOR"))</f>
        <v/>
      </c>
      <c r="G615" s="7">
        <f>IF(B615="","",IFERROR(VLOOKUP(B615, PLANTA_BASE!A:R, 9, FALSE), "GENERAL"))</f>
        <v/>
      </c>
      <c r="H615" s="5">
        <f>IF(B615="","",IFERROR(VLOOKUP(B615, PLANTA_BASE!A:R, 17, FALSE), "GENERAL"))</f>
        <v/>
      </c>
    </row>
    <row r="616" ht="20" customHeight="1">
      <c r="A616" s="2">
        <f>IF(B616="","",IFERROR(VLOOKUP(B616, PLANTA_BASE!A:R, 2, FALSE), "NO ENCONTRADO EN PLANTA"))</f>
        <v/>
      </c>
      <c r="B616" s="3" t="inlineStr"/>
      <c r="C616" s="4">
        <f>IF(B616="","",IFERROR(VLOOKUP(B616, PLANTA_BASE!A:R, 3, FALSE), ""))</f>
        <v/>
      </c>
      <c r="D616" s="2">
        <f>IF(B616="","",IFERROR(VLOOKUP(B616, PLANTA_BASE!A:R, 5, FALSE), "NO ENCONTRADO EN PLANTA"))</f>
        <v/>
      </c>
      <c r="E616" s="2">
        <f>IF(B616="","",IFERROR(VLOOKUP(B616, PLANTA_BASE!A:R, 6, FALSE), "NO ENCONTRADO EN PLANTA"))</f>
        <v/>
      </c>
      <c r="F616" s="4">
        <f>IF(B616="","",IFERROR(VLOOKUP(B616, PLANTA_BASE!A:R, 8, FALSE), "DOCENTE / FACILITADOR"))</f>
        <v/>
      </c>
      <c r="G616" s="4">
        <f>IF(B616="","",IFERROR(VLOOKUP(B616, PLANTA_BASE!A:R, 9, FALSE), "GENERAL"))</f>
        <v/>
      </c>
      <c r="H616" s="2">
        <f>IF(B616="","",IFERROR(VLOOKUP(B616, PLANTA_BASE!A:R, 17, FALSE), "GENERAL"))</f>
        <v/>
      </c>
    </row>
    <row r="617" ht="20" customHeight="1">
      <c r="A617" s="5">
        <f>IF(B617="","",IFERROR(VLOOKUP(B617, PLANTA_BASE!A:R, 2, FALSE), "NO ENCONTRADO EN PLANTA"))</f>
        <v/>
      </c>
      <c r="B617" s="6" t="inlineStr"/>
      <c r="C617" s="7">
        <f>IF(B617="","",IFERROR(VLOOKUP(B617, PLANTA_BASE!A:R, 3, FALSE), ""))</f>
        <v/>
      </c>
      <c r="D617" s="5">
        <f>IF(B617="","",IFERROR(VLOOKUP(B617, PLANTA_BASE!A:R, 5, FALSE), "NO ENCONTRADO EN PLANTA"))</f>
        <v/>
      </c>
      <c r="E617" s="5">
        <f>IF(B617="","",IFERROR(VLOOKUP(B617, PLANTA_BASE!A:R, 6, FALSE), "NO ENCONTRADO EN PLANTA"))</f>
        <v/>
      </c>
      <c r="F617" s="7">
        <f>IF(B617="","",IFERROR(VLOOKUP(B617, PLANTA_BASE!A:R, 8, FALSE), "DOCENTE / FACILITADOR"))</f>
        <v/>
      </c>
      <c r="G617" s="7">
        <f>IF(B617="","",IFERROR(VLOOKUP(B617, PLANTA_BASE!A:R, 9, FALSE), "GENERAL"))</f>
        <v/>
      </c>
      <c r="H617" s="5">
        <f>IF(B617="","",IFERROR(VLOOKUP(B617, PLANTA_BASE!A:R, 17, FALSE), "GENERAL"))</f>
        <v/>
      </c>
    </row>
    <row r="618" ht="20" customHeight="1">
      <c r="A618" s="2">
        <f>IF(B618="","",IFERROR(VLOOKUP(B618, PLANTA_BASE!A:R, 2, FALSE), "NO ENCONTRADO EN PLANTA"))</f>
        <v/>
      </c>
      <c r="B618" s="3" t="inlineStr"/>
      <c r="C618" s="4">
        <f>IF(B618="","",IFERROR(VLOOKUP(B618, PLANTA_BASE!A:R, 3, FALSE), ""))</f>
        <v/>
      </c>
      <c r="D618" s="2">
        <f>IF(B618="","",IFERROR(VLOOKUP(B618, PLANTA_BASE!A:R, 5, FALSE), "NO ENCONTRADO EN PLANTA"))</f>
        <v/>
      </c>
      <c r="E618" s="2">
        <f>IF(B618="","",IFERROR(VLOOKUP(B618, PLANTA_BASE!A:R, 6, FALSE), "NO ENCONTRADO EN PLANTA"))</f>
        <v/>
      </c>
      <c r="F618" s="4">
        <f>IF(B618="","",IFERROR(VLOOKUP(B618, PLANTA_BASE!A:R, 8, FALSE), "DOCENTE / FACILITADOR"))</f>
        <v/>
      </c>
      <c r="G618" s="4">
        <f>IF(B618="","",IFERROR(VLOOKUP(B618, PLANTA_BASE!A:R, 9, FALSE), "GENERAL"))</f>
        <v/>
      </c>
      <c r="H618" s="2">
        <f>IF(B618="","",IFERROR(VLOOKUP(B618, PLANTA_BASE!A:R, 17, FALSE), "GENERAL"))</f>
        <v/>
      </c>
    </row>
    <row r="619" ht="20" customHeight="1">
      <c r="A619" s="5">
        <f>IF(B619="","",IFERROR(VLOOKUP(B619, PLANTA_BASE!A:R, 2, FALSE), "NO ENCONTRADO EN PLANTA"))</f>
        <v/>
      </c>
      <c r="B619" s="6" t="inlineStr"/>
      <c r="C619" s="7">
        <f>IF(B619="","",IFERROR(VLOOKUP(B619, PLANTA_BASE!A:R, 3, FALSE), ""))</f>
        <v/>
      </c>
      <c r="D619" s="5">
        <f>IF(B619="","",IFERROR(VLOOKUP(B619, PLANTA_BASE!A:R, 5, FALSE), "NO ENCONTRADO EN PLANTA"))</f>
        <v/>
      </c>
      <c r="E619" s="5">
        <f>IF(B619="","",IFERROR(VLOOKUP(B619, PLANTA_BASE!A:R, 6, FALSE), "NO ENCONTRADO EN PLANTA"))</f>
        <v/>
      </c>
      <c r="F619" s="7">
        <f>IF(B619="","",IFERROR(VLOOKUP(B619, PLANTA_BASE!A:R, 8, FALSE), "DOCENTE / FACILITADOR"))</f>
        <v/>
      </c>
      <c r="G619" s="7">
        <f>IF(B619="","",IFERROR(VLOOKUP(B619, PLANTA_BASE!A:R, 9, FALSE), "GENERAL"))</f>
        <v/>
      </c>
      <c r="H619" s="5">
        <f>IF(B619="","",IFERROR(VLOOKUP(B619, PLANTA_BASE!A:R, 17, FALSE), "GENERAL"))</f>
        <v/>
      </c>
    </row>
    <row r="620" ht="20" customHeight="1">
      <c r="A620" s="2">
        <f>IF(B620="","",IFERROR(VLOOKUP(B620, PLANTA_BASE!A:R, 2, FALSE), "NO ENCONTRADO EN PLANTA"))</f>
        <v/>
      </c>
      <c r="B620" s="3" t="inlineStr"/>
      <c r="C620" s="4">
        <f>IF(B620="","",IFERROR(VLOOKUP(B620, PLANTA_BASE!A:R, 3, FALSE), ""))</f>
        <v/>
      </c>
      <c r="D620" s="2">
        <f>IF(B620="","",IFERROR(VLOOKUP(B620, PLANTA_BASE!A:R, 5, FALSE), "NO ENCONTRADO EN PLANTA"))</f>
        <v/>
      </c>
      <c r="E620" s="2">
        <f>IF(B620="","",IFERROR(VLOOKUP(B620, PLANTA_BASE!A:R, 6, FALSE), "NO ENCONTRADO EN PLANTA"))</f>
        <v/>
      </c>
      <c r="F620" s="4">
        <f>IF(B620="","",IFERROR(VLOOKUP(B620, PLANTA_BASE!A:R, 8, FALSE), "DOCENTE / FACILITADOR"))</f>
        <v/>
      </c>
      <c r="G620" s="4">
        <f>IF(B620="","",IFERROR(VLOOKUP(B620, PLANTA_BASE!A:R, 9, FALSE), "GENERAL"))</f>
        <v/>
      </c>
      <c r="H620" s="2">
        <f>IF(B620="","",IFERROR(VLOOKUP(B620, PLANTA_BASE!A:R, 17, FALSE), "GENERAL"))</f>
        <v/>
      </c>
    </row>
    <row r="621" ht="20" customHeight="1">
      <c r="A621" s="5">
        <f>IF(B621="","",IFERROR(VLOOKUP(B621, PLANTA_BASE!A:R, 2, FALSE), "NO ENCONTRADO EN PLANTA"))</f>
        <v/>
      </c>
      <c r="B621" s="6" t="inlineStr"/>
      <c r="C621" s="7">
        <f>IF(B621="","",IFERROR(VLOOKUP(B621, PLANTA_BASE!A:R, 3, FALSE), ""))</f>
        <v/>
      </c>
      <c r="D621" s="5">
        <f>IF(B621="","",IFERROR(VLOOKUP(B621, PLANTA_BASE!A:R, 5, FALSE), "NO ENCONTRADO EN PLANTA"))</f>
        <v/>
      </c>
      <c r="E621" s="5">
        <f>IF(B621="","",IFERROR(VLOOKUP(B621, PLANTA_BASE!A:R, 6, FALSE), "NO ENCONTRADO EN PLANTA"))</f>
        <v/>
      </c>
      <c r="F621" s="7">
        <f>IF(B621="","",IFERROR(VLOOKUP(B621, PLANTA_BASE!A:R, 8, FALSE), "DOCENTE / FACILITADOR"))</f>
        <v/>
      </c>
      <c r="G621" s="7">
        <f>IF(B621="","",IFERROR(VLOOKUP(B621, PLANTA_BASE!A:R, 9, FALSE), "GENERAL"))</f>
        <v/>
      </c>
      <c r="H621" s="5">
        <f>IF(B621="","",IFERROR(VLOOKUP(B621, PLANTA_BASE!A:R, 17, FALSE), "GENERAL"))</f>
        <v/>
      </c>
    </row>
    <row r="622" ht="20" customHeight="1">
      <c r="A622" s="2">
        <f>IF(B622="","",IFERROR(VLOOKUP(B622, PLANTA_BASE!A:R, 2, FALSE), "NO ENCONTRADO EN PLANTA"))</f>
        <v/>
      </c>
      <c r="B622" s="3" t="inlineStr"/>
      <c r="C622" s="4">
        <f>IF(B622="","",IFERROR(VLOOKUP(B622, PLANTA_BASE!A:R, 3, FALSE), ""))</f>
        <v/>
      </c>
      <c r="D622" s="2">
        <f>IF(B622="","",IFERROR(VLOOKUP(B622, PLANTA_BASE!A:R, 5, FALSE), "NO ENCONTRADO EN PLANTA"))</f>
        <v/>
      </c>
      <c r="E622" s="2">
        <f>IF(B622="","",IFERROR(VLOOKUP(B622, PLANTA_BASE!A:R, 6, FALSE), "NO ENCONTRADO EN PLANTA"))</f>
        <v/>
      </c>
      <c r="F622" s="4">
        <f>IF(B622="","",IFERROR(VLOOKUP(B622, PLANTA_BASE!A:R, 8, FALSE), "DOCENTE / FACILITADOR"))</f>
        <v/>
      </c>
      <c r="G622" s="4">
        <f>IF(B622="","",IFERROR(VLOOKUP(B622, PLANTA_BASE!A:R, 9, FALSE), "GENERAL"))</f>
        <v/>
      </c>
      <c r="H622" s="2">
        <f>IF(B622="","",IFERROR(VLOOKUP(B622, PLANTA_BASE!A:R, 17, FALSE), "GENERAL"))</f>
        <v/>
      </c>
    </row>
    <row r="623" ht="20" customHeight="1">
      <c r="A623" s="5">
        <f>IF(B623="","",IFERROR(VLOOKUP(B623, PLANTA_BASE!A:R, 2, FALSE), "NO ENCONTRADO EN PLANTA"))</f>
        <v/>
      </c>
      <c r="B623" s="6" t="inlineStr"/>
      <c r="C623" s="7">
        <f>IF(B623="","",IFERROR(VLOOKUP(B623, PLANTA_BASE!A:R, 3, FALSE), ""))</f>
        <v/>
      </c>
      <c r="D623" s="5">
        <f>IF(B623="","",IFERROR(VLOOKUP(B623, PLANTA_BASE!A:R, 5, FALSE), "NO ENCONTRADO EN PLANTA"))</f>
        <v/>
      </c>
      <c r="E623" s="5">
        <f>IF(B623="","",IFERROR(VLOOKUP(B623, PLANTA_BASE!A:R, 6, FALSE), "NO ENCONTRADO EN PLANTA"))</f>
        <v/>
      </c>
      <c r="F623" s="7">
        <f>IF(B623="","",IFERROR(VLOOKUP(B623, PLANTA_BASE!A:R, 8, FALSE), "DOCENTE / FACILITADOR"))</f>
        <v/>
      </c>
      <c r="G623" s="7">
        <f>IF(B623="","",IFERROR(VLOOKUP(B623, PLANTA_BASE!A:R, 9, FALSE), "GENERAL"))</f>
        <v/>
      </c>
      <c r="H623" s="5">
        <f>IF(B623="","",IFERROR(VLOOKUP(B623, PLANTA_BASE!A:R, 17, FALSE), "GENERAL"))</f>
        <v/>
      </c>
    </row>
    <row r="624" ht="20" customHeight="1">
      <c r="A624" s="2">
        <f>IF(B624="","",IFERROR(VLOOKUP(B624, PLANTA_BASE!A:R, 2, FALSE), "NO ENCONTRADO EN PLANTA"))</f>
        <v/>
      </c>
      <c r="B624" s="3" t="inlineStr"/>
      <c r="C624" s="4">
        <f>IF(B624="","",IFERROR(VLOOKUP(B624, PLANTA_BASE!A:R, 3, FALSE), ""))</f>
        <v/>
      </c>
      <c r="D624" s="2">
        <f>IF(B624="","",IFERROR(VLOOKUP(B624, PLANTA_BASE!A:R, 5, FALSE), "NO ENCONTRADO EN PLANTA"))</f>
        <v/>
      </c>
      <c r="E624" s="2">
        <f>IF(B624="","",IFERROR(VLOOKUP(B624, PLANTA_BASE!A:R, 6, FALSE), "NO ENCONTRADO EN PLANTA"))</f>
        <v/>
      </c>
      <c r="F624" s="4">
        <f>IF(B624="","",IFERROR(VLOOKUP(B624, PLANTA_BASE!A:R, 8, FALSE), "DOCENTE / FACILITADOR"))</f>
        <v/>
      </c>
      <c r="G624" s="4">
        <f>IF(B624="","",IFERROR(VLOOKUP(B624, PLANTA_BASE!A:R, 9, FALSE), "GENERAL"))</f>
        <v/>
      </c>
      <c r="H624" s="2">
        <f>IF(B624="","",IFERROR(VLOOKUP(B624, PLANTA_BASE!A:R, 17, FALSE), "GENERAL"))</f>
        <v/>
      </c>
    </row>
    <row r="625" ht="20" customHeight="1">
      <c r="A625" s="5">
        <f>IF(B625="","",IFERROR(VLOOKUP(B625, PLANTA_BASE!A:R, 2, FALSE), "NO ENCONTRADO EN PLANTA"))</f>
        <v/>
      </c>
      <c r="B625" s="6" t="inlineStr"/>
      <c r="C625" s="7">
        <f>IF(B625="","",IFERROR(VLOOKUP(B625, PLANTA_BASE!A:R, 3, FALSE), ""))</f>
        <v/>
      </c>
      <c r="D625" s="5">
        <f>IF(B625="","",IFERROR(VLOOKUP(B625, PLANTA_BASE!A:R, 5, FALSE), "NO ENCONTRADO EN PLANTA"))</f>
        <v/>
      </c>
      <c r="E625" s="5">
        <f>IF(B625="","",IFERROR(VLOOKUP(B625, PLANTA_BASE!A:R, 6, FALSE), "NO ENCONTRADO EN PLANTA"))</f>
        <v/>
      </c>
      <c r="F625" s="7">
        <f>IF(B625="","",IFERROR(VLOOKUP(B625, PLANTA_BASE!A:R, 8, FALSE), "DOCENTE / FACILITADOR"))</f>
        <v/>
      </c>
      <c r="G625" s="7">
        <f>IF(B625="","",IFERROR(VLOOKUP(B625, PLANTA_BASE!A:R, 9, FALSE), "GENERAL"))</f>
        <v/>
      </c>
      <c r="H625" s="5">
        <f>IF(B625="","",IFERROR(VLOOKUP(B625, PLANTA_BASE!A:R, 17, FALSE), "GENERAL"))</f>
        <v/>
      </c>
    </row>
    <row r="626" ht="20" customHeight="1">
      <c r="A626" s="2">
        <f>IF(B626="","",IFERROR(VLOOKUP(B626, PLANTA_BASE!A:R, 2, FALSE), "NO ENCONTRADO EN PLANTA"))</f>
        <v/>
      </c>
      <c r="B626" s="3" t="inlineStr"/>
      <c r="C626" s="4">
        <f>IF(B626="","",IFERROR(VLOOKUP(B626, PLANTA_BASE!A:R, 3, FALSE), ""))</f>
        <v/>
      </c>
      <c r="D626" s="2">
        <f>IF(B626="","",IFERROR(VLOOKUP(B626, PLANTA_BASE!A:R, 5, FALSE), "NO ENCONTRADO EN PLANTA"))</f>
        <v/>
      </c>
      <c r="E626" s="2">
        <f>IF(B626="","",IFERROR(VLOOKUP(B626, PLANTA_BASE!A:R, 6, FALSE), "NO ENCONTRADO EN PLANTA"))</f>
        <v/>
      </c>
      <c r="F626" s="4">
        <f>IF(B626="","",IFERROR(VLOOKUP(B626, PLANTA_BASE!A:R, 8, FALSE), "DOCENTE / FACILITADOR"))</f>
        <v/>
      </c>
      <c r="G626" s="4">
        <f>IF(B626="","",IFERROR(VLOOKUP(B626, PLANTA_BASE!A:R, 9, FALSE), "GENERAL"))</f>
        <v/>
      </c>
      <c r="H626" s="2">
        <f>IF(B626="","",IFERROR(VLOOKUP(B626, PLANTA_BASE!A:R, 17, FALSE), "GENERAL"))</f>
        <v/>
      </c>
    </row>
    <row r="627" ht="20" customHeight="1">
      <c r="A627" s="5">
        <f>IF(B627="","",IFERROR(VLOOKUP(B627, PLANTA_BASE!A:R, 2, FALSE), "NO ENCONTRADO EN PLANTA"))</f>
        <v/>
      </c>
      <c r="B627" s="6" t="inlineStr"/>
      <c r="C627" s="7">
        <f>IF(B627="","",IFERROR(VLOOKUP(B627, PLANTA_BASE!A:R, 3, FALSE), ""))</f>
        <v/>
      </c>
      <c r="D627" s="5">
        <f>IF(B627="","",IFERROR(VLOOKUP(B627, PLANTA_BASE!A:R, 5, FALSE), "NO ENCONTRADO EN PLANTA"))</f>
        <v/>
      </c>
      <c r="E627" s="5">
        <f>IF(B627="","",IFERROR(VLOOKUP(B627, PLANTA_BASE!A:R, 6, FALSE), "NO ENCONTRADO EN PLANTA"))</f>
        <v/>
      </c>
      <c r="F627" s="7">
        <f>IF(B627="","",IFERROR(VLOOKUP(B627, PLANTA_BASE!A:R, 8, FALSE), "DOCENTE / FACILITADOR"))</f>
        <v/>
      </c>
      <c r="G627" s="7">
        <f>IF(B627="","",IFERROR(VLOOKUP(B627, PLANTA_BASE!A:R, 9, FALSE), "GENERAL"))</f>
        <v/>
      </c>
      <c r="H627" s="5">
        <f>IF(B627="","",IFERROR(VLOOKUP(B627, PLANTA_BASE!A:R, 17, FALSE), "GENERAL"))</f>
        <v/>
      </c>
    </row>
    <row r="628" ht="20" customHeight="1">
      <c r="A628" s="2">
        <f>IF(B628="","",IFERROR(VLOOKUP(B628, PLANTA_BASE!A:R, 2, FALSE), "NO ENCONTRADO EN PLANTA"))</f>
        <v/>
      </c>
      <c r="B628" s="3" t="inlineStr"/>
      <c r="C628" s="4">
        <f>IF(B628="","",IFERROR(VLOOKUP(B628, PLANTA_BASE!A:R, 3, FALSE), ""))</f>
        <v/>
      </c>
      <c r="D628" s="2">
        <f>IF(B628="","",IFERROR(VLOOKUP(B628, PLANTA_BASE!A:R, 5, FALSE), "NO ENCONTRADO EN PLANTA"))</f>
        <v/>
      </c>
      <c r="E628" s="2">
        <f>IF(B628="","",IFERROR(VLOOKUP(B628, PLANTA_BASE!A:R, 6, FALSE), "NO ENCONTRADO EN PLANTA"))</f>
        <v/>
      </c>
      <c r="F628" s="4">
        <f>IF(B628="","",IFERROR(VLOOKUP(B628, PLANTA_BASE!A:R, 8, FALSE), "DOCENTE / FACILITADOR"))</f>
        <v/>
      </c>
      <c r="G628" s="4">
        <f>IF(B628="","",IFERROR(VLOOKUP(B628, PLANTA_BASE!A:R, 9, FALSE), "GENERAL"))</f>
        <v/>
      </c>
      <c r="H628" s="2">
        <f>IF(B628="","",IFERROR(VLOOKUP(B628, PLANTA_BASE!A:R, 17, FALSE), "GENERAL"))</f>
        <v/>
      </c>
    </row>
    <row r="629" ht="20" customHeight="1">
      <c r="A629" s="5">
        <f>IF(B629="","",IFERROR(VLOOKUP(B629, PLANTA_BASE!A:R, 2, FALSE), "NO ENCONTRADO EN PLANTA"))</f>
        <v/>
      </c>
      <c r="B629" s="6" t="inlineStr"/>
      <c r="C629" s="7">
        <f>IF(B629="","",IFERROR(VLOOKUP(B629, PLANTA_BASE!A:R, 3, FALSE), ""))</f>
        <v/>
      </c>
      <c r="D629" s="5">
        <f>IF(B629="","",IFERROR(VLOOKUP(B629, PLANTA_BASE!A:R, 5, FALSE), "NO ENCONTRADO EN PLANTA"))</f>
        <v/>
      </c>
      <c r="E629" s="5">
        <f>IF(B629="","",IFERROR(VLOOKUP(B629, PLANTA_BASE!A:R, 6, FALSE), "NO ENCONTRADO EN PLANTA"))</f>
        <v/>
      </c>
      <c r="F629" s="7">
        <f>IF(B629="","",IFERROR(VLOOKUP(B629, PLANTA_BASE!A:R, 8, FALSE), "DOCENTE / FACILITADOR"))</f>
        <v/>
      </c>
      <c r="G629" s="7">
        <f>IF(B629="","",IFERROR(VLOOKUP(B629, PLANTA_BASE!A:R, 9, FALSE), "GENERAL"))</f>
        <v/>
      </c>
      <c r="H629" s="5">
        <f>IF(B629="","",IFERROR(VLOOKUP(B629, PLANTA_BASE!A:R, 17, FALSE), "GENERAL"))</f>
        <v/>
      </c>
    </row>
    <row r="630" ht="20" customHeight="1">
      <c r="A630" s="2">
        <f>IF(B630="","",IFERROR(VLOOKUP(B630, PLANTA_BASE!A:R, 2, FALSE), "NO ENCONTRADO EN PLANTA"))</f>
        <v/>
      </c>
      <c r="B630" s="3" t="inlineStr"/>
      <c r="C630" s="4">
        <f>IF(B630="","",IFERROR(VLOOKUP(B630, PLANTA_BASE!A:R, 3, FALSE), ""))</f>
        <v/>
      </c>
      <c r="D630" s="2">
        <f>IF(B630="","",IFERROR(VLOOKUP(B630, PLANTA_BASE!A:R, 5, FALSE), "NO ENCONTRADO EN PLANTA"))</f>
        <v/>
      </c>
      <c r="E630" s="2">
        <f>IF(B630="","",IFERROR(VLOOKUP(B630, PLANTA_BASE!A:R, 6, FALSE), "NO ENCONTRADO EN PLANTA"))</f>
        <v/>
      </c>
      <c r="F630" s="4">
        <f>IF(B630="","",IFERROR(VLOOKUP(B630, PLANTA_BASE!A:R, 8, FALSE), "DOCENTE / FACILITADOR"))</f>
        <v/>
      </c>
      <c r="G630" s="4">
        <f>IF(B630="","",IFERROR(VLOOKUP(B630, PLANTA_BASE!A:R, 9, FALSE), "GENERAL"))</f>
        <v/>
      </c>
      <c r="H630" s="2">
        <f>IF(B630="","",IFERROR(VLOOKUP(B630, PLANTA_BASE!A:R, 17, FALSE), "GENERAL"))</f>
        <v/>
      </c>
    </row>
    <row r="631" ht="20" customHeight="1">
      <c r="A631" s="5">
        <f>IF(B631="","",IFERROR(VLOOKUP(B631, PLANTA_BASE!A:R, 2, FALSE), "NO ENCONTRADO EN PLANTA"))</f>
        <v/>
      </c>
      <c r="B631" s="6" t="inlineStr"/>
      <c r="C631" s="7">
        <f>IF(B631="","",IFERROR(VLOOKUP(B631, PLANTA_BASE!A:R, 3, FALSE), ""))</f>
        <v/>
      </c>
      <c r="D631" s="5">
        <f>IF(B631="","",IFERROR(VLOOKUP(B631, PLANTA_BASE!A:R, 5, FALSE), "NO ENCONTRADO EN PLANTA"))</f>
        <v/>
      </c>
      <c r="E631" s="5">
        <f>IF(B631="","",IFERROR(VLOOKUP(B631, PLANTA_BASE!A:R, 6, FALSE), "NO ENCONTRADO EN PLANTA"))</f>
        <v/>
      </c>
      <c r="F631" s="7">
        <f>IF(B631="","",IFERROR(VLOOKUP(B631, PLANTA_BASE!A:R, 8, FALSE), "DOCENTE / FACILITADOR"))</f>
        <v/>
      </c>
      <c r="G631" s="7">
        <f>IF(B631="","",IFERROR(VLOOKUP(B631, PLANTA_BASE!A:R, 9, FALSE), "GENERAL"))</f>
        <v/>
      </c>
      <c r="H631" s="5">
        <f>IF(B631="","",IFERROR(VLOOKUP(B631, PLANTA_BASE!A:R, 17, FALSE), "GENERAL"))</f>
        <v/>
      </c>
    </row>
    <row r="632" ht="20" customHeight="1">
      <c r="A632" s="2">
        <f>IF(B632="","",IFERROR(VLOOKUP(B632, PLANTA_BASE!A:R, 2, FALSE), "NO ENCONTRADO EN PLANTA"))</f>
        <v/>
      </c>
      <c r="B632" s="3" t="inlineStr"/>
      <c r="C632" s="4">
        <f>IF(B632="","",IFERROR(VLOOKUP(B632, PLANTA_BASE!A:R, 3, FALSE), ""))</f>
        <v/>
      </c>
      <c r="D632" s="2">
        <f>IF(B632="","",IFERROR(VLOOKUP(B632, PLANTA_BASE!A:R, 5, FALSE), "NO ENCONTRADO EN PLANTA"))</f>
        <v/>
      </c>
      <c r="E632" s="2">
        <f>IF(B632="","",IFERROR(VLOOKUP(B632, PLANTA_BASE!A:R, 6, FALSE), "NO ENCONTRADO EN PLANTA"))</f>
        <v/>
      </c>
      <c r="F632" s="4">
        <f>IF(B632="","",IFERROR(VLOOKUP(B632, PLANTA_BASE!A:R, 8, FALSE), "DOCENTE / FACILITADOR"))</f>
        <v/>
      </c>
      <c r="G632" s="4">
        <f>IF(B632="","",IFERROR(VLOOKUP(B632, PLANTA_BASE!A:R, 9, FALSE), "GENERAL"))</f>
        <v/>
      </c>
      <c r="H632" s="2">
        <f>IF(B632="","",IFERROR(VLOOKUP(B632, PLANTA_BASE!A:R, 17, FALSE), "GENERAL"))</f>
        <v/>
      </c>
    </row>
    <row r="633" ht="20" customHeight="1">
      <c r="A633" s="5">
        <f>IF(B633="","",IFERROR(VLOOKUP(B633, PLANTA_BASE!A:R, 2, FALSE), "NO ENCONTRADO EN PLANTA"))</f>
        <v/>
      </c>
      <c r="B633" s="6" t="inlineStr"/>
      <c r="C633" s="7">
        <f>IF(B633="","",IFERROR(VLOOKUP(B633, PLANTA_BASE!A:R, 3, FALSE), ""))</f>
        <v/>
      </c>
      <c r="D633" s="5">
        <f>IF(B633="","",IFERROR(VLOOKUP(B633, PLANTA_BASE!A:R, 5, FALSE), "NO ENCONTRADO EN PLANTA"))</f>
        <v/>
      </c>
      <c r="E633" s="5">
        <f>IF(B633="","",IFERROR(VLOOKUP(B633, PLANTA_BASE!A:R, 6, FALSE), "NO ENCONTRADO EN PLANTA"))</f>
        <v/>
      </c>
      <c r="F633" s="7">
        <f>IF(B633="","",IFERROR(VLOOKUP(B633, PLANTA_BASE!A:R, 8, FALSE), "DOCENTE / FACILITADOR"))</f>
        <v/>
      </c>
      <c r="G633" s="7">
        <f>IF(B633="","",IFERROR(VLOOKUP(B633, PLANTA_BASE!A:R, 9, FALSE), "GENERAL"))</f>
        <v/>
      </c>
      <c r="H633" s="5">
        <f>IF(B633="","",IFERROR(VLOOKUP(B633, PLANTA_BASE!A:R, 17, FALSE), "GENERAL"))</f>
        <v/>
      </c>
    </row>
    <row r="634" ht="20" customHeight="1">
      <c r="A634" s="2">
        <f>IF(B634="","",IFERROR(VLOOKUP(B634, PLANTA_BASE!A:R, 2, FALSE), "NO ENCONTRADO EN PLANTA"))</f>
        <v/>
      </c>
      <c r="B634" s="3" t="inlineStr"/>
      <c r="C634" s="4">
        <f>IF(B634="","",IFERROR(VLOOKUP(B634, PLANTA_BASE!A:R, 3, FALSE), ""))</f>
        <v/>
      </c>
      <c r="D634" s="2">
        <f>IF(B634="","",IFERROR(VLOOKUP(B634, PLANTA_BASE!A:R, 5, FALSE), "NO ENCONTRADO EN PLANTA"))</f>
        <v/>
      </c>
      <c r="E634" s="2">
        <f>IF(B634="","",IFERROR(VLOOKUP(B634, PLANTA_BASE!A:R, 6, FALSE), "NO ENCONTRADO EN PLANTA"))</f>
        <v/>
      </c>
      <c r="F634" s="4">
        <f>IF(B634="","",IFERROR(VLOOKUP(B634, PLANTA_BASE!A:R, 8, FALSE), "DOCENTE / FACILITADOR"))</f>
        <v/>
      </c>
      <c r="G634" s="4">
        <f>IF(B634="","",IFERROR(VLOOKUP(B634, PLANTA_BASE!A:R, 9, FALSE), "GENERAL"))</f>
        <v/>
      </c>
      <c r="H634" s="2">
        <f>IF(B634="","",IFERROR(VLOOKUP(B634, PLANTA_BASE!A:R, 17, FALSE), "GENERAL"))</f>
        <v/>
      </c>
    </row>
    <row r="635" ht="20" customHeight="1">
      <c r="A635" s="5">
        <f>IF(B635="","",IFERROR(VLOOKUP(B635, PLANTA_BASE!A:R, 2, FALSE), "NO ENCONTRADO EN PLANTA"))</f>
        <v/>
      </c>
      <c r="B635" s="6" t="inlineStr"/>
      <c r="C635" s="7">
        <f>IF(B635="","",IFERROR(VLOOKUP(B635, PLANTA_BASE!A:R, 3, FALSE), ""))</f>
        <v/>
      </c>
      <c r="D635" s="5">
        <f>IF(B635="","",IFERROR(VLOOKUP(B635, PLANTA_BASE!A:R, 5, FALSE), "NO ENCONTRADO EN PLANTA"))</f>
        <v/>
      </c>
      <c r="E635" s="5">
        <f>IF(B635="","",IFERROR(VLOOKUP(B635, PLANTA_BASE!A:R, 6, FALSE), "NO ENCONTRADO EN PLANTA"))</f>
        <v/>
      </c>
      <c r="F635" s="7">
        <f>IF(B635="","",IFERROR(VLOOKUP(B635, PLANTA_BASE!A:R, 8, FALSE), "DOCENTE / FACILITADOR"))</f>
        <v/>
      </c>
      <c r="G635" s="7">
        <f>IF(B635="","",IFERROR(VLOOKUP(B635, PLANTA_BASE!A:R, 9, FALSE), "GENERAL"))</f>
        <v/>
      </c>
      <c r="H635" s="5">
        <f>IF(B635="","",IFERROR(VLOOKUP(B635, PLANTA_BASE!A:R, 17, FALSE), "GENERAL"))</f>
        <v/>
      </c>
    </row>
    <row r="636" ht="20" customHeight="1">
      <c r="A636" s="2">
        <f>IF(B636="","",IFERROR(VLOOKUP(B636, PLANTA_BASE!A:R, 2, FALSE), "NO ENCONTRADO EN PLANTA"))</f>
        <v/>
      </c>
      <c r="B636" s="3" t="inlineStr"/>
      <c r="C636" s="4">
        <f>IF(B636="","",IFERROR(VLOOKUP(B636, PLANTA_BASE!A:R, 3, FALSE), ""))</f>
        <v/>
      </c>
      <c r="D636" s="2">
        <f>IF(B636="","",IFERROR(VLOOKUP(B636, PLANTA_BASE!A:R, 5, FALSE), "NO ENCONTRADO EN PLANTA"))</f>
        <v/>
      </c>
      <c r="E636" s="2">
        <f>IF(B636="","",IFERROR(VLOOKUP(B636, PLANTA_BASE!A:R, 6, FALSE), "NO ENCONTRADO EN PLANTA"))</f>
        <v/>
      </c>
      <c r="F636" s="4">
        <f>IF(B636="","",IFERROR(VLOOKUP(B636, PLANTA_BASE!A:R, 8, FALSE), "DOCENTE / FACILITADOR"))</f>
        <v/>
      </c>
      <c r="G636" s="4">
        <f>IF(B636="","",IFERROR(VLOOKUP(B636, PLANTA_BASE!A:R, 9, FALSE), "GENERAL"))</f>
        <v/>
      </c>
      <c r="H636" s="2">
        <f>IF(B636="","",IFERROR(VLOOKUP(B636, PLANTA_BASE!A:R, 17, FALSE), "GENERAL"))</f>
        <v/>
      </c>
    </row>
    <row r="637" ht="20" customHeight="1">
      <c r="A637" s="5">
        <f>IF(B637="","",IFERROR(VLOOKUP(B637, PLANTA_BASE!A:R, 2, FALSE), "NO ENCONTRADO EN PLANTA"))</f>
        <v/>
      </c>
      <c r="B637" s="6" t="inlineStr"/>
      <c r="C637" s="7">
        <f>IF(B637="","",IFERROR(VLOOKUP(B637, PLANTA_BASE!A:R, 3, FALSE), ""))</f>
        <v/>
      </c>
      <c r="D637" s="5">
        <f>IF(B637="","",IFERROR(VLOOKUP(B637, PLANTA_BASE!A:R, 5, FALSE), "NO ENCONTRADO EN PLANTA"))</f>
        <v/>
      </c>
      <c r="E637" s="5">
        <f>IF(B637="","",IFERROR(VLOOKUP(B637, PLANTA_BASE!A:R, 6, FALSE), "NO ENCONTRADO EN PLANTA"))</f>
        <v/>
      </c>
      <c r="F637" s="7">
        <f>IF(B637="","",IFERROR(VLOOKUP(B637, PLANTA_BASE!A:R, 8, FALSE), "DOCENTE / FACILITADOR"))</f>
        <v/>
      </c>
      <c r="G637" s="7">
        <f>IF(B637="","",IFERROR(VLOOKUP(B637, PLANTA_BASE!A:R, 9, FALSE), "GENERAL"))</f>
        <v/>
      </c>
      <c r="H637" s="5">
        <f>IF(B637="","",IFERROR(VLOOKUP(B637, PLANTA_BASE!A:R, 17, FALSE), "GENERAL"))</f>
        <v/>
      </c>
    </row>
    <row r="638" ht="20" customHeight="1">
      <c r="A638" s="2">
        <f>IF(B638="","",IFERROR(VLOOKUP(B638, PLANTA_BASE!A:R, 2, FALSE), "NO ENCONTRADO EN PLANTA"))</f>
        <v/>
      </c>
      <c r="B638" s="3" t="inlineStr"/>
      <c r="C638" s="4">
        <f>IF(B638="","",IFERROR(VLOOKUP(B638, PLANTA_BASE!A:R, 3, FALSE), ""))</f>
        <v/>
      </c>
      <c r="D638" s="2">
        <f>IF(B638="","",IFERROR(VLOOKUP(B638, PLANTA_BASE!A:R, 5, FALSE), "NO ENCONTRADO EN PLANTA"))</f>
        <v/>
      </c>
      <c r="E638" s="2">
        <f>IF(B638="","",IFERROR(VLOOKUP(B638, PLANTA_BASE!A:R, 6, FALSE), "NO ENCONTRADO EN PLANTA"))</f>
        <v/>
      </c>
      <c r="F638" s="4">
        <f>IF(B638="","",IFERROR(VLOOKUP(B638, PLANTA_BASE!A:R, 8, FALSE), "DOCENTE / FACILITADOR"))</f>
        <v/>
      </c>
      <c r="G638" s="4">
        <f>IF(B638="","",IFERROR(VLOOKUP(B638, PLANTA_BASE!A:R, 9, FALSE), "GENERAL"))</f>
        <v/>
      </c>
      <c r="H638" s="2">
        <f>IF(B638="","",IFERROR(VLOOKUP(B638, PLANTA_BASE!A:R, 17, FALSE), "GENERAL"))</f>
        <v/>
      </c>
    </row>
    <row r="639" ht="20" customHeight="1">
      <c r="A639" s="5">
        <f>IF(B639="","",IFERROR(VLOOKUP(B639, PLANTA_BASE!A:R, 2, FALSE), "NO ENCONTRADO EN PLANTA"))</f>
        <v/>
      </c>
      <c r="B639" s="6" t="inlineStr"/>
      <c r="C639" s="7">
        <f>IF(B639="","",IFERROR(VLOOKUP(B639, PLANTA_BASE!A:R, 3, FALSE), ""))</f>
        <v/>
      </c>
      <c r="D639" s="5">
        <f>IF(B639="","",IFERROR(VLOOKUP(B639, PLANTA_BASE!A:R, 5, FALSE), "NO ENCONTRADO EN PLANTA"))</f>
        <v/>
      </c>
      <c r="E639" s="5">
        <f>IF(B639="","",IFERROR(VLOOKUP(B639, PLANTA_BASE!A:R, 6, FALSE), "NO ENCONTRADO EN PLANTA"))</f>
        <v/>
      </c>
      <c r="F639" s="7">
        <f>IF(B639="","",IFERROR(VLOOKUP(B639, PLANTA_BASE!A:R, 8, FALSE), "DOCENTE / FACILITADOR"))</f>
        <v/>
      </c>
      <c r="G639" s="7">
        <f>IF(B639="","",IFERROR(VLOOKUP(B639, PLANTA_BASE!A:R, 9, FALSE), "GENERAL"))</f>
        <v/>
      </c>
      <c r="H639" s="5">
        <f>IF(B639="","",IFERROR(VLOOKUP(B639, PLANTA_BASE!A:R, 17, FALSE), "GENERAL"))</f>
        <v/>
      </c>
    </row>
    <row r="640" ht="20" customHeight="1">
      <c r="A640" s="2">
        <f>IF(B640="","",IFERROR(VLOOKUP(B640, PLANTA_BASE!A:R, 2, FALSE), "NO ENCONTRADO EN PLANTA"))</f>
        <v/>
      </c>
      <c r="B640" s="3" t="inlineStr"/>
      <c r="C640" s="4">
        <f>IF(B640="","",IFERROR(VLOOKUP(B640, PLANTA_BASE!A:R, 3, FALSE), ""))</f>
        <v/>
      </c>
      <c r="D640" s="2">
        <f>IF(B640="","",IFERROR(VLOOKUP(B640, PLANTA_BASE!A:R, 5, FALSE), "NO ENCONTRADO EN PLANTA"))</f>
        <v/>
      </c>
      <c r="E640" s="2">
        <f>IF(B640="","",IFERROR(VLOOKUP(B640, PLANTA_BASE!A:R, 6, FALSE), "NO ENCONTRADO EN PLANTA"))</f>
        <v/>
      </c>
      <c r="F640" s="4">
        <f>IF(B640="","",IFERROR(VLOOKUP(B640, PLANTA_BASE!A:R, 8, FALSE), "DOCENTE / FACILITADOR"))</f>
        <v/>
      </c>
      <c r="G640" s="4">
        <f>IF(B640="","",IFERROR(VLOOKUP(B640, PLANTA_BASE!A:R, 9, FALSE), "GENERAL"))</f>
        <v/>
      </c>
      <c r="H640" s="2">
        <f>IF(B640="","",IFERROR(VLOOKUP(B640, PLANTA_BASE!A:R, 17, FALSE), "GENERAL"))</f>
        <v/>
      </c>
    </row>
    <row r="641" ht="20" customHeight="1">
      <c r="A641" s="5">
        <f>IF(B641="","",IFERROR(VLOOKUP(B641, PLANTA_BASE!A:R, 2, FALSE), "NO ENCONTRADO EN PLANTA"))</f>
        <v/>
      </c>
      <c r="B641" s="6" t="inlineStr"/>
      <c r="C641" s="7">
        <f>IF(B641="","",IFERROR(VLOOKUP(B641, PLANTA_BASE!A:R, 3, FALSE), ""))</f>
        <v/>
      </c>
      <c r="D641" s="5">
        <f>IF(B641="","",IFERROR(VLOOKUP(B641, PLANTA_BASE!A:R, 5, FALSE), "NO ENCONTRADO EN PLANTA"))</f>
        <v/>
      </c>
      <c r="E641" s="5">
        <f>IF(B641="","",IFERROR(VLOOKUP(B641, PLANTA_BASE!A:R, 6, FALSE), "NO ENCONTRADO EN PLANTA"))</f>
        <v/>
      </c>
      <c r="F641" s="7">
        <f>IF(B641="","",IFERROR(VLOOKUP(B641, PLANTA_BASE!A:R, 8, FALSE), "DOCENTE / FACILITADOR"))</f>
        <v/>
      </c>
      <c r="G641" s="7">
        <f>IF(B641="","",IFERROR(VLOOKUP(B641, PLANTA_BASE!A:R, 9, FALSE), "GENERAL"))</f>
        <v/>
      </c>
      <c r="H641" s="5">
        <f>IF(B641="","",IFERROR(VLOOKUP(B641, PLANTA_BASE!A:R, 17, FALSE), "GENERAL"))</f>
        <v/>
      </c>
    </row>
    <row r="642" ht="20" customHeight="1">
      <c r="A642" s="2">
        <f>IF(B642="","",IFERROR(VLOOKUP(B642, PLANTA_BASE!A:R, 2, FALSE), "NO ENCONTRADO EN PLANTA"))</f>
        <v/>
      </c>
      <c r="B642" s="3" t="inlineStr"/>
      <c r="C642" s="4">
        <f>IF(B642="","",IFERROR(VLOOKUP(B642, PLANTA_BASE!A:R, 3, FALSE), ""))</f>
        <v/>
      </c>
      <c r="D642" s="2">
        <f>IF(B642="","",IFERROR(VLOOKUP(B642, PLANTA_BASE!A:R, 5, FALSE), "NO ENCONTRADO EN PLANTA"))</f>
        <v/>
      </c>
      <c r="E642" s="2">
        <f>IF(B642="","",IFERROR(VLOOKUP(B642, PLANTA_BASE!A:R, 6, FALSE), "NO ENCONTRADO EN PLANTA"))</f>
        <v/>
      </c>
      <c r="F642" s="4">
        <f>IF(B642="","",IFERROR(VLOOKUP(B642, PLANTA_BASE!A:R, 8, FALSE), "DOCENTE / FACILITADOR"))</f>
        <v/>
      </c>
      <c r="G642" s="4">
        <f>IF(B642="","",IFERROR(VLOOKUP(B642, PLANTA_BASE!A:R, 9, FALSE), "GENERAL"))</f>
        <v/>
      </c>
      <c r="H642" s="2">
        <f>IF(B642="","",IFERROR(VLOOKUP(B642, PLANTA_BASE!A:R, 17, FALSE), "GENERAL"))</f>
        <v/>
      </c>
    </row>
    <row r="643" ht="20" customHeight="1">
      <c r="A643" s="5">
        <f>IF(B643="","",IFERROR(VLOOKUP(B643, PLANTA_BASE!A:R, 2, FALSE), "NO ENCONTRADO EN PLANTA"))</f>
        <v/>
      </c>
      <c r="B643" s="6" t="inlineStr"/>
      <c r="C643" s="7">
        <f>IF(B643="","",IFERROR(VLOOKUP(B643, PLANTA_BASE!A:R, 3, FALSE), ""))</f>
        <v/>
      </c>
      <c r="D643" s="5">
        <f>IF(B643="","",IFERROR(VLOOKUP(B643, PLANTA_BASE!A:R, 5, FALSE), "NO ENCONTRADO EN PLANTA"))</f>
        <v/>
      </c>
      <c r="E643" s="5">
        <f>IF(B643="","",IFERROR(VLOOKUP(B643, PLANTA_BASE!A:R, 6, FALSE), "NO ENCONTRADO EN PLANTA"))</f>
        <v/>
      </c>
      <c r="F643" s="7">
        <f>IF(B643="","",IFERROR(VLOOKUP(B643, PLANTA_BASE!A:R, 8, FALSE), "DOCENTE / FACILITADOR"))</f>
        <v/>
      </c>
      <c r="G643" s="7">
        <f>IF(B643="","",IFERROR(VLOOKUP(B643, PLANTA_BASE!A:R, 9, FALSE), "GENERAL"))</f>
        <v/>
      </c>
      <c r="H643" s="5">
        <f>IF(B643="","",IFERROR(VLOOKUP(B643, PLANTA_BASE!A:R, 17, FALSE), "GENERAL"))</f>
        <v/>
      </c>
    </row>
    <row r="644" ht="20" customHeight="1">
      <c r="A644" s="2">
        <f>IF(B644="","",IFERROR(VLOOKUP(B644, PLANTA_BASE!A:R, 2, FALSE), "NO ENCONTRADO EN PLANTA"))</f>
        <v/>
      </c>
      <c r="B644" s="3" t="inlineStr"/>
      <c r="C644" s="4">
        <f>IF(B644="","",IFERROR(VLOOKUP(B644, PLANTA_BASE!A:R, 3, FALSE), ""))</f>
        <v/>
      </c>
      <c r="D644" s="2">
        <f>IF(B644="","",IFERROR(VLOOKUP(B644, PLANTA_BASE!A:R, 5, FALSE), "NO ENCONTRADO EN PLANTA"))</f>
        <v/>
      </c>
      <c r="E644" s="2">
        <f>IF(B644="","",IFERROR(VLOOKUP(B644, PLANTA_BASE!A:R, 6, FALSE), "NO ENCONTRADO EN PLANTA"))</f>
        <v/>
      </c>
      <c r="F644" s="4">
        <f>IF(B644="","",IFERROR(VLOOKUP(B644, PLANTA_BASE!A:R, 8, FALSE), "DOCENTE / FACILITADOR"))</f>
        <v/>
      </c>
      <c r="G644" s="4">
        <f>IF(B644="","",IFERROR(VLOOKUP(B644, PLANTA_BASE!A:R, 9, FALSE), "GENERAL"))</f>
        <v/>
      </c>
      <c r="H644" s="2">
        <f>IF(B644="","",IFERROR(VLOOKUP(B644, PLANTA_BASE!A:R, 17, FALSE), "GENERAL"))</f>
        <v/>
      </c>
    </row>
    <row r="645" ht="20" customHeight="1">
      <c r="A645" s="5">
        <f>IF(B645="","",IFERROR(VLOOKUP(B645, PLANTA_BASE!A:R, 2, FALSE), "NO ENCONTRADO EN PLANTA"))</f>
        <v/>
      </c>
      <c r="B645" s="6" t="inlineStr"/>
      <c r="C645" s="7">
        <f>IF(B645="","",IFERROR(VLOOKUP(B645, PLANTA_BASE!A:R, 3, FALSE), ""))</f>
        <v/>
      </c>
      <c r="D645" s="5">
        <f>IF(B645="","",IFERROR(VLOOKUP(B645, PLANTA_BASE!A:R, 5, FALSE), "NO ENCONTRADO EN PLANTA"))</f>
        <v/>
      </c>
      <c r="E645" s="5">
        <f>IF(B645="","",IFERROR(VLOOKUP(B645, PLANTA_BASE!A:R, 6, FALSE), "NO ENCONTRADO EN PLANTA"))</f>
        <v/>
      </c>
      <c r="F645" s="7">
        <f>IF(B645="","",IFERROR(VLOOKUP(B645, PLANTA_BASE!A:R, 8, FALSE), "DOCENTE / FACILITADOR"))</f>
        <v/>
      </c>
      <c r="G645" s="7">
        <f>IF(B645="","",IFERROR(VLOOKUP(B645, PLANTA_BASE!A:R, 9, FALSE), "GENERAL"))</f>
        <v/>
      </c>
      <c r="H645" s="5">
        <f>IF(B645="","",IFERROR(VLOOKUP(B645, PLANTA_BASE!A:R, 17, FALSE), "GENERAL"))</f>
        <v/>
      </c>
    </row>
    <row r="646" ht="20" customHeight="1">
      <c r="A646" s="2">
        <f>IF(B646="","",IFERROR(VLOOKUP(B646, PLANTA_BASE!A:R, 2, FALSE), "NO ENCONTRADO EN PLANTA"))</f>
        <v/>
      </c>
      <c r="B646" s="3" t="inlineStr"/>
      <c r="C646" s="4">
        <f>IF(B646="","",IFERROR(VLOOKUP(B646, PLANTA_BASE!A:R, 3, FALSE), ""))</f>
        <v/>
      </c>
      <c r="D646" s="2">
        <f>IF(B646="","",IFERROR(VLOOKUP(B646, PLANTA_BASE!A:R, 5, FALSE), "NO ENCONTRADO EN PLANTA"))</f>
        <v/>
      </c>
      <c r="E646" s="2">
        <f>IF(B646="","",IFERROR(VLOOKUP(B646, PLANTA_BASE!A:R, 6, FALSE), "NO ENCONTRADO EN PLANTA"))</f>
        <v/>
      </c>
      <c r="F646" s="4">
        <f>IF(B646="","",IFERROR(VLOOKUP(B646, PLANTA_BASE!A:R, 8, FALSE), "DOCENTE / FACILITADOR"))</f>
        <v/>
      </c>
      <c r="G646" s="4">
        <f>IF(B646="","",IFERROR(VLOOKUP(B646, PLANTA_BASE!A:R, 9, FALSE), "GENERAL"))</f>
        <v/>
      </c>
      <c r="H646" s="2">
        <f>IF(B646="","",IFERROR(VLOOKUP(B646, PLANTA_BASE!A:R, 17, FALSE), "GENERAL"))</f>
        <v/>
      </c>
    </row>
    <row r="647" ht="20" customHeight="1">
      <c r="A647" s="5">
        <f>IF(B647="","",IFERROR(VLOOKUP(B647, PLANTA_BASE!A:R, 2, FALSE), "NO ENCONTRADO EN PLANTA"))</f>
        <v/>
      </c>
      <c r="B647" s="6" t="inlineStr"/>
      <c r="C647" s="7">
        <f>IF(B647="","",IFERROR(VLOOKUP(B647, PLANTA_BASE!A:R, 3, FALSE), ""))</f>
        <v/>
      </c>
      <c r="D647" s="5">
        <f>IF(B647="","",IFERROR(VLOOKUP(B647, PLANTA_BASE!A:R, 5, FALSE), "NO ENCONTRADO EN PLANTA"))</f>
        <v/>
      </c>
      <c r="E647" s="5">
        <f>IF(B647="","",IFERROR(VLOOKUP(B647, PLANTA_BASE!A:R, 6, FALSE), "NO ENCONTRADO EN PLANTA"))</f>
        <v/>
      </c>
      <c r="F647" s="7">
        <f>IF(B647="","",IFERROR(VLOOKUP(B647, PLANTA_BASE!A:R, 8, FALSE), "DOCENTE / FACILITADOR"))</f>
        <v/>
      </c>
      <c r="G647" s="7">
        <f>IF(B647="","",IFERROR(VLOOKUP(B647, PLANTA_BASE!A:R, 9, FALSE), "GENERAL"))</f>
        <v/>
      </c>
      <c r="H647" s="5">
        <f>IF(B647="","",IFERROR(VLOOKUP(B647, PLANTA_BASE!A:R, 17, FALSE), "GENERAL"))</f>
        <v/>
      </c>
    </row>
    <row r="648" ht="20" customHeight="1">
      <c r="A648" s="2">
        <f>IF(B648="","",IFERROR(VLOOKUP(B648, PLANTA_BASE!A:R, 2, FALSE), "NO ENCONTRADO EN PLANTA"))</f>
        <v/>
      </c>
      <c r="B648" s="3" t="inlineStr"/>
      <c r="C648" s="4">
        <f>IF(B648="","",IFERROR(VLOOKUP(B648, PLANTA_BASE!A:R, 3, FALSE), ""))</f>
        <v/>
      </c>
      <c r="D648" s="2">
        <f>IF(B648="","",IFERROR(VLOOKUP(B648, PLANTA_BASE!A:R, 5, FALSE), "NO ENCONTRADO EN PLANTA"))</f>
        <v/>
      </c>
      <c r="E648" s="2">
        <f>IF(B648="","",IFERROR(VLOOKUP(B648, PLANTA_BASE!A:R, 6, FALSE), "NO ENCONTRADO EN PLANTA"))</f>
        <v/>
      </c>
      <c r="F648" s="4">
        <f>IF(B648="","",IFERROR(VLOOKUP(B648, PLANTA_BASE!A:R, 8, FALSE), "DOCENTE / FACILITADOR"))</f>
        <v/>
      </c>
      <c r="G648" s="4">
        <f>IF(B648="","",IFERROR(VLOOKUP(B648, PLANTA_BASE!A:R, 9, FALSE), "GENERAL"))</f>
        <v/>
      </c>
      <c r="H648" s="2">
        <f>IF(B648="","",IFERROR(VLOOKUP(B648, PLANTA_BASE!A:R, 17, FALSE), "GENERAL"))</f>
        <v/>
      </c>
    </row>
    <row r="649" ht="20" customHeight="1">
      <c r="A649" s="5">
        <f>IF(B649="","",IFERROR(VLOOKUP(B649, PLANTA_BASE!A:R, 2, FALSE), "NO ENCONTRADO EN PLANTA"))</f>
        <v/>
      </c>
      <c r="B649" s="6" t="inlineStr"/>
      <c r="C649" s="7">
        <f>IF(B649="","",IFERROR(VLOOKUP(B649, PLANTA_BASE!A:R, 3, FALSE), ""))</f>
        <v/>
      </c>
      <c r="D649" s="5">
        <f>IF(B649="","",IFERROR(VLOOKUP(B649, PLANTA_BASE!A:R, 5, FALSE), "NO ENCONTRADO EN PLANTA"))</f>
        <v/>
      </c>
      <c r="E649" s="5">
        <f>IF(B649="","",IFERROR(VLOOKUP(B649, PLANTA_BASE!A:R, 6, FALSE), "NO ENCONTRADO EN PLANTA"))</f>
        <v/>
      </c>
      <c r="F649" s="7">
        <f>IF(B649="","",IFERROR(VLOOKUP(B649, PLANTA_BASE!A:R, 8, FALSE), "DOCENTE / FACILITADOR"))</f>
        <v/>
      </c>
      <c r="G649" s="7">
        <f>IF(B649="","",IFERROR(VLOOKUP(B649, PLANTA_BASE!A:R, 9, FALSE), "GENERAL"))</f>
        <v/>
      </c>
      <c r="H649" s="5">
        <f>IF(B649="","",IFERROR(VLOOKUP(B649, PLANTA_BASE!A:R, 17, FALSE), "GENERAL"))</f>
        <v/>
      </c>
    </row>
    <row r="650" ht="20" customHeight="1">
      <c r="A650" s="2">
        <f>IF(B650="","",IFERROR(VLOOKUP(B650, PLANTA_BASE!A:R, 2, FALSE), "NO ENCONTRADO EN PLANTA"))</f>
        <v/>
      </c>
      <c r="B650" s="3" t="inlineStr"/>
      <c r="C650" s="4">
        <f>IF(B650="","",IFERROR(VLOOKUP(B650, PLANTA_BASE!A:R, 3, FALSE), ""))</f>
        <v/>
      </c>
      <c r="D650" s="2">
        <f>IF(B650="","",IFERROR(VLOOKUP(B650, PLANTA_BASE!A:R, 5, FALSE), "NO ENCONTRADO EN PLANTA"))</f>
        <v/>
      </c>
      <c r="E650" s="2">
        <f>IF(B650="","",IFERROR(VLOOKUP(B650, PLANTA_BASE!A:R, 6, FALSE), "NO ENCONTRADO EN PLANTA"))</f>
        <v/>
      </c>
      <c r="F650" s="4">
        <f>IF(B650="","",IFERROR(VLOOKUP(B650, PLANTA_BASE!A:R, 8, FALSE), "DOCENTE / FACILITADOR"))</f>
        <v/>
      </c>
      <c r="G650" s="4">
        <f>IF(B650="","",IFERROR(VLOOKUP(B650, PLANTA_BASE!A:R, 9, FALSE), "GENERAL"))</f>
        <v/>
      </c>
      <c r="H650" s="2">
        <f>IF(B650="","",IFERROR(VLOOKUP(B650, PLANTA_BASE!A:R, 17, FALSE), "GENERAL"))</f>
        <v/>
      </c>
    </row>
    <row r="651" ht="20" customHeight="1">
      <c r="A651" s="5">
        <f>IF(B651="","",IFERROR(VLOOKUP(B651, PLANTA_BASE!A:R, 2, FALSE), "NO ENCONTRADO EN PLANTA"))</f>
        <v/>
      </c>
      <c r="B651" s="6" t="inlineStr"/>
      <c r="C651" s="7">
        <f>IF(B651="","",IFERROR(VLOOKUP(B651, PLANTA_BASE!A:R, 3, FALSE), ""))</f>
        <v/>
      </c>
      <c r="D651" s="5">
        <f>IF(B651="","",IFERROR(VLOOKUP(B651, PLANTA_BASE!A:R, 5, FALSE), "NO ENCONTRADO EN PLANTA"))</f>
        <v/>
      </c>
      <c r="E651" s="5">
        <f>IF(B651="","",IFERROR(VLOOKUP(B651, PLANTA_BASE!A:R, 6, FALSE), "NO ENCONTRADO EN PLANTA"))</f>
        <v/>
      </c>
      <c r="F651" s="7">
        <f>IF(B651="","",IFERROR(VLOOKUP(B651, PLANTA_BASE!A:R, 8, FALSE), "DOCENTE / FACILITADOR"))</f>
        <v/>
      </c>
      <c r="G651" s="7">
        <f>IF(B651="","",IFERROR(VLOOKUP(B651, PLANTA_BASE!A:R, 9, FALSE), "GENERAL"))</f>
        <v/>
      </c>
      <c r="H651" s="5">
        <f>IF(B651="","",IFERROR(VLOOKUP(B651, PLANTA_BASE!A:R, 17, FALSE), "GENERAL"))</f>
        <v/>
      </c>
    </row>
    <row r="652" ht="20" customHeight="1">
      <c r="A652" s="2">
        <f>IF(B652="","",IFERROR(VLOOKUP(B652, PLANTA_BASE!A:R, 2, FALSE), "NO ENCONTRADO EN PLANTA"))</f>
        <v/>
      </c>
      <c r="B652" s="3" t="inlineStr"/>
      <c r="C652" s="4">
        <f>IF(B652="","",IFERROR(VLOOKUP(B652, PLANTA_BASE!A:R, 3, FALSE), ""))</f>
        <v/>
      </c>
      <c r="D652" s="2">
        <f>IF(B652="","",IFERROR(VLOOKUP(B652, PLANTA_BASE!A:R, 5, FALSE), "NO ENCONTRADO EN PLANTA"))</f>
        <v/>
      </c>
      <c r="E652" s="2">
        <f>IF(B652="","",IFERROR(VLOOKUP(B652, PLANTA_BASE!A:R, 6, FALSE), "NO ENCONTRADO EN PLANTA"))</f>
        <v/>
      </c>
      <c r="F652" s="4">
        <f>IF(B652="","",IFERROR(VLOOKUP(B652, PLANTA_BASE!A:R, 8, FALSE), "DOCENTE / FACILITADOR"))</f>
        <v/>
      </c>
      <c r="G652" s="4">
        <f>IF(B652="","",IFERROR(VLOOKUP(B652, PLANTA_BASE!A:R, 9, FALSE), "GENERAL"))</f>
        <v/>
      </c>
      <c r="H652" s="2">
        <f>IF(B652="","",IFERROR(VLOOKUP(B652, PLANTA_BASE!A:R, 17, FALSE), "GENERAL"))</f>
        <v/>
      </c>
    </row>
    <row r="653" ht="20" customHeight="1">
      <c r="A653" s="5">
        <f>IF(B653="","",IFERROR(VLOOKUP(B653, PLANTA_BASE!A:R, 2, FALSE), "NO ENCONTRADO EN PLANTA"))</f>
        <v/>
      </c>
      <c r="B653" s="6" t="inlineStr"/>
      <c r="C653" s="7">
        <f>IF(B653="","",IFERROR(VLOOKUP(B653, PLANTA_BASE!A:R, 3, FALSE), ""))</f>
        <v/>
      </c>
      <c r="D653" s="5">
        <f>IF(B653="","",IFERROR(VLOOKUP(B653, PLANTA_BASE!A:R, 5, FALSE), "NO ENCONTRADO EN PLANTA"))</f>
        <v/>
      </c>
      <c r="E653" s="5">
        <f>IF(B653="","",IFERROR(VLOOKUP(B653, PLANTA_BASE!A:R, 6, FALSE), "NO ENCONTRADO EN PLANTA"))</f>
        <v/>
      </c>
      <c r="F653" s="7">
        <f>IF(B653="","",IFERROR(VLOOKUP(B653, PLANTA_BASE!A:R, 8, FALSE), "DOCENTE / FACILITADOR"))</f>
        <v/>
      </c>
      <c r="G653" s="7">
        <f>IF(B653="","",IFERROR(VLOOKUP(B653, PLANTA_BASE!A:R, 9, FALSE), "GENERAL"))</f>
        <v/>
      </c>
      <c r="H653" s="5">
        <f>IF(B653="","",IFERROR(VLOOKUP(B653, PLANTA_BASE!A:R, 17, FALSE), "GENERAL"))</f>
        <v/>
      </c>
    </row>
    <row r="654" ht="20" customHeight="1">
      <c r="A654" s="2">
        <f>IF(B654="","",IFERROR(VLOOKUP(B654, PLANTA_BASE!A:R, 2, FALSE), "NO ENCONTRADO EN PLANTA"))</f>
        <v/>
      </c>
      <c r="B654" s="3" t="inlineStr"/>
      <c r="C654" s="4">
        <f>IF(B654="","",IFERROR(VLOOKUP(B654, PLANTA_BASE!A:R, 3, FALSE), ""))</f>
        <v/>
      </c>
      <c r="D654" s="2">
        <f>IF(B654="","",IFERROR(VLOOKUP(B654, PLANTA_BASE!A:R, 5, FALSE), "NO ENCONTRADO EN PLANTA"))</f>
        <v/>
      </c>
      <c r="E654" s="2">
        <f>IF(B654="","",IFERROR(VLOOKUP(B654, PLANTA_BASE!A:R, 6, FALSE), "NO ENCONTRADO EN PLANTA"))</f>
        <v/>
      </c>
      <c r="F654" s="4">
        <f>IF(B654="","",IFERROR(VLOOKUP(B654, PLANTA_BASE!A:R, 8, FALSE), "DOCENTE / FACILITADOR"))</f>
        <v/>
      </c>
      <c r="G654" s="4">
        <f>IF(B654="","",IFERROR(VLOOKUP(B654, PLANTA_BASE!A:R, 9, FALSE), "GENERAL"))</f>
        <v/>
      </c>
      <c r="H654" s="2">
        <f>IF(B654="","",IFERROR(VLOOKUP(B654, PLANTA_BASE!A:R, 17, FALSE), "GENERAL"))</f>
        <v/>
      </c>
    </row>
    <row r="655" ht="20" customHeight="1">
      <c r="A655" s="5">
        <f>IF(B655="","",IFERROR(VLOOKUP(B655, PLANTA_BASE!A:R, 2, FALSE), "NO ENCONTRADO EN PLANTA"))</f>
        <v/>
      </c>
      <c r="B655" s="6" t="inlineStr"/>
      <c r="C655" s="7">
        <f>IF(B655="","",IFERROR(VLOOKUP(B655, PLANTA_BASE!A:R, 3, FALSE), ""))</f>
        <v/>
      </c>
      <c r="D655" s="5">
        <f>IF(B655="","",IFERROR(VLOOKUP(B655, PLANTA_BASE!A:R, 5, FALSE), "NO ENCONTRADO EN PLANTA"))</f>
        <v/>
      </c>
      <c r="E655" s="5">
        <f>IF(B655="","",IFERROR(VLOOKUP(B655, PLANTA_BASE!A:R, 6, FALSE), "NO ENCONTRADO EN PLANTA"))</f>
        <v/>
      </c>
      <c r="F655" s="7">
        <f>IF(B655="","",IFERROR(VLOOKUP(B655, PLANTA_BASE!A:R, 8, FALSE), "DOCENTE / FACILITADOR"))</f>
        <v/>
      </c>
      <c r="G655" s="7">
        <f>IF(B655="","",IFERROR(VLOOKUP(B655, PLANTA_BASE!A:R, 9, FALSE), "GENERAL"))</f>
        <v/>
      </c>
      <c r="H655" s="5">
        <f>IF(B655="","",IFERROR(VLOOKUP(B655, PLANTA_BASE!A:R, 17, FALSE), "GENERAL"))</f>
        <v/>
      </c>
    </row>
    <row r="656" ht="20" customHeight="1">
      <c r="A656" s="2">
        <f>IF(B656="","",IFERROR(VLOOKUP(B656, PLANTA_BASE!A:R, 2, FALSE), "NO ENCONTRADO EN PLANTA"))</f>
        <v/>
      </c>
      <c r="B656" s="3" t="inlineStr"/>
      <c r="C656" s="4">
        <f>IF(B656="","",IFERROR(VLOOKUP(B656, PLANTA_BASE!A:R, 3, FALSE), ""))</f>
        <v/>
      </c>
      <c r="D656" s="2">
        <f>IF(B656="","",IFERROR(VLOOKUP(B656, PLANTA_BASE!A:R, 5, FALSE), "NO ENCONTRADO EN PLANTA"))</f>
        <v/>
      </c>
      <c r="E656" s="2">
        <f>IF(B656="","",IFERROR(VLOOKUP(B656, PLANTA_BASE!A:R, 6, FALSE), "NO ENCONTRADO EN PLANTA"))</f>
        <v/>
      </c>
      <c r="F656" s="4">
        <f>IF(B656="","",IFERROR(VLOOKUP(B656, PLANTA_BASE!A:R, 8, FALSE), "DOCENTE / FACILITADOR"))</f>
        <v/>
      </c>
      <c r="G656" s="4">
        <f>IF(B656="","",IFERROR(VLOOKUP(B656, PLANTA_BASE!A:R, 9, FALSE), "GENERAL"))</f>
        <v/>
      </c>
      <c r="H656" s="2">
        <f>IF(B656="","",IFERROR(VLOOKUP(B656, PLANTA_BASE!A:R, 17, FALSE), "GENERAL"))</f>
        <v/>
      </c>
    </row>
    <row r="657" ht="20" customHeight="1">
      <c r="A657" s="5">
        <f>IF(B657="","",IFERROR(VLOOKUP(B657, PLANTA_BASE!A:R, 2, FALSE), "NO ENCONTRADO EN PLANTA"))</f>
        <v/>
      </c>
      <c r="B657" s="6" t="inlineStr"/>
      <c r="C657" s="7">
        <f>IF(B657="","",IFERROR(VLOOKUP(B657, PLANTA_BASE!A:R, 3, FALSE), ""))</f>
        <v/>
      </c>
      <c r="D657" s="5">
        <f>IF(B657="","",IFERROR(VLOOKUP(B657, PLANTA_BASE!A:R, 5, FALSE), "NO ENCONTRADO EN PLANTA"))</f>
        <v/>
      </c>
      <c r="E657" s="5">
        <f>IF(B657="","",IFERROR(VLOOKUP(B657, PLANTA_BASE!A:R, 6, FALSE), "NO ENCONTRADO EN PLANTA"))</f>
        <v/>
      </c>
      <c r="F657" s="7">
        <f>IF(B657="","",IFERROR(VLOOKUP(B657, PLANTA_BASE!A:R, 8, FALSE), "DOCENTE / FACILITADOR"))</f>
        <v/>
      </c>
      <c r="G657" s="7">
        <f>IF(B657="","",IFERROR(VLOOKUP(B657, PLANTA_BASE!A:R, 9, FALSE), "GENERAL"))</f>
        <v/>
      </c>
      <c r="H657" s="5">
        <f>IF(B657="","",IFERROR(VLOOKUP(B657, PLANTA_BASE!A:R, 17, FALSE), "GENERAL"))</f>
        <v/>
      </c>
    </row>
    <row r="658" ht="20" customHeight="1">
      <c r="A658" s="2">
        <f>IF(B658="","",IFERROR(VLOOKUP(B658, PLANTA_BASE!A:R, 2, FALSE), "NO ENCONTRADO EN PLANTA"))</f>
        <v/>
      </c>
      <c r="B658" s="3" t="inlineStr"/>
      <c r="C658" s="4">
        <f>IF(B658="","",IFERROR(VLOOKUP(B658, PLANTA_BASE!A:R, 3, FALSE), ""))</f>
        <v/>
      </c>
      <c r="D658" s="2">
        <f>IF(B658="","",IFERROR(VLOOKUP(B658, PLANTA_BASE!A:R, 5, FALSE), "NO ENCONTRADO EN PLANTA"))</f>
        <v/>
      </c>
      <c r="E658" s="2">
        <f>IF(B658="","",IFERROR(VLOOKUP(B658, PLANTA_BASE!A:R, 6, FALSE), "NO ENCONTRADO EN PLANTA"))</f>
        <v/>
      </c>
      <c r="F658" s="4">
        <f>IF(B658="","",IFERROR(VLOOKUP(B658, PLANTA_BASE!A:R, 8, FALSE), "DOCENTE / FACILITADOR"))</f>
        <v/>
      </c>
      <c r="G658" s="4">
        <f>IF(B658="","",IFERROR(VLOOKUP(B658, PLANTA_BASE!A:R, 9, FALSE), "GENERAL"))</f>
        <v/>
      </c>
      <c r="H658" s="2">
        <f>IF(B658="","",IFERROR(VLOOKUP(B658, PLANTA_BASE!A:R, 17, FALSE), "GENERAL"))</f>
        <v/>
      </c>
    </row>
    <row r="659" ht="20" customHeight="1">
      <c r="A659" s="5">
        <f>IF(B659="","",IFERROR(VLOOKUP(B659, PLANTA_BASE!A:R, 2, FALSE), "NO ENCONTRADO EN PLANTA"))</f>
        <v/>
      </c>
      <c r="B659" s="6" t="inlineStr"/>
      <c r="C659" s="7">
        <f>IF(B659="","",IFERROR(VLOOKUP(B659, PLANTA_BASE!A:R, 3, FALSE), ""))</f>
        <v/>
      </c>
      <c r="D659" s="5">
        <f>IF(B659="","",IFERROR(VLOOKUP(B659, PLANTA_BASE!A:R, 5, FALSE), "NO ENCONTRADO EN PLANTA"))</f>
        <v/>
      </c>
      <c r="E659" s="5">
        <f>IF(B659="","",IFERROR(VLOOKUP(B659, PLANTA_BASE!A:R, 6, FALSE), "NO ENCONTRADO EN PLANTA"))</f>
        <v/>
      </c>
      <c r="F659" s="7">
        <f>IF(B659="","",IFERROR(VLOOKUP(B659, PLANTA_BASE!A:R, 8, FALSE), "DOCENTE / FACILITADOR"))</f>
        <v/>
      </c>
      <c r="G659" s="7">
        <f>IF(B659="","",IFERROR(VLOOKUP(B659, PLANTA_BASE!A:R, 9, FALSE), "GENERAL"))</f>
        <v/>
      </c>
      <c r="H659" s="5">
        <f>IF(B659="","",IFERROR(VLOOKUP(B659, PLANTA_BASE!A:R, 17, FALSE), "GENERAL"))</f>
        <v/>
      </c>
    </row>
    <row r="660" ht="20" customHeight="1">
      <c r="A660" s="2">
        <f>IF(B660="","",IFERROR(VLOOKUP(B660, PLANTA_BASE!A:R, 2, FALSE), "NO ENCONTRADO EN PLANTA"))</f>
        <v/>
      </c>
      <c r="B660" s="3" t="inlineStr"/>
      <c r="C660" s="4">
        <f>IF(B660="","",IFERROR(VLOOKUP(B660, PLANTA_BASE!A:R, 3, FALSE), ""))</f>
        <v/>
      </c>
      <c r="D660" s="2">
        <f>IF(B660="","",IFERROR(VLOOKUP(B660, PLANTA_BASE!A:R, 5, FALSE), "NO ENCONTRADO EN PLANTA"))</f>
        <v/>
      </c>
      <c r="E660" s="2">
        <f>IF(B660="","",IFERROR(VLOOKUP(B660, PLANTA_BASE!A:R, 6, FALSE), "NO ENCONTRADO EN PLANTA"))</f>
        <v/>
      </c>
      <c r="F660" s="4">
        <f>IF(B660="","",IFERROR(VLOOKUP(B660, PLANTA_BASE!A:R, 8, FALSE), "DOCENTE / FACILITADOR"))</f>
        <v/>
      </c>
      <c r="G660" s="4">
        <f>IF(B660="","",IFERROR(VLOOKUP(B660, PLANTA_BASE!A:R, 9, FALSE), "GENERAL"))</f>
        <v/>
      </c>
      <c r="H660" s="2">
        <f>IF(B660="","",IFERROR(VLOOKUP(B660, PLANTA_BASE!A:R, 17, FALSE), "GENERAL"))</f>
        <v/>
      </c>
    </row>
    <row r="661" ht="20" customHeight="1">
      <c r="A661" s="5">
        <f>IF(B661="","",IFERROR(VLOOKUP(B661, PLANTA_BASE!A:R, 2, FALSE), "NO ENCONTRADO EN PLANTA"))</f>
        <v/>
      </c>
      <c r="B661" s="6" t="inlineStr"/>
      <c r="C661" s="7">
        <f>IF(B661="","",IFERROR(VLOOKUP(B661, PLANTA_BASE!A:R, 3, FALSE), ""))</f>
        <v/>
      </c>
      <c r="D661" s="5">
        <f>IF(B661="","",IFERROR(VLOOKUP(B661, PLANTA_BASE!A:R, 5, FALSE), "NO ENCONTRADO EN PLANTA"))</f>
        <v/>
      </c>
      <c r="E661" s="5">
        <f>IF(B661="","",IFERROR(VLOOKUP(B661, PLANTA_BASE!A:R, 6, FALSE), "NO ENCONTRADO EN PLANTA"))</f>
        <v/>
      </c>
      <c r="F661" s="7">
        <f>IF(B661="","",IFERROR(VLOOKUP(B661, PLANTA_BASE!A:R, 8, FALSE), "DOCENTE / FACILITADOR"))</f>
        <v/>
      </c>
      <c r="G661" s="7">
        <f>IF(B661="","",IFERROR(VLOOKUP(B661, PLANTA_BASE!A:R, 9, FALSE), "GENERAL"))</f>
        <v/>
      </c>
      <c r="H661" s="5">
        <f>IF(B661="","",IFERROR(VLOOKUP(B661, PLANTA_BASE!A:R, 17, FALSE), "GENERAL"))</f>
        <v/>
      </c>
    </row>
    <row r="662" ht="20" customHeight="1">
      <c r="A662" s="2">
        <f>IF(B662="","",IFERROR(VLOOKUP(B662, PLANTA_BASE!A:R, 2, FALSE), "NO ENCONTRADO EN PLANTA"))</f>
        <v/>
      </c>
      <c r="B662" s="3" t="inlineStr"/>
      <c r="C662" s="4">
        <f>IF(B662="","",IFERROR(VLOOKUP(B662, PLANTA_BASE!A:R, 3, FALSE), ""))</f>
        <v/>
      </c>
      <c r="D662" s="2">
        <f>IF(B662="","",IFERROR(VLOOKUP(B662, PLANTA_BASE!A:R, 5, FALSE), "NO ENCONTRADO EN PLANTA"))</f>
        <v/>
      </c>
      <c r="E662" s="2">
        <f>IF(B662="","",IFERROR(VLOOKUP(B662, PLANTA_BASE!A:R, 6, FALSE), "NO ENCONTRADO EN PLANTA"))</f>
        <v/>
      </c>
      <c r="F662" s="4">
        <f>IF(B662="","",IFERROR(VLOOKUP(B662, PLANTA_BASE!A:R, 8, FALSE), "DOCENTE / FACILITADOR"))</f>
        <v/>
      </c>
      <c r="G662" s="4">
        <f>IF(B662="","",IFERROR(VLOOKUP(B662, PLANTA_BASE!A:R, 9, FALSE), "GENERAL"))</f>
        <v/>
      </c>
      <c r="H662" s="2">
        <f>IF(B662="","",IFERROR(VLOOKUP(B662, PLANTA_BASE!A:R, 17, FALSE), "GENERAL"))</f>
        <v/>
      </c>
    </row>
    <row r="663" ht="20" customHeight="1">
      <c r="A663" s="5">
        <f>IF(B663="","",IFERROR(VLOOKUP(B663, PLANTA_BASE!A:R, 2, FALSE), "NO ENCONTRADO EN PLANTA"))</f>
        <v/>
      </c>
      <c r="B663" s="6" t="inlineStr"/>
      <c r="C663" s="7">
        <f>IF(B663="","",IFERROR(VLOOKUP(B663, PLANTA_BASE!A:R, 3, FALSE), ""))</f>
        <v/>
      </c>
      <c r="D663" s="5">
        <f>IF(B663="","",IFERROR(VLOOKUP(B663, PLANTA_BASE!A:R, 5, FALSE), "NO ENCONTRADO EN PLANTA"))</f>
        <v/>
      </c>
      <c r="E663" s="5">
        <f>IF(B663="","",IFERROR(VLOOKUP(B663, PLANTA_BASE!A:R, 6, FALSE), "NO ENCONTRADO EN PLANTA"))</f>
        <v/>
      </c>
      <c r="F663" s="7">
        <f>IF(B663="","",IFERROR(VLOOKUP(B663, PLANTA_BASE!A:R, 8, FALSE), "DOCENTE / FACILITADOR"))</f>
        <v/>
      </c>
      <c r="G663" s="7">
        <f>IF(B663="","",IFERROR(VLOOKUP(B663, PLANTA_BASE!A:R, 9, FALSE), "GENERAL"))</f>
        <v/>
      </c>
      <c r="H663" s="5">
        <f>IF(B663="","",IFERROR(VLOOKUP(B663, PLANTA_BASE!A:R, 17, FALSE), "GENERAL"))</f>
        <v/>
      </c>
    </row>
    <row r="664" ht="20" customHeight="1">
      <c r="A664" s="2">
        <f>IF(B664="","",IFERROR(VLOOKUP(B664, PLANTA_BASE!A:R, 2, FALSE), "NO ENCONTRADO EN PLANTA"))</f>
        <v/>
      </c>
      <c r="B664" s="3" t="inlineStr"/>
      <c r="C664" s="4">
        <f>IF(B664="","",IFERROR(VLOOKUP(B664, PLANTA_BASE!A:R, 3, FALSE), ""))</f>
        <v/>
      </c>
      <c r="D664" s="2">
        <f>IF(B664="","",IFERROR(VLOOKUP(B664, PLANTA_BASE!A:R, 5, FALSE), "NO ENCONTRADO EN PLANTA"))</f>
        <v/>
      </c>
      <c r="E664" s="2">
        <f>IF(B664="","",IFERROR(VLOOKUP(B664, PLANTA_BASE!A:R, 6, FALSE), "NO ENCONTRADO EN PLANTA"))</f>
        <v/>
      </c>
      <c r="F664" s="4">
        <f>IF(B664="","",IFERROR(VLOOKUP(B664, PLANTA_BASE!A:R, 8, FALSE), "DOCENTE / FACILITADOR"))</f>
        <v/>
      </c>
      <c r="G664" s="4">
        <f>IF(B664="","",IFERROR(VLOOKUP(B664, PLANTA_BASE!A:R, 9, FALSE), "GENERAL"))</f>
        <v/>
      </c>
      <c r="H664" s="2">
        <f>IF(B664="","",IFERROR(VLOOKUP(B664, PLANTA_BASE!A:R, 17, FALSE), "GENERAL"))</f>
        <v/>
      </c>
    </row>
    <row r="665" ht="20" customHeight="1">
      <c r="A665" s="5">
        <f>IF(B665="","",IFERROR(VLOOKUP(B665, PLANTA_BASE!A:R, 2, FALSE), "NO ENCONTRADO EN PLANTA"))</f>
        <v/>
      </c>
      <c r="B665" s="6" t="inlineStr"/>
      <c r="C665" s="7">
        <f>IF(B665="","",IFERROR(VLOOKUP(B665, PLANTA_BASE!A:R, 3, FALSE), ""))</f>
        <v/>
      </c>
      <c r="D665" s="5">
        <f>IF(B665="","",IFERROR(VLOOKUP(B665, PLANTA_BASE!A:R, 5, FALSE), "NO ENCONTRADO EN PLANTA"))</f>
        <v/>
      </c>
      <c r="E665" s="5">
        <f>IF(B665="","",IFERROR(VLOOKUP(B665, PLANTA_BASE!A:R, 6, FALSE), "NO ENCONTRADO EN PLANTA"))</f>
        <v/>
      </c>
      <c r="F665" s="7">
        <f>IF(B665="","",IFERROR(VLOOKUP(B665, PLANTA_BASE!A:R, 8, FALSE), "DOCENTE / FACILITADOR"))</f>
        <v/>
      </c>
      <c r="G665" s="7">
        <f>IF(B665="","",IFERROR(VLOOKUP(B665, PLANTA_BASE!A:R, 9, FALSE), "GENERAL"))</f>
        <v/>
      </c>
      <c r="H665" s="5">
        <f>IF(B665="","",IFERROR(VLOOKUP(B665, PLANTA_BASE!A:R, 17, FALSE), "GENERAL"))</f>
        <v/>
      </c>
    </row>
    <row r="666" ht="20" customHeight="1">
      <c r="A666" s="2">
        <f>IF(B666="","",IFERROR(VLOOKUP(B666, PLANTA_BASE!A:R, 2, FALSE), "NO ENCONTRADO EN PLANTA"))</f>
        <v/>
      </c>
      <c r="B666" s="3" t="inlineStr"/>
      <c r="C666" s="4">
        <f>IF(B666="","",IFERROR(VLOOKUP(B666, PLANTA_BASE!A:R, 3, FALSE), ""))</f>
        <v/>
      </c>
      <c r="D666" s="2">
        <f>IF(B666="","",IFERROR(VLOOKUP(B666, PLANTA_BASE!A:R, 5, FALSE), "NO ENCONTRADO EN PLANTA"))</f>
        <v/>
      </c>
      <c r="E666" s="2">
        <f>IF(B666="","",IFERROR(VLOOKUP(B666, PLANTA_BASE!A:R, 6, FALSE), "NO ENCONTRADO EN PLANTA"))</f>
        <v/>
      </c>
      <c r="F666" s="4">
        <f>IF(B666="","",IFERROR(VLOOKUP(B666, PLANTA_BASE!A:R, 8, FALSE), "DOCENTE / FACILITADOR"))</f>
        <v/>
      </c>
      <c r="G666" s="4">
        <f>IF(B666="","",IFERROR(VLOOKUP(B666, PLANTA_BASE!A:R, 9, FALSE), "GENERAL"))</f>
        <v/>
      </c>
      <c r="H666" s="2">
        <f>IF(B666="","",IFERROR(VLOOKUP(B666, PLANTA_BASE!A:R, 17, FALSE), "GENERAL"))</f>
        <v/>
      </c>
    </row>
    <row r="667" ht="20" customHeight="1">
      <c r="A667" s="5">
        <f>IF(B667="","",IFERROR(VLOOKUP(B667, PLANTA_BASE!A:R, 2, FALSE), "NO ENCONTRADO EN PLANTA"))</f>
        <v/>
      </c>
      <c r="B667" s="6" t="inlineStr"/>
      <c r="C667" s="7">
        <f>IF(B667="","",IFERROR(VLOOKUP(B667, PLANTA_BASE!A:R, 3, FALSE), ""))</f>
        <v/>
      </c>
      <c r="D667" s="5">
        <f>IF(B667="","",IFERROR(VLOOKUP(B667, PLANTA_BASE!A:R, 5, FALSE), "NO ENCONTRADO EN PLANTA"))</f>
        <v/>
      </c>
      <c r="E667" s="5">
        <f>IF(B667="","",IFERROR(VLOOKUP(B667, PLANTA_BASE!A:R, 6, FALSE), "NO ENCONTRADO EN PLANTA"))</f>
        <v/>
      </c>
      <c r="F667" s="7">
        <f>IF(B667="","",IFERROR(VLOOKUP(B667, PLANTA_BASE!A:R, 8, FALSE), "DOCENTE / FACILITADOR"))</f>
        <v/>
      </c>
      <c r="G667" s="7">
        <f>IF(B667="","",IFERROR(VLOOKUP(B667, PLANTA_BASE!A:R, 9, FALSE), "GENERAL"))</f>
        <v/>
      </c>
      <c r="H667" s="5">
        <f>IF(B667="","",IFERROR(VLOOKUP(B667, PLANTA_BASE!A:R, 17, FALSE), "GENERAL"))</f>
        <v/>
      </c>
    </row>
    <row r="668" ht="20" customHeight="1">
      <c r="A668" s="2">
        <f>IF(B668="","",IFERROR(VLOOKUP(B668, PLANTA_BASE!A:R, 2, FALSE), "NO ENCONTRADO EN PLANTA"))</f>
        <v/>
      </c>
      <c r="B668" s="3" t="inlineStr"/>
      <c r="C668" s="4">
        <f>IF(B668="","",IFERROR(VLOOKUP(B668, PLANTA_BASE!A:R, 3, FALSE), ""))</f>
        <v/>
      </c>
      <c r="D668" s="2">
        <f>IF(B668="","",IFERROR(VLOOKUP(B668, PLANTA_BASE!A:R, 5, FALSE), "NO ENCONTRADO EN PLANTA"))</f>
        <v/>
      </c>
      <c r="E668" s="2">
        <f>IF(B668="","",IFERROR(VLOOKUP(B668, PLANTA_BASE!A:R, 6, FALSE), "NO ENCONTRADO EN PLANTA"))</f>
        <v/>
      </c>
      <c r="F668" s="4">
        <f>IF(B668="","",IFERROR(VLOOKUP(B668, PLANTA_BASE!A:R, 8, FALSE), "DOCENTE / FACILITADOR"))</f>
        <v/>
      </c>
      <c r="G668" s="4">
        <f>IF(B668="","",IFERROR(VLOOKUP(B668, PLANTA_BASE!A:R, 9, FALSE), "GENERAL"))</f>
        <v/>
      </c>
      <c r="H668" s="2">
        <f>IF(B668="","",IFERROR(VLOOKUP(B668, PLANTA_BASE!A:R, 17, FALSE), "GENERAL"))</f>
        <v/>
      </c>
    </row>
    <row r="669" ht="20" customHeight="1">
      <c r="A669" s="5">
        <f>IF(B669="","",IFERROR(VLOOKUP(B669, PLANTA_BASE!A:R, 2, FALSE), "NO ENCONTRADO EN PLANTA"))</f>
        <v/>
      </c>
      <c r="B669" s="6" t="inlineStr"/>
      <c r="C669" s="7">
        <f>IF(B669="","",IFERROR(VLOOKUP(B669, PLANTA_BASE!A:R, 3, FALSE), ""))</f>
        <v/>
      </c>
      <c r="D669" s="5">
        <f>IF(B669="","",IFERROR(VLOOKUP(B669, PLANTA_BASE!A:R, 5, FALSE), "NO ENCONTRADO EN PLANTA"))</f>
        <v/>
      </c>
      <c r="E669" s="5">
        <f>IF(B669="","",IFERROR(VLOOKUP(B669, PLANTA_BASE!A:R, 6, FALSE), "NO ENCONTRADO EN PLANTA"))</f>
        <v/>
      </c>
      <c r="F669" s="7">
        <f>IF(B669="","",IFERROR(VLOOKUP(B669, PLANTA_BASE!A:R, 8, FALSE), "DOCENTE / FACILITADOR"))</f>
        <v/>
      </c>
      <c r="G669" s="7">
        <f>IF(B669="","",IFERROR(VLOOKUP(B669, PLANTA_BASE!A:R, 9, FALSE), "GENERAL"))</f>
        <v/>
      </c>
      <c r="H669" s="5">
        <f>IF(B669="","",IFERROR(VLOOKUP(B669, PLANTA_BASE!A:R, 17, FALSE), "GENERAL"))</f>
        <v/>
      </c>
    </row>
    <row r="670" ht="20" customHeight="1">
      <c r="A670" s="2">
        <f>IF(B670="","",IFERROR(VLOOKUP(B670, PLANTA_BASE!A:R, 2, FALSE), "NO ENCONTRADO EN PLANTA"))</f>
        <v/>
      </c>
      <c r="B670" s="3" t="inlineStr"/>
      <c r="C670" s="4">
        <f>IF(B670="","",IFERROR(VLOOKUP(B670, PLANTA_BASE!A:R, 3, FALSE), ""))</f>
        <v/>
      </c>
      <c r="D670" s="2">
        <f>IF(B670="","",IFERROR(VLOOKUP(B670, PLANTA_BASE!A:R, 5, FALSE), "NO ENCONTRADO EN PLANTA"))</f>
        <v/>
      </c>
      <c r="E670" s="2">
        <f>IF(B670="","",IFERROR(VLOOKUP(B670, PLANTA_BASE!A:R, 6, FALSE), "NO ENCONTRADO EN PLANTA"))</f>
        <v/>
      </c>
      <c r="F670" s="4">
        <f>IF(B670="","",IFERROR(VLOOKUP(B670, PLANTA_BASE!A:R, 8, FALSE), "DOCENTE / FACILITADOR"))</f>
        <v/>
      </c>
      <c r="G670" s="4">
        <f>IF(B670="","",IFERROR(VLOOKUP(B670, PLANTA_BASE!A:R, 9, FALSE), "GENERAL"))</f>
        <v/>
      </c>
      <c r="H670" s="2">
        <f>IF(B670="","",IFERROR(VLOOKUP(B670, PLANTA_BASE!A:R, 17, FALSE), "GENERAL"))</f>
        <v/>
      </c>
    </row>
    <row r="671" ht="20" customHeight="1">
      <c r="A671" s="5">
        <f>IF(B671="","",IFERROR(VLOOKUP(B671, PLANTA_BASE!A:R, 2, FALSE), "NO ENCONTRADO EN PLANTA"))</f>
        <v/>
      </c>
      <c r="B671" s="6" t="inlineStr"/>
      <c r="C671" s="7">
        <f>IF(B671="","",IFERROR(VLOOKUP(B671, PLANTA_BASE!A:R, 3, FALSE), ""))</f>
        <v/>
      </c>
      <c r="D671" s="5">
        <f>IF(B671="","",IFERROR(VLOOKUP(B671, PLANTA_BASE!A:R, 5, FALSE), "NO ENCONTRADO EN PLANTA"))</f>
        <v/>
      </c>
      <c r="E671" s="5">
        <f>IF(B671="","",IFERROR(VLOOKUP(B671, PLANTA_BASE!A:R, 6, FALSE), "NO ENCONTRADO EN PLANTA"))</f>
        <v/>
      </c>
      <c r="F671" s="7">
        <f>IF(B671="","",IFERROR(VLOOKUP(B671, PLANTA_BASE!A:R, 8, FALSE), "DOCENTE / FACILITADOR"))</f>
        <v/>
      </c>
      <c r="G671" s="7">
        <f>IF(B671="","",IFERROR(VLOOKUP(B671, PLANTA_BASE!A:R, 9, FALSE), "GENERAL"))</f>
        <v/>
      </c>
      <c r="H671" s="5">
        <f>IF(B671="","",IFERROR(VLOOKUP(B671, PLANTA_BASE!A:R, 17, FALSE), "GENERAL"))</f>
        <v/>
      </c>
    </row>
    <row r="672" ht="20" customHeight="1">
      <c r="A672" s="2">
        <f>IF(B672="","",IFERROR(VLOOKUP(B672, PLANTA_BASE!A:R, 2, FALSE), "NO ENCONTRADO EN PLANTA"))</f>
        <v/>
      </c>
      <c r="B672" s="3" t="inlineStr"/>
      <c r="C672" s="4">
        <f>IF(B672="","",IFERROR(VLOOKUP(B672, PLANTA_BASE!A:R, 3, FALSE), ""))</f>
        <v/>
      </c>
      <c r="D672" s="2">
        <f>IF(B672="","",IFERROR(VLOOKUP(B672, PLANTA_BASE!A:R, 5, FALSE), "NO ENCONTRADO EN PLANTA"))</f>
        <v/>
      </c>
      <c r="E672" s="2">
        <f>IF(B672="","",IFERROR(VLOOKUP(B672, PLANTA_BASE!A:R, 6, FALSE), "NO ENCONTRADO EN PLANTA"))</f>
        <v/>
      </c>
      <c r="F672" s="4">
        <f>IF(B672="","",IFERROR(VLOOKUP(B672, PLANTA_BASE!A:R, 8, FALSE), "DOCENTE / FACILITADOR"))</f>
        <v/>
      </c>
      <c r="G672" s="4">
        <f>IF(B672="","",IFERROR(VLOOKUP(B672, PLANTA_BASE!A:R, 9, FALSE), "GENERAL"))</f>
        <v/>
      </c>
      <c r="H672" s="2">
        <f>IF(B672="","",IFERROR(VLOOKUP(B672, PLANTA_BASE!A:R, 17, FALSE), "GENERAL"))</f>
        <v/>
      </c>
    </row>
    <row r="673" ht="20" customHeight="1">
      <c r="A673" s="5">
        <f>IF(B673="","",IFERROR(VLOOKUP(B673, PLANTA_BASE!A:R, 2, FALSE), "NO ENCONTRADO EN PLANTA"))</f>
        <v/>
      </c>
      <c r="B673" s="6" t="inlineStr"/>
      <c r="C673" s="7">
        <f>IF(B673="","",IFERROR(VLOOKUP(B673, PLANTA_BASE!A:R, 3, FALSE), ""))</f>
        <v/>
      </c>
      <c r="D673" s="5">
        <f>IF(B673="","",IFERROR(VLOOKUP(B673, PLANTA_BASE!A:R, 5, FALSE), "NO ENCONTRADO EN PLANTA"))</f>
        <v/>
      </c>
      <c r="E673" s="5">
        <f>IF(B673="","",IFERROR(VLOOKUP(B673, PLANTA_BASE!A:R, 6, FALSE), "NO ENCONTRADO EN PLANTA"))</f>
        <v/>
      </c>
      <c r="F673" s="7">
        <f>IF(B673="","",IFERROR(VLOOKUP(B673, PLANTA_BASE!A:R, 8, FALSE), "DOCENTE / FACILITADOR"))</f>
        <v/>
      </c>
      <c r="G673" s="7">
        <f>IF(B673="","",IFERROR(VLOOKUP(B673, PLANTA_BASE!A:R, 9, FALSE), "GENERAL"))</f>
        <v/>
      </c>
      <c r="H673" s="5">
        <f>IF(B673="","",IFERROR(VLOOKUP(B673, PLANTA_BASE!A:R, 17, FALSE), "GENERAL"))</f>
        <v/>
      </c>
    </row>
    <row r="674" ht="20" customHeight="1">
      <c r="A674" s="2">
        <f>IF(B674="","",IFERROR(VLOOKUP(B674, PLANTA_BASE!A:R, 2, FALSE), "NO ENCONTRADO EN PLANTA"))</f>
        <v/>
      </c>
      <c r="B674" s="3" t="inlineStr"/>
      <c r="C674" s="4">
        <f>IF(B674="","",IFERROR(VLOOKUP(B674, PLANTA_BASE!A:R, 3, FALSE), ""))</f>
        <v/>
      </c>
      <c r="D674" s="2">
        <f>IF(B674="","",IFERROR(VLOOKUP(B674, PLANTA_BASE!A:R, 5, FALSE), "NO ENCONTRADO EN PLANTA"))</f>
        <v/>
      </c>
      <c r="E674" s="2">
        <f>IF(B674="","",IFERROR(VLOOKUP(B674, PLANTA_BASE!A:R, 6, FALSE), "NO ENCONTRADO EN PLANTA"))</f>
        <v/>
      </c>
      <c r="F674" s="4">
        <f>IF(B674="","",IFERROR(VLOOKUP(B674, PLANTA_BASE!A:R, 8, FALSE), "DOCENTE / FACILITADOR"))</f>
        <v/>
      </c>
      <c r="G674" s="4">
        <f>IF(B674="","",IFERROR(VLOOKUP(B674, PLANTA_BASE!A:R, 9, FALSE), "GENERAL"))</f>
        <v/>
      </c>
      <c r="H674" s="2">
        <f>IF(B674="","",IFERROR(VLOOKUP(B674, PLANTA_BASE!A:R, 17, FALSE), "GENERAL"))</f>
        <v/>
      </c>
    </row>
    <row r="675" ht="20" customHeight="1">
      <c r="A675" s="5">
        <f>IF(B675="","",IFERROR(VLOOKUP(B675, PLANTA_BASE!A:R, 2, FALSE), "NO ENCONTRADO EN PLANTA"))</f>
        <v/>
      </c>
      <c r="B675" s="6" t="inlineStr"/>
      <c r="C675" s="7">
        <f>IF(B675="","",IFERROR(VLOOKUP(B675, PLANTA_BASE!A:R, 3, FALSE), ""))</f>
        <v/>
      </c>
      <c r="D675" s="5">
        <f>IF(B675="","",IFERROR(VLOOKUP(B675, PLANTA_BASE!A:R, 5, FALSE), "NO ENCONTRADO EN PLANTA"))</f>
        <v/>
      </c>
      <c r="E675" s="5">
        <f>IF(B675="","",IFERROR(VLOOKUP(B675, PLANTA_BASE!A:R, 6, FALSE), "NO ENCONTRADO EN PLANTA"))</f>
        <v/>
      </c>
      <c r="F675" s="7">
        <f>IF(B675="","",IFERROR(VLOOKUP(B675, PLANTA_BASE!A:R, 8, FALSE), "DOCENTE / FACILITADOR"))</f>
        <v/>
      </c>
      <c r="G675" s="7">
        <f>IF(B675="","",IFERROR(VLOOKUP(B675, PLANTA_BASE!A:R, 9, FALSE), "GENERAL"))</f>
        <v/>
      </c>
      <c r="H675" s="5">
        <f>IF(B675="","",IFERROR(VLOOKUP(B675, PLANTA_BASE!A:R, 17, FALSE), "GENERAL"))</f>
        <v/>
      </c>
    </row>
    <row r="676" ht="20" customHeight="1">
      <c r="A676" s="2">
        <f>IF(B676="","",IFERROR(VLOOKUP(B676, PLANTA_BASE!A:R, 2, FALSE), "NO ENCONTRADO EN PLANTA"))</f>
        <v/>
      </c>
      <c r="B676" s="3" t="inlineStr"/>
      <c r="C676" s="4">
        <f>IF(B676="","",IFERROR(VLOOKUP(B676, PLANTA_BASE!A:R, 3, FALSE), ""))</f>
        <v/>
      </c>
      <c r="D676" s="2">
        <f>IF(B676="","",IFERROR(VLOOKUP(B676, PLANTA_BASE!A:R, 5, FALSE), "NO ENCONTRADO EN PLANTA"))</f>
        <v/>
      </c>
      <c r="E676" s="2">
        <f>IF(B676="","",IFERROR(VLOOKUP(B676, PLANTA_BASE!A:R, 6, FALSE), "NO ENCONTRADO EN PLANTA"))</f>
        <v/>
      </c>
      <c r="F676" s="4">
        <f>IF(B676="","",IFERROR(VLOOKUP(B676, PLANTA_BASE!A:R, 8, FALSE), "DOCENTE / FACILITADOR"))</f>
        <v/>
      </c>
      <c r="G676" s="4">
        <f>IF(B676="","",IFERROR(VLOOKUP(B676, PLANTA_BASE!A:R, 9, FALSE), "GENERAL"))</f>
        <v/>
      </c>
      <c r="H676" s="2">
        <f>IF(B676="","",IFERROR(VLOOKUP(B676, PLANTA_BASE!A:R, 17, FALSE), "GENERAL"))</f>
        <v/>
      </c>
    </row>
    <row r="677" ht="20" customHeight="1">
      <c r="A677" s="5">
        <f>IF(B677="","",IFERROR(VLOOKUP(B677, PLANTA_BASE!A:R, 2, FALSE), "NO ENCONTRADO EN PLANTA"))</f>
        <v/>
      </c>
      <c r="B677" s="6" t="inlineStr"/>
      <c r="C677" s="7">
        <f>IF(B677="","",IFERROR(VLOOKUP(B677, PLANTA_BASE!A:R, 3, FALSE), ""))</f>
        <v/>
      </c>
      <c r="D677" s="5">
        <f>IF(B677="","",IFERROR(VLOOKUP(B677, PLANTA_BASE!A:R, 5, FALSE), "NO ENCONTRADO EN PLANTA"))</f>
        <v/>
      </c>
      <c r="E677" s="5">
        <f>IF(B677="","",IFERROR(VLOOKUP(B677, PLANTA_BASE!A:R, 6, FALSE), "NO ENCONTRADO EN PLANTA"))</f>
        <v/>
      </c>
      <c r="F677" s="7">
        <f>IF(B677="","",IFERROR(VLOOKUP(B677, PLANTA_BASE!A:R, 8, FALSE), "DOCENTE / FACILITADOR"))</f>
        <v/>
      </c>
      <c r="G677" s="7">
        <f>IF(B677="","",IFERROR(VLOOKUP(B677, PLANTA_BASE!A:R, 9, FALSE), "GENERAL"))</f>
        <v/>
      </c>
      <c r="H677" s="5">
        <f>IF(B677="","",IFERROR(VLOOKUP(B677, PLANTA_BASE!A:R, 17, FALSE), "GENERAL"))</f>
        <v/>
      </c>
    </row>
    <row r="678" ht="20" customHeight="1">
      <c r="A678" s="2">
        <f>IF(B678="","",IFERROR(VLOOKUP(B678, PLANTA_BASE!A:R, 2, FALSE), "NO ENCONTRADO EN PLANTA"))</f>
        <v/>
      </c>
      <c r="B678" s="3" t="inlineStr"/>
      <c r="C678" s="4">
        <f>IF(B678="","",IFERROR(VLOOKUP(B678, PLANTA_BASE!A:R, 3, FALSE), ""))</f>
        <v/>
      </c>
      <c r="D678" s="2">
        <f>IF(B678="","",IFERROR(VLOOKUP(B678, PLANTA_BASE!A:R, 5, FALSE), "NO ENCONTRADO EN PLANTA"))</f>
        <v/>
      </c>
      <c r="E678" s="2">
        <f>IF(B678="","",IFERROR(VLOOKUP(B678, PLANTA_BASE!A:R, 6, FALSE), "NO ENCONTRADO EN PLANTA"))</f>
        <v/>
      </c>
      <c r="F678" s="4">
        <f>IF(B678="","",IFERROR(VLOOKUP(B678, PLANTA_BASE!A:R, 8, FALSE), "DOCENTE / FACILITADOR"))</f>
        <v/>
      </c>
      <c r="G678" s="4">
        <f>IF(B678="","",IFERROR(VLOOKUP(B678, PLANTA_BASE!A:R, 9, FALSE), "GENERAL"))</f>
        <v/>
      </c>
      <c r="H678" s="2">
        <f>IF(B678="","",IFERROR(VLOOKUP(B678, PLANTA_BASE!A:R, 17, FALSE), "GENERAL"))</f>
        <v/>
      </c>
    </row>
    <row r="679" ht="20" customHeight="1">
      <c r="A679" s="5">
        <f>IF(B679="","",IFERROR(VLOOKUP(B679, PLANTA_BASE!A:R, 2, FALSE), "NO ENCONTRADO EN PLANTA"))</f>
        <v/>
      </c>
      <c r="B679" s="6" t="inlineStr"/>
      <c r="C679" s="7">
        <f>IF(B679="","",IFERROR(VLOOKUP(B679, PLANTA_BASE!A:R, 3, FALSE), ""))</f>
        <v/>
      </c>
      <c r="D679" s="5">
        <f>IF(B679="","",IFERROR(VLOOKUP(B679, PLANTA_BASE!A:R, 5, FALSE), "NO ENCONTRADO EN PLANTA"))</f>
        <v/>
      </c>
      <c r="E679" s="5">
        <f>IF(B679="","",IFERROR(VLOOKUP(B679, PLANTA_BASE!A:R, 6, FALSE), "NO ENCONTRADO EN PLANTA"))</f>
        <v/>
      </c>
      <c r="F679" s="7">
        <f>IF(B679="","",IFERROR(VLOOKUP(B679, PLANTA_BASE!A:R, 8, FALSE), "DOCENTE / FACILITADOR"))</f>
        <v/>
      </c>
      <c r="G679" s="7">
        <f>IF(B679="","",IFERROR(VLOOKUP(B679, PLANTA_BASE!A:R, 9, FALSE), "GENERAL"))</f>
        <v/>
      </c>
      <c r="H679" s="5">
        <f>IF(B679="","",IFERROR(VLOOKUP(B679, PLANTA_BASE!A:R, 17, FALSE), "GENERAL"))</f>
        <v/>
      </c>
    </row>
    <row r="680" ht="20" customHeight="1">
      <c r="A680" s="2">
        <f>IF(B680="","",IFERROR(VLOOKUP(B680, PLANTA_BASE!A:R, 2, FALSE), "NO ENCONTRADO EN PLANTA"))</f>
        <v/>
      </c>
      <c r="B680" s="3" t="inlineStr"/>
      <c r="C680" s="4">
        <f>IF(B680="","",IFERROR(VLOOKUP(B680, PLANTA_BASE!A:R, 3, FALSE), ""))</f>
        <v/>
      </c>
      <c r="D680" s="2">
        <f>IF(B680="","",IFERROR(VLOOKUP(B680, PLANTA_BASE!A:R, 5, FALSE), "NO ENCONTRADO EN PLANTA"))</f>
        <v/>
      </c>
      <c r="E680" s="2">
        <f>IF(B680="","",IFERROR(VLOOKUP(B680, PLANTA_BASE!A:R, 6, FALSE), "NO ENCONTRADO EN PLANTA"))</f>
        <v/>
      </c>
      <c r="F680" s="4">
        <f>IF(B680="","",IFERROR(VLOOKUP(B680, PLANTA_BASE!A:R, 8, FALSE), "DOCENTE / FACILITADOR"))</f>
        <v/>
      </c>
      <c r="G680" s="4">
        <f>IF(B680="","",IFERROR(VLOOKUP(B680, PLANTA_BASE!A:R, 9, FALSE), "GENERAL"))</f>
        <v/>
      </c>
      <c r="H680" s="2">
        <f>IF(B680="","",IFERROR(VLOOKUP(B680, PLANTA_BASE!A:R, 17, FALSE), "GENERAL"))</f>
        <v/>
      </c>
    </row>
    <row r="681" ht="20" customHeight="1">
      <c r="A681" s="5">
        <f>IF(B681="","",IFERROR(VLOOKUP(B681, PLANTA_BASE!A:R, 2, FALSE), "NO ENCONTRADO EN PLANTA"))</f>
        <v/>
      </c>
      <c r="B681" s="6" t="inlineStr"/>
      <c r="C681" s="7">
        <f>IF(B681="","",IFERROR(VLOOKUP(B681, PLANTA_BASE!A:R, 3, FALSE), ""))</f>
        <v/>
      </c>
      <c r="D681" s="5">
        <f>IF(B681="","",IFERROR(VLOOKUP(B681, PLANTA_BASE!A:R, 5, FALSE), "NO ENCONTRADO EN PLANTA"))</f>
        <v/>
      </c>
      <c r="E681" s="5">
        <f>IF(B681="","",IFERROR(VLOOKUP(B681, PLANTA_BASE!A:R, 6, FALSE), "NO ENCONTRADO EN PLANTA"))</f>
        <v/>
      </c>
      <c r="F681" s="7">
        <f>IF(B681="","",IFERROR(VLOOKUP(B681, PLANTA_BASE!A:R, 8, FALSE), "DOCENTE / FACILITADOR"))</f>
        <v/>
      </c>
      <c r="G681" s="7">
        <f>IF(B681="","",IFERROR(VLOOKUP(B681, PLANTA_BASE!A:R, 9, FALSE), "GENERAL"))</f>
        <v/>
      </c>
      <c r="H681" s="5">
        <f>IF(B681="","",IFERROR(VLOOKUP(B681, PLANTA_BASE!A:R, 17, FALSE), "GENERAL"))</f>
        <v/>
      </c>
    </row>
    <row r="682" ht="20" customHeight="1">
      <c r="A682" s="2">
        <f>IF(B682="","",IFERROR(VLOOKUP(B682, PLANTA_BASE!A:R, 2, FALSE), "NO ENCONTRADO EN PLANTA"))</f>
        <v/>
      </c>
      <c r="B682" s="3" t="inlineStr"/>
      <c r="C682" s="4">
        <f>IF(B682="","",IFERROR(VLOOKUP(B682, PLANTA_BASE!A:R, 3, FALSE), ""))</f>
        <v/>
      </c>
      <c r="D682" s="2">
        <f>IF(B682="","",IFERROR(VLOOKUP(B682, PLANTA_BASE!A:R, 5, FALSE), "NO ENCONTRADO EN PLANTA"))</f>
        <v/>
      </c>
      <c r="E682" s="2">
        <f>IF(B682="","",IFERROR(VLOOKUP(B682, PLANTA_BASE!A:R, 6, FALSE), "NO ENCONTRADO EN PLANTA"))</f>
        <v/>
      </c>
      <c r="F682" s="4">
        <f>IF(B682="","",IFERROR(VLOOKUP(B682, PLANTA_BASE!A:R, 8, FALSE), "DOCENTE / FACILITADOR"))</f>
        <v/>
      </c>
      <c r="G682" s="4">
        <f>IF(B682="","",IFERROR(VLOOKUP(B682, PLANTA_BASE!A:R, 9, FALSE), "GENERAL"))</f>
        <v/>
      </c>
      <c r="H682" s="2">
        <f>IF(B682="","",IFERROR(VLOOKUP(B682, PLANTA_BASE!A:R, 17, FALSE), "GENERAL"))</f>
        <v/>
      </c>
    </row>
    <row r="683" ht="20" customHeight="1">
      <c r="A683" s="5">
        <f>IF(B683="","",IFERROR(VLOOKUP(B683, PLANTA_BASE!A:R, 2, FALSE), "NO ENCONTRADO EN PLANTA"))</f>
        <v/>
      </c>
      <c r="B683" s="6" t="inlineStr"/>
      <c r="C683" s="7">
        <f>IF(B683="","",IFERROR(VLOOKUP(B683, PLANTA_BASE!A:R, 3, FALSE), ""))</f>
        <v/>
      </c>
      <c r="D683" s="5">
        <f>IF(B683="","",IFERROR(VLOOKUP(B683, PLANTA_BASE!A:R, 5, FALSE), "NO ENCONTRADO EN PLANTA"))</f>
        <v/>
      </c>
      <c r="E683" s="5">
        <f>IF(B683="","",IFERROR(VLOOKUP(B683, PLANTA_BASE!A:R, 6, FALSE), "NO ENCONTRADO EN PLANTA"))</f>
        <v/>
      </c>
      <c r="F683" s="7">
        <f>IF(B683="","",IFERROR(VLOOKUP(B683, PLANTA_BASE!A:R, 8, FALSE), "DOCENTE / FACILITADOR"))</f>
        <v/>
      </c>
      <c r="G683" s="7">
        <f>IF(B683="","",IFERROR(VLOOKUP(B683, PLANTA_BASE!A:R, 9, FALSE), "GENERAL"))</f>
        <v/>
      </c>
      <c r="H683" s="5">
        <f>IF(B683="","",IFERROR(VLOOKUP(B683, PLANTA_BASE!A:R, 17, FALSE), "GENERAL"))</f>
        <v/>
      </c>
    </row>
    <row r="684" ht="20" customHeight="1">
      <c r="A684" s="2">
        <f>IF(B684="","",IFERROR(VLOOKUP(B684, PLANTA_BASE!A:R, 2, FALSE), "NO ENCONTRADO EN PLANTA"))</f>
        <v/>
      </c>
      <c r="B684" s="3" t="inlineStr"/>
      <c r="C684" s="4">
        <f>IF(B684="","",IFERROR(VLOOKUP(B684, PLANTA_BASE!A:R, 3, FALSE), ""))</f>
        <v/>
      </c>
      <c r="D684" s="2">
        <f>IF(B684="","",IFERROR(VLOOKUP(B684, PLANTA_BASE!A:R, 5, FALSE), "NO ENCONTRADO EN PLANTA"))</f>
        <v/>
      </c>
      <c r="E684" s="2">
        <f>IF(B684="","",IFERROR(VLOOKUP(B684, PLANTA_BASE!A:R, 6, FALSE), "NO ENCONTRADO EN PLANTA"))</f>
        <v/>
      </c>
      <c r="F684" s="4">
        <f>IF(B684="","",IFERROR(VLOOKUP(B684, PLANTA_BASE!A:R, 8, FALSE), "DOCENTE / FACILITADOR"))</f>
        <v/>
      </c>
      <c r="G684" s="4">
        <f>IF(B684="","",IFERROR(VLOOKUP(B684, PLANTA_BASE!A:R, 9, FALSE), "GENERAL"))</f>
        <v/>
      </c>
      <c r="H684" s="2">
        <f>IF(B684="","",IFERROR(VLOOKUP(B684, PLANTA_BASE!A:R, 17, FALSE), "GENERAL"))</f>
        <v/>
      </c>
    </row>
    <row r="685" ht="20" customHeight="1">
      <c r="A685" s="5">
        <f>IF(B685="","",IFERROR(VLOOKUP(B685, PLANTA_BASE!A:R, 2, FALSE), "NO ENCONTRADO EN PLANTA"))</f>
        <v/>
      </c>
      <c r="B685" s="6" t="inlineStr"/>
      <c r="C685" s="7">
        <f>IF(B685="","",IFERROR(VLOOKUP(B685, PLANTA_BASE!A:R, 3, FALSE), ""))</f>
        <v/>
      </c>
      <c r="D685" s="5">
        <f>IF(B685="","",IFERROR(VLOOKUP(B685, PLANTA_BASE!A:R, 5, FALSE), "NO ENCONTRADO EN PLANTA"))</f>
        <v/>
      </c>
      <c r="E685" s="5">
        <f>IF(B685="","",IFERROR(VLOOKUP(B685, PLANTA_BASE!A:R, 6, FALSE), "NO ENCONTRADO EN PLANTA"))</f>
        <v/>
      </c>
      <c r="F685" s="7">
        <f>IF(B685="","",IFERROR(VLOOKUP(B685, PLANTA_BASE!A:R, 8, FALSE), "DOCENTE / FACILITADOR"))</f>
        <v/>
      </c>
      <c r="G685" s="7">
        <f>IF(B685="","",IFERROR(VLOOKUP(B685, PLANTA_BASE!A:R, 9, FALSE), "GENERAL"))</f>
        <v/>
      </c>
      <c r="H685" s="5">
        <f>IF(B685="","",IFERROR(VLOOKUP(B685, PLANTA_BASE!A:R, 17, FALSE), "GENERAL"))</f>
        <v/>
      </c>
    </row>
    <row r="686" ht="20" customHeight="1">
      <c r="A686" s="2">
        <f>IF(B686="","",IFERROR(VLOOKUP(B686, PLANTA_BASE!A:R, 2, FALSE), "NO ENCONTRADO EN PLANTA"))</f>
        <v/>
      </c>
      <c r="B686" s="3" t="inlineStr"/>
      <c r="C686" s="4">
        <f>IF(B686="","",IFERROR(VLOOKUP(B686, PLANTA_BASE!A:R, 3, FALSE), ""))</f>
        <v/>
      </c>
      <c r="D686" s="2">
        <f>IF(B686="","",IFERROR(VLOOKUP(B686, PLANTA_BASE!A:R, 5, FALSE), "NO ENCONTRADO EN PLANTA"))</f>
        <v/>
      </c>
      <c r="E686" s="2">
        <f>IF(B686="","",IFERROR(VLOOKUP(B686, PLANTA_BASE!A:R, 6, FALSE), "NO ENCONTRADO EN PLANTA"))</f>
        <v/>
      </c>
      <c r="F686" s="4">
        <f>IF(B686="","",IFERROR(VLOOKUP(B686, PLANTA_BASE!A:R, 8, FALSE), "DOCENTE / FACILITADOR"))</f>
        <v/>
      </c>
      <c r="G686" s="4">
        <f>IF(B686="","",IFERROR(VLOOKUP(B686, PLANTA_BASE!A:R, 9, FALSE), "GENERAL"))</f>
        <v/>
      </c>
      <c r="H686" s="2">
        <f>IF(B686="","",IFERROR(VLOOKUP(B686, PLANTA_BASE!A:R, 17, FALSE), "GENERAL"))</f>
        <v/>
      </c>
    </row>
    <row r="687" ht="20" customHeight="1">
      <c r="A687" s="5">
        <f>IF(B687="","",IFERROR(VLOOKUP(B687, PLANTA_BASE!A:R, 2, FALSE), "NO ENCONTRADO EN PLANTA"))</f>
        <v/>
      </c>
      <c r="B687" s="6" t="inlineStr"/>
      <c r="C687" s="7">
        <f>IF(B687="","",IFERROR(VLOOKUP(B687, PLANTA_BASE!A:R, 3, FALSE), ""))</f>
        <v/>
      </c>
      <c r="D687" s="5">
        <f>IF(B687="","",IFERROR(VLOOKUP(B687, PLANTA_BASE!A:R, 5, FALSE), "NO ENCONTRADO EN PLANTA"))</f>
        <v/>
      </c>
      <c r="E687" s="5">
        <f>IF(B687="","",IFERROR(VLOOKUP(B687, PLANTA_BASE!A:R, 6, FALSE), "NO ENCONTRADO EN PLANTA"))</f>
        <v/>
      </c>
      <c r="F687" s="7">
        <f>IF(B687="","",IFERROR(VLOOKUP(B687, PLANTA_BASE!A:R, 8, FALSE), "DOCENTE / FACILITADOR"))</f>
        <v/>
      </c>
      <c r="G687" s="7">
        <f>IF(B687="","",IFERROR(VLOOKUP(B687, PLANTA_BASE!A:R, 9, FALSE), "GENERAL"))</f>
        <v/>
      </c>
      <c r="H687" s="5">
        <f>IF(B687="","",IFERROR(VLOOKUP(B687, PLANTA_BASE!A:R, 17, FALSE), "GENERAL"))</f>
        <v/>
      </c>
    </row>
    <row r="688" ht="20" customHeight="1">
      <c r="A688" s="2">
        <f>IF(B688="","",IFERROR(VLOOKUP(B688, PLANTA_BASE!A:R, 2, FALSE), "NO ENCONTRADO EN PLANTA"))</f>
        <v/>
      </c>
      <c r="B688" s="3" t="inlineStr"/>
      <c r="C688" s="4">
        <f>IF(B688="","",IFERROR(VLOOKUP(B688, PLANTA_BASE!A:R, 3, FALSE), ""))</f>
        <v/>
      </c>
      <c r="D688" s="2">
        <f>IF(B688="","",IFERROR(VLOOKUP(B688, PLANTA_BASE!A:R, 5, FALSE), "NO ENCONTRADO EN PLANTA"))</f>
        <v/>
      </c>
      <c r="E688" s="2">
        <f>IF(B688="","",IFERROR(VLOOKUP(B688, PLANTA_BASE!A:R, 6, FALSE), "NO ENCONTRADO EN PLANTA"))</f>
        <v/>
      </c>
      <c r="F688" s="4">
        <f>IF(B688="","",IFERROR(VLOOKUP(B688, PLANTA_BASE!A:R, 8, FALSE), "DOCENTE / FACILITADOR"))</f>
        <v/>
      </c>
      <c r="G688" s="4">
        <f>IF(B688="","",IFERROR(VLOOKUP(B688, PLANTA_BASE!A:R, 9, FALSE), "GENERAL"))</f>
        <v/>
      </c>
      <c r="H688" s="2">
        <f>IF(B688="","",IFERROR(VLOOKUP(B688, PLANTA_BASE!A:R, 17, FALSE), "GENERAL"))</f>
        <v/>
      </c>
    </row>
    <row r="689" ht="20" customHeight="1">
      <c r="A689" s="5">
        <f>IF(B689="","",IFERROR(VLOOKUP(B689, PLANTA_BASE!A:R, 2, FALSE), "NO ENCONTRADO EN PLANTA"))</f>
        <v/>
      </c>
      <c r="B689" s="6" t="inlineStr"/>
      <c r="C689" s="7">
        <f>IF(B689="","",IFERROR(VLOOKUP(B689, PLANTA_BASE!A:R, 3, FALSE), ""))</f>
        <v/>
      </c>
      <c r="D689" s="5">
        <f>IF(B689="","",IFERROR(VLOOKUP(B689, PLANTA_BASE!A:R, 5, FALSE), "NO ENCONTRADO EN PLANTA"))</f>
        <v/>
      </c>
      <c r="E689" s="5">
        <f>IF(B689="","",IFERROR(VLOOKUP(B689, PLANTA_BASE!A:R, 6, FALSE), "NO ENCONTRADO EN PLANTA"))</f>
        <v/>
      </c>
      <c r="F689" s="7">
        <f>IF(B689="","",IFERROR(VLOOKUP(B689, PLANTA_BASE!A:R, 8, FALSE), "DOCENTE / FACILITADOR"))</f>
        <v/>
      </c>
      <c r="G689" s="7">
        <f>IF(B689="","",IFERROR(VLOOKUP(B689, PLANTA_BASE!A:R, 9, FALSE), "GENERAL"))</f>
        <v/>
      </c>
      <c r="H689" s="5">
        <f>IF(B689="","",IFERROR(VLOOKUP(B689, PLANTA_BASE!A:R, 17, FALSE), "GENERAL"))</f>
        <v/>
      </c>
    </row>
    <row r="690" ht="20" customHeight="1">
      <c r="A690" s="2">
        <f>IF(B690="","",IFERROR(VLOOKUP(B690, PLANTA_BASE!A:R, 2, FALSE), "NO ENCONTRADO EN PLANTA"))</f>
        <v/>
      </c>
      <c r="B690" s="3" t="inlineStr"/>
      <c r="C690" s="4">
        <f>IF(B690="","",IFERROR(VLOOKUP(B690, PLANTA_BASE!A:R, 3, FALSE), ""))</f>
        <v/>
      </c>
      <c r="D690" s="2">
        <f>IF(B690="","",IFERROR(VLOOKUP(B690, PLANTA_BASE!A:R, 5, FALSE), "NO ENCONTRADO EN PLANTA"))</f>
        <v/>
      </c>
      <c r="E690" s="2">
        <f>IF(B690="","",IFERROR(VLOOKUP(B690, PLANTA_BASE!A:R, 6, FALSE), "NO ENCONTRADO EN PLANTA"))</f>
        <v/>
      </c>
      <c r="F690" s="4">
        <f>IF(B690="","",IFERROR(VLOOKUP(B690, PLANTA_BASE!A:R, 8, FALSE), "DOCENTE / FACILITADOR"))</f>
        <v/>
      </c>
      <c r="G690" s="4">
        <f>IF(B690="","",IFERROR(VLOOKUP(B690, PLANTA_BASE!A:R, 9, FALSE), "GENERAL"))</f>
        <v/>
      </c>
      <c r="H690" s="2">
        <f>IF(B690="","",IFERROR(VLOOKUP(B690, PLANTA_BASE!A:R, 17, FALSE), "GENERAL"))</f>
        <v/>
      </c>
    </row>
    <row r="691" ht="20" customHeight="1">
      <c r="A691" s="5">
        <f>IF(B691="","",IFERROR(VLOOKUP(B691, PLANTA_BASE!A:R, 2, FALSE), "NO ENCONTRADO EN PLANTA"))</f>
        <v/>
      </c>
      <c r="B691" s="6" t="inlineStr"/>
      <c r="C691" s="7">
        <f>IF(B691="","",IFERROR(VLOOKUP(B691, PLANTA_BASE!A:R, 3, FALSE), ""))</f>
        <v/>
      </c>
      <c r="D691" s="5">
        <f>IF(B691="","",IFERROR(VLOOKUP(B691, PLANTA_BASE!A:R, 5, FALSE), "NO ENCONTRADO EN PLANTA"))</f>
        <v/>
      </c>
      <c r="E691" s="5">
        <f>IF(B691="","",IFERROR(VLOOKUP(B691, PLANTA_BASE!A:R, 6, FALSE), "NO ENCONTRADO EN PLANTA"))</f>
        <v/>
      </c>
      <c r="F691" s="7">
        <f>IF(B691="","",IFERROR(VLOOKUP(B691, PLANTA_BASE!A:R, 8, FALSE), "DOCENTE / FACILITADOR"))</f>
        <v/>
      </c>
      <c r="G691" s="7">
        <f>IF(B691="","",IFERROR(VLOOKUP(B691, PLANTA_BASE!A:R, 9, FALSE), "GENERAL"))</f>
        <v/>
      </c>
      <c r="H691" s="5">
        <f>IF(B691="","",IFERROR(VLOOKUP(B691, PLANTA_BASE!A:R, 17, FALSE), "GENERAL"))</f>
        <v/>
      </c>
    </row>
    <row r="692" ht="20" customHeight="1">
      <c r="A692" s="2">
        <f>IF(B692="","",IFERROR(VLOOKUP(B692, PLANTA_BASE!A:R, 2, FALSE), "NO ENCONTRADO EN PLANTA"))</f>
        <v/>
      </c>
      <c r="B692" s="3" t="inlineStr"/>
      <c r="C692" s="4">
        <f>IF(B692="","",IFERROR(VLOOKUP(B692, PLANTA_BASE!A:R, 3, FALSE), ""))</f>
        <v/>
      </c>
      <c r="D692" s="2">
        <f>IF(B692="","",IFERROR(VLOOKUP(B692, PLANTA_BASE!A:R, 5, FALSE), "NO ENCONTRADO EN PLANTA"))</f>
        <v/>
      </c>
      <c r="E692" s="2">
        <f>IF(B692="","",IFERROR(VLOOKUP(B692, PLANTA_BASE!A:R, 6, FALSE), "NO ENCONTRADO EN PLANTA"))</f>
        <v/>
      </c>
      <c r="F692" s="4">
        <f>IF(B692="","",IFERROR(VLOOKUP(B692, PLANTA_BASE!A:R, 8, FALSE), "DOCENTE / FACILITADOR"))</f>
        <v/>
      </c>
      <c r="G692" s="4">
        <f>IF(B692="","",IFERROR(VLOOKUP(B692, PLANTA_BASE!A:R, 9, FALSE), "GENERAL"))</f>
        <v/>
      </c>
      <c r="H692" s="2">
        <f>IF(B692="","",IFERROR(VLOOKUP(B692, PLANTA_BASE!A:R, 17, FALSE), "GENERAL"))</f>
        <v/>
      </c>
    </row>
    <row r="693" ht="20" customHeight="1">
      <c r="A693" s="5">
        <f>IF(B693="","",IFERROR(VLOOKUP(B693, PLANTA_BASE!A:R, 2, FALSE), "NO ENCONTRADO EN PLANTA"))</f>
        <v/>
      </c>
      <c r="B693" s="6" t="inlineStr"/>
      <c r="C693" s="7">
        <f>IF(B693="","",IFERROR(VLOOKUP(B693, PLANTA_BASE!A:R, 3, FALSE), ""))</f>
        <v/>
      </c>
      <c r="D693" s="5">
        <f>IF(B693="","",IFERROR(VLOOKUP(B693, PLANTA_BASE!A:R, 5, FALSE), "NO ENCONTRADO EN PLANTA"))</f>
        <v/>
      </c>
      <c r="E693" s="5">
        <f>IF(B693="","",IFERROR(VLOOKUP(B693, PLANTA_BASE!A:R, 6, FALSE), "NO ENCONTRADO EN PLANTA"))</f>
        <v/>
      </c>
      <c r="F693" s="7">
        <f>IF(B693="","",IFERROR(VLOOKUP(B693, PLANTA_BASE!A:R, 8, FALSE), "DOCENTE / FACILITADOR"))</f>
        <v/>
      </c>
      <c r="G693" s="7">
        <f>IF(B693="","",IFERROR(VLOOKUP(B693, PLANTA_BASE!A:R, 9, FALSE), "GENERAL"))</f>
        <v/>
      </c>
      <c r="H693" s="5">
        <f>IF(B693="","",IFERROR(VLOOKUP(B693, PLANTA_BASE!A:R, 17, FALSE), "GENERAL"))</f>
        <v/>
      </c>
    </row>
    <row r="694" ht="20" customHeight="1">
      <c r="A694" s="2">
        <f>IF(B694="","",IFERROR(VLOOKUP(B694, PLANTA_BASE!A:R, 2, FALSE), "NO ENCONTRADO EN PLANTA"))</f>
        <v/>
      </c>
      <c r="B694" s="3" t="inlineStr"/>
      <c r="C694" s="4">
        <f>IF(B694="","",IFERROR(VLOOKUP(B694, PLANTA_BASE!A:R, 3, FALSE), ""))</f>
        <v/>
      </c>
      <c r="D694" s="2">
        <f>IF(B694="","",IFERROR(VLOOKUP(B694, PLANTA_BASE!A:R, 5, FALSE), "NO ENCONTRADO EN PLANTA"))</f>
        <v/>
      </c>
      <c r="E694" s="2">
        <f>IF(B694="","",IFERROR(VLOOKUP(B694, PLANTA_BASE!A:R, 6, FALSE), "NO ENCONTRADO EN PLANTA"))</f>
        <v/>
      </c>
      <c r="F694" s="4">
        <f>IF(B694="","",IFERROR(VLOOKUP(B694, PLANTA_BASE!A:R, 8, FALSE), "DOCENTE / FACILITADOR"))</f>
        <v/>
      </c>
      <c r="G694" s="4">
        <f>IF(B694="","",IFERROR(VLOOKUP(B694, PLANTA_BASE!A:R, 9, FALSE), "GENERAL"))</f>
        <v/>
      </c>
      <c r="H694" s="2">
        <f>IF(B694="","",IFERROR(VLOOKUP(B694, PLANTA_BASE!A:R, 17, FALSE), "GENERAL"))</f>
        <v/>
      </c>
    </row>
    <row r="695" ht="20" customHeight="1">
      <c r="A695" s="5">
        <f>IF(B695="","",IFERROR(VLOOKUP(B695, PLANTA_BASE!A:R, 2, FALSE), "NO ENCONTRADO EN PLANTA"))</f>
        <v/>
      </c>
      <c r="B695" s="6" t="inlineStr"/>
      <c r="C695" s="7">
        <f>IF(B695="","",IFERROR(VLOOKUP(B695, PLANTA_BASE!A:R, 3, FALSE), ""))</f>
        <v/>
      </c>
      <c r="D695" s="5">
        <f>IF(B695="","",IFERROR(VLOOKUP(B695, PLANTA_BASE!A:R, 5, FALSE), "NO ENCONTRADO EN PLANTA"))</f>
        <v/>
      </c>
      <c r="E695" s="5">
        <f>IF(B695="","",IFERROR(VLOOKUP(B695, PLANTA_BASE!A:R, 6, FALSE), "NO ENCONTRADO EN PLANTA"))</f>
        <v/>
      </c>
      <c r="F695" s="7">
        <f>IF(B695="","",IFERROR(VLOOKUP(B695, PLANTA_BASE!A:R, 8, FALSE), "DOCENTE / FACILITADOR"))</f>
        <v/>
      </c>
      <c r="G695" s="7">
        <f>IF(B695="","",IFERROR(VLOOKUP(B695, PLANTA_BASE!A:R, 9, FALSE), "GENERAL"))</f>
        <v/>
      </c>
      <c r="H695" s="5">
        <f>IF(B695="","",IFERROR(VLOOKUP(B695, PLANTA_BASE!A:R, 17, FALSE), "GENERAL"))</f>
        <v/>
      </c>
    </row>
    <row r="696" ht="20" customHeight="1">
      <c r="A696" s="2">
        <f>IF(B696="","",IFERROR(VLOOKUP(B696, PLANTA_BASE!A:R, 2, FALSE), "NO ENCONTRADO EN PLANTA"))</f>
        <v/>
      </c>
      <c r="B696" s="3" t="inlineStr"/>
      <c r="C696" s="4">
        <f>IF(B696="","",IFERROR(VLOOKUP(B696, PLANTA_BASE!A:R, 3, FALSE), ""))</f>
        <v/>
      </c>
      <c r="D696" s="2">
        <f>IF(B696="","",IFERROR(VLOOKUP(B696, PLANTA_BASE!A:R, 5, FALSE), "NO ENCONTRADO EN PLANTA"))</f>
        <v/>
      </c>
      <c r="E696" s="2">
        <f>IF(B696="","",IFERROR(VLOOKUP(B696, PLANTA_BASE!A:R, 6, FALSE), "NO ENCONTRADO EN PLANTA"))</f>
        <v/>
      </c>
      <c r="F696" s="4">
        <f>IF(B696="","",IFERROR(VLOOKUP(B696, PLANTA_BASE!A:R, 8, FALSE), "DOCENTE / FACILITADOR"))</f>
        <v/>
      </c>
      <c r="G696" s="4">
        <f>IF(B696="","",IFERROR(VLOOKUP(B696, PLANTA_BASE!A:R, 9, FALSE), "GENERAL"))</f>
        <v/>
      </c>
      <c r="H696" s="2">
        <f>IF(B696="","",IFERROR(VLOOKUP(B696, PLANTA_BASE!A:R, 17, FALSE), "GENERAL"))</f>
        <v/>
      </c>
    </row>
    <row r="697" ht="20" customHeight="1">
      <c r="A697" s="5">
        <f>IF(B697="","",IFERROR(VLOOKUP(B697, PLANTA_BASE!A:R, 2, FALSE), "NO ENCONTRADO EN PLANTA"))</f>
        <v/>
      </c>
      <c r="B697" s="6" t="inlineStr"/>
      <c r="C697" s="7">
        <f>IF(B697="","",IFERROR(VLOOKUP(B697, PLANTA_BASE!A:R, 3, FALSE), ""))</f>
        <v/>
      </c>
      <c r="D697" s="5">
        <f>IF(B697="","",IFERROR(VLOOKUP(B697, PLANTA_BASE!A:R, 5, FALSE), "NO ENCONTRADO EN PLANTA"))</f>
        <v/>
      </c>
      <c r="E697" s="5">
        <f>IF(B697="","",IFERROR(VLOOKUP(B697, PLANTA_BASE!A:R, 6, FALSE), "NO ENCONTRADO EN PLANTA"))</f>
        <v/>
      </c>
      <c r="F697" s="7">
        <f>IF(B697="","",IFERROR(VLOOKUP(B697, PLANTA_BASE!A:R, 8, FALSE), "DOCENTE / FACILITADOR"))</f>
        <v/>
      </c>
      <c r="G697" s="7">
        <f>IF(B697="","",IFERROR(VLOOKUP(B697, PLANTA_BASE!A:R, 9, FALSE), "GENERAL"))</f>
        <v/>
      </c>
      <c r="H697" s="5">
        <f>IF(B697="","",IFERROR(VLOOKUP(B697, PLANTA_BASE!A:R, 17, FALSE), "GENERAL"))</f>
        <v/>
      </c>
    </row>
    <row r="698" ht="20" customHeight="1">
      <c r="A698" s="2">
        <f>IF(B698="","",IFERROR(VLOOKUP(B698, PLANTA_BASE!A:R, 2, FALSE), "NO ENCONTRADO EN PLANTA"))</f>
        <v/>
      </c>
      <c r="B698" s="3" t="inlineStr"/>
      <c r="C698" s="4">
        <f>IF(B698="","",IFERROR(VLOOKUP(B698, PLANTA_BASE!A:R, 3, FALSE), ""))</f>
        <v/>
      </c>
      <c r="D698" s="2">
        <f>IF(B698="","",IFERROR(VLOOKUP(B698, PLANTA_BASE!A:R, 5, FALSE), "NO ENCONTRADO EN PLANTA"))</f>
        <v/>
      </c>
      <c r="E698" s="2">
        <f>IF(B698="","",IFERROR(VLOOKUP(B698, PLANTA_BASE!A:R, 6, FALSE), "NO ENCONTRADO EN PLANTA"))</f>
        <v/>
      </c>
      <c r="F698" s="4">
        <f>IF(B698="","",IFERROR(VLOOKUP(B698, PLANTA_BASE!A:R, 8, FALSE), "DOCENTE / FACILITADOR"))</f>
        <v/>
      </c>
      <c r="G698" s="4">
        <f>IF(B698="","",IFERROR(VLOOKUP(B698, PLANTA_BASE!A:R, 9, FALSE), "GENERAL"))</f>
        <v/>
      </c>
      <c r="H698" s="2">
        <f>IF(B698="","",IFERROR(VLOOKUP(B698, PLANTA_BASE!A:R, 17, FALSE), "GENERAL"))</f>
        <v/>
      </c>
    </row>
    <row r="699" ht="20" customHeight="1">
      <c r="A699" s="5">
        <f>IF(B699="","",IFERROR(VLOOKUP(B699, PLANTA_BASE!A:R, 2, FALSE), "NO ENCONTRADO EN PLANTA"))</f>
        <v/>
      </c>
      <c r="B699" s="6" t="inlineStr"/>
      <c r="C699" s="7">
        <f>IF(B699="","",IFERROR(VLOOKUP(B699, PLANTA_BASE!A:R, 3, FALSE), ""))</f>
        <v/>
      </c>
      <c r="D699" s="5">
        <f>IF(B699="","",IFERROR(VLOOKUP(B699, PLANTA_BASE!A:R, 5, FALSE), "NO ENCONTRADO EN PLANTA"))</f>
        <v/>
      </c>
      <c r="E699" s="5">
        <f>IF(B699="","",IFERROR(VLOOKUP(B699, PLANTA_BASE!A:R, 6, FALSE), "NO ENCONTRADO EN PLANTA"))</f>
        <v/>
      </c>
      <c r="F699" s="7">
        <f>IF(B699="","",IFERROR(VLOOKUP(B699, PLANTA_BASE!A:R, 8, FALSE), "DOCENTE / FACILITADOR"))</f>
        <v/>
      </c>
      <c r="G699" s="7">
        <f>IF(B699="","",IFERROR(VLOOKUP(B699, PLANTA_BASE!A:R, 9, FALSE), "GENERAL"))</f>
        <v/>
      </c>
      <c r="H699" s="5">
        <f>IF(B699="","",IFERROR(VLOOKUP(B699, PLANTA_BASE!A:R, 17, FALSE), "GENERAL"))</f>
        <v/>
      </c>
    </row>
    <row r="700" ht="20" customHeight="1">
      <c r="A700" s="2">
        <f>IF(B700="","",IFERROR(VLOOKUP(B700, PLANTA_BASE!A:R, 2, FALSE), "NO ENCONTRADO EN PLANTA"))</f>
        <v/>
      </c>
      <c r="B700" s="3" t="inlineStr"/>
      <c r="C700" s="4">
        <f>IF(B700="","",IFERROR(VLOOKUP(B700, PLANTA_BASE!A:R, 3, FALSE), ""))</f>
        <v/>
      </c>
      <c r="D700" s="2">
        <f>IF(B700="","",IFERROR(VLOOKUP(B700, PLANTA_BASE!A:R, 5, FALSE), "NO ENCONTRADO EN PLANTA"))</f>
        <v/>
      </c>
      <c r="E700" s="2">
        <f>IF(B700="","",IFERROR(VLOOKUP(B700, PLANTA_BASE!A:R, 6, FALSE), "NO ENCONTRADO EN PLANTA"))</f>
        <v/>
      </c>
      <c r="F700" s="4">
        <f>IF(B700="","",IFERROR(VLOOKUP(B700, PLANTA_BASE!A:R, 8, FALSE), "DOCENTE / FACILITADOR"))</f>
        <v/>
      </c>
      <c r="G700" s="4">
        <f>IF(B700="","",IFERROR(VLOOKUP(B700, PLANTA_BASE!A:R, 9, FALSE), "GENERAL"))</f>
        <v/>
      </c>
      <c r="H700" s="2">
        <f>IF(B700="","",IFERROR(VLOOKUP(B700, PLANTA_BASE!A:R, 17, FALSE), "GENERAL"))</f>
        <v/>
      </c>
    </row>
    <row r="701" ht="20" customHeight="1">
      <c r="A701" s="5">
        <f>IF(B701="","",IFERROR(VLOOKUP(B701, PLANTA_BASE!A:R, 2, FALSE), "NO ENCONTRADO EN PLANTA"))</f>
        <v/>
      </c>
      <c r="B701" s="6" t="inlineStr"/>
      <c r="C701" s="7">
        <f>IF(B701="","",IFERROR(VLOOKUP(B701, PLANTA_BASE!A:R, 3, FALSE), ""))</f>
        <v/>
      </c>
      <c r="D701" s="5">
        <f>IF(B701="","",IFERROR(VLOOKUP(B701, PLANTA_BASE!A:R, 5, FALSE), "NO ENCONTRADO EN PLANTA"))</f>
        <v/>
      </c>
      <c r="E701" s="5">
        <f>IF(B701="","",IFERROR(VLOOKUP(B701, PLANTA_BASE!A:R, 6, FALSE), "NO ENCONTRADO EN PLANTA"))</f>
        <v/>
      </c>
      <c r="F701" s="7">
        <f>IF(B701="","",IFERROR(VLOOKUP(B701, PLANTA_BASE!A:R, 8, FALSE), "DOCENTE / FACILITADOR"))</f>
        <v/>
      </c>
      <c r="G701" s="7">
        <f>IF(B701="","",IFERROR(VLOOKUP(B701, PLANTA_BASE!A:R, 9, FALSE), "GENERAL"))</f>
        <v/>
      </c>
      <c r="H701" s="5">
        <f>IF(B701="","",IFERROR(VLOOKUP(B701, PLANTA_BASE!A:R, 17, FALSE), "GENERAL"))</f>
        <v/>
      </c>
    </row>
    <row r="702" ht="20" customHeight="1">
      <c r="A702" s="2">
        <f>IF(B702="","",IFERROR(VLOOKUP(B702, PLANTA_BASE!A:R, 2, FALSE), "NO ENCONTRADO EN PLANTA"))</f>
        <v/>
      </c>
      <c r="B702" s="3" t="inlineStr"/>
      <c r="C702" s="4">
        <f>IF(B702="","",IFERROR(VLOOKUP(B702, PLANTA_BASE!A:R, 3, FALSE), ""))</f>
        <v/>
      </c>
      <c r="D702" s="2">
        <f>IF(B702="","",IFERROR(VLOOKUP(B702, PLANTA_BASE!A:R, 5, FALSE), "NO ENCONTRADO EN PLANTA"))</f>
        <v/>
      </c>
      <c r="E702" s="2">
        <f>IF(B702="","",IFERROR(VLOOKUP(B702, PLANTA_BASE!A:R, 6, FALSE), "NO ENCONTRADO EN PLANTA"))</f>
        <v/>
      </c>
      <c r="F702" s="4">
        <f>IF(B702="","",IFERROR(VLOOKUP(B702, PLANTA_BASE!A:R, 8, FALSE), "DOCENTE / FACILITADOR"))</f>
        <v/>
      </c>
      <c r="G702" s="4">
        <f>IF(B702="","",IFERROR(VLOOKUP(B702, PLANTA_BASE!A:R, 9, FALSE), "GENERAL"))</f>
        <v/>
      </c>
      <c r="H702" s="2">
        <f>IF(B702="","",IFERROR(VLOOKUP(B702, PLANTA_BASE!A:R, 17, FALSE), "GENERAL"))</f>
        <v/>
      </c>
    </row>
    <row r="703" ht="20" customHeight="1">
      <c r="A703" s="5">
        <f>IF(B703="","",IFERROR(VLOOKUP(B703, PLANTA_BASE!A:R, 2, FALSE), "NO ENCONTRADO EN PLANTA"))</f>
        <v/>
      </c>
      <c r="B703" s="6" t="inlineStr"/>
      <c r="C703" s="7">
        <f>IF(B703="","",IFERROR(VLOOKUP(B703, PLANTA_BASE!A:R, 3, FALSE), ""))</f>
        <v/>
      </c>
      <c r="D703" s="5">
        <f>IF(B703="","",IFERROR(VLOOKUP(B703, PLANTA_BASE!A:R, 5, FALSE), "NO ENCONTRADO EN PLANTA"))</f>
        <v/>
      </c>
      <c r="E703" s="5">
        <f>IF(B703="","",IFERROR(VLOOKUP(B703, PLANTA_BASE!A:R, 6, FALSE), "NO ENCONTRADO EN PLANTA"))</f>
        <v/>
      </c>
      <c r="F703" s="7">
        <f>IF(B703="","",IFERROR(VLOOKUP(B703, PLANTA_BASE!A:R, 8, FALSE), "DOCENTE / FACILITADOR"))</f>
        <v/>
      </c>
      <c r="G703" s="7">
        <f>IF(B703="","",IFERROR(VLOOKUP(B703, PLANTA_BASE!A:R, 9, FALSE), "GENERAL"))</f>
        <v/>
      </c>
      <c r="H703" s="5">
        <f>IF(B703="","",IFERROR(VLOOKUP(B703, PLANTA_BASE!A:R, 17, FALSE), "GENERAL"))</f>
        <v/>
      </c>
    </row>
    <row r="704" ht="20" customHeight="1">
      <c r="A704" s="2">
        <f>IF(B704="","",IFERROR(VLOOKUP(B704, PLANTA_BASE!A:R, 2, FALSE), "NO ENCONTRADO EN PLANTA"))</f>
        <v/>
      </c>
      <c r="B704" s="3" t="inlineStr"/>
      <c r="C704" s="4">
        <f>IF(B704="","",IFERROR(VLOOKUP(B704, PLANTA_BASE!A:R, 3, FALSE), ""))</f>
        <v/>
      </c>
      <c r="D704" s="2">
        <f>IF(B704="","",IFERROR(VLOOKUP(B704, PLANTA_BASE!A:R, 5, FALSE), "NO ENCONTRADO EN PLANTA"))</f>
        <v/>
      </c>
      <c r="E704" s="2">
        <f>IF(B704="","",IFERROR(VLOOKUP(B704, PLANTA_BASE!A:R, 6, FALSE), "NO ENCONTRADO EN PLANTA"))</f>
        <v/>
      </c>
      <c r="F704" s="4">
        <f>IF(B704="","",IFERROR(VLOOKUP(B704, PLANTA_BASE!A:R, 8, FALSE), "DOCENTE / FACILITADOR"))</f>
        <v/>
      </c>
      <c r="G704" s="4">
        <f>IF(B704="","",IFERROR(VLOOKUP(B704, PLANTA_BASE!A:R, 9, FALSE), "GENERAL"))</f>
        <v/>
      </c>
      <c r="H704" s="2">
        <f>IF(B704="","",IFERROR(VLOOKUP(B704, PLANTA_BASE!A:R, 17, FALSE), "GENERAL"))</f>
        <v/>
      </c>
    </row>
    <row r="705" ht="20" customHeight="1">
      <c r="A705" s="5">
        <f>IF(B705="","",IFERROR(VLOOKUP(B705, PLANTA_BASE!A:R, 2, FALSE), "NO ENCONTRADO EN PLANTA"))</f>
        <v/>
      </c>
      <c r="B705" s="6" t="inlineStr"/>
      <c r="C705" s="7">
        <f>IF(B705="","",IFERROR(VLOOKUP(B705, PLANTA_BASE!A:R, 3, FALSE), ""))</f>
        <v/>
      </c>
      <c r="D705" s="5">
        <f>IF(B705="","",IFERROR(VLOOKUP(B705, PLANTA_BASE!A:R, 5, FALSE), "NO ENCONTRADO EN PLANTA"))</f>
        <v/>
      </c>
      <c r="E705" s="5">
        <f>IF(B705="","",IFERROR(VLOOKUP(B705, PLANTA_BASE!A:R, 6, FALSE), "NO ENCONTRADO EN PLANTA"))</f>
        <v/>
      </c>
      <c r="F705" s="7">
        <f>IF(B705="","",IFERROR(VLOOKUP(B705, PLANTA_BASE!A:R, 8, FALSE), "DOCENTE / FACILITADOR"))</f>
        <v/>
      </c>
      <c r="G705" s="7">
        <f>IF(B705="","",IFERROR(VLOOKUP(B705, PLANTA_BASE!A:R, 9, FALSE), "GENERAL"))</f>
        <v/>
      </c>
      <c r="H705" s="5">
        <f>IF(B705="","",IFERROR(VLOOKUP(B705, PLANTA_BASE!A:R, 17, FALSE), "GENERAL"))</f>
        <v/>
      </c>
    </row>
    <row r="706" ht="20" customHeight="1">
      <c r="A706" s="2">
        <f>IF(B706="","",IFERROR(VLOOKUP(B706, PLANTA_BASE!A:R, 2, FALSE), "NO ENCONTRADO EN PLANTA"))</f>
        <v/>
      </c>
      <c r="B706" s="3" t="inlineStr"/>
      <c r="C706" s="4">
        <f>IF(B706="","",IFERROR(VLOOKUP(B706, PLANTA_BASE!A:R, 3, FALSE), ""))</f>
        <v/>
      </c>
      <c r="D706" s="2">
        <f>IF(B706="","",IFERROR(VLOOKUP(B706, PLANTA_BASE!A:R, 5, FALSE), "NO ENCONTRADO EN PLANTA"))</f>
        <v/>
      </c>
      <c r="E706" s="2">
        <f>IF(B706="","",IFERROR(VLOOKUP(B706, PLANTA_BASE!A:R, 6, FALSE), "NO ENCONTRADO EN PLANTA"))</f>
        <v/>
      </c>
      <c r="F706" s="4">
        <f>IF(B706="","",IFERROR(VLOOKUP(B706, PLANTA_BASE!A:R, 8, FALSE), "DOCENTE / FACILITADOR"))</f>
        <v/>
      </c>
      <c r="G706" s="4">
        <f>IF(B706="","",IFERROR(VLOOKUP(B706, PLANTA_BASE!A:R, 9, FALSE), "GENERAL"))</f>
        <v/>
      </c>
      <c r="H706" s="2">
        <f>IF(B706="","",IFERROR(VLOOKUP(B706, PLANTA_BASE!A:R, 17, FALSE), "GENERAL"))</f>
        <v/>
      </c>
    </row>
    <row r="707" ht="20" customHeight="1">
      <c r="A707" s="5">
        <f>IF(B707="","",IFERROR(VLOOKUP(B707, PLANTA_BASE!A:R, 2, FALSE), "NO ENCONTRADO EN PLANTA"))</f>
        <v/>
      </c>
      <c r="B707" s="6" t="inlineStr"/>
      <c r="C707" s="7">
        <f>IF(B707="","",IFERROR(VLOOKUP(B707, PLANTA_BASE!A:R, 3, FALSE), ""))</f>
        <v/>
      </c>
      <c r="D707" s="5">
        <f>IF(B707="","",IFERROR(VLOOKUP(B707, PLANTA_BASE!A:R, 5, FALSE), "NO ENCONTRADO EN PLANTA"))</f>
        <v/>
      </c>
      <c r="E707" s="5">
        <f>IF(B707="","",IFERROR(VLOOKUP(B707, PLANTA_BASE!A:R, 6, FALSE), "NO ENCONTRADO EN PLANTA"))</f>
        <v/>
      </c>
      <c r="F707" s="7">
        <f>IF(B707="","",IFERROR(VLOOKUP(B707, PLANTA_BASE!A:R, 8, FALSE), "DOCENTE / FACILITADOR"))</f>
        <v/>
      </c>
      <c r="G707" s="7">
        <f>IF(B707="","",IFERROR(VLOOKUP(B707, PLANTA_BASE!A:R, 9, FALSE), "GENERAL"))</f>
        <v/>
      </c>
      <c r="H707" s="5">
        <f>IF(B707="","",IFERROR(VLOOKUP(B707, PLANTA_BASE!A:R, 17, FALSE), "GENERAL"))</f>
        <v/>
      </c>
    </row>
    <row r="708" ht="20" customHeight="1">
      <c r="A708" s="2">
        <f>IF(B708="","",IFERROR(VLOOKUP(B708, PLANTA_BASE!A:R, 2, FALSE), "NO ENCONTRADO EN PLANTA"))</f>
        <v/>
      </c>
      <c r="B708" s="3" t="inlineStr"/>
      <c r="C708" s="4">
        <f>IF(B708="","",IFERROR(VLOOKUP(B708, PLANTA_BASE!A:R, 3, FALSE), ""))</f>
        <v/>
      </c>
      <c r="D708" s="2">
        <f>IF(B708="","",IFERROR(VLOOKUP(B708, PLANTA_BASE!A:R, 5, FALSE), "NO ENCONTRADO EN PLANTA"))</f>
        <v/>
      </c>
      <c r="E708" s="2">
        <f>IF(B708="","",IFERROR(VLOOKUP(B708, PLANTA_BASE!A:R, 6, FALSE), "NO ENCONTRADO EN PLANTA"))</f>
        <v/>
      </c>
      <c r="F708" s="4">
        <f>IF(B708="","",IFERROR(VLOOKUP(B708, PLANTA_BASE!A:R, 8, FALSE), "DOCENTE / FACILITADOR"))</f>
        <v/>
      </c>
      <c r="G708" s="4">
        <f>IF(B708="","",IFERROR(VLOOKUP(B708, PLANTA_BASE!A:R, 9, FALSE), "GENERAL"))</f>
        <v/>
      </c>
      <c r="H708" s="2">
        <f>IF(B708="","",IFERROR(VLOOKUP(B708, PLANTA_BASE!A:R, 17, FALSE), "GENERAL"))</f>
        <v/>
      </c>
    </row>
    <row r="709" ht="20" customHeight="1">
      <c r="A709" s="5">
        <f>IF(B709="","",IFERROR(VLOOKUP(B709, PLANTA_BASE!A:R, 2, FALSE), "NO ENCONTRADO EN PLANTA"))</f>
        <v/>
      </c>
      <c r="B709" s="6" t="inlineStr"/>
      <c r="C709" s="7">
        <f>IF(B709="","",IFERROR(VLOOKUP(B709, PLANTA_BASE!A:R, 3, FALSE), ""))</f>
        <v/>
      </c>
      <c r="D709" s="5">
        <f>IF(B709="","",IFERROR(VLOOKUP(B709, PLANTA_BASE!A:R, 5, FALSE), "NO ENCONTRADO EN PLANTA"))</f>
        <v/>
      </c>
      <c r="E709" s="5">
        <f>IF(B709="","",IFERROR(VLOOKUP(B709, PLANTA_BASE!A:R, 6, FALSE), "NO ENCONTRADO EN PLANTA"))</f>
        <v/>
      </c>
      <c r="F709" s="7">
        <f>IF(B709="","",IFERROR(VLOOKUP(B709, PLANTA_BASE!A:R, 8, FALSE), "DOCENTE / FACILITADOR"))</f>
        <v/>
      </c>
      <c r="G709" s="7">
        <f>IF(B709="","",IFERROR(VLOOKUP(B709, PLANTA_BASE!A:R, 9, FALSE), "GENERAL"))</f>
        <v/>
      </c>
      <c r="H709" s="5">
        <f>IF(B709="","",IFERROR(VLOOKUP(B709, PLANTA_BASE!A:R, 17, FALSE), "GENERAL"))</f>
        <v/>
      </c>
    </row>
    <row r="710" ht="20" customHeight="1">
      <c r="A710" s="2">
        <f>IF(B710="","",IFERROR(VLOOKUP(B710, PLANTA_BASE!A:R, 2, FALSE), "NO ENCONTRADO EN PLANTA"))</f>
        <v/>
      </c>
      <c r="B710" s="3" t="inlineStr"/>
      <c r="C710" s="4">
        <f>IF(B710="","",IFERROR(VLOOKUP(B710, PLANTA_BASE!A:R, 3, FALSE), ""))</f>
        <v/>
      </c>
      <c r="D710" s="2">
        <f>IF(B710="","",IFERROR(VLOOKUP(B710, PLANTA_BASE!A:R, 5, FALSE), "NO ENCONTRADO EN PLANTA"))</f>
        <v/>
      </c>
      <c r="E710" s="2">
        <f>IF(B710="","",IFERROR(VLOOKUP(B710, PLANTA_BASE!A:R, 6, FALSE), "NO ENCONTRADO EN PLANTA"))</f>
        <v/>
      </c>
      <c r="F710" s="4">
        <f>IF(B710="","",IFERROR(VLOOKUP(B710, PLANTA_BASE!A:R, 8, FALSE), "DOCENTE / FACILITADOR"))</f>
        <v/>
      </c>
      <c r="G710" s="4">
        <f>IF(B710="","",IFERROR(VLOOKUP(B710, PLANTA_BASE!A:R, 9, FALSE), "GENERAL"))</f>
        <v/>
      </c>
      <c r="H710" s="2">
        <f>IF(B710="","",IFERROR(VLOOKUP(B710, PLANTA_BASE!A:R, 17, FALSE), "GENERAL"))</f>
        <v/>
      </c>
    </row>
    <row r="711" ht="20" customHeight="1">
      <c r="A711" s="5">
        <f>IF(B711="","",IFERROR(VLOOKUP(B711, PLANTA_BASE!A:R, 2, FALSE), "NO ENCONTRADO EN PLANTA"))</f>
        <v/>
      </c>
      <c r="B711" s="6" t="inlineStr"/>
      <c r="C711" s="7">
        <f>IF(B711="","",IFERROR(VLOOKUP(B711, PLANTA_BASE!A:R, 3, FALSE), ""))</f>
        <v/>
      </c>
      <c r="D711" s="5">
        <f>IF(B711="","",IFERROR(VLOOKUP(B711, PLANTA_BASE!A:R, 5, FALSE), "NO ENCONTRADO EN PLANTA"))</f>
        <v/>
      </c>
      <c r="E711" s="5">
        <f>IF(B711="","",IFERROR(VLOOKUP(B711, PLANTA_BASE!A:R, 6, FALSE), "NO ENCONTRADO EN PLANTA"))</f>
        <v/>
      </c>
      <c r="F711" s="7">
        <f>IF(B711="","",IFERROR(VLOOKUP(B711, PLANTA_BASE!A:R, 8, FALSE), "DOCENTE / FACILITADOR"))</f>
        <v/>
      </c>
      <c r="G711" s="7">
        <f>IF(B711="","",IFERROR(VLOOKUP(B711, PLANTA_BASE!A:R, 9, FALSE), "GENERAL"))</f>
        <v/>
      </c>
      <c r="H711" s="5">
        <f>IF(B711="","",IFERROR(VLOOKUP(B711, PLANTA_BASE!A:R, 17, FALSE), "GENERAL"))</f>
        <v/>
      </c>
    </row>
    <row r="712" ht="20" customHeight="1">
      <c r="A712" s="2">
        <f>IF(B712="","",IFERROR(VLOOKUP(B712, PLANTA_BASE!A:R, 2, FALSE), "NO ENCONTRADO EN PLANTA"))</f>
        <v/>
      </c>
      <c r="B712" s="3" t="inlineStr"/>
      <c r="C712" s="4">
        <f>IF(B712="","",IFERROR(VLOOKUP(B712, PLANTA_BASE!A:R, 3, FALSE), ""))</f>
        <v/>
      </c>
      <c r="D712" s="2">
        <f>IF(B712="","",IFERROR(VLOOKUP(B712, PLANTA_BASE!A:R, 5, FALSE), "NO ENCONTRADO EN PLANTA"))</f>
        <v/>
      </c>
      <c r="E712" s="2">
        <f>IF(B712="","",IFERROR(VLOOKUP(B712, PLANTA_BASE!A:R, 6, FALSE), "NO ENCONTRADO EN PLANTA"))</f>
        <v/>
      </c>
      <c r="F712" s="4">
        <f>IF(B712="","",IFERROR(VLOOKUP(B712, PLANTA_BASE!A:R, 8, FALSE), "DOCENTE / FACILITADOR"))</f>
        <v/>
      </c>
      <c r="G712" s="4">
        <f>IF(B712="","",IFERROR(VLOOKUP(B712, PLANTA_BASE!A:R, 9, FALSE), "GENERAL"))</f>
        <v/>
      </c>
      <c r="H712" s="2">
        <f>IF(B712="","",IFERROR(VLOOKUP(B712, PLANTA_BASE!A:R, 17, FALSE), "GENERAL"))</f>
        <v/>
      </c>
    </row>
    <row r="713" ht="20" customHeight="1">
      <c r="A713" s="5">
        <f>IF(B713="","",IFERROR(VLOOKUP(B713, PLANTA_BASE!A:R, 2, FALSE), "NO ENCONTRADO EN PLANTA"))</f>
        <v/>
      </c>
      <c r="B713" s="6" t="inlineStr"/>
      <c r="C713" s="7">
        <f>IF(B713="","",IFERROR(VLOOKUP(B713, PLANTA_BASE!A:R, 3, FALSE), ""))</f>
        <v/>
      </c>
      <c r="D713" s="5">
        <f>IF(B713="","",IFERROR(VLOOKUP(B713, PLANTA_BASE!A:R, 5, FALSE), "NO ENCONTRADO EN PLANTA"))</f>
        <v/>
      </c>
      <c r="E713" s="5">
        <f>IF(B713="","",IFERROR(VLOOKUP(B713, PLANTA_BASE!A:R, 6, FALSE), "NO ENCONTRADO EN PLANTA"))</f>
        <v/>
      </c>
      <c r="F713" s="7">
        <f>IF(B713="","",IFERROR(VLOOKUP(B713, PLANTA_BASE!A:R, 8, FALSE), "DOCENTE / FACILITADOR"))</f>
        <v/>
      </c>
      <c r="G713" s="7">
        <f>IF(B713="","",IFERROR(VLOOKUP(B713, PLANTA_BASE!A:R, 9, FALSE), "GENERAL"))</f>
        <v/>
      </c>
      <c r="H713" s="5">
        <f>IF(B713="","",IFERROR(VLOOKUP(B713, PLANTA_BASE!A:R, 17, FALSE), "GENERAL"))</f>
        <v/>
      </c>
    </row>
    <row r="714" ht="20" customHeight="1">
      <c r="A714" s="2">
        <f>IF(B714="","",IFERROR(VLOOKUP(B714, PLANTA_BASE!A:R, 2, FALSE), "NO ENCONTRADO EN PLANTA"))</f>
        <v/>
      </c>
      <c r="B714" s="3" t="inlineStr"/>
      <c r="C714" s="4">
        <f>IF(B714="","",IFERROR(VLOOKUP(B714, PLANTA_BASE!A:R, 3, FALSE), ""))</f>
        <v/>
      </c>
      <c r="D714" s="2">
        <f>IF(B714="","",IFERROR(VLOOKUP(B714, PLANTA_BASE!A:R, 5, FALSE), "NO ENCONTRADO EN PLANTA"))</f>
        <v/>
      </c>
      <c r="E714" s="2">
        <f>IF(B714="","",IFERROR(VLOOKUP(B714, PLANTA_BASE!A:R, 6, FALSE), "NO ENCONTRADO EN PLANTA"))</f>
        <v/>
      </c>
      <c r="F714" s="4">
        <f>IF(B714="","",IFERROR(VLOOKUP(B714, PLANTA_BASE!A:R, 8, FALSE), "DOCENTE / FACILITADOR"))</f>
        <v/>
      </c>
      <c r="G714" s="4">
        <f>IF(B714="","",IFERROR(VLOOKUP(B714, PLANTA_BASE!A:R, 9, FALSE), "GENERAL"))</f>
        <v/>
      </c>
      <c r="H714" s="2">
        <f>IF(B714="","",IFERROR(VLOOKUP(B714, PLANTA_BASE!A:R, 17, FALSE), "GENERAL"))</f>
        <v/>
      </c>
    </row>
    <row r="715" ht="20" customHeight="1">
      <c r="A715" s="5">
        <f>IF(B715="","",IFERROR(VLOOKUP(B715, PLANTA_BASE!A:R, 2, FALSE), "NO ENCONTRADO EN PLANTA"))</f>
        <v/>
      </c>
      <c r="B715" s="6" t="inlineStr"/>
      <c r="C715" s="7">
        <f>IF(B715="","",IFERROR(VLOOKUP(B715, PLANTA_BASE!A:R, 3, FALSE), ""))</f>
        <v/>
      </c>
      <c r="D715" s="5">
        <f>IF(B715="","",IFERROR(VLOOKUP(B715, PLANTA_BASE!A:R, 5, FALSE), "NO ENCONTRADO EN PLANTA"))</f>
        <v/>
      </c>
      <c r="E715" s="5">
        <f>IF(B715="","",IFERROR(VLOOKUP(B715, PLANTA_BASE!A:R, 6, FALSE), "NO ENCONTRADO EN PLANTA"))</f>
        <v/>
      </c>
      <c r="F715" s="7">
        <f>IF(B715="","",IFERROR(VLOOKUP(B715, PLANTA_BASE!A:R, 8, FALSE), "DOCENTE / FACILITADOR"))</f>
        <v/>
      </c>
      <c r="G715" s="7">
        <f>IF(B715="","",IFERROR(VLOOKUP(B715, PLANTA_BASE!A:R, 9, FALSE), "GENERAL"))</f>
        <v/>
      </c>
      <c r="H715" s="5">
        <f>IF(B715="","",IFERROR(VLOOKUP(B715, PLANTA_BASE!A:R, 17, FALSE), "GENERAL"))</f>
        <v/>
      </c>
    </row>
    <row r="716" ht="20" customHeight="1">
      <c r="A716" s="2">
        <f>IF(B716="","",IFERROR(VLOOKUP(B716, PLANTA_BASE!A:R, 2, FALSE), "NO ENCONTRADO EN PLANTA"))</f>
        <v/>
      </c>
      <c r="B716" s="3" t="inlineStr"/>
      <c r="C716" s="4">
        <f>IF(B716="","",IFERROR(VLOOKUP(B716, PLANTA_BASE!A:R, 3, FALSE), ""))</f>
        <v/>
      </c>
      <c r="D716" s="2">
        <f>IF(B716="","",IFERROR(VLOOKUP(B716, PLANTA_BASE!A:R, 5, FALSE), "NO ENCONTRADO EN PLANTA"))</f>
        <v/>
      </c>
      <c r="E716" s="2">
        <f>IF(B716="","",IFERROR(VLOOKUP(B716, PLANTA_BASE!A:R, 6, FALSE), "NO ENCONTRADO EN PLANTA"))</f>
        <v/>
      </c>
      <c r="F716" s="4">
        <f>IF(B716="","",IFERROR(VLOOKUP(B716, PLANTA_BASE!A:R, 8, FALSE), "DOCENTE / FACILITADOR"))</f>
        <v/>
      </c>
      <c r="G716" s="4">
        <f>IF(B716="","",IFERROR(VLOOKUP(B716, PLANTA_BASE!A:R, 9, FALSE), "GENERAL"))</f>
        <v/>
      </c>
      <c r="H716" s="2">
        <f>IF(B716="","",IFERROR(VLOOKUP(B716, PLANTA_BASE!A:R, 17, FALSE), "GENERAL"))</f>
        <v/>
      </c>
    </row>
    <row r="717" ht="20" customHeight="1">
      <c r="A717" s="5">
        <f>IF(B717="","",IFERROR(VLOOKUP(B717, PLANTA_BASE!A:R, 2, FALSE), "NO ENCONTRADO EN PLANTA"))</f>
        <v/>
      </c>
      <c r="B717" s="6" t="inlineStr"/>
      <c r="C717" s="7">
        <f>IF(B717="","",IFERROR(VLOOKUP(B717, PLANTA_BASE!A:R, 3, FALSE), ""))</f>
        <v/>
      </c>
      <c r="D717" s="5">
        <f>IF(B717="","",IFERROR(VLOOKUP(B717, PLANTA_BASE!A:R, 5, FALSE), "NO ENCONTRADO EN PLANTA"))</f>
        <v/>
      </c>
      <c r="E717" s="5">
        <f>IF(B717="","",IFERROR(VLOOKUP(B717, PLANTA_BASE!A:R, 6, FALSE), "NO ENCONTRADO EN PLANTA"))</f>
        <v/>
      </c>
      <c r="F717" s="7">
        <f>IF(B717="","",IFERROR(VLOOKUP(B717, PLANTA_BASE!A:R, 8, FALSE), "DOCENTE / FACILITADOR"))</f>
        <v/>
      </c>
      <c r="G717" s="7">
        <f>IF(B717="","",IFERROR(VLOOKUP(B717, PLANTA_BASE!A:R, 9, FALSE), "GENERAL"))</f>
        <v/>
      </c>
      <c r="H717" s="5">
        <f>IF(B717="","",IFERROR(VLOOKUP(B717, PLANTA_BASE!A:R, 17, FALSE), "GENERAL"))</f>
        <v/>
      </c>
    </row>
    <row r="718" ht="20" customHeight="1">
      <c r="A718" s="2">
        <f>IF(B718="","",IFERROR(VLOOKUP(B718, PLANTA_BASE!A:R, 2, FALSE), "NO ENCONTRADO EN PLANTA"))</f>
        <v/>
      </c>
      <c r="B718" s="3" t="inlineStr"/>
      <c r="C718" s="4">
        <f>IF(B718="","",IFERROR(VLOOKUP(B718, PLANTA_BASE!A:R, 3, FALSE), ""))</f>
        <v/>
      </c>
      <c r="D718" s="2">
        <f>IF(B718="","",IFERROR(VLOOKUP(B718, PLANTA_BASE!A:R, 5, FALSE), "NO ENCONTRADO EN PLANTA"))</f>
        <v/>
      </c>
      <c r="E718" s="2">
        <f>IF(B718="","",IFERROR(VLOOKUP(B718, PLANTA_BASE!A:R, 6, FALSE), "NO ENCONTRADO EN PLANTA"))</f>
        <v/>
      </c>
      <c r="F718" s="4">
        <f>IF(B718="","",IFERROR(VLOOKUP(B718, PLANTA_BASE!A:R, 8, FALSE), "DOCENTE / FACILITADOR"))</f>
        <v/>
      </c>
      <c r="G718" s="4">
        <f>IF(B718="","",IFERROR(VLOOKUP(B718, PLANTA_BASE!A:R, 9, FALSE), "GENERAL"))</f>
        <v/>
      </c>
      <c r="H718" s="2">
        <f>IF(B718="","",IFERROR(VLOOKUP(B718, PLANTA_BASE!A:R, 17, FALSE), "GENERAL"))</f>
        <v/>
      </c>
    </row>
    <row r="719" ht="20" customHeight="1">
      <c r="A719" s="5">
        <f>IF(B719="","",IFERROR(VLOOKUP(B719, PLANTA_BASE!A:R, 2, FALSE), "NO ENCONTRADO EN PLANTA"))</f>
        <v/>
      </c>
      <c r="B719" s="6" t="inlineStr"/>
      <c r="C719" s="7">
        <f>IF(B719="","",IFERROR(VLOOKUP(B719, PLANTA_BASE!A:R, 3, FALSE), ""))</f>
        <v/>
      </c>
      <c r="D719" s="5">
        <f>IF(B719="","",IFERROR(VLOOKUP(B719, PLANTA_BASE!A:R, 5, FALSE), "NO ENCONTRADO EN PLANTA"))</f>
        <v/>
      </c>
      <c r="E719" s="5">
        <f>IF(B719="","",IFERROR(VLOOKUP(B719, PLANTA_BASE!A:R, 6, FALSE), "NO ENCONTRADO EN PLANTA"))</f>
        <v/>
      </c>
      <c r="F719" s="7">
        <f>IF(B719="","",IFERROR(VLOOKUP(B719, PLANTA_BASE!A:R, 8, FALSE), "DOCENTE / FACILITADOR"))</f>
        <v/>
      </c>
      <c r="G719" s="7">
        <f>IF(B719="","",IFERROR(VLOOKUP(B719, PLANTA_BASE!A:R, 9, FALSE), "GENERAL"))</f>
        <v/>
      </c>
      <c r="H719" s="5">
        <f>IF(B719="","",IFERROR(VLOOKUP(B719, PLANTA_BASE!A:R, 17, FALSE), "GENERAL"))</f>
        <v/>
      </c>
    </row>
    <row r="720" ht="20" customHeight="1">
      <c r="A720" s="2">
        <f>IF(B720="","",IFERROR(VLOOKUP(B720, PLANTA_BASE!A:R, 2, FALSE), "NO ENCONTRADO EN PLANTA"))</f>
        <v/>
      </c>
      <c r="B720" s="3" t="inlineStr"/>
      <c r="C720" s="4">
        <f>IF(B720="","",IFERROR(VLOOKUP(B720, PLANTA_BASE!A:R, 3, FALSE), ""))</f>
        <v/>
      </c>
      <c r="D720" s="2">
        <f>IF(B720="","",IFERROR(VLOOKUP(B720, PLANTA_BASE!A:R, 5, FALSE), "NO ENCONTRADO EN PLANTA"))</f>
        <v/>
      </c>
      <c r="E720" s="2">
        <f>IF(B720="","",IFERROR(VLOOKUP(B720, PLANTA_BASE!A:R, 6, FALSE), "NO ENCONTRADO EN PLANTA"))</f>
        <v/>
      </c>
      <c r="F720" s="4">
        <f>IF(B720="","",IFERROR(VLOOKUP(B720, PLANTA_BASE!A:R, 8, FALSE), "DOCENTE / FACILITADOR"))</f>
        <v/>
      </c>
      <c r="G720" s="4">
        <f>IF(B720="","",IFERROR(VLOOKUP(B720, PLANTA_BASE!A:R, 9, FALSE), "GENERAL"))</f>
        <v/>
      </c>
      <c r="H720" s="2">
        <f>IF(B720="","",IFERROR(VLOOKUP(B720, PLANTA_BASE!A:R, 17, FALSE), "GENERAL"))</f>
        <v/>
      </c>
    </row>
    <row r="721" ht="20" customHeight="1">
      <c r="A721" s="5">
        <f>IF(B721="","",IFERROR(VLOOKUP(B721, PLANTA_BASE!A:R, 2, FALSE), "NO ENCONTRADO EN PLANTA"))</f>
        <v/>
      </c>
      <c r="B721" s="6" t="inlineStr"/>
      <c r="C721" s="7">
        <f>IF(B721="","",IFERROR(VLOOKUP(B721, PLANTA_BASE!A:R, 3, FALSE), ""))</f>
        <v/>
      </c>
      <c r="D721" s="5">
        <f>IF(B721="","",IFERROR(VLOOKUP(B721, PLANTA_BASE!A:R, 5, FALSE), "NO ENCONTRADO EN PLANTA"))</f>
        <v/>
      </c>
      <c r="E721" s="5">
        <f>IF(B721="","",IFERROR(VLOOKUP(B721, PLANTA_BASE!A:R, 6, FALSE), "NO ENCONTRADO EN PLANTA"))</f>
        <v/>
      </c>
      <c r="F721" s="7">
        <f>IF(B721="","",IFERROR(VLOOKUP(B721, PLANTA_BASE!A:R, 8, FALSE), "DOCENTE / FACILITADOR"))</f>
        <v/>
      </c>
      <c r="G721" s="7">
        <f>IF(B721="","",IFERROR(VLOOKUP(B721, PLANTA_BASE!A:R, 9, FALSE), "GENERAL"))</f>
        <v/>
      </c>
      <c r="H721" s="5">
        <f>IF(B721="","",IFERROR(VLOOKUP(B721, PLANTA_BASE!A:R, 17, FALSE), "GENERAL"))</f>
        <v/>
      </c>
    </row>
    <row r="722" ht="20" customHeight="1">
      <c r="A722" s="2">
        <f>IF(B722="","",IFERROR(VLOOKUP(B722, PLANTA_BASE!A:R, 2, FALSE), "NO ENCONTRADO EN PLANTA"))</f>
        <v/>
      </c>
      <c r="B722" s="3" t="inlineStr"/>
      <c r="C722" s="4">
        <f>IF(B722="","",IFERROR(VLOOKUP(B722, PLANTA_BASE!A:R, 3, FALSE), ""))</f>
        <v/>
      </c>
      <c r="D722" s="2">
        <f>IF(B722="","",IFERROR(VLOOKUP(B722, PLANTA_BASE!A:R, 5, FALSE), "NO ENCONTRADO EN PLANTA"))</f>
        <v/>
      </c>
      <c r="E722" s="2">
        <f>IF(B722="","",IFERROR(VLOOKUP(B722, PLANTA_BASE!A:R, 6, FALSE), "NO ENCONTRADO EN PLANTA"))</f>
        <v/>
      </c>
      <c r="F722" s="4">
        <f>IF(B722="","",IFERROR(VLOOKUP(B722, PLANTA_BASE!A:R, 8, FALSE), "DOCENTE / FACILITADOR"))</f>
        <v/>
      </c>
      <c r="G722" s="4">
        <f>IF(B722="","",IFERROR(VLOOKUP(B722, PLANTA_BASE!A:R, 9, FALSE), "GENERAL"))</f>
        <v/>
      </c>
      <c r="H722" s="2">
        <f>IF(B722="","",IFERROR(VLOOKUP(B722, PLANTA_BASE!A:R, 17, FALSE), "GENERAL"))</f>
        <v/>
      </c>
    </row>
    <row r="723" ht="20" customHeight="1">
      <c r="A723" s="5">
        <f>IF(B723="","",IFERROR(VLOOKUP(B723, PLANTA_BASE!A:R, 2, FALSE), "NO ENCONTRADO EN PLANTA"))</f>
        <v/>
      </c>
      <c r="B723" s="6" t="inlineStr"/>
      <c r="C723" s="7">
        <f>IF(B723="","",IFERROR(VLOOKUP(B723, PLANTA_BASE!A:R, 3, FALSE), ""))</f>
        <v/>
      </c>
      <c r="D723" s="5">
        <f>IF(B723="","",IFERROR(VLOOKUP(B723, PLANTA_BASE!A:R, 5, FALSE), "NO ENCONTRADO EN PLANTA"))</f>
        <v/>
      </c>
      <c r="E723" s="5">
        <f>IF(B723="","",IFERROR(VLOOKUP(B723, PLANTA_BASE!A:R, 6, FALSE), "NO ENCONTRADO EN PLANTA"))</f>
        <v/>
      </c>
      <c r="F723" s="7">
        <f>IF(B723="","",IFERROR(VLOOKUP(B723, PLANTA_BASE!A:R, 8, FALSE), "DOCENTE / FACILITADOR"))</f>
        <v/>
      </c>
      <c r="G723" s="7">
        <f>IF(B723="","",IFERROR(VLOOKUP(B723, PLANTA_BASE!A:R, 9, FALSE), "GENERAL"))</f>
        <v/>
      </c>
      <c r="H723" s="5">
        <f>IF(B723="","",IFERROR(VLOOKUP(B723, PLANTA_BASE!A:R, 17, FALSE), "GENERAL"))</f>
        <v/>
      </c>
    </row>
    <row r="724" ht="20" customHeight="1">
      <c r="A724" s="2">
        <f>IF(B724="","",IFERROR(VLOOKUP(B724, PLANTA_BASE!A:R, 2, FALSE), "NO ENCONTRADO EN PLANTA"))</f>
        <v/>
      </c>
      <c r="B724" s="3" t="inlineStr"/>
      <c r="C724" s="4">
        <f>IF(B724="","",IFERROR(VLOOKUP(B724, PLANTA_BASE!A:R, 3, FALSE), ""))</f>
        <v/>
      </c>
      <c r="D724" s="2">
        <f>IF(B724="","",IFERROR(VLOOKUP(B724, PLANTA_BASE!A:R, 5, FALSE), "NO ENCONTRADO EN PLANTA"))</f>
        <v/>
      </c>
      <c r="E724" s="2">
        <f>IF(B724="","",IFERROR(VLOOKUP(B724, PLANTA_BASE!A:R, 6, FALSE), "NO ENCONTRADO EN PLANTA"))</f>
        <v/>
      </c>
      <c r="F724" s="4">
        <f>IF(B724="","",IFERROR(VLOOKUP(B724, PLANTA_BASE!A:R, 8, FALSE), "DOCENTE / FACILITADOR"))</f>
        <v/>
      </c>
      <c r="G724" s="4">
        <f>IF(B724="","",IFERROR(VLOOKUP(B724, PLANTA_BASE!A:R, 9, FALSE), "GENERAL"))</f>
        <v/>
      </c>
      <c r="H724" s="2">
        <f>IF(B724="","",IFERROR(VLOOKUP(B724, PLANTA_BASE!A:R, 17, FALSE), "GENERAL"))</f>
        <v/>
      </c>
    </row>
    <row r="725" ht="20" customHeight="1">
      <c r="A725" s="5">
        <f>IF(B725="","",IFERROR(VLOOKUP(B725, PLANTA_BASE!A:R, 2, FALSE), "NO ENCONTRADO EN PLANTA"))</f>
        <v/>
      </c>
      <c r="B725" s="6" t="inlineStr"/>
      <c r="C725" s="7">
        <f>IF(B725="","",IFERROR(VLOOKUP(B725, PLANTA_BASE!A:R, 3, FALSE), ""))</f>
        <v/>
      </c>
      <c r="D725" s="5">
        <f>IF(B725="","",IFERROR(VLOOKUP(B725, PLANTA_BASE!A:R, 5, FALSE), "NO ENCONTRADO EN PLANTA"))</f>
        <v/>
      </c>
      <c r="E725" s="5">
        <f>IF(B725="","",IFERROR(VLOOKUP(B725, PLANTA_BASE!A:R, 6, FALSE), "NO ENCONTRADO EN PLANTA"))</f>
        <v/>
      </c>
      <c r="F725" s="7">
        <f>IF(B725="","",IFERROR(VLOOKUP(B725, PLANTA_BASE!A:R, 8, FALSE), "DOCENTE / FACILITADOR"))</f>
        <v/>
      </c>
      <c r="G725" s="7">
        <f>IF(B725="","",IFERROR(VLOOKUP(B725, PLANTA_BASE!A:R, 9, FALSE), "GENERAL"))</f>
        <v/>
      </c>
      <c r="H725" s="5">
        <f>IF(B725="","",IFERROR(VLOOKUP(B725, PLANTA_BASE!A:R, 17, FALSE), "GENERAL"))</f>
        <v/>
      </c>
    </row>
    <row r="726" ht="20" customHeight="1">
      <c r="A726" s="2">
        <f>IF(B726="","",IFERROR(VLOOKUP(B726, PLANTA_BASE!A:R, 2, FALSE), "NO ENCONTRADO EN PLANTA"))</f>
        <v/>
      </c>
      <c r="B726" s="3" t="inlineStr"/>
      <c r="C726" s="4">
        <f>IF(B726="","",IFERROR(VLOOKUP(B726, PLANTA_BASE!A:R, 3, FALSE), ""))</f>
        <v/>
      </c>
      <c r="D726" s="2">
        <f>IF(B726="","",IFERROR(VLOOKUP(B726, PLANTA_BASE!A:R, 5, FALSE), "NO ENCONTRADO EN PLANTA"))</f>
        <v/>
      </c>
      <c r="E726" s="2">
        <f>IF(B726="","",IFERROR(VLOOKUP(B726, PLANTA_BASE!A:R, 6, FALSE), "NO ENCONTRADO EN PLANTA"))</f>
        <v/>
      </c>
      <c r="F726" s="4">
        <f>IF(B726="","",IFERROR(VLOOKUP(B726, PLANTA_BASE!A:R, 8, FALSE), "DOCENTE / FACILITADOR"))</f>
        <v/>
      </c>
      <c r="G726" s="4">
        <f>IF(B726="","",IFERROR(VLOOKUP(B726, PLANTA_BASE!A:R, 9, FALSE), "GENERAL"))</f>
        <v/>
      </c>
      <c r="H726" s="2">
        <f>IF(B726="","",IFERROR(VLOOKUP(B726, PLANTA_BASE!A:R, 17, FALSE), "GENERAL"))</f>
        <v/>
      </c>
    </row>
    <row r="727" ht="20" customHeight="1">
      <c r="A727" s="5">
        <f>IF(B727="","",IFERROR(VLOOKUP(B727, PLANTA_BASE!A:R, 2, FALSE), "NO ENCONTRADO EN PLANTA"))</f>
        <v/>
      </c>
      <c r="B727" s="6" t="inlineStr"/>
      <c r="C727" s="7">
        <f>IF(B727="","",IFERROR(VLOOKUP(B727, PLANTA_BASE!A:R, 3, FALSE), ""))</f>
        <v/>
      </c>
      <c r="D727" s="5">
        <f>IF(B727="","",IFERROR(VLOOKUP(B727, PLANTA_BASE!A:R, 5, FALSE), "NO ENCONTRADO EN PLANTA"))</f>
        <v/>
      </c>
      <c r="E727" s="5">
        <f>IF(B727="","",IFERROR(VLOOKUP(B727, PLANTA_BASE!A:R, 6, FALSE), "NO ENCONTRADO EN PLANTA"))</f>
        <v/>
      </c>
      <c r="F727" s="7">
        <f>IF(B727="","",IFERROR(VLOOKUP(B727, PLANTA_BASE!A:R, 8, FALSE), "DOCENTE / FACILITADOR"))</f>
        <v/>
      </c>
      <c r="G727" s="7">
        <f>IF(B727="","",IFERROR(VLOOKUP(B727, PLANTA_BASE!A:R, 9, FALSE), "GENERAL"))</f>
        <v/>
      </c>
      <c r="H727" s="5">
        <f>IF(B727="","",IFERROR(VLOOKUP(B727, PLANTA_BASE!A:R, 17, FALSE), "GENERAL"))</f>
        <v/>
      </c>
    </row>
    <row r="728" ht="20" customHeight="1">
      <c r="A728" s="2">
        <f>IF(B728="","",IFERROR(VLOOKUP(B728, PLANTA_BASE!A:R, 2, FALSE), "NO ENCONTRADO EN PLANTA"))</f>
        <v/>
      </c>
      <c r="B728" s="3" t="inlineStr"/>
      <c r="C728" s="4">
        <f>IF(B728="","",IFERROR(VLOOKUP(B728, PLANTA_BASE!A:R, 3, FALSE), ""))</f>
        <v/>
      </c>
      <c r="D728" s="2">
        <f>IF(B728="","",IFERROR(VLOOKUP(B728, PLANTA_BASE!A:R, 5, FALSE), "NO ENCONTRADO EN PLANTA"))</f>
        <v/>
      </c>
      <c r="E728" s="2">
        <f>IF(B728="","",IFERROR(VLOOKUP(B728, PLANTA_BASE!A:R, 6, FALSE), "NO ENCONTRADO EN PLANTA"))</f>
        <v/>
      </c>
      <c r="F728" s="4">
        <f>IF(B728="","",IFERROR(VLOOKUP(B728, PLANTA_BASE!A:R, 8, FALSE), "DOCENTE / FACILITADOR"))</f>
        <v/>
      </c>
      <c r="G728" s="4">
        <f>IF(B728="","",IFERROR(VLOOKUP(B728, PLANTA_BASE!A:R, 9, FALSE), "GENERAL"))</f>
        <v/>
      </c>
      <c r="H728" s="2">
        <f>IF(B728="","",IFERROR(VLOOKUP(B728, PLANTA_BASE!A:R, 17, FALSE), "GENERAL"))</f>
        <v/>
      </c>
    </row>
    <row r="729" ht="20" customHeight="1">
      <c r="A729" s="5">
        <f>IF(B729="","",IFERROR(VLOOKUP(B729, PLANTA_BASE!A:R, 2, FALSE), "NO ENCONTRADO EN PLANTA"))</f>
        <v/>
      </c>
      <c r="B729" s="6" t="inlineStr"/>
      <c r="C729" s="7">
        <f>IF(B729="","",IFERROR(VLOOKUP(B729, PLANTA_BASE!A:R, 3, FALSE), ""))</f>
        <v/>
      </c>
      <c r="D729" s="5">
        <f>IF(B729="","",IFERROR(VLOOKUP(B729, PLANTA_BASE!A:R, 5, FALSE), "NO ENCONTRADO EN PLANTA"))</f>
        <v/>
      </c>
      <c r="E729" s="5">
        <f>IF(B729="","",IFERROR(VLOOKUP(B729, PLANTA_BASE!A:R, 6, FALSE), "NO ENCONTRADO EN PLANTA"))</f>
        <v/>
      </c>
      <c r="F729" s="7">
        <f>IF(B729="","",IFERROR(VLOOKUP(B729, PLANTA_BASE!A:R, 8, FALSE), "DOCENTE / FACILITADOR"))</f>
        <v/>
      </c>
      <c r="G729" s="7">
        <f>IF(B729="","",IFERROR(VLOOKUP(B729, PLANTA_BASE!A:R, 9, FALSE), "GENERAL"))</f>
        <v/>
      </c>
      <c r="H729" s="5">
        <f>IF(B729="","",IFERROR(VLOOKUP(B729, PLANTA_BASE!A:R, 17, FALSE), "GENERAL"))</f>
        <v/>
      </c>
    </row>
    <row r="730" ht="20" customHeight="1">
      <c r="A730" s="2">
        <f>IF(B730="","",IFERROR(VLOOKUP(B730, PLANTA_BASE!A:R, 2, FALSE), "NO ENCONTRADO EN PLANTA"))</f>
        <v/>
      </c>
      <c r="B730" s="3" t="inlineStr"/>
      <c r="C730" s="4">
        <f>IF(B730="","",IFERROR(VLOOKUP(B730, PLANTA_BASE!A:R, 3, FALSE), ""))</f>
        <v/>
      </c>
      <c r="D730" s="2">
        <f>IF(B730="","",IFERROR(VLOOKUP(B730, PLANTA_BASE!A:R, 5, FALSE), "NO ENCONTRADO EN PLANTA"))</f>
        <v/>
      </c>
      <c r="E730" s="2">
        <f>IF(B730="","",IFERROR(VLOOKUP(B730, PLANTA_BASE!A:R, 6, FALSE), "NO ENCONTRADO EN PLANTA"))</f>
        <v/>
      </c>
      <c r="F730" s="4">
        <f>IF(B730="","",IFERROR(VLOOKUP(B730, PLANTA_BASE!A:R, 8, FALSE), "DOCENTE / FACILITADOR"))</f>
        <v/>
      </c>
      <c r="G730" s="4">
        <f>IF(B730="","",IFERROR(VLOOKUP(B730, PLANTA_BASE!A:R, 9, FALSE), "GENERAL"))</f>
        <v/>
      </c>
      <c r="H730" s="2">
        <f>IF(B730="","",IFERROR(VLOOKUP(B730, PLANTA_BASE!A:R, 17, FALSE), "GENERAL"))</f>
        <v/>
      </c>
    </row>
    <row r="731" ht="20" customHeight="1">
      <c r="A731" s="5">
        <f>IF(B731="","",IFERROR(VLOOKUP(B731, PLANTA_BASE!A:R, 2, FALSE), "NO ENCONTRADO EN PLANTA"))</f>
        <v/>
      </c>
      <c r="B731" s="6" t="inlineStr"/>
      <c r="C731" s="7">
        <f>IF(B731="","",IFERROR(VLOOKUP(B731, PLANTA_BASE!A:R, 3, FALSE), ""))</f>
        <v/>
      </c>
      <c r="D731" s="5">
        <f>IF(B731="","",IFERROR(VLOOKUP(B731, PLANTA_BASE!A:R, 5, FALSE), "NO ENCONTRADO EN PLANTA"))</f>
        <v/>
      </c>
      <c r="E731" s="5">
        <f>IF(B731="","",IFERROR(VLOOKUP(B731, PLANTA_BASE!A:R, 6, FALSE), "NO ENCONTRADO EN PLANTA"))</f>
        <v/>
      </c>
      <c r="F731" s="7">
        <f>IF(B731="","",IFERROR(VLOOKUP(B731, PLANTA_BASE!A:R, 8, FALSE), "DOCENTE / FACILITADOR"))</f>
        <v/>
      </c>
      <c r="G731" s="7">
        <f>IF(B731="","",IFERROR(VLOOKUP(B731, PLANTA_BASE!A:R, 9, FALSE), "GENERAL"))</f>
        <v/>
      </c>
      <c r="H731" s="5">
        <f>IF(B731="","",IFERROR(VLOOKUP(B731, PLANTA_BASE!A:R, 17, FALSE), "GENERAL"))</f>
        <v/>
      </c>
    </row>
    <row r="732" ht="20" customHeight="1">
      <c r="A732" s="2">
        <f>IF(B732="","",IFERROR(VLOOKUP(B732, PLANTA_BASE!A:R, 2, FALSE), "NO ENCONTRADO EN PLANTA"))</f>
        <v/>
      </c>
      <c r="B732" s="3" t="inlineStr"/>
      <c r="C732" s="4">
        <f>IF(B732="","",IFERROR(VLOOKUP(B732, PLANTA_BASE!A:R, 3, FALSE), ""))</f>
        <v/>
      </c>
      <c r="D732" s="2">
        <f>IF(B732="","",IFERROR(VLOOKUP(B732, PLANTA_BASE!A:R, 5, FALSE), "NO ENCONTRADO EN PLANTA"))</f>
        <v/>
      </c>
      <c r="E732" s="2">
        <f>IF(B732="","",IFERROR(VLOOKUP(B732, PLANTA_BASE!A:R, 6, FALSE), "NO ENCONTRADO EN PLANTA"))</f>
        <v/>
      </c>
      <c r="F732" s="4">
        <f>IF(B732="","",IFERROR(VLOOKUP(B732, PLANTA_BASE!A:R, 8, FALSE), "DOCENTE / FACILITADOR"))</f>
        <v/>
      </c>
      <c r="G732" s="4">
        <f>IF(B732="","",IFERROR(VLOOKUP(B732, PLANTA_BASE!A:R, 9, FALSE), "GENERAL"))</f>
        <v/>
      </c>
      <c r="H732" s="2">
        <f>IF(B732="","",IFERROR(VLOOKUP(B732, PLANTA_BASE!A:R, 17, FALSE), "GENERAL"))</f>
        <v/>
      </c>
    </row>
    <row r="733" ht="20" customHeight="1">
      <c r="A733" s="5">
        <f>IF(B733="","",IFERROR(VLOOKUP(B733, PLANTA_BASE!A:R, 2, FALSE), "NO ENCONTRADO EN PLANTA"))</f>
        <v/>
      </c>
      <c r="B733" s="6" t="inlineStr"/>
      <c r="C733" s="7">
        <f>IF(B733="","",IFERROR(VLOOKUP(B733, PLANTA_BASE!A:R, 3, FALSE), ""))</f>
        <v/>
      </c>
      <c r="D733" s="5">
        <f>IF(B733="","",IFERROR(VLOOKUP(B733, PLANTA_BASE!A:R, 5, FALSE), "NO ENCONTRADO EN PLANTA"))</f>
        <v/>
      </c>
      <c r="E733" s="5">
        <f>IF(B733="","",IFERROR(VLOOKUP(B733, PLANTA_BASE!A:R, 6, FALSE), "NO ENCONTRADO EN PLANTA"))</f>
        <v/>
      </c>
      <c r="F733" s="7">
        <f>IF(B733="","",IFERROR(VLOOKUP(B733, PLANTA_BASE!A:R, 8, FALSE), "DOCENTE / FACILITADOR"))</f>
        <v/>
      </c>
      <c r="G733" s="7">
        <f>IF(B733="","",IFERROR(VLOOKUP(B733, PLANTA_BASE!A:R, 9, FALSE), "GENERAL"))</f>
        <v/>
      </c>
      <c r="H733" s="5">
        <f>IF(B733="","",IFERROR(VLOOKUP(B733, PLANTA_BASE!A:R, 17, FALSE), "GENERAL"))</f>
        <v/>
      </c>
    </row>
    <row r="734" ht="20" customHeight="1">
      <c r="A734" s="2">
        <f>IF(B734="","",IFERROR(VLOOKUP(B734, PLANTA_BASE!A:R, 2, FALSE), "NO ENCONTRADO EN PLANTA"))</f>
        <v/>
      </c>
      <c r="B734" s="3" t="inlineStr"/>
      <c r="C734" s="4">
        <f>IF(B734="","",IFERROR(VLOOKUP(B734, PLANTA_BASE!A:R, 3, FALSE), ""))</f>
        <v/>
      </c>
      <c r="D734" s="2">
        <f>IF(B734="","",IFERROR(VLOOKUP(B734, PLANTA_BASE!A:R, 5, FALSE), "NO ENCONTRADO EN PLANTA"))</f>
        <v/>
      </c>
      <c r="E734" s="2">
        <f>IF(B734="","",IFERROR(VLOOKUP(B734, PLANTA_BASE!A:R, 6, FALSE), "NO ENCONTRADO EN PLANTA"))</f>
        <v/>
      </c>
      <c r="F734" s="4">
        <f>IF(B734="","",IFERROR(VLOOKUP(B734, PLANTA_BASE!A:R, 8, FALSE), "DOCENTE / FACILITADOR"))</f>
        <v/>
      </c>
      <c r="G734" s="4">
        <f>IF(B734="","",IFERROR(VLOOKUP(B734, PLANTA_BASE!A:R, 9, FALSE), "GENERAL"))</f>
        <v/>
      </c>
      <c r="H734" s="2">
        <f>IF(B734="","",IFERROR(VLOOKUP(B734, PLANTA_BASE!A:R, 17, FALSE), "GENERAL"))</f>
        <v/>
      </c>
    </row>
    <row r="735" ht="20" customHeight="1">
      <c r="A735" s="5">
        <f>IF(B735="","",IFERROR(VLOOKUP(B735, PLANTA_BASE!A:R, 2, FALSE), "NO ENCONTRADO EN PLANTA"))</f>
        <v/>
      </c>
      <c r="B735" s="6" t="inlineStr"/>
      <c r="C735" s="7">
        <f>IF(B735="","",IFERROR(VLOOKUP(B735, PLANTA_BASE!A:R, 3, FALSE), ""))</f>
        <v/>
      </c>
      <c r="D735" s="5">
        <f>IF(B735="","",IFERROR(VLOOKUP(B735, PLANTA_BASE!A:R, 5, FALSE), "NO ENCONTRADO EN PLANTA"))</f>
        <v/>
      </c>
      <c r="E735" s="5">
        <f>IF(B735="","",IFERROR(VLOOKUP(B735, PLANTA_BASE!A:R, 6, FALSE), "NO ENCONTRADO EN PLANTA"))</f>
        <v/>
      </c>
      <c r="F735" s="7">
        <f>IF(B735="","",IFERROR(VLOOKUP(B735, PLANTA_BASE!A:R, 8, FALSE), "DOCENTE / FACILITADOR"))</f>
        <v/>
      </c>
      <c r="G735" s="7">
        <f>IF(B735="","",IFERROR(VLOOKUP(B735, PLANTA_BASE!A:R, 9, FALSE), "GENERAL"))</f>
        <v/>
      </c>
      <c r="H735" s="5">
        <f>IF(B735="","",IFERROR(VLOOKUP(B735, PLANTA_BASE!A:R, 17, FALSE), "GENERAL"))</f>
        <v/>
      </c>
    </row>
    <row r="736" ht="20" customHeight="1">
      <c r="A736" s="2">
        <f>IF(B736="","",IFERROR(VLOOKUP(B736, PLANTA_BASE!A:R, 2, FALSE), "NO ENCONTRADO EN PLANTA"))</f>
        <v/>
      </c>
      <c r="B736" s="3" t="inlineStr"/>
      <c r="C736" s="4">
        <f>IF(B736="","",IFERROR(VLOOKUP(B736, PLANTA_BASE!A:R, 3, FALSE), ""))</f>
        <v/>
      </c>
      <c r="D736" s="2">
        <f>IF(B736="","",IFERROR(VLOOKUP(B736, PLANTA_BASE!A:R, 5, FALSE), "NO ENCONTRADO EN PLANTA"))</f>
        <v/>
      </c>
      <c r="E736" s="2">
        <f>IF(B736="","",IFERROR(VLOOKUP(B736, PLANTA_BASE!A:R, 6, FALSE), "NO ENCONTRADO EN PLANTA"))</f>
        <v/>
      </c>
      <c r="F736" s="4">
        <f>IF(B736="","",IFERROR(VLOOKUP(B736, PLANTA_BASE!A:R, 8, FALSE), "DOCENTE / FACILITADOR"))</f>
        <v/>
      </c>
      <c r="G736" s="4">
        <f>IF(B736="","",IFERROR(VLOOKUP(B736, PLANTA_BASE!A:R, 9, FALSE), "GENERAL"))</f>
        <v/>
      </c>
      <c r="H736" s="2">
        <f>IF(B736="","",IFERROR(VLOOKUP(B736, PLANTA_BASE!A:R, 17, FALSE), "GENERAL"))</f>
        <v/>
      </c>
    </row>
    <row r="737" ht="20" customHeight="1">
      <c r="A737" s="5">
        <f>IF(B737="","",IFERROR(VLOOKUP(B737, PLANTA_BASE!A:R, 2, FALSE), "NO ENCONTRADO EN PLANTA"))</f>
        <v/>
      </c>
      <c r="B737" s="6" t="inlineStr"/>
      <c r="C737" s="7">
        <f>IF(B737="","",IFERROR(VLOOKUP(B737, PLANTA_BASE!A:R, 3, FALSE), ""))</f>
        <v/>
      </c>
      <c r="D737" s="5">
        <f>IF(B737="","",IFERROR(VLOOKUP(B737, PLANTA_BASE!A:R, 5, FALSE), "NO ENCONTRADO EN PLANTA"))</f>
        <v/>
      </c>
      <c r="E737" s="5">
        <f>IF(B737="","",IFERROR(VLOOKUP(B737, PLANTA_BASE!A:R, 6, FALSE), "NO ENCONTRADO EN PLANTA"))</f>
        <v/>
      </c>
      <c r="F737" s="7">
        <f>IF(B737="","",IFERROR(VLOOKUP(B737, PLANTA_BASE!A:R, 8, FALSE), "DOCENTE / FACILITADOR"))</f>
        <v/>
      </c>
      <c r="G737" s="7">
        <f>IF(B737="","",IFERROR(VLOOKUP(B737, PLANTA_BASE!A:R, 9, FALSE), "GENERAL"))</f>
        <v/>
      </c>
      <c r="H737" s="5">
        <f>IF(B737="","",IFERROR(VLOOKUP(B737, PLANTA_BASE!A:R, 17, FALSE), "GENERAL"))</f>
        <v/>
      </c>
    </row>
    <row r="738" ht="20" customHeight="1">
      <c r="A738" s="2">
        <f>IF(B738="","",IFERROR(VLOOKUP(B738, PLANTA_BASE!A:R, 2, FALSE), "NO ENCONTRADO EN PLANTA"))</f>
        <v/>
      </c>
      <c r="B738" s="3" t="inlineStr"/>
      <c r="C738" s="4">
        <f>IF(B738="","",IFERROR(VLOOKUP(B738, PLANTA_BASE!A:R, 3, FALSE), ""))</f>
        <v/>
      </c>
      <c r="D738" s="2">
        <f>IF(B738="","",IFERROR(VLOOKUP(B738, PLANTA_BASE!A:R, 5, FALSE), "NO ENCONTRADO EN PLANTA"))</f>
        <v/>
      </c>
      <c r="E738" s="2">
        <f>IF(B738="","",IFERROR(VLOOKUP(B738, PLANTA_BASE!A:R, 6, FALSE), "NO ENCONTRADO EN PLANTA"))</f>
        <v/>
      </c>
      <c r="F738" s="4">
        <f>IF(B738="","",IFERROR(VLOOKUP(B738, PLANTA_BASE!A:R, 8, FALSE), "DOCENTE / FACILITADOR"))</f>
        <v/>
      </c>
      <c r="G738" s="4">
        <f>IF(B738="","",IFERROR(VLOOKUP(B738, PLANTA_BASE!A:R, 9, FALSE), "GENERAL"))</f>
        <v/>
      </c>
      <c r="H738" s="2">
        <f>IF(B738="","",IFERROR(VLOOKUP(B738, PLANTA_BASE!A:R, 17, FALSE), "GENERAL"))</f>
        <v/>
      </c>
    </row>
    <row r="739" ht="20" customHeight="1">
      <c r="A739" s="5">
        <f>IF(B739="","",IFERROR(VLOOKUP(B739, PLANTA_BASE!A:R, 2, FALSE), "NO ENCONTRADO EN PLANTA"))</f>
        <v/>
      </c>
      <c r="B739" s="6" t="inlineStr"/>
      <c r="C739" s="7">
        <f>IF(B739="","",IFERROR(VLOOKUP(B739, PLANTA_BASE!A:R, 3, FALSE), ""))</f>
        <v/>
      </c>
      <c r="D739" s="5">
        <f>IF(B739="","",IFERROR(VLOOKUP(B739, PLANTA_BASE!A:R, 5, FALSE), "NO ENCONTRADO EN PLANTA"))</f>
        <v/>
      </c>
      <c r="E739" s="5">
        <f>IF(B739="","",IFERROR(VLOOKUP(B739, PLANTA_BASE!A:R, 6, FALSE), "NO ENCONTRADO EN PLANTA"))</f>
        <v/>
      </c>
      <c r="F739" s="7">
        <f>IF(B739="","",IFERROR(VLOOKUP(B739, PLANTA_BASE!A:R, 8, FALSE), "DOCENTE / FACILITADOR"))</f>
        <v/>
      </c>
      <c r="G739" s="7">
        <f>IF(B739="","",IFERROR(VLOOKUP(B739, PLANTA_BASE!A:R, 9, FALSE), "GENERAL"))</f>
        <v/>
      </c>
      <c r="H739" s="5">
        <f>IF(B739="","",IFERROR(VLOOKUP(B739, PLANTA_BASE!A:R, 17, FALSE), "GENERAL"))</f>
        <v/>
      </c>
    </row>
    <row r="740" ht="20" customHeight="1">
      <c r="A740" s="2">
        <f>IF(B740="","",IFERROR(VLOOKUP(B740, PLANTA_BASE!A:R, 2, FALSE), "NO ENCONTRADO EN PLANTA"))</f>
        <v/>
      </c>
      <c r="B740" s="3" t="inlineStr"/>
      <c r="C740" s="4">
        <f>IF(B740="","",IFERROR(VLOOKUP(B740, PLANTA_BASE!A:R, 3, FALSE), ""))</f>
        <v/>
      </c>
      <c r="D740" s="2">
        <f>IF(B740="","",IFERROR(VLOOKUP(B740, PLANTA_BASE!A:R, 5, FALSE), "NO ENCONTRADO EN PLANTA"))</f>
        <v/>
      </c>
      <c r="E740" s="2">
        <f>IF(B740="","",IFERROR(VLOOKUP(B740, PLANTA_BASE!A:R, 6, FALSE), "NO ENCONTRADO EN PLANTA"))</f>
        <v/>
      </c>
      <c r="F740" s="4">
        <f>IF(B740="","",IFERROR(VLOOKUP(B740, PLANTA_BASE!A:R, 8, FALSE), "DOCENTE / FACILITADOR"))</f>
        <v/>
      </c>
      <c r="G740" s="4">
        <f>IF(B740="","",IFERROR(VLOOKUP(B740, PLANTA_BASE!A:R, 9, FALSE), "GENERAL"))</f>
        <v/>
      </c>
      <c r="H740" s="2">
        <f>IF(B740="","",IFERROR(VLOOKUP(B740, PLANTA_BASE!A:R, 17, FALSE), "GENERAL"))</f>
        <v/>
      </c>
    </row>
    <row r="741" ht="20" customHeight="1">
      <c r="A741" s="5">
        <f>IF(B741="","",IFERROR(VLOOKUP(B741, PLANTA_BASE!A:R, 2, FALSE), "NO ENCONTRADO EN PLANTA"))</f>
        <v/>
      </c>
      <c r="B741" s="6" t="inlineStr"/>
      <c r="C741" s="7">
        <f>IF(B741="","",IFERROR(VLOOKUP(B741, PLANTA_BASE!A:R, 3, FALSE), ""))</f>
        <v/>
      </c>
      <c r="D741" s="5">
        <f>IF(B741="","",IFERROR(VLOOKUP(B741, PLANTA_BASE!A:R, 5, FALSE), "NO ENCONTRADO EN PLANTA"))</f>
        <v/>
      </c>
      <c r="E741" s="5">
        <f>IF(B741="","",IFERROR(VLOOKUP(B741, PLANTA_BASE!A:R, 6, FALSE), "NO ENCONTRADO EN PLANTA"))</f>
        <v/>
      </c>
      <c r="F741" s="7">
        <f>IF(B741="","",IFERROR(VLOOKUP(B741, PLANTA_BASE!A:R, 8, FALSE), "DOCENTE / FACILITADOR"))</f>
        <v/>
      </c>
      <c r="G741" s="7">
        <f>IF(B741="","",IFERROR(VLOOKUP(B741, PLANTA_BASE!A:R, 9, FALSE), "GENERAL"))</f>
        <v/>
      </c>
      <c r="H741" s="5">
        <f>IF(B741="","",IFERROR(VLOOKUP(B741, PLANTA_BASE!A:R, 17, FALSE), "GENERAL"))</f>
        <v/>
      </c>
    </row>
    <row r="742" ht="20" customHeight="1">
      <c r="A742" s="2">
        <f>IF(B742="","",IFERROR(VLOOKUP(B742, PLANTA_BASE!A:R, 2, FALSE), "NO ENCONTRADO EN PLANTA"))</f>
        <v/>
      </c>
      <c r="B742" s="3" t="inlineStr"/>
      <c r="C742" s="4">
        <f>IF(B742="","",IFERROR(VLOOKUP(B742, PLANTA_BASE!A:R, 3, FALSE), ""))</f>
        <v/>
      </c>
      <c r="D742" s="2">
        <f>IF(B742="","",IFERROR(VLOOKUP(B742, PLANTA_BASE!A:R, 5, FALSE), "NO ENCONTRADO EN PLANTA"))</f>
        <v/>
      </c>
      <c r="E742" s="2">
        <f>IF(B742="","",IFERROR(VLOOKUP(B742, PLANTA_BASE!A:R, 6, FALSE), "NO ENCONTRADO EN PLANTA"))</f>
        <v/>
      </c>
      <c r="F742" s="4">
        <f>IF(B742="","",IFERROR(VLOOKUP(B742, PLANTA_BASE!A:R, 8, FALSE), "DOCENTE / FACILITADOR"))</f>
        <v/>
      </c>
      <c r="G742" s="4">
        <f>IF(B742="","",IFERROR(VLOOKUP(B742, PLANTA_BASE!A:R, 9, FALSE), "GENERAL"))</f>
        <v/>
      </c>
      <c r="H742" s="2">
        <f>IF(B742="","",IFERROR(VLOOKUP(B742, PLANTA_BASE!A:R, 17, FALSE), "GENERAL"))</f>
        <v/>
      </c>
    </row>
    <row r="743" ht="20" customHeight="1">
      <c r="A743" s="5">
        <f>IF(B743="","",IFERROR(VLOOKUP(B743, PLANTA_BASE!A:R, 2, FALSE), "NO ENCONTRADO EN PLANTA"))</f>
        <v/>
      </c>
      <c r="B743" s="6" t="inlineStr"/>
      <c r="C743" s="7">
        <f>IF(B743="","",IFERROR(VLOOKUP(B743, PLANTA_BASE!A:R, 3, FALSE), ""))</f>
        <v/>
      </c>
      <c r="D743" s="5">
        <f>IF(B743="","",IFERROR(VLOOKUP(B743, PLANTA_BASE!A:R, 5, FALSE), "NO ENCONTRADO EN PLANTA"))</f>
        <v/>
      </c>
      <c r="E743" s="5">
        <f>IF(B743="","",IFERROR(VLOOKUP(B743, PLANTA_BASE!A:R, 6, FALSE), "NO ENCONTRADO EN PLANTA"))</f>
        <v/>
      </c>
      <c r="F743" s="7">
        <f>IF(B743="","",IFERROR(VLOOKUP(B743, PLANTA_BASE!A:R, 8, FALSE), "DOCENTE / FACILITADOR"))</f>
        <v/>
      </c>
      <c r="G743" s="7">
        <f>IF(B743="","",IFERROR(VLOOKUP(B743, PLANTA_BASE!A:R, 9, FALSE), "GENERAL"))</f>
        <v/>
      </c>
      <c r="H743" s="5">
        <f>IF(B743="","",IFERROR(VLOOKUP(B743, PLANTA_BASE!A:R, 17, FALSE), "GENERAL"))</f>
        <v/>
      </c>
    </row>
    <row r="744" ht="20" customHeight="1">
      <c r="A744" s="2">
        <f>IF(B744="","",IFERROR(VLOOKUP(B744, PLANTA_BASE!A:R, 2, FALSE), "NO ENCONTRADO EN PLANTA"))</f>
        <v/>
      </c>
      <c r="B744" s="3" t="inlineStr"/>
      <c r="C744" s="4">
        <f>IF(B744="","",IFERROR(VLOOKUP(B744, PLANTA_BASE!A:R, 3, FALSE), ""))</f>
        <v/>
      </c>
      <c r="D744" s="2">
        <f>IF(B744="","",IFERROR(VLOOKUP(B744, PLANTA_BASE!A:R, 5, FALSE), "NO ENCONTRADO EN PLANTA"))</f>
        <v/>
      </c>
      <c r="E744" s="2">
        <f>IF(B744="","",IFERROR(VLOOKUP(B744, PLANTA_BASE!A:R, 6, FALSE), "NO ENCONTRADO EN PLANTA"))</f>
        <v/>
      </c>
      <c r="F744" s="4">
        <f>IF(B744="","",IFERROR(VLOOKUP(B744, PLANTA_BASE!A:R, 8, FALSE), "DOCENTE / FACILITADOR"))</f>
        <v/>
      </c>
      <c r="G744" s="4">
        <f>IF(B744="","",IFERROR(VLOOKUP(B744, PLANTA_BASE!A:R, 9, FALSE), "GENERAL"))</f>
        <v/>
      </c>
      <c r="H744" s="2">
        <f>IF(B744="","",IFERROR(VLOOKUP(B744, PLANTA_BASE!A:R, 17, FALSE), "GENERAL"))</f>
        <v/>
      </c>
    </row>
    <row r="745" ht="20" customHeight="1">
      <c r="A745" s="5">
        <f>IF(B745="","",IFERROR(VLOOKUP(B745, PLANTA_BASE!A:R, 2, FALSE), "NO ENCONTRADO EN PLANTA"))</f>
        <v/>
      </c>
      <c r="B745" s="6" t="inlineStr"/>
      <c r="C745" s="7">
        <f>IF(B745="","",IFERROR(VLOOKUP(B745, PLANTA_BASE!A:R, 3, FALSE), ""))</f>
        <v/>
      </c>
      <c r="D745" s="5">
        <f>IF(B745="","",IFERROR(VLOOKUP(B745, PLANTA_BASE!A:R, 5, FALSE), "NO ENCONTRADO EN PLANTA"))</f>
        <v/>
      </c>
      <c r="E745" s="5">
        <f>IF(B745="","",IFERROR(VLOOKUP(B745, PLANTA_BASE!A:R, 6, FALSE), "NO ENCONTRADO EN PLANTA"))</f>
        <v/>
      </c>
      <c r="F745" s="7">
        <f>IF(B745="","",IFERROR(VLOOKUP(B745, PLANTA_BASE!A:R, 8, FALSE), "DOCENTE / FACILITADOR"))</f>
        <v/>
      </c>
      <c r="G745" s="7">
        <f>IF(B745="","",IFERROR(VLOOKUP(B745, PLANTA_BASE!A:R, 9, FALSE), "GENERAL"))</f>
        <v/>
      </c>
      <c r="H745" s="5">
        <f>IF(B745="","",IFERROR(VLOOKUP(B745, PLANTA_BASE!A:R, 17, FALSE), "GENERAL"))</f>
        <v/>
      </c>
    </row>
    <row r="746" ht="20" customHeight="1">
      <c r="A746" s="2">
        <f>IF(B746="","",IFERROR(VLOOKUP(B746, PLANTA_BASE!A:R, 2, FALSE), "NO ENCONTRADO EN PLANTA"))</f>
        <v/>
      </c>
      <c r="B746" s="3" t="inlineStr"/>
      <c r="C746" s="4">
        <f>IF(B746="","",IFERROR(VLOOKUP(B746, PLANTA_BASE!A:R, 3, FALSE), ""))</f>
        <v/>
      </c>
      <c r="D746" s="2">
        <f>IF(B746="","",IFERROR(VLOOKUP(B746, PLANTA_BASE!A:R, 5, FALSE), "NO ENCONTRADO EN PLANTA"))</f>
        <v/>
      </c>
      <c r="E746" s="2">
        <f>IF(B746="","",IFERROR(VLOOKUP(B746, PLANTA_BASE!A:R, 6, FALSE), "NO ENCONTRADO EN PLANTA"))</f>
        <v/>
      </c>
      <c r="F746" s="4">
        <f>IF(B746="","",IFERROR(VLOOKUP(B746, PLANTA_BASE!A:R, 8, FALSE), "DOCENTE / FACILITADOR"))</f>
        <v/>
      </c>
      <c r="G746" s="4">
        <f>IF(B746="","",IFERROR(VLOOKUP(B746, PLANTA_BASE!A:R, 9, FALSE), "GENERAL"))</f>
        <v/>
      </c>
      <c r="H746" s="2">
        <f>IF(B746="","",IFERROR(VLOOKUP(B746, PLANTA_BASE!A:R, 17, FALSE), "GENERAL"))</f>
        <v/>
      </c>
    </row>
    <row r="747" ht="20" customHeight="1">
      <c r="A747" s="5">
        <f>IF(B747="","",IFERROR(VLOOKUP(B747, PLANTA_BASE!A:R, 2, FALSE), "NO ENCONTRADO EN PLANTA"))</f>
        <v/>
      </c>
      <c r="B747" s="6" t="inlineStr"/>
      <c r="C747" s="7">
        <f>IF(B747="","",IFERROR(VLOOKUP(B747, PLANTA_BASE!A:R, 3, FALSE), ""))</f>
        <v/>
      </c>
      <c r="D747" s="5">
        <f>IF(B747="","",IFERROR(VLOOKUP(B747, PLANTA_BASE!A:R, 5, FALSE), "NO ENCONTRADO EN PLANTA"))</f>
        <v/>
      </c>
      <c r="E747" s="5">
        <f>IF(B747="","",IFERROR(VLOOKUP(B747, PLANTA_BASE!A:R, 6, FALSE), "NO ENCONTRADO EN PLANTA"))</f>
        <v/>
      </c>
      <c r="F747" s="7">
        <f>IF(B747="","",IFERROR(VLOOKUP(B747, PLANTA_BASE!A:R, 8, FALSE), "DOCENTE / FACILITADOR"))</f>
        <v/>
      </c>
      <c r="G747" s="7">
        <f>IF(B747="","",IFERROR(VLOOKUP(B747, PLANTA_BASE!A:R, 9, FALSE), "GENERAL"))</f>
        <v/>
      </c>
      <c r="H747" s="5">
        <f>IF(B747="","",IFERROR(VLOOKUP(B747, PLANTA_BASE!A:R, 17, FALSE), "GENERAL"))</f>
        <v/>
      </c>
    </row>
    <row r="748" ht="20" customHeight="1">
      <c r="A748" s="2">
        <f>IF(B748="","",IFERROR(VLOOKUP(B748, PLANTA_BASE!A:R, 2, FALSE), "NO ENCONTRADO EN PLANTA"))</f>
        <v/>
      </c>
      <c r="B748" s="3" t="inlineStr"/>
      <c r="C748" s="4">
        <f>IF(B748="","",IFERROR(VLOOKUP(B748, PLANTA_BASE!A:R, 3, FALSE), ""))</f>
        <v/>
      </c>
      <c r="D748" s="2">
        <f>IF(B748="","",IFERROR(VLOOKUP(B748, PLANTA_BASE!A:R, 5, FALSE), "NO ENCONTRADO EN PLANTA"))</f>
        <v/>
      </c>
      <c r="E748" s="2">
        <f>IF(B748="","",IFERROR(VLOOKUP(B748, PLANTA_BASE!A:R, 6, FALSE), "NO ENCONTRADO EN PLANTA"))</f>
        <v/>
      </c>
      <c r="F748" s="4">
        <f>IF(B748="","",IFERROR(VLOOKUP(B748, PLANTA_BASE!A:R, 8, FALSE), "DOCENTE / FACILITADOR"))</f>
        <v/>
      </c>
      <c r="G748" s="4">
        <f>IF(B748="","",IFERROR(VLOOKUP(B748, PLANTA_BASE!A:R, 9, FALSE), "GENERAL"))</f>
        <v/>
      </c>
      <c r="H748" s="2">
        <f>IF(B748="","",IFERROR(VLOOKUP(B748, PLANTA_BASE!A:R, 17, FALSE), "GENERAL"))</f>
        <v/>
      </c>
    </row>
    <row r="749" ht="20" customHeight="1">
      <c r="A749" s="5">
        <f>IF(B749="","",IFERROR(VLOOKUP(B749, PLANTA_BASE!A:R, 2, FALSE), "NO ENCONTRADO EN PLANTA"))</f>
        <v/>
      </c>
      <c r="B749" s="6" t="inlineStr"/>
      <c r="C749" s="7">
        <f>IF(B749="","",IFERROR(VLOOKUP(B749, PLANTA_BASE!A:R, 3, FALSE), ""))</f>
        <v/>
      </c>
      <c r="D749" s="5">
        <f>IF(B749="","",IFERROR(VLOOKUP(B749, PLANTA_BASE!A:R, 5, FALSE), "NO ENCONTRADO EN PLANTA"))</f>
        <v/>
      </c>
      <c r="E749" s="5">
        <f>IF(B749="","",IFERROR(VLOOKUP(B749, PLANTA_BASE!A:R, 6, FALSE), "NO ENCONTRADO EN PLANTA"))</f>
        <v/>
      </c>
      <c r="F749" s="7">
        <f>IF(B749="","",IFERROR(VLOOKUP(B749, PLANTA_BASE!A:R, 8, FALSE), "DOCENTE / FACILITADOR"))</f>
        <v/>
      </c>
      <c r="G749" s="7">
        <f>IF(B749="","",IFERROR(VLOOKUP(B749, PLANTA_BASE!A:R, 9, FALSE), "GENERAL"))</f>
        <v/>
      </c>
      <c r="H749" s="5">
        <f>IF(B749="","",IFERROR(VLOOKUP(B749, PLANTA_BASE!A:R, 17, FALSE), "GENERAL"))</f>
        <v/>
      </c>
    </row>
    <row r="750" ht="20" customHeight="1">
      <c r="A750" s="2">
        <f>IF(B750="","",IFERROR(VLOOKUP(B750, PLANTA_BASE!A:R, 2, FALSE), "NO ENCONTRADO EN PLANTA"))</f>
        <v/>
      </c>
      <c r="B750" s="3" t="inlineStr"/>
      <c r="C750" s="4">
        <f>IF(B750="","",IFERROR(VLOOKUP(B750, PLANTA_BASE!A:R, 3, FALSE), ""))</f>
        <v/>
      </c>
      <c r="D750" s="2">
        <f>IF(B750="","",IFERROR(VLOOKUP(B750, PLANTA_BASE!A:R, 5, FALSE), "NO ENCONTRADO EN PLANTA"))</f>
        <v/>
      </c>
      <c r="E750" s="2">
        <f>IF(B750="","",IFERROR(VLOOKUP(B750, PLANTA_BASE!A:R, 6, FALSE), "NO ENCONTRADO EN PLANTA"))</f>
        <v/>
      </c>
      <c r="F750" s="4">
        <f>IF(B750="","",IFERROR(VLOOKUP(B750, PLANTA_BASE!A:R, 8, FALSE), "DOCENTE / FACILITADOR"))</f>
        <v/>
      </c>
      <c r="G750" s="4">
        <f>IF(B750="","",IFERROR(VLOOKUP(B750, PLANTA_BASE!A:R, 9, FALSE), "GENERAL"))</f>
        <v/>
      </c>
      <c r="H750" s="2">
        <f>IF(B750="","",IFERROR(VLOOKUP(B750, PLANTA_BASE!A:R, 17, FALSE), "GENERAL"))</f>
        <v/>
      </c>
    </row>
    <row r="751" ht="20" customHeight="1">
      <c r="A751" s="5">
        <f>IF(B751="","",IFERROR(VLOOKUP(B751, PLANTA_BASE!A:R, 2, FALSE), "NO ENCONTRADO EN PLANTA"))</f>
        <v/>
      </c>
      <c r="B751" s="6" t="inlineStr"/>
      <c r="C751" s="7">
        <f>IF(B751="","",IFERROR(VLOOKUP(B751, PLANTA_BASE!A:R, 3, FALSE), ""))</f>
        <v/>
      </c>
      <c r="D751" s="5">
        <f>IF(B751="","",IFERROR(VLOOKUP(B751, PLANTA_BASE!A:R, 5, FALSE), "NO ENCONTRADO EN PLANTA"))</f>
        <v/>
      </c>
      <c r="E751" s="5">
        <f>IF(B751="","",IFERROR(VLOOKUP(B751, PLANTA_BASE!A:R, 6, FALSE), "NO ENCONTRADO EN PLANTA"))</f>
        <v/>
      </c>
      <c r="F751" s="7">
        <f>IF(B751="","",IFERROR(VLOOKUP(B751, PLANTA_BASE!A:R, 8, FALSE), "DOCENTE / FACILITADOR"))</f>
        <v/>
      </c>
      <c r="G751" s="7">
        <f>IF(B751="","",IFERROR(VLOOKUP(B751, PLANTA_BASE!A:R, 9, FALSE), "GENERAL"))</f>
        <v/>
      </c>
      <c r="H751" s="5">
        <f>IF(B751="","",IFERROR(VLOOKUP(B751, PLANTA_BASE!A:R, 17, FALSE), "GENERAL"))</f>
        <v/>
      </c>
    </row>
    <row r="752" ht="20" customHeight="1">
      <c r="A752" s="2">
        <f>IF(B752="","",IFERROR(VLOOKUP(B752, PLANTA_BASE!A:R, 2, FALSE), "NO ENCONTRADO EN PLANTA"))</f>
        <v/>
      </c>
      <c r="B752" s="3" t="inlineStr"/>
      <c r="C752" s="4">
        <f>IF(B752="","",IFERROR(VLOOKUP(B752, PLANTA_BASE!A:R, 3, FALSE), ""))</f>
        <v/>
      </c>
      <c r="D752" s="2">
        <f>IF(B752="","",IFERROR(VLOOKUP(B752, PLANTA_BASE!A:R, 5, FALSE), "NO ENCONTRADO EN PLANTA"))</f>
        <v/>
      </c>
      <c r="E752" s="2">
        <f>IF(B752="","",IFERROR(VLOOKUP(B752, PLANTA_BASE!A:R, 6, FALSE), "NO ENCONTRADO EN PLANTA"))</f>
        <v/>
      </c>
      <c r="F752" s="4">
        <f>IF(B752="","",IFERROR(VLOOKUP(B752, PLANTA_BASE!A:R, 8, FALSE), "DOCENTE / FACILITADOR"))</f>
        <v/>
      </c>
      <c r="G752" s="4">
        <f>IF(B752="","",IFERROR(VLOOKUP(B752, PLANTA_BASE!A:R, 9, FALSE), "GENERAL"))</f>
        <v/>
      </c>
      <c r="H752" s="2">
        <f>IF(B752="","",IFERROR(VLOOKUP(B752, PLANTA_BASE!A:R, 17, FALSE), "GENERAL"))</f>
        <v/>
      </c>
    </row>
    <row r="753" ht="20" customHeight="1">
      <c r="A753" s="5">
        <f>IF(B753="","",IFERROR(VLOOKUP(B753, PLANTA_BASE!A:R, 2, FALSE), "NO ENCONTRADO EN PLANTA"))</f>
        <v/>
      </c>
      <c r="B753" s="6" t="inlineStr"/>
      <c r="C753" s="7">
        <f>IF(B753="","",IFERROR(VLOOKUP(B753, PLANTA_BASE!A:R, 3, FALSE), ""))</f>
        <v/>
      </c>
      <c r="D753" s="5">
        <f>IF(B753="","",IFERROR(VLOOKUP(B753, PLANTA_BASE!A:R, 5, FALSE), "NO ENCONTRADO EN PLANTA"))</f>
        <v/>
      </c>
      <c r="E753" s="5">
        <f>IF(B753="","",IFERROR(VLOOKUP(B753, PLANTA_BASE!A:R, 6, FALSE), "NO ENCONTRADO EN PLANTA"))</f>
        <v/>
      </c>
      <c r="F753" s="7">
        <f>IF(B753="","",IFERROR(VLOOKUP(B753, PLANTA_BASE!A:R, 8, FALSE), "DOCENTE / FACILITADOR"))</f>
        <v/>
      </c>
      <c r="G753" s="7">
        <f>IF(B753="","",IFERROR(VLOOKUP(B753, PLANTA_BASE!A:R, 9, FALSE), "GENERAL"))</f>
        <v/>
      </c>
      <c r="H753" s="5">
        <f>IF(B753="","",IFERROR(VLOOKUP(B753, PLANTA_BASE!A:R, 17, FALSE), "GENERAL"))</f>
        <v/>
      </c>
    </row>
    <row r="754" ht="20" customHeight="1">
      <c r="A754" s="2">
        <f>IF(B754="","",IFERROR(VLOOKUP(B754, PLANTA_BASE!A:R, 2, FALSE), "NO ENCONTRADO EN PLANTA"))</f>
        <v/>
      </c>
      <c r="B754" s="3" t="inlineStr"/>
      <c r="C754" s="4">
        <f>IF(B754="","",IFERROR(VLOOKUP(B754, PLANTA_BASE!A:R, 3, FALSE), ""))</f>
        <v/>
      </c>
      <c r="D754" s="2">
        <f>IF(B754="","",IFERROR(VLOOKUP(B754, PLANTA_BASE!A:R, 5, FALSE), "NO ENCONTRADO EN PLANTA"))</f>
        <v/>
      </c>
      <c r="E754" s="2">
        <f>IF(B754="","",IFERROR(VLOOKUP(B754, PLANTA_BASE!A:R, 6, FALSE), "NO ENCONTRADO EN PLANTA"))</f>
        <v/>
      </c>
      <c r="F754" s="4">
        <f>IF(B754="","",IFERROR(VLOOKUP(B754, PLANTA_BASE!A:R, 8, FALSE), "DOCENTE / FACILITADOR"))</f>
        <v/>
      </c>
      <c r="G754" s="4">
        <f>IF(B754="","",IFERROR(VLOOKUP(B754, PLANTA_BASE!A:R, 9, FALSE), "GENERAL"))</f>
        <v/>
      </c>
      <c r="H754" s="2">
        <f>IF(B754="","",IFERROR(VLOOKUP(B754, PLANTA_BASE!A:R, 17, FALSE), "GENERAL"))</f>
        <v/>
      </c>
    </row>
    <row r="755" ht="20" customHeight="1">
      <c r="A755" s="5">
        <f>IF(B755="","",IFERROR(VLOOKUP(B755, PLANTA_BASE!A:R, 2, FALSE), "NO ENCONTRADO EN PLANTA"))</f>
        <v/>
      </c>
      <c r="B755" s="6" t="inlineStr"/>
      <c r="C755" s="7">
        <f>IF(B755="","",IFERROR(VLOOKUP(B755, PLANTA_BASE!A:R, 3, FALSE), ""))</f>
        <v/>
      </c>
      <c r="D755" s="5">
        <f>IF(B755="","",IFERROR(VLOOKUP(B755, PLANTA_BASE!A:R, 5, FALSE), "NO ENCONTRADO EN PLANTA"))</f>
        <v/>
      </c>
      <c r="E755" s="5">
        <f>IF(B755="","",IFERROR(VLOOKUP(B755, PLANTA_BASE!A:R, 6, FALSE), "NO ENCONTRADO EN PLANTA"))</f>
        <v/>
      </c>
      <c r="F755" s="7">
        <f>IF(B755="","",IFERROR(VLOOKUP(B755, PLANTA_BASE!A:R, 8, FALSE), "DOCENTE / FACILITADOR"))</f>
        <v/>
      </c>
      <c r="G755" s="7">
        <f>IF(B755="","",IFERROR(VLOOKUP(B755, PLANTA_BASE!A:R, 9, FALSE), "GENERAL"))</f>
        <v/>
      </c>
      <c r="H755" s="5">
        <f>IF(B755="","",IFERROR(VLOOKUP(B755, PLANTA_BASE!A:R, 17, FALSE), "GENERAL"))</f>
        <v/>
      </c>
    </row>
    <row r="756" ht="20" customHeight="1">
      <c r="A756" s="2">
        <f>IF(B756="","",IFERROR(VLOOKUP(B756, PLANTA_BASE!A:R, 2, FALSE), "NO ENCONTRADO EN PLANTA"))</f>
        <v/>
      </c>
      <c r="B756" s="3" t="inlineStr"/>
      <c r="C756" s="4">
        <f>IF(B756="","",IFERROR(VLOOKUP(B756, PLANTA_BASE!A:R, 3, FALSE), ""))</f>
        <v/>
      </c>
      <c r="D756" s="2">
        <f>IF(B756="","",IFERROR(VLOOKUP(B756, PLANTA_BASE!A:R, 5, FALSE), "NO ENCONTRADO EN PLANTA"))</f>
        <v/>
      </c>
      <c r="E756" s="2">
        <f>IF(B756="","",IFERROR(VLOOKUP(B756, PLANTA_BASE!A:R, 6, FALSE), "NO ENCONTRADO EN PLANTA"))</f>
        <v/>
      </c>
      <c r="F756" s="4">
        <f>IF(B756="","",IFERROR(VLOOKUP(B756, PLANTA_BASE!A:R, 8, FALSE), "DOCENTE / FACILITADOR"))</f>
        <v/>
      </c>
      <c r="G756" s="4">
        <f>IF(B756="","",IFERROR(VLOOKUP(B756, PLANTA_BASE!A:R, 9, FALSE), "GENERAL"))</f>
        <v/>
      </c>
      <c r="H756" s="2">
        <f>IF(B756="","",IFERROR(VLOOKUP(B756, PLANTA_BASE!A:R, 17, FALSE), "GENERAL"))</f>
        <v/>
      </c>
    </row>
    <row r="757" ht="20" customHeight="1">
      <c r="A757" s="5">
        <f>IF(B757="","",IFERROR(VLOOKUP(B757, PLANTA_BASE!A:R, 2, FALSE), "NO ENCONTRADO EN PLANTA"))</f>
        <v/>
      </c>
      <c r="B757" s="6" t="inlineStr"/>
      <c r="C757" s="7">
        <f>IF(B757="","",IFERROR(VLOOKUP(B757, PLANTA_BASE!A:R, 3, FALSE), ""))</f>
        <v/>
      </c>
      <c r="D757" s="5">
        <f>IF(B757="","",IFERROR(VLOOKUP(B757, PLANTA_BASE!A:R, 5, FALSE), "NO ENCONTRADO EN PLANTA"))</f>
        <v/>
      </c>
      <c r="E757" s="5">
        <f>IF(B757="","",IFERROR(VLOOKUP(B757, PLANTA_BASE!A:R, 6, FALSE), "NO ENCONTRADO EN PLANTA"))</f>
        <v/>
      </c>
      <c r="F757" s="7">
        <f>IF(B757="","",IFERROR(VLOOKUP(B757, PLANTA_BASE!A:R, 8, FALSE), "DOCENTE / FACILITADOR"))</f>
        <v/>
      </c>
      <c r="G757" s="7">
        <f>IF(B757="","",IFERROR(VLOOKUP(B757, PLANTA_BASE!A:R, 9, FALSE), "GENERAL"))</f>
        <v/>
      </c>
      <c r="H757" s="5">
        <f>IF(B757="","",IFERROR(VLOOKUP(B757, PLANTA_BASE!A:R, 17, FALSE), "GENERAL"))</f>
        <v/>
      </c>
    </row>
    <row r="758" ht="20" customHeight="1">
      <c r="A758" s="2">
        <f>IF(B758="","",IFERROR(VLOOKUP(B758, PLANTA_BASE!A:R, 2, FALSE), "NO ENCONTRADO EN PLANTA"))</f>
        <v/>
      </c>
      <c r="B758" s="3" t="inlineStr"/>
      <c r="C758" s="4">
        <f>IF(B758="","",IFERROR(VLOOKUP(B758, PLANTA_BASE!A:R, 3, FALSE), ""))</f>
        <v/>
      </c>
      <c r="D758" s="2">
        <f>IF(B758="","",IFERROR(VLOOKUP(B758, PLANTA_BASE!A:R, 5, FALSE), "NO ENCONTRADO EN PLANTA"))</f>
        <v/>
      </c>
      <c r="E758" s="2">
        <f>IF(B758="","",IFERROR(VLOOKUP(B758, PLANTA_BASE!A:R, 6, FALSE), "NO ENCONTRADO EN PLANTA"))</f>
        <v/>
      </c>
      <c r="F758" s="4">
        <f>IF(B758="","",IFERROR(VLOOKUP(B758, PLANTA_BASE!A:R, 8, FALSE), "DOCENTE / FACILITADOR"))</f>
        <v/>
      </c>
      <c r="G758" s="4">
        <f>IF(B758="","",IFERROR(VLOOKUP(B758, PLANTA_BASE!A:R, 9, FALSE), "GENERAL"))</f>
        <v/>
      </c>
      <c r="H758" s="2">
        <f>IF(B758="","",IFERROR(VLOOKUP(B758, PLANTA_BASE!A:R, 17, FALSE), "GENERAL"))</f>
        <v/>
      </c>
    </row>
    <row r="759" ht="20" customHeight="1">
      <c r="A759" s="5">
        <f>IF(B759="","",IFERROR(VLOOKUP(B759, PLANTA_BASE!A:R, 2, FALSE), "NO ENCONTRADO EN PLANTA"))</f>
        <v/>
      </c>
      <c r="B759" s="6" t="inlineStr"/>
      <c r="C759" s="7">
        <f>IF(B759="","",IFERROR(VLOOKUP(B759, PLANTA_BASE!A:R, 3, FALSE), ""))</f>
        <v/>
      </c>
      <c r="D759" s="5">
        <f>IF(B759="","",IFERROR(VLOOKUP(B759, PLANTA_BASE!A:R, 5, FALSE), "NO ENCONTRADO EN PLANTA"))</f>
        <v/>
      </c>
      <c r="E759" s="5">
        <f>IF(B759="","",IFERROR(VLOOKUP(B759, PLANTA_BASE!A:R, 6, FALSE), "NO ENCONTRADO EN PLANTA"))</f>
        <v/>
      </c>
      <c r="F759" s="7">
        <f>IF(B759="","",IFERROR(VLOOKUP(B759, PLANTA_BASE!A:R, 8, FALSE), "DOCENTE / FACILITADOR"))</f>
        <v/>
      </c>
      <c r="G759" s="7">
        <f>IF(B759="","",IFERROR(VLOOKUP(B759, PLANTA_BASE!A:R, 9, FALSE), "GENERAL"))</f>
        <v/>
      </c>
      <c r="H759" s="5">
        <f>IF(B759="","",IFERROR(VLOOKUP(B759, PLANTA_BASE!A:R, 17, FALSE), "GENERAL"))</f>
        <v/>
      </c>
    </row>
    <row r="760" ht="20" customHeight="1">
      <c r="A760" s="2">
        <f>IF(B760="","",IFERROR(VLOOKUP(B760, PLANTA_BASE!A:R, 2, FALSE), "NO ENCONTRADO EN PLANTA"))</f>
        <v/>
      </c>
      <c r="B760" s="3" t="inlineStr"/>
      <c r="C760" s="4">
        <f>IF(B760="","",IFERROR(VLOOKUP(B760, PLANTA_BASE!A:R, 3, FALSE), ""))</f>
        <v/>
      </c>
      <c r="D760" s="2">
        <f>IF(B760="","",IFERROR(VLOOKUP(B760, PLANTA_BASE!A:R, 5, FALSE), "NO ENCONTRADO EN PLANTA"))</f>
        <v/>
      </c>
      <c r="E760" s="2">
        <f>IF(B760="","",IFERROR(VLOOKUP(B760, PLANTA_BASE!A:R, 6, FALSE), "NO ENCONTRADO EN PLANTA"))</f>
        <v/>
      </c>
      <c r="F760" s="4">
        <f>IF(B760="","",IFERROR(VLOOKUP(B760, PLANTA_BASE!A:R, 8, FALSE), "DOCENTE / FACILITADOR"))</f>
        <v/>
      </c>
      <c r="G760" s="4">
        <f>IF(B760="","",IFERROR(VLOOKUP(B760, PLANTA_BASE!A:R, 9, FALSE), "GENERAL"))</f>
        <v/>
      </c>
      <c r="H760" s="2">
        <f>IF(B760="","",IFERROR(VLOOKUP(B760, PLANTA_BASE!A:R, 17, FALSE), "GENERAL"))</f>
        <v/>
      </c>
    </row>
    <row r="761" ht="20" customHeight="1">
      <c r="A761" s="5">
        <f>IF(B761="","",IFERROR(VLOOKUP(B761, PLANTA_BASE!A:R, 2, FALSE), "NO ENCONTRADO EN PLANTA"))</f>
        <v/>
      </c>
      <c r="B761" s="6" t="inlineStr"/>
      <c r="C761" s="7">
        <f>IF(B761="","",IFERROR(VLOOKUP(B761, PLANTA_BASE!A:R, 3, FALSE), ""))</f>
        <v/>
      </c>
      <c r="D761" s="5">
        <f>IF(B761="","",IFERROR(VLOOKUP(B761, PLANTA_BASE!A:R, 5, FALSE), "NO ENCONTRADO EN PLANTA"))</f>
        <v/>
      </c>
      <c r="E761" s="5">
        <f>IF(B761="","",IFERROR(VLOOKUP(B761, PLANTA_BASE!A:R, 6, FALSE), "NO ENCONTRADO EN PLANTA"))</f>
        <v/>
      </c>
      <c r="F761" s="7">
        <f>IF(B761="","",IFERROR(VLOOKUP(B761, PLANTA_BASE!A:R, 8, FALSE), "DOCENTE / FACILITADOR"))</f>
        <v/>
      </c>
      <c r="G761" s="7">
        <f>IF(B761="","",IFERROR(VLOOKUP(B761, PLANTA_BASE!A:R, 9, FALSE), "GENERAL"))</f>
        <v/>
      </c>
      <c r="H761" s="5">
        <f>IF(B761="","",IFERROR(VLOOKUP(B761, PLANTA_BASE!A:R, 17, FALSE), "GENERAL"))</f>
        <v/>
      </c>
    </row>
    <row r="762" ht="20" customHeight="1">
      <c r="A762" s="2">
        <f>IF(B762="","",IFERROR(VLOOKUP(B762, PLANTA_BASE!A:R, 2, FALSE), "NO ENCONTRADO EN PLANTA"))</f>
        <v/>
      </c>
      <c r="B762" s="3" t="inlineStr"/>
      <c r="C762" s="4">
        <f>IF(B762="","",IFERROR(VLOOKUP(B762, PLANTA_BASE!A:R, 3, FALSE), ""))</f>
        <v/>
      </c>
      <c r="D762" s="2">
        <f>IF(B762="","",IFERROR(VLOOKUP(B762, PLANTA_BASE!A:R, 5, FALSE), "NO ENCONTRADO EN PLANTA"))</f>
        <v/>
      </c>
      <c r="E762" s="2">
        <f>IF(B762="","",IFERROR(VLOOKUP(B762, PLANTA_BASE!A:R, 6, FALSE), "NO ENCONTRADO EN PLANTA"))</f>
        <v/>
      </c>
      <c r="F762" s="4">
        <f>IF(B762="","",IFERROR(VLOOKUP(B762, PLANTA_BASE!A:R, 8, FALSE), "DOCENTE / FACILITADOR"))</f>
        <v/>
      </c>
      <c r="G762" s="4">
        <f>IF(B762="","",IFERROR(VLOOKUP(B762, PLANTA_BASE!A:R, 9, FALSE), "GENERAL"))</f>
        <v/>
      </c>
      <c r="H762" s="2">
        <f>IF(B762="","",IFERROR(VLOOKUP(B762, PLANTA_BASE!A:R, 17, FALSE), "GENERAL"))</f>
        <v/>
      </c>
    </row>
    <row r="763" ht="20" customHeight="1">
      <c r="A763" s="5">
        <f>IF(B763="","",IFERROR(VLOOKUP(B763, PLANTA_BASE!A:R, 2, FALSE), "NO ENCONTRADO EN PLANTA"))</f>
        <v/>
      </c>
      <c r="B763" s="6" t="inlineStr"/>
      <c r="C763" s="7">
        <f>IF(B763="","",IFERROR(VLOOKUP(B763, PLANTA_BASE!A:R, 3, FALSE), ""))</f>
        <v/>
      </c>
      <c r="D763" s="5">
        <f>IF(B763="","",IFERROR(VLOOKUP(B763, PLANTA_BASE!A:R, 5, FALSE), "NO ENCONTRADO EN PLANTA"))</f>
        <v/>
      </c>
      <c r="E763" s="5">
        <f>IF(B763="","",IFERROR(VLOOKUP(B763, PLANTA_BASE!A:R, 6, FALSE), "NO ENCONTRADO EN PLANTA"))</f>
        <v/>
      </c>
      <c r="F763" s="7">
        <f>IF(B763="","",IFERROR(VLOOKUP(B763, PLANTA_BASE!A:R, 8, FALSE), "DOCENTE / FACILITADOR"))</f>
        <v/>
      </c>
      <c r="G763" s="7">
        <f>IF(B763="","",IFERROR(VLOOKUP(B763, PLANTA_BASE!A:R, 9, FALSE), "GENERAL"))</f>
        <v/>
      </c>
      <c r="H763" s="5">
        <f>IF(B763="","",IFERROR(VLOOKUP(B763, PLANTA_BASE!A:R, 17, FALSE), "GENERAL"))</f>
        <v/>
      </c>
    </row>
    <row r="764" ht="20" customHeight="1">
      <c r="A764" s="2">
        <f>IF(B764="","",IFERROR(VLOOKUP(B764, PLANTA_BASE!A:R, 2, FALSE), "NO ENCONTRADO EN PLANTA"))</f>
        <v/>
      </c>
      <c r="B764" s="3" t="inlineStr"/>
      <c r="C764" s="4">
        <f>IF(B764="","",IFERROR(VLOOKUP(B764, PLANTA_BASE!A:R, 3, FALSE), ""))</f>
        <v/>
      </c>
      <c r="D764" s="2">
        <f>IF(B764="","",IFERROR(VLOOKUP(B764, PLANTA_BASE!A:R, 5, FALSE), "NO ENCONTRADO EN PLANTA"))</f>
        <v/>
      </c>
      <c r="E764" s="2">
        <f>IF(B764="","",IFERROR(VLOOKUP(B764, PLANTA_BASE!A:R, 6, FALSE), "NO ENCONTRADO EN PLANTA"))</f>
        <v/>
      </c>
      <c r="F764" s="4">
        <f>IF(B764="","",IFERROR(VLOOKUP(B764, PLANTA_BASE!A:R, 8, FALSE), "DOCENTE / FACILITADOR"))</f>
        <v/>
      </c>
      <c r="G764" s="4">
        <f>IF(B764="","",IFERROR(VLOOKUP(B764, PLANTA_BASE!A:R, 9, FALSE), "GENERAL"))</f>
        <v/>
      </c>
      <c r="H764" s="2">
        <f>IF(B764="","",IFERROR(VLOOKUP(B764, PLANTA_BASE!A:R, 17, FALSE), "GENERAL"))</f>
        <v/>
      </c>
    </row>
    <row r="765" ht="20" customHeight="1">
      <c r="A765" s="5">
        <f>IF(B765="","",IFERROR(VLOOKUP(B765, PLANTA_BASE!A:R, 2, FALSE), "NO ENCONTRADO EN PLANTA"))</f>
        <v/>
      </c>
      <c r="B765" s="6" t="inlineStr"/>
      <c r="C765" s="7">
        <f>IF(B765="","",IFERROR(VLOOKUP(B765, PLANTA_BASE!A:R, 3, FALSE), ""))</f>
        <v/>
      </c>
      <c r="D765" s="5">
        <f>IF(B765="","",IFERROR(VLOOKUP(B765, PLANTA_BASE!A:R, 5, FALSE), "NO ENCONTRADO EN PLANTA"))</f>
        <v/>
      </c>
      <c r="E765" s="5">
        <f>IF(B765="","",IFERROR(VLOOKUP(B765, PLANTA_BASE!A:R, 6, FALSE), "NO ENCONTRADO EN PLANTA"))</f>
        <v/>
      </c>
      <c r="F765" s="7">
        <f>IF(B765="","",IFERROR(VLOOKUP(B765, PLANTA_BASE!A:R, 8, FALSE), "DOCENTE / FACILITADOR"))</f>
        <v/>
      </c>
      <c r="G765" s="7">
        <f>IF(B765="","",IFERROR(VLOOKUP(B765, PLANTA_BASE!A:R, 9, FALSE), "GENERAL"))</f>
        <v/>
      </c>
      <c r="H765" s="5">
        <f>IF(B765="","",IFERROR(VLOOKUP(B765, PLANTA_BASE!A:R, 17, FALSE), "GENERAL"))</f>
        <v/>
      </c>
    </row>
    <row r="766" ht="20" customHeight="1">
      <c r="A766" s="2">
        <f>IF(B766="","",IFERROR(VLOOKUP(B766, PLANTA_BASE!A:R, 2, FALSE), "NO ENCONTRADO EN PLANTA"))</f>
        <v/>
      </c>
      <c r="B766" s="3" t="inlineStr"/>
      <c r="C766" s="4">
        <f>IF(B766="","",IFERROR(VLOOKUP(B766, PLANTA_BASE!A:R, 3, FALSE), ""))</f>
        <v/>
      </c>
      <c r="D766" s="2">
        <f>IF(B766="","",IFERROR(VLOOKUP(B766, PLANTA_BASE!A:R, 5, FALSE), "NO ENCONTRADO EN PLANTA"))</f>
        <v/>
      </c>
      <c r="E766" s="2">
        <f>IF(B766="","",IFERROR(VLOOKUP(B766, PLANTA_BASE!A:R, 6, FALSE), "NO ENCONTRADO EN PLANTA"))</f>
        <v/>
      </c>
      <c r="F766" s="4">
        <f>IF(B766="","",IFERROR(VLOOKUP(B766, PLANTA_BASE!A:R, 8, FALSE), "DOCENTE / FACILITADOR"))</f>
        <v/>
      </c>
      <c r="G766" s="4">
        <f>IF(B766="","",IFERROR(VLOOKUP(B766, PLANTA_BASE!A:R, 9, FALSE), "GENERAL"))</f>
        <v/>
      </c>
      <c r="H766" s="2">
        <f>IF(B766="","",IFERROR(VLOOKUP(B766, PLANTA_BASE!A:R, 17, FALSE), "GENERAL"))</f>
        <v/>
      </c>
    </row>
    <row r="767" ht="20" customHeight="1">
      <c r="A767" s="5">
        <f>IF(B767="","",IFERROR(VLOOKUP(B767, PLANTA_BASE!A:R, 2, FALSE), "NO ENCONTRADO EN PLANTA"))</f>
        <v/>
      </c>
      <c r="B767" s="6" t="inlineStr"/>
      <c r="C767" s="7">
        <f>IF(B767="","",IFERROR(VLOOKUP(B767, PLANTA_BASE!A:R, 3, FALSE), ""))</f>
        <v/>
      </c>
      <c r="D767" s="5">
        <f>IF(B767="","",IFERROR(VLOOKUP(B767, PLANTA_BASE!A:R, 5, FALSE), "NO ENCONTRADO EN PLANTA"))</f>
        <v/>
      </c>
      <c r="E767" s="5">
        <f>IF(B767="","",IFERROR(VLOOKUP(B767, PLANTA_BASE!A:R, 6, FALSE), "NO ENCONTRADO EN PLANTA"))</f>
        <v/>
      </c>
      <c r="F767" s="7">
        <f>IF(B767="","",IFERROR(VLOOKUP(B767, PLANTA_BASE!A:R, 8, FALSE), "DOCENTE / FACILITADOR"))</f>
        <v/>
      </c>
      <c r="G767" s="7">
        <f>IF(B767="","",IFERROR(VLOOKUP(B767, PLANTA_BASE!A:R, 9, FALSE), "GENERAL"))</f>
        <v/>
      </c>
      <c r="H767" s="5">
        <f>IF(B767="","",IFERROR(VLOOKUP(B767, PLANTA_BASE!A:R, 17, FALSE), "GENERAL"))</f>
        <v/>
      </c>
    </row>
    <row r="768" ht="20" customHeight="1">
      <c r="A768" s="2">
        <f>IF(B768="","",IFERROR(VLOOKUP(B768, PLANTA_BASE!A:R, 2, FALSE), "NO ENCONTRADO EN PLANTA"))</f>
        <v/>
      </c>
      <c r="B768" s="3" t="inlineStr"/>
      <c r="C768" s="4">
        <f>IF(B768="","",IFERROR(VLOOKUP(B768, PLANTA_BASE!A:R, 3, FALSE), ""))</f>
        <v/>
      </c>
      <c r="D768" s="2">
        <f>IF(B768="","",IFERROR(VLOOKUP(B768, PLANTA_BASE!A:R, 5, FALSE), "NO ENCONTRADO EN PLANTA"))</f>
        <v/>
      </c>
      <c r="E768" s="2">
        <f>IF(B768="","",IFERROR(VLOOKUP(B768, PLANTA_BASE!A:R, 6, FALSE), "NO ENCONTRADO EN PLANTA"))</f>
        <v/>
      </c>
      <c r="F768" s="4">
        <f>IF(B768="","",IFERROR(VLOOKUP(B768, PLANTA_BASE!A:R, 8, FALSE), "DOCENTE / FACILITADOR"))</f>
        <v/>
      </c>
      <c r="G768" s="4">
        <f>IF(B768="","",IFERROR(VLOOKUP(B768, PLANTA_BASE!A:R, 9, FALSE), "GENERAL"))</f>
        <v/>
      </c>
      <c r="H768" s="2">
        <f>IF(B768="","",IFERROR(VLOOKUP(B768, PLANTA_BASE!A:R, 17, FALSE), "GENERAL"))</f>
        <v/>
      </c>
    </row>
    <row r="769" ht="20" customHeight="1">
      <c r="A769" s="5">
        <f>IF(B769="","",IFERROR(VLOOKUP(B769, PLANTA_BASE!A:R, 2, FALSE), "NO ENCONTRADO EN PLANTA"))</f>
        <v/>
      </c>
      <c r="B769" s="6" t="inlineStr"/>
      <c r="C769" s="7">
        <f>IF(B769="","",IFERROR(VLOOKUP(B769, PLANTA_BASE!A:R, 3, FALSE), ""))</f>
        <v/>
      </c>
      <c r="D769" s="5">
        <f>IF(B769="","",IFERROR(VLOOKUP(B769, PLANTA_BASE!A:R, 5, FALSE), "NO ENCONTRADO EN PLANTA"))</f>
        <v/>
      </c>
      <c r="E769" s="5">
        <f>IF(B769="","",IFERROR(VLOOKUP(B769, PLANTA_BASE!A:R, 6, FALSE), "NO ENCONTRADO EN PLANTA"))</f>
        <v/>
      </c>
      <c r="F769" s="7">
        <f>IF(B769="","",IFERROR(VLOOKUP(B769, PLANTA_BASE!A:R, 8, FALSE), "DOCENTE / FACILITADOR"))</f>
        <v/>
      </c>
      <c r="G769" s="7">
        <f>IF(B769="","",IFERROR(VLOOKUP(B769, PLANTA_BASE!A:R, 9, FALSE), "GENERAL"))</f>
        <v/>
      </c>
      <c r="H769" s="5">
        <f>IF(B769="","",IFERROR(VLOOKUP(B769, PLANTA_BASE!A:R, 17, FALSE), "GENERAL"))</f>
        <v/>
      </c>
    </row>
    <row r="770" ht="20" customHeight="1">
      <c r="A770" s="2">
        <f>IF(B770="","",IFERROR(VLOOKUP(B770, PLANTA_BASE!A:R, 2, FALSE), "NO ENCONTRADO EN PLANTA"))</f>
        <v/>
      </c>
      <c r="B770" s="3" t="inlineStr"/>
      <c r="C770" s="4">
        <f>IF(B770="","",IFERROR(VLOOKUP(B770, PLANTA_BASE!A:R, 3, FALSE), ""))</f>
        <v/>
      </c>
      <c r="D770" s="2">
        <f>IF(B770="","",IFERROR(VLOOKUP(B770, PLANTA_BASE!A:R, 5, FALSE), "NO ENCONTRADO EN PLANTA"))</f>
        <v/>
      </c>
      <c r="E770" s="2">
        <f>IF(B770="","",IFERROR(VLOOKUP(B770, PLANTA_BASE!A:R, 6, FALSE), "NO ENCONTRADO EN PLANTA"))</f>
        <v/>
      </c>
      <c r="F770" s="4">
        <f>IF(B770="","",IFERROR(VLOOKUP(B770, PLANTA_BASE!A:R, 8, FALSE), "DOCENTE / FACILITADOR"))</f>
        <v/>
      </c>
      <c r="G770" s="4">
        <f>IF(B770="","",IFERROR(VLOOKUP(B770, PLANTA_BASE!A:R, 9, FALSE), "GENERAL"))</f>
        <v/>
      </c>
      <c r="H770" s="2">
        <f>IF(B770="","",IFERROR(VLOOKUP(B770, PLANTA_BASE!A:R, 17, FALSE), "GENERAL"))</f>
        <v/>
      </c>
    </row>
    <row r="771" ht="20" customHeight="1">
      <c r="A771" s="5">
        <f>IF(B771="","",IFERROR(VLOOKUP(B771, PLANTA_BASE!A:R, 2, FALSE), "NO ENCONTRADO EN PLANTA"))</f>
        <v/>
      </c>
      <c r="B771" s="6" t="inlineStr"/>
      <c r="C771" s="7">
        <f>IF(B771="","",IFERROR(VLOOKUP(B771, PLANTA_BASE!A:R, 3, FALSE), ""))</f>
        <v/>
      </c>
      <c r="D771" s="5">
        <f>IF(B771="","",IFERROR(VLOOKUP(B771, PLANTA_BASE!A:R, 5, FALSE), "NO ENCONTRADO EN PLANTA"))</f>
        <v/>
      </c>
      <c r="E771" s="5">
        <f>IF(B771="","",IFERROR(VLOOKUP(B771, PLANTA_BASE!A:R, 6, FALSE), "NO ENCONTRADO EN PLANTA"))</f>
        <v/>
      </c>
      <c r="F771" s="7">
        <f>IF(B771="","",IFERROR(VLOOKUP(B771, PLANTA_BASE!A:R, 8, FALSE), "DOCENTE / FACILITADOR"))</f>
        <v/>
      </c>
      <c r="G771" s="7">
        <f>IF(B771="","",IFERROR(VLOOKUP(B771, PLANTA_BASE!A:R, 9, FALSE), "GENERAL"))</f>
        <v/>
      </c>
      <c r="H771" s="5">
        <f>IF(B771="","",IFERROR(VLOOKUP(B771, PLANTA_BASE!A:R, 17, FALSE), "GENERAL"))</f>
        <v/>
      </c>
    </row>
    <row r="772" ht="20" customHeight="1">
      <c r="A772" s="2">
        <f>IF(B772="","",IFERROR(VLOOKUP(B772, PLANTA_BASE!A:R, 2, FALSE), "NO ENCONTRADO EN PLANTA"))</f>
        <v/>
      </c>
      <c r="B772" s="3" t="inlineStr"/>
      <c r="C772" s="4">
        <f>IF(B772="","",IFERROR(VLOOKUP(B772, PLANTA_BASE!A:R, 3, FALSE), ""))</f>
        <v/>
      </c>
      <c r="D772" s="2">
        <f>IF(B772="","",IFERROR(VLOOKUP(B772, PLANTA_BASE!A:R, 5, FALSE), "NO ENCONTRADO EN PLANTA"))</f>
        <v/>
      </c>
      <c r="E772" s="2">
        <f>IF(B772="","",IFERROR(VLOOKUP(B772, PLANTA_BASE!A:R, 6, FALSE), "NO ENCONTRADO EN PLANTA"))</f>
        <v/>
      </c>
      <c r="F772" s="4">
        <f>IF(B772="","",IFERROR(VLOOKUP(B772, PLANTA_BASE!A:R, 8, FALSE), "DOCENTE / FACILITADOR"))</f>
        <v/>
      </c>
      <c r="G772" s="4">
        <f>IF(B772="","",IFERROR(VLOOKUP(B772, PLANTA_BASE!A:R, 9, FALSE), "GENERAL"))</f>
        <v/>
      </c>
      <c r="H772" s="2">
        <f>IF(B772="","",IFERROR(VLOOKUP(B772, PLANTA_BASE!A:R, 17, FALSE), "GENERAL"))</f>
        <v/>
      </c>
    </row>
    <row r="773" ht="20" customHeight="1">
      <c r="A773" s="5">
        <f>IF(B773="","",IFERROR(VLOOKUP(B773, PLANTA_BASE!A:R, 2, FALSE), "NO ENCONTRADO EN PLANTA"))</f>
        <v/>
      </c>
      <c r="B773" s="6" t="inlineStr"/>
      <c r="C773" s="7">
        <f>IF(B773="","",IFERROR(VLOOKUP(B773, PLANTA_BASE!A:R, 3, FALSE), ""))</f>
        <v/>
      </c>
      <c r="D773" s="5">
        <f>IF(B773="","",IFERROR(VLOOKUP(B773, PLANTA_BASE!A:R, 5, FALSE), "NO ENCONTRADO EN PLANTA"))</f>
        <v/>
      </c>
      <c r="E773" s="5">
        <f>IF(B773="","",IFERROR(VLOOKUP(B773, PLANTA_BASE!A:R, 6, FALSE), "NO ENCONTRADO EN PLANTA"))</f>
        <v/>
      </c>
      <c r="F773" s="7">
        <f>IF(B773="","",IFERROR(VLOOKUP(B773, PLANTA_BASE!A:R, 8, FALSE), "DOCENTE / FACILITADOR"))</f>
        <v/>
      </c>
      <c r="G773" s="7">
        <f>IF(B773="","",IFERROR(VLOOKUP(B773, PLANTA_BASE!A:R, 9, FALSE), "GENERAL"))</f>
        <v/>
      </c>
      <c r="H773" s="5">
        <f>IF(B773="","",IFERROR(VLOOKUP(B773, PLANTA_BASE!A:R, 17, FALSE), "GENERAL"))</f>
        <v/>
      </c>
    </row>
    <row r="774" ht="20" customHeight="1">
      <c r="A774" s="2">
        <f>IF(B774="","",IFERROR(VLOOKUP(B774, PLANTA_BASE!A:R, 2, FALSE), "NO ENCONTRADO EN PLANTA"))</f>
        <v/>
      </c>
      <c r="B774" s="3" t="inlineStr"/>
      <c r="C774" s="4">
        <f>IF(B774="","",IFERROR(VLOOKUP(B774, PLANTA_BASE!A:R, 3, FALSE), ""))</f>
        <v/>
      </c>
      <c r="D774" s="2">
        <f>IF(B774="","",IFERROR(VLOOKUP(B774, PLANTA_BASE!A:R, 5, FALSE), "NO ENCONTRADO EN PLANTA"))</f>
        <v/>
      </c>
      <c r="E774" s="2">
        <f>IF(B774="","",IFERROR(VLOOKUP(B774, PLANTA_BASE!A:R, 6, FALSE), "NO ENCONTRADO EN PLANTA"))</f>
        <v/>
      </c>
      <c r="F774" s="4">
        <f>IF(B774="","",IFERROR(VLOOKUP(B774, PLANTA_BASE!A:R, 8, FALSE), "DOCENTE / FACILITADOR"))</f>
        <v/>
      </c>
      <c r="G774" s="4">
        <f>IF(B774="","",IFERROR(VLOOKUP(B774, PLANTA_BASE!A:R, 9, FALSE), "GENERAL"))</f>
        <v/>
      </c>
      <c r="H774" s="2">
        <f>IF(B774="","",IFERROR(VLOOKUP(B774, PLANTA_BASE!A:R, 17, FALSE), "GENERAL"))</f>
        <v/>
      </c>
    </row>
    <row r="775" ht="20" customHeight="1">
      <c r="A775" s="5">
        <f>IF(B775="","",IFERROR(VLOOKUP(B775, PLANTA_BASE!A:R, 2, FALSE), "NO ENCONTRADO EN PLANTA"))</f>
        <v/>
      </c>
      <c r="B775" s="6" t="inlineStr"/>
      <c r="C775" s="7">
        <f>IF(B775="","",IFERROR(VLOOKUP(B775, PLANTA_BASE!A:R, 3, FALSE), ""))</f>
        <v/>
      </c>
      <c r="D775" s="5">
        <f>IF(B775="","",IFERROR(VLOOKUP(B775, PLANTA_BASE!A:R, 5, FALSE), "NO ENCONTRADO EN PLANTA"))</f>
        <v/>
      </c>
      <c r="E775" s="5">
        <f>IF(B775="","",IFERROR(VLOOKUP(B775, PLANTA_BASE!A:R, 6, FALSE), "NO ENCONTRADO EN PLANTA"))</f>
        <v/>
      </c>
      <c r="F775" s="7">
        <f>IF(B775="","",IFERROR(VLOOKUP(B775, PLANTA_BASE!A:R, 8, FALSE), "DOCENTE / FACILITADOR"))</f>
        <v/>
      </c>
      <c r="G775" s="7">
        <f>IF(B775="","",IFERROR(VLOOKUP(B775, PLANTA_BASE!A:R, 9, FALSE), "GENERAL"))</f>
        <v/>
      </c>
      <c r="H775" s="5">
        <f>IF(B775="","",IFERROR(VLOOKUP(B775, PLANTA_BASE!A:R, 17, FALSE), "GENERAL"))</f>
        <v/>
      </c>
    </row>
    <row r="776" ht="20" customHeight="1">
      <c r="A776" s="2">
        <f>IF(B776="","",IFERROR(VLOOKUP(B776, PLANTA_BASE!A:R, 2, FALSE), "NO ENCONTRADO EN PLANTA"))</f>
        <v/>
      </c>
      <c r="B776" s="3" t="inlineStr"/>
      <c r="C776" s="4">
        <f>IF(B776="","",IFERROR(VLOOKUP(B776, PLANTA_BASE!A:R, 3, FALSE), ""))</f>
        <v/>
      </c>
      <c r="D776" s="2">
        <f>IF(B776="","",IFERROR(VLOOKUP(B776, PLANTA_BASE!A:R, 5, FALSE), "NO ENCONTRADO EN PLANTA"))</f>
        <v/>
      </c>
      <c r="E776" s="2">
        <f>IF(B776="","",IFERROR(VLOOKUP(B776, PLANTA_BASE!A:R, 6, FALSE), "NO ENCONTRADO EN PLANTA"))</f>
        <v/>
      </c>
      <c r="F776" s="4">
        <f>IF(B776="","",IFERROR(VLOOKUP(B776, PLANTA_BASE!A:R, 8, FALSE), "DOCENTE / FACILITADOR"))</f>
        <v/>
      </c>
      <c r="G776" s="4">
        <f>IF(B776="","",IFERROR(VLOOKUP(B776, PLANTA_BASE!A:R, 9, FALSE), "GENERAL"))</f>
        <v/>
      </c>
      <c r="H776" s="2">
        <f>IF(B776="","",IFERROR(VLOOKUP(B776, PLANTA_BASE!A:R, 17, FALSE), "GENERAL"))</f>
        <v/>
      </c>
    </row>
    <row r="777" ht="20" customHeight="1">
      <c r="A777" s="5">
        <f>IF(B777="","",IFERROR(VLOOKUP(B777, PLANTA_BASE!A:R, 2, FALSE), "NO ENCONTRADO EN PLANTA"))</f>
        <v/>
      </c>
      <c r="B777" s="6" t="inlineStr"/>
      <c r="C777" s="7">
        <f>IF(B777="","",IFERROR(VLOOKUP(B777, PLANTA_BASE!A:R, 3, FALSE), ""))</f>
        <v/>
      </c>
      <c r="D777" s="5">
        <f>IF(B777="","",IFERROR(VLOOKUP(B777, PLANTA_BASE!A:R, 5, FALSE), "NO ENCONTRADO EN PLANTA"))</f>
        <v/>
      </c>
      <c r="E777" s="5">
        <f>IF(B777="","",IFERROR(VLOOKUP(B777, PLANTA_BASE!A:R, 6, FALSE), "NO ENCONTRADO EN PLANTA"))</f>
        <v/>
      </c>
      <c r="F777" s="7">
        <f>IF(B777="","",IFERROR(VLOOKUP(B777, PLANTA_BASE!A:R, 8, FALSE), "DOCENTE / FACILITADOR"))</f>
        <v/>
      </c>
      <c r="G777" s="7">
        <f>IF(B777="","",IFERROR(VLOOKUP(B777, PLANTA_BASE!A:R, 9, FALSE), "GENERAL"))</f>
        <v/>
      </c>
      <c r="H777" s="5">
        <f>IF(B777="","",IFERROR(VLOOKUP(B777, PLANTA_BASE!A:R, 17, FALSE), "GENERAL"))</f>
        <v/>
      </c>
    </row>
    <row r="778" ht="20" customHeight="1">
      <c r="A778" s="2">
        <f>IF(B778="","",IFERROR(VLOOKUP(B778, PLANTA_BASE!A:R, 2, FALSE), "NO ENCONTRADO EN PLANTA"))</f>
        <v/>
      </c>
      <c r="B778" s="3" t="inlineStr"/>
      <c r="C778" s="4">
        <f>IF(B778="","",IFERROR(VLOOKUP(B778, PLANTA_BASE!A:R, 3, FALSE), ""))</f>
        <v/>
      </c>
      <c r="D778" s="2">
        <f>IF(B778="","",IFERROR(VLOOKUP(B778, PLANTA_BASE!A:R, 5, FALSE), "NO ENCONTRADO EN PLANTA"))</f>
        <v/>
      </c>
      <c r="E778" s="2">
        <f>IF(B778="","",IFERROR(VLOOKUP(B778, PLANTA_BASE!A:R, 6, FALSE), "NO ENCONTRADO EN PLANTA"))</f>
        <v/>
      </c>
      <c r="F778" s="4">
        <f>IF(B778="","",IFERROR(VLOOKUP(B778, PLANTA_BASE!A:R, 8, FALSE), "DOCENTE / FACILITADOR"))</f>
        <v/>
      </c>
      <c r="G778" s="4">
        <f>IF(B778="","",IFERROR(VLOOKUP(B778, PLANTA_BASE!A:R, 9, FALSE), "GENERAL"))</f>
        <v/>
      </c>
      <c r="H778" s="2">
        <f>IF(B778="","",IFERROR(VLOOKUP(B778, PLANTA_BASE!A:R, 17, FALSE), "GENERAL"))</f>
        <v/>
      </c>
    </row>
    <row r="779" ht="20" customHeight="1">
      <c r="A779" s="5">
        <f>IF(B779="","",IFERROR(VLOOKUP(B779, PLANTA_BASE!A:R, 2, FALSE), "NO ENCONTRADO EN PLANTA"))</f>
        <v/>
      </c>
      <c r="B779" s="6" t="inlineStr"/>
      <c r="C779" s="7">
        <f>IF(B779="","",IFERROR(VLOOKUP(B779, PLANTA_BASE!A:R, 3, FALSE), ""))</f>
        <v/>
      </c>
      <c r="D779" s="5">
        <f>IF(B779="","",IFERROR(VLOOKUP(B779, PLANTA_BASE!A:R, 5, FALSE), "NO ENCONTRADO EN PLANTA"))</f>
        <v/>
      </c>
      <c r="E779" s="5">
        <f>IF(B779="","",IFERROR(VLOOKUP(B779, PLANTA_BASE!A:R, 6, FALSE), "NO ENCONTRADO EN PLANTA"))</f>
        <v/>
      </c>
      <c r="F779" s="7">
        <f>IF(B779="","",IFERROR(VLOOKUP(B779, PLANTA_BASE!A:R, 8, FALSE), "DOCENTE / FACILITADOR"))</f>
        <v/>
      </c>
      <c r="G779" s="7">
        <f>IF(B779="","",IFERROR(VLOOKUP(B779, PLANTA_BASE!A:R, 9, FALSE), "GENERAL"))</f>
        <v/>
      </c>
      <c r="H779" s="5">
        <f>IF(B779="","",IFERROR(VLOOKUP(B779, PLANTA_BASE!A:R, 17, FALSE), "GENERAL"))</f>
        <v/>
      </c>
    </row>
    <row r="780" ht="20" customHeight="1">
      <c r="A780" s="2">
        <f>IF(B780="","",IFERROR(VLOOKUP(B780, PLANTA_BASE!A:R, 2, FALSE), "NO ENCONTRADO EN PLANTA"))</f>
        <v/>
      </c>
      <c r="B780" s="3" t="inlineStr"/>
      <c r="C780" s="4">
        <f>IF(B780="","",IFERROR(VLOOKUP(B780, PLANTA_BASE!A:R, 3, FALSE), ""))</f>
        <v/>
      </c>
      <c r="D780" s="2">
        <f>IF(B780="","",IFERROR(VLOOKUP(B780, PLANTA_BASE!A:R, 5, FALSE), "NO ENCONTRADO EN PLANTA"))</f>
        <v/>
      </c>
      <c r="E780" s="2">
        <f>IF(B780="","",IFERROR(VLOOKUP(B780, PLANTA_BASE!A:R, 6, FALSE), "NO ENCONTRADO EN PLANTA"))</f>
        <v/>
      </c>
      <c r="F780" s="4">
        <f>IF(B780="","",IFERROR(VLOOKUP(B780, PLANTA_BASE!A:R, 8, FALSE), "DOCENTE / FACILITADOR"))</f>
        <v/>
      </c>
      <c r="G780" s="4">
        <f>IF(B780="","",IFERROR(VLOOKUP(B780, PLANTA_BASE!A:R, 9, FALSE), "GENERAL"))</f>
        <v/>
      </c>
      <c r="H780" s="2">
        <f>IF(B780="","",IFERROR(VLOOKUP(B780, PLANTA_BASE!A:R, 17, FALSE), "GENERAL"))</f>
        <v/>
      </c>
    </row>
    <row r="781" ht="20" customHeight="1">
      <c r="A781" s="5">
        <f>IF(B781="","",IFERROR(VLOOKUP(B781, PLANTA_BASE!A:R, 2, FALSE), "NO ENCONTRADO EN PLANTA"))</f>
        <v/>
      </c>
      <c r="B781" s="6" t="inlineStr"/>
      <c r="C781" s="7">
        <f>IF(B781="","",IFERROR(VLOOKUP(B781, PLANTA_BASE!A:R, 3, FALSE), ""))</f>
        <v/>
      </c>
      <c r="D781" s="5">
        <f>IF(B781="","",IFERROR(VLOOKUP(B781, PLANTA_BASE!A:R, 5, FALSE), "NO ENCONTRADO EN PLANTA"))</f>
        <v/>
      </c>
      <c r="E781" s="5">
        <f>IF(B781="","",IFERROR(VLOOKUP(B781, PLANTA_BASE!A:R, 6, FALSE), "NO ENCONTRADO EN PLANTA"))</f>
        <v/>
      </c>
      <c r="F781" s="7">
        <f>IF(B781="","",IFERROR(VLOOKUP(B781, PLANTA_BASE!A:R, 8, FALSE), "DOCENTE / FACILITADOR"))</f>
        <v/>
      </c>
      <c r="G781" s="7">
        <f>IF(B781="","",IFERROR(VLOOKUP(B781, PLANTA_BASE!A:R, 9, FALSE), "GENERAL"))</f>
        <v/>
      </c>
      <c r="H781" s="5">
        <f>IF(B781="","",IFERROR(VLOOKUP(B781, PLANTA_BASE!A:R, 17, FALSE), "GENERAL"))</f>
        <v/>
      </c>
    </row>
    <row r="782" ht="20" customHeight="1">
      <c r="A782" s="2">
        <f>IF(B782="","",IFERROR(VLOOKUP(B782, PLANTA_BASE!A:R, 2, FALSE), "NO ENCONTRADO EN PLANTA"))</f>
        <v/>
      </c>
      <c r="B782" s="3" t="inlineStr"/>
      <c r="C782" s="4">
        <f>IF(B782="","",IFERROR(VLOOKUP(B782, PLANTA_BASE!A:R, 3, FALSE), ""))</f>
        <v/>
      </c>
      <c r="D782" s="2">
        <f>IF(B782="","",IFERROR(VLOOKUP(B782, PLANTA_BASE!A:R, 5, FALSE), "NO ENCONTRADO EN PLANTA"))</f>
        <v/>
      </c>
      <c r="E782" s="2">
        <f>IF(B782="","",IFERROR(VLOOKUP(B782, PLANTA_BASE!A:R, 6, FALSE), "NO ENCONTRADO EN PLANTA"))</f>
        <v/>
      </c>
      <c r="F782" s="4">
        <f>IF(B782="","",IFERROR(VLOOKUP(B782, PLANTA_BASE!A:R, 8, FALSE), "DOCENTE / FACILITADOR"))</f>
        <v/>
      </c>
      <c r="G782" s="4">
        <f>IF(B782="","",IFERROR(VLOOKUP(B782, PLANTA_BASE!A:R, 9, FALSE), "GENERAL"))</f>
        <v/>
      </c>
      <c r="H782" s="2">
        <f>IF(B782="","",IFERROR(VLOOKUP(B782, PLANTA_BASE!A:R, 17, FALSE), "GENERAL"))</f>
        <v/>
      </c>
    </row>
    <row r="783" ht="20" customHeight="1">
      <c r="A783" s="5">
        <f>IF(B783="","",IFERROR(VLOOKUP(B783, PLANTA_BASE!A:R, 2, FALSE), "NO ENCONTRADO EN PLANTA"))</f>
        <v/>
      </c>
      <c r="B783" s="6" t="inlineStr"/>
      <c r="C783" s="7">
        <f>IF(B783="","",IFERROR(VLOOKUP(B783, PLANTA_BASE!A:R, 3, FALSE), ""))</f>
        <v/>
      </c>
      <c r="D783" s="5">
        <f>IF(B783="","",IFERROR(VLOOKUP(B783, PLANTA_BASE!A:R, 5, FALSE), "NO ENCONTRADO EN PLANTA"))</f>
        <v/>
      </c>
      <c r="E783" s="5">
        <f>IF(B783="","",IFERROR(VLOOKUP(B783, PLANTA_BASE!A:R, 6, FALSE), "NO ENCONTRADO EN PLANTA"))</f>
        <v/>
      </c>
      <c r="F783" s="7">
        <f>IF(B783="","",IFERROR(VLOOKUP(B783, PLANTA_BASE!A:R, 8, FALSE), "DOCENTE / FACILITADOR"))</f>
        <v/>
      </c>
      <c r="G783" s="7">
        <f>IF(B783="","",IFERROR(VLOOKUP(B783, PLANTA_BASE!A:R, 9, FALSE), "GENERAL"))</f>
        <v/>
      </c>
      <c r="H783" s="5">
        <f>IF(B783="","",IFERROR(VLOOKUP(B783, PLANTA_BASE!A:R, 17, FALSE), "GENERAL"))</f>
        <v/>
      </c>
    </row>
    <row r="784" ht="20" customHeight="1">
      <c r="A784" s="2">
        <f>IF(B784="","",IFERROR(VLOOKUP(B784, PLANTA_BASE!A:R, 2, FALSE), "NO ENCONTRADO EN PLANTA"))</f>
        <v/>
      </c>
      <c r="B784" s="3" t="inlineStr"/>
      <c r="C784" s="4">
        <f>IF(B784="","",IFERROR(VLOOKUP(B784, PLANTA_BASE!A:R, 3, FALSE), ""))</f>
        <v/>
      </c>
      <c r="D784" s="2">
        <f>IF(B784="","",IFERROR(VLOOKUP(B784, PLANTA_BASE!A:R, 5, FALSE), "NO ENCONTRADO EN PLANTA"))</f>
        <v/>
      </c>
      <c r="E784" s="2">
        <f>IF(B784="","",IFERROR(VLOOKUP(B784, PLANTA_BASE!A:R, 6, FALSE), "NO ENCONTRADO EN PLANTA"))</f>
        <v/>
      </c>
      <c r="F784" s="4">
        <f>IF(B784="","",IFERROR(VLOOKUP(B784, PLANTA_BASE!A:R, 8, FALSE), "DOCENTE / FACILITADOR"))</f>
        <v/>
      </c>
      <c r="G784" s="4">
        <f>IF(B784="","",IFERROR(VLOOKUP(B784, PLANTA_BASE!A:R, 9, FALSE), "GENERAL"))</f>
        <v/>
      </c>
      <c r="H784" s="2">
        <f>IF(B784="","",IFERROR(VLOOKUP(B784, PLANTA_BASE!A:R, 17, FALSE), "GENERAL"))</f>
        <v/>
      </c>
    </row>
    <row r="785" ht="20" customHeight="1">
      <c r="A785" s="5">
        <f>IF(B785="","",IFERROR(VLOOKUP(B785, PLANTA_BASE!A:R, 2, FALSE), "NO ENCONTRADO EN PLANTA"))</f>
        <v/>
      </c>
      <c r="B785" s="6" t="inlineStr"/>
      <c r="C785" s="7">
        <f>IF(B785="","",IFERROR(VLOOKUP(B785, PLANTA_BASE!A:R, 3, FALSE), ""))</f>
        <v/>
      </c>
      <c r="D785" s="5">
        <f>IF(B785="","",IFERROR(VLOOKUP(B785, PLANTA_BASE!A:R, 5, FALSE), "NO ENCONTRADO EN PLANTA"))</f>
        <v/>
      </c>
      <c r="E785" s="5">
        <f>IF(B785="","",IFERROR(VLOOKUP(B785, PLANTA_BASE!A:R, 6, FALSE), "NO ENCONTRADO EN PLANTA"))</f>
        <v/>
      </c>
      <c r="F785" s="7">
        <f>IF(B785="","",IFERROR(VLOOKUP(B785, PLANTA_BASE!A:R, 8, FALSE), "DOCENTE / FACILITADOR"))</f>
        <v/>
      </c>
      <c r="G785" s="7">
        <f>IF(B785="","",IFERROR(VLOOKUP(B785, PLANTA_BASE!A:R, 9, FALSE), "GENERAL"))</f>
        <v/>
      </c>
      <c r="H785" s="5">
        <f>IF(B785="","",IFERROR(VLOOKUP(B785, PLANTA_BASE!A:R, 17, FALSE), "GENERAL"))</f>
        <v/>
      </c>
    </row>
    <row r="786" ht="20" customHeight="1">
      <c r="A786" s="2">
        <f>IF(B786="","",IFERROR(VLOOKUP(B786, PLANTA_BASE!A:R, 2, FALSE), "NO ENCONTRADO EN PLANTA"))</f>
        <v/>
      </c>
      <c r="B786" s="3" t="inlineStr"/>
      <c r="C786" s="4">
        <f>IF(B786="","",IFERROR(VLOOKUP(B786, PLANTA_BASE!A:R, 3, FALSE), ""))</f>
        <v/>
      </c>
      <c r="D786" s="2">
        <f>IF(B786="","",IFERROR(VLOOKUP(B786, PLANTA_BASE!A:R, 5, FALSE), "NO ENCONTRADO EN PLANTA"))</f>
        <v/>
      </c>
      <c r="E786" s="2">
        <f>IF(B786="","",IFERROR(VLOOKUP(B786, PLANTA_BASE!A:R, 6, FALSE), "NO ENCONTRADO EN PLANTA"))</f>
        <v/>
      </c>
      <c r="F786" s="4">
        <f>IF(B786="","",IFERROR(VLOOKUP(B786, PLANTA_BASE!A:R, 8, FALSE), "DOCENTE / FACILITADOR"))</f>
        <v/>
      </c>
      <c r="G786" s="4">
        <f>IF(B786="","",IFERROR(VLOOKUP(B786, PLANTA_BASE!A:R, 9, FALSE), "GENERAL"))</f>
        <v/>
      </c>
      <c r="H786" s="2">
        <f>IF(B786="","",IFERROR(VLOOKUP(B786, PLANTA_BASE!A:R, 17, FALSE), "GENERAL"))</f>
        <v/>
      </c>
    </row>
    <row r="787" ht="20" customHeight="1">
      <c r="A787" s="5">
        <f>IF(B787="","",IFERROR(VLOOKUP(B787, PLANTA_BASE!A:R, 2, FALSE), "NO ENCONTRADO EN PLANTA"))</f>
        <v/>
      </c>
      <c r="B787" s="6" t="inlineStr"/>
      <c r="C787" s="7">
        <f>IF(B787="","",IFERROR(VLOOKUP(B787, PLANTA_BASE!A:R, 3, FALSE), ""))</f>
        <v/>
      </c>
      <c r="D787" s="5">
        <f>IF(B787="","",IFERROR(VLOOKUP(B787, PLANTA_BASE!A:R, 5, FALSE), "NO ENCONTRADO EN PLANTA"))</f>
        <v/>
      </c>
      <c r="E787" s="5">
        <f>IF(B787="","",IFERROR(VLOOKUP(B787, PLANTA_BASE!A:R, 6, FALSE), "NO ENCONTRADO EN PLANTA"))</f>
        <v/>
      </c>
      <c r="F787" s="7">
        <f>IF(B787="","",IFERROR(VLOOKUP(B787, PLANTA_BASE!A:R, 8, FALSE), "DOCENTE / FACILITADOR"))</f>
        <v/>
      </c>
      <c r="G787" s="7">
        <f>IF(B787="","",IFERROR(VLOOKUP(B787, PLANTA_BASE!A:R, 9, FALSE), "GENERAL"))</f>
        <v/>
      </c>
      <c r="H787" s="5">
        <f>IF(B787="","",IFERROR(VLOOKUP(B787, PLANTA_BASE!A:R, 17, FALSE), "GENERAL"))</f>
        <v/>
      </c>
    </row>
    <row r="788" ht="20" customHeight="1">
      <c r="A788" s="2">
        <f>IF(B788="","",IFERROR(VLOOKUP(B788, PLANTA_BASE!A:R, 2, FALSE), "NO ENCONTRADO EN PLANTA"))</f>
        <v/>
      </c>
      <c r="B788" s="3" t="inlineStr"/>
      <c r="C788" s="4">
        <f>IF(B788="","",IFERROR(VLOOKUP(B788, PLANTA_BASE!A:R, 3, FALSE), ""))</f>
        <v/>
      </c>
      <c r="D788" s="2">
        <f>IF(B788="","",IFERROR(VLOOKUP(B788, PLANTA_BASE!A:R, 5, FALSE), "NO ENCONTRADO EN PLANTA"))</f>
        <v/>
      </c>
      <c r="E788" s="2">
        <f>IF(B788="","",IFERROR(VLOOKUP(B788, PLANTA_BASE!A:R, 6, FALSE), "NO ENCONTRADO EN PLANTA"))</f>
        <v/>
      </c>
      <c r="F788" s="4">
        <f>IF(B788="","",IFERROR(VLOOKUP(B788, PLANTA_BASE!A:R, 8, FALSE), "DOCENTE / FACILITADOR"))</f>
        <v/>
      </c>
      <c r="G788" s="4">
        <f>IF(B788="","",IFERROR(VLOOKUP(B788, PLANTA_BASE!A:R, 9, FALSE), "GENERAL"))</f>
        <v/>
      </c>
      <c r="H788" s="2">
        <f>IF(B788="","",IFERROR(VLOOKUP(B788, PLANTA_BASE!A:R, 17, FALSE), "GENERAL"))</f>
        <v/>
      </c>
    </row>
    <row r="789" ht="20" customHeight="1">
      <c r="A789" s="5">
        <f>IF(B789="","",IFERROR(VLOOKUP(B789, PLANTA_BASE!A:R, 2, FALSE), "NO ENCONTRADO EN PLANTA"))</f>
        <v/>
      </c>
      <c r="B789" s="6" t="inlineStr"/>
      <c r="C789" s="7">
        <f>IF(B789="","",IFERROR(VLOOKUP(B789, PLANTA_BASE!A:R, 3, FALSE), ""))</f>
        <v/>
      </c>
      <c r="D789" s="5">
        <f>IF(B789="","",IFERROR(VLOOKUP(B789, PLANTA_BASE!A:R, 5, FALSE), "NO ENCONTRADO EN PLANTA"))</f>
        <v/>
      </c>
      <c r="E789" s="5">
        <f>IF(B789="","",IFERROR(VLOOKUP(B789, PLANTA_BASE!A:R, 6, FALSE), "NO ENCONTRADO EN PLANTA"))</f>
        <v/>
      </c>
      <c r="F789" s="7">
        <f>IF(B789="","",IFERROR(VLOOKUP(B789, PLANTA_BASE!A:R, 8, FALSE), "DOCENTE / FACILITADOR"))</f>
        <v/>
      </c>
      <c r="G789" s="7">
        <f>IF(B789="","",IFERROR(VLOOKUP(B789, PLANTA_BASE!A:R, 9, FALSE), "GENERAL"))</f>
        <v/>
      </c>
      <c r="H789" s="5">
        <f>IF(B789="","",IFERROR(VLOOKUP(B789, PLANTA_BASE!A:R, 17, FALSE), "GENERAL"))</f>
        <v/>
      </c>
    </row>
    <row r="790" ht="20" customHeight="1">
      <c r="A790" s="2">
        <f>IF(B790="","",IFERROR(VLOOKUP(B790, PLANTA_BASE!A:R, 2, FALSE), "NO ENCONTRADO EN PLANTA"))</f>
        <v/>
      </c>
      <c r="B790" s="3" t="inlineStr"/>
      <c r="C790" s="4">
        <f>IF(B790="","",IFERROR(VLOOKUP(B790, PLANTA_BASE!A:R, 3, FALSE), ""))</f>
        <v/>
      </c>
      <c r="D790" s="2">
        <f>IF(B790="","",IFERROR(VLOOKUP(B790, PLANTA_BASE!A:R, 5, FALSE), "NO ENCONTRADO EN PLANTA"))</f>
        <v/>
      </c>
      <c r="E790" s="2">
        <f>IF(B790="","",IFERROR(VLOOKUP(B790, PLANTA_BASE!A:R, 6, FALSE), "NO ENCONTRADO EN PLANTA"))</f>
        <v/>
      </c>
      <c r="F790" s="4">
        <f>IF(B790="","",IFERROR(VLOOKUP(B790, PLANTA_BASE!A:R, 8, FALSE), "DOCENTE / FACILITADOR"))</f>
        <v/>
      </c>
      <c r="G790" s="4">
        <f>IF(B790="","",IFERROR(VLOOKUP(B790, PLANTA_BASE!A:R, 9, FALSE), "GENERAL"))</f>
        <v/>
      </c>
      <c r="H790" s="2">
        <f>IF(B790="","",IFERROR(VLOOKUP(B790, PLANTA_BASE!A:R, 17, FALSE), "GENERAL"))</f>
        <v/>
      </c>
    </row>
    <row r="791" ht="20" customHeight="1">
      <c r="A791" s="5">
        <f>IF(B791="","",IFERROR(VLOOKUP(B791, PLANTA_BASE!A:R, 2, FALSE), "NO ENCONTRADO EN PLANTA"))</f>
        <v/>
      </c>
      <c r="B791" s="6" t="inlineStr"/>
      <c r="C791" s="7">
        <f>IF(B791="","",IFERROR(VLOOKUP(B791, PLANTA_BASE!A:R, 3, FALSE), ""))</f>
        <v/>
      </c>
      <c r="D791" s="5">
        <f>IF(B791="","",IFERROR(VLOOKUP(B791, PLANTA_BASE!A:R, 5, FALSE), "NO ENCONTRADO EN PLANTA"))</f>
        <v/>
      </c>
      <c r="E791" s="5">
        <f>IF(B791="","",IFERROR(VLOOKUP(B791, PLANTA_BASE!A:R, 6, FALSE), "NO ENCONTRADO EN PLANTA"))</f>
        <v/>
      </c>
      <c r="F791" s="7">
        <f>IF(B791="","",IFERROR(VLOOKUP(B791, PLANTA_BASE!A:R, 8, FALSE), "DOCENTE / FACILITADOR"))</f>
        <v/>
      </c>
      <c r="G791" s="7">
        <f>IF(B791="","",IFERROR(VLOOKUP(B791, PLANTA_BASE!A:R, 9, FALSE), "GENERAL"))</f>
        <v/>
      </c>
      <c r="H791" s="5">
        <f>IF(B791="","",IFERROR(VLOOKUP(B791, PLANTA_BASE!A:R, 17, FALSE), "GENERAL"))</f>
        <v/>
      </c>
    </row>
    <row r="792" ht="20" customHeight="1">
      <c r="A792" s="2">
        <f>IF(B792="","",IFERROR(VLOOKUP(B792, PLANTA_BASE!A:R, 2, FALSE), "NO ENCONTRADO EN PLANTA"))</f>
        <v/>
      </c>
      <c r="B792" s="3" t="inlineStr"/>
      <c r="C792" s="4">
        <f>IF(B792="","",IFERROR(VLOOKUP(B792, PLANTA_BASE!A:R, 3, FALSE), ""))</f>
        <v/>
      </c>
      <c r="D792" s="2">
        <f>IF(B792="","",IFERROR(VLOOKUP(B792, PLANTA_BASE!A:R, 5, FALSE), "NO ENCONTRADO EN PLANTA"))</f>
        <v/>
      </c>
      <c r="E792" s="2">
        <f>IF(B792="","",IFERROR(VLOOKUP(B792, PLANTA_BASE!A:R, 6, FALSE), "NO ENCONTRADO EN PLANTA"))</f>
        <v/>
      </c>
      <c r="F792" s="4">
        <f>IF(B792="","",IFERROR(VLOOKUP(B792, PLANTA_BASE!A:R, 8, FALSE), "DOCENTE / FACILITADOR"))</f>
        <v/>
      </c>
      <c r="G792" s="4">
        <f>IF(B792="","",IFERROR(VLOOKUP(B792, PLANTA_BASE!A:R, 9, FALSE), "GENERAL"))</f>
        <v/>
      </c>
      <c r="H792" s="2">
        <f>IF(B792="","",IFERROR(VLOOKUP(B792, PLANTA_BASE!A:R, 17, FALSE), "GENERAL"))</f>
        <v/>
      </c>
    </row>
    <row r="793" ht="20" customHeight="1">
      <c r="A793" s="5">
        <f>IF(B793="","",IFERROR(VLOOKUP(B793, PLANTA_BASE!A:R, 2, FALSE), "NO ENCONTRADO EN PLANTA"))</f>
        <v/>
      </c>
      <c r="B793" s="6" t="inlineStr"/>
      <c r="C793" s="7">
        <f>IF(B793="","",IFERROR(VLOOKUP(B793, PLANTA_BASE!A:R, 3, FALSE), ""))</f>
        <v/>
      </c>
      <c r="D793" s="5">
        <f>IF(B793="","",IFERROR(VLOOKUP(B793, PLANTA_BASE!A:R, 5, FALSE), "NO ENCONTRADO EN PLANTA"))</f>
        <v/>
      </c>
      <c r="E793" s="5">
        <f>IF(B793="","",IFERROR(VLOOKUP(B793, PLANTA_BASE!A:R, 6, FALSE), "NO ENCONTRADO EN PLANTA"))</f>
        <v/>
      </c>
      <c r="F793" s="7">
        <f>IF(B793="","",IFERROR(VLOOKUP(B793, PLANTA_BASE!A:R, 8, FALSE), "DOCENTE / FACILITADOR"))</f>
        <v/>
      </c>
      <c r="G793" s="7">
        <f>IF(B793="","",IFERROR(VLOOKUP(B793, PLANTA_BASE!A:R, 9, FALSE), "GENERAL"))</f>
        <v/>
      </c>
      <c r="H793" s="5">
        <f>IF(B793="","",IFERROR(VLOOKUP(B793, PLANTA_BASE!A:R, 17, FALSE), "GENERAL"))</f>
        <v/>
      </c>
    </row>
    <row r="794" ht="20" customHeight="1">
      <c r="A794" s="2">
        <f>IF(B794="","",IFERROR(VLOOKUP(B794, PLANTA_BASE!A:R, 2, FALSE), "NO ENCONTRADO EN PLANTA"))</f>
        <v/>
      </c>
      <c r="B794" s="3" t="inlineStr"/>
      <c r="C794" s="4">
        <f>IF(B794="","",IFERROR(VLOOKUP(B794, PLANTA_BASE!A:R, 3, FALSE), ""))</f>
        <v/>
      </c>
      <c r="D794" s="2">
        <f>IF(B794="","",IFERROR(VLOOKUP(B794, PLANTA_BASE!A:R, 5, FALSE), "NO ENCONTRADO EN PLANTA"))</f>
        <v/>
      </c>
      <c r="E794" s="2">
        <f>IF(B794="","",IFERROR(VLOOKUP(B794, PLANTA_BASE!A:R, 6, FALSE), "NO ENCONTRADO EN PLANTA"))</f>
        <v/>
      </c>
      <c r="F794" s="4">
        <f>IF(B794="","",IFERROR(VLOOKUP(B794, PLANTA_BASE!A:R, 8, FALSE), "DOCENTE / FACILITADOR"))</f>
        <v/>
      </c>
      <c r="G794" s="4">
        <f>IF(B794="","",IFERROR(VLOOKUP(B794, PLANTA_BASE!A:R, 9, FALSE), "GENERAL"))</f>
        <v/>
      </c>
      <c r="H794" s="2">
        <f>IF(B794="","",IFERROR(VLOOKUP(B794, PLANTA_BASE!A:R, 17, FALSE), "GENERAL"))</f>
        <v/>
      </c>
    </row>
    <row r="795" ht="20" customHeight="1">
      <c r="A795" s="5">
        <f>IF(B795="","",IFERROR(VLOOKUP(B795, PLANTA_BASE!A:R, 2, FALSE), "NO ENCONTRADO EN PLANTA"))</f>
        <v/>
      </c>
      <c r="B795" s="6" t="inlineStr"/>
      <c r="C795" s="7">
        <f>IF(B795="","",IFERROR(VLOOKUP(B795, PLANTA_BASE!A:R, 3, FALSE), ""))</f>
        <v/>
      </c>
      <c r="D795" s="5">
        <f>IF(B795="","",IFERROR(VLOOKUP(B795, PLANTA_BASE!A:R, 5, FALSE), "NO ENCONTRADO EN PLANTA"))</f>
        <v/>
      </c>
      <c r="E795" s="5">
        <f>IF(B795="","",IFERROR(VLOOKUP(B795, PLANTA_BASE!A:R, 6, FALSE), "NO ENCONTRADO EN PLANTA"))</f>
        <v/>
      </c>
      <c r="F795" s="7">
        <f>IF(B795="","",IFERROR(VLOOKUP(B795, PLANTA_BASE!A:R, 8, FALSE), "DOCENTE / FACILITADOR"))</f>
        <v/>
      </c>
      <c r="G795" s="7">
        <f>IF(B795="","",IFERROR(VLOOKUP(B795, PLANTA_BASE!A:R, 9, FALSE), "GENERAL"))</f>
        <v/>
      </c>
      <c r="H795" s="5">
        <f>IF(B795="","",IFERROR(VLOOKUP(B795, PLANTA_BASE!A:R, 17, FALSE), "GENERAL"))</f>
        <v/>
      </c>
    </row>
    <row r="796" ht="20" customHeight="1">
      <c r="A796" s="2">
        <f>IF(B796="","",IFERROR(VLOOKUP(B796, PLANTA_BASE!A:R, 2, FALSE), "NO ENCONTRADO EN PLANTA"))</f>
        <v/>
      </c>
      <c r="B796" s="3" t="inlineStr"/>
      <c r="C796" s="4">
        <f>IF(B796="","",IFERROR(VLOOKUP(B796, PLANTA_BASE!A:R, 3, FALSE), ""))</f>
        <v/>
      </c>
      <c r="D796" s="2">
        <f>IF(B796="","",IFERROR(VLOOKUP(B796, PLANTA_BASE!A:R, 5, FALSE), "NO ENCONTRADO EN PLANTA"))</f>
        <v/>
      </c>
      <c r="E796" s="2">
        <f>IF(B796="","",IFERROR(VLOOKUP(B796, PLANTA_BASE!A:R, 6, FALSE), "NO ENCONTRADO EN PLANTA"))</f>
        <v/>
      </c>
      <c r="F796" s="4">
        <f>IF(B796="","",IFERROR(VLOOKUP(B796, PLANTA_BASE!A:R, 8, FALSE), "DOCENTE / FACILITADOR"))</f>
        <v/>
      </c>
      <c r="G796" s="4">
        <f>IF(B796="","",IFERROR(VLOOKUP(B796, PLANTA_BASE!A:R, 9, FALSE), "GENERAL"))</f>
        <v/>
      </c>
      <c r="H796" s="2">
        <f>IF(B796="","",IFERROR(VLOOKUP(B796, PLANTA_BASE!A:R, 17, FALSE), "GENERAL"))</f>
        <v/>
      </c>
    </row>
    <row r="797" ht="20" customHeight="1">
      <c r="A797" s="5">
        <f>IF(B797="","",IFERROR(VLOOKUP(B797, PLANTA_BASE!A:R, 2, FALSE), "NO ENCONTRADO EN PLANTA"))</f>
        <v/>
      </c>
      <c r="B797" s="6" t="inlineStr"/>
      <c r="C797" s="7">
        <f>IF(B797="","",IFERROR(VLOOKUP(B797, PLANTA_BASE!A:R, 3, FALSE), ""))</f>
        <v/>
      </c>
      <c r="D797" s="5">
        <f>IF(B797="","",IFERROR(VLOOKUP(B797, PLANTA_BASE!A:R, 5, FALSE), "NO ENCONTRADO EN PLANTA"))</f>
        <v/>
      </c>
      <c r="E797" s="5">
        <f>IF(B797="","",IFERROR(VLOOKUP(B797, PLANTA_BASE!A:R, 6, FALSE), "NO ENCONTRADO EN PLANTA"))</f>
        <v/>
      </c>
      <c r="F797" s="7">
        <f>IF(B797="","",IFERROR(VLOOKUP(B797, PLANTA_BASE!A:R, 8, FALSE), "DOCENTE / FACILITADOR"))</f>
        <v/>
      </c>
      <c r="G797" s="7">
        <f>IF(B797="","",IFERROR(VLOOKUP(B797, PLANTA_BASE!A:R, 9, FALSE), "GENERAL"))</f>
        <v/>
      </c>
      <c r="H797" s="5">
        <f>IF(B797="","",IFERROR(VLOOKUP(B797, PLANTA_BASE!A:R, 17, FALSE), "GENERAL"))</f>
        <v/>
      </c>
    </row>
    <row r="798" ht="20" customHeight="1">
      <c r="A798" s="2">
        <f>IF(B798="","",IFERROR(VLOOKUP(B798, PLANTA_BASE!A:R, 2, FALSE), "NO ENCONTRADO EN PLANTA"))</f>
        <v/>
      </c>
      <c r="B798" s="3" t="inlineStr"/>
      <c r="C798" s="4">
        <f>IF(B798="","",IFERROR(VLOOKUP(B798, PLANTA_BASE!A:R, 3, FALSE), ""))</f>
        <v/>
      </c>
      <c r="D798" s="2">
        <f>IF(B798="","",IFERROR(VLOOKUP(B798, PLANTA_BASE!A:R, 5, FALSE), "NO ENCONTRADO EN PLANTA"))</f>
        <v/>
      </c>
      <c r="E798" s="2">
        <f>IF(B798="","",IFERROR(VLOOKUP(B798, PLANTA_BASE!A:R, 6, FALSE), "NO ENCONTRADO EN PLANTA"))</f>
        <v/>
      </c>
      <c r="F798" s="4">
        <f>IF(B798="","",IFERROR(VLOOKUP(B798, PLANTA_BASE!A:R, 8, FALSE), "DOCENTE / FACILITADOR"))</f>
        <v/>
      </c>
      <c r="G798" s="4">
        <f>IF(B798="","",IFERROR(VLOOKUP(B798, PLANTA_BASE!A:R, 9, FALSE), "GENERAL"))</f>
        <v/>
      </c>
      <c r="H798" s="2">
        <f>IF(B798="","",IFERROR(VLOOKUP(B798, PLANTA_BASE!A:R, 17, FALSE), "GENERAL"))</f>
        <v/>
      </c>
    </row>
    <row r="799" ht="20" customHeight="1">
      <c r="A799" s="5">
        <f>IF(B799="","",IFERROR(VLOOKUP(B799, PLANTA_BASE!A:R, 2, FALSE), "NO ENCONTRADO EN PLANTA"))</f>
        <v/>
      </c>
      <c r="B799" s="6" t="inlineStr"/>
      <c r="C799" s="7">
        <f>IF(B799="","",IFERROR(VLOOKUP(B799, PLANTA_BASE!A:R, 3, FALSE), ""))</f>
        <v/>
      </c>
      <c r="D799" s="5">
        <f>IF(B799="","",IFERROR(VLOOKUP(B799, PLANTA_BASE!A:R, 5, FALSE), "NO ENCONTRADO EN PLANTA"))</f>
        <v/>
      </c>
      <c r="E799" s="5">
        <f>IF(B799="","",IFERROR(VLOOKUP(B799, PLANTA_BASE!A:R, 6, FALSE), "NO ENCONTRADO EN PLANTA"))</f>
        <v/>
      </c>
      <c r="F799" s="7">
        <f>IF(B799="","",IFERROR(VLOOKUP(B799, PLANTA_BASE!A:R, 8, FALSE), "DOCENTE / FACILITADOR"))</f>
        <v/>
      </c>
      <c r="G799" s="7">
        <f>IF(B799="","",IFERROR(VLOOKUP(B799, PLANTA_BASE!A:R, 9, FALSE), "GENERAL"))</f>
        <v/>
      </c>
      <c r="H799" s="5">
        <f>IF(B799="","",IFERROR(VLOOKUP(B799, PLANTA_BASE!A:R, 17, FALSE), "GENERAL"))</f>
        <v/>
      </c>
    </row>
    <row r="800" ht="20" customHeight="1">
      <c r="A800" s="2">
        <f>IF(B800="","",IFERROR(VLOOKUP(B800, PLANTA_BASE!A:R, 2, FALSE), "NO ENCONTRADO EN PLANTA"))</f>
        <v/>
      </c>
      <c r="B800" s="3" t="inlineStr"/>
      <c r="C800" s="4">
        <f>IF(B800="","",IFERROR(VLOOKUP(B800, PLANTA_BASE!A:R, 3, FALSE), ""))</f>
        <v/>
      </c>
      <c r="D800" s="2">
        <f>IF(B800="","",IFERROR(VLOOKUP(B800, PLANTA_BASE!A:R, 5, FALSE), "NO ENCONTRADO EN PLANTA"))</f>
        <v/>
      </c>
      <c r="E800" s="2">
        <f>IF(B800="","",IFERROR(VLOOKUP(B800, PLANTA_BASE!A:R, 6, FALSE), "NO ENCONTRADO EN PLANTA"))</f>
        <v/>
      </c>
      <c r="F800" s="4">
        <f>IF(B800="","",IFERROR(VLOOKUP(B800, PLANTA_BASE!A:R, 8, FALSE), "DOCENTE / FACILITADOR"))</f>
        <v/>
      </c>
      <c r="G800" s="4">
        <f>IF(B800="","",IFERROR(VLOOKUP(B800, PLANTA_BASE!A:R, 9, FALSE), "GENERAL"))</f>
        <v/>
      </c>
      <c r="H800" s="2">
        <f>IF(B800="","",IFERROR(VLOOKUP(B800, PLANTA_BASE!A:R, 17, FALSE), "GENERAL"))</f>
        <v/>
      </c>
    </row>
    <row r="801" ht="20" customHeight="1">
      <c r="A801" s="5">
        <f>IF(B801="","",IFERROR(VLOOKUP(B801, PLANTA_BASE!A:R, 2, FALSE), "NO ENCONTRADO EN PLANTA"))</f>
        <v/>
      </c>
      <c r="B801" s="6" t="inlineStr"/>
      <c r="C801" s="7">
        <f>IF(B801="","",IFERROR(VLOOKUP(B801, PLANTA_BASE!A:R, 3, FALSE), ""))</f>
        <v/>
      </c>
      <c r="D801" s="5">
        <f>IF(B801="","",IFERROR(VLOOKUP(B801, PLANTA_BASE!A:R, 5, FALSE), "NO ENCONTRADO EN PLANTA"))</f>
        <v/>
      </c>
      <c r="E801" s="5">
        <f>IF(B801="","",IFERROR(VLOOKUP(B801, PLANTA_BASE!A:R, 6, FALSE), "NO ENCONTRADO EN PLANTA"))</f>
        <v/>
      </c>
      <c r="F801" s="7">
        <f>IF(B801="","",IFERROR(VLOOKUP(B801, PLANTA_BASE!A:R, 8, FALSE), "DOCENTE / FACILITADOR"))</f>
        <v/>
      </c>
      <c r="G801" s="7">
        <f>IF(B801="","",IFERROR(VLOOKUP(B801, PLANTA_BASE!A:R, 9, FALSE), "GENERAL"))</f>
        <v/>
      </c>
      <c r="H801" s="5">
        <f>IF(B801="","",IFERROR(VLOOKUP(B801, PLANTA_BASE!A:R, 17, FALSE), "GENERAL"))</f>
        <v/>
      </c>
    </row>
    <row r="802" ht="20" customHeight="1">
      <c r="A802" s="2">
        <f>IF(B802="","",IFERROR(VLOOKUP(B802, PLANTA_BASE!A:R, 2, FALSE), "NO ENCONTRADO EN PLANTA"))</f>
        <v/>
      </c>
      <c r="B802" s="3" t="inlineStr"/>
      <c r="C802" s="4">
        <f>IF(B802="","",IFERROR(VLOOKUP(B802, PLANTA_BASE!A:R, 3, FALSE), ""))</f>
        <v/>
      </c>
      <c r="D802" s="2">
        <f>IF(B802="","",IFERROR(VLOOKUP(B802, PLANTA_BASE!A:R, 5, FALSE), "NO ENCONTRADO EN PLANTA"))</f>
        <v/>
      </c>
      <c r="E802" s="2">
        <f>IF(B802="","",IFERROR(VLOOKUP(B802, PLANTA_BASE!A:R, 6, FALSE), "NO ENCONTRADO EN PLANTA"))</f>
        <v/>
      </c>
      <c r="F802" s="4">
        <f>IF(B802="","",IFERROR(VLOOKUP(B802, PLANTA_BASE!A:R, 8, FALSE), "DOCENTE / FACILITADOR"))</f>
        <v/>
      </c>
      <c r="G802" s="4">
        <f>IF(B802="","",IFERROR(VLOOKUP(B802, PLANTA_BASE!A:R, 9, FALSE), "GENERAL"))</f>
        <v/>
      </c>
      <c r="H802" s="2">
        <f>IF(B802="","",IFERROR(VLOOKUP(B802, PLANTA_BASE!A:R, 17, FALSE), "GENERAL"))</f>
        <v/>
      </c>
    </row>
    <row r="803" ht="20" customHeight="1">
      <c r="A803" s="5">
        <f>IF(B803="","",IFERROR(VLOOKUP(B803, PLANTA_BASE!A:R, 2, FALSE), "NO ENCONTRADO EN PLANTA"))</f>
        <v/>
      </c>
      <c r="B803" s="6" t="inlineStr"/>
      <c r="C803" s="7">
        <f>IF(B803="","",IFERROR(VLOOKUP(B803, PLANTA_BASE!A:R, 3, FALSE), ""))</f>
        <v/>
      </c>
      <c r="D803" s="5">
        <f>IF(B803="","",IFERROR(VLOOKUP(B803, PLANTA_BASE!A:R, 5, FALSE), "NO ENCONTRADO EN PLANTA"))</f>
        <v/>
      </c>
      <c r="E803" s="5">
        <f>IF(B803="","",IFERROR(VLOOKUP(B803, PLANTA_BASE!A:R, 6, FALSE), "NO ENCONTRADO EN PLANTA"))</f>
        <v/>
      </c>
      <c r="F803" s="7">
        <f>IF(B803="","",IFERROR(VLOOKUP(B803, PLANTA_BASE!A:R, 8, FALSE), "DOCENTE / FACILITADOR"))</f>
        <v/>
      </c>
      <c r="G803" s="7">
        <f>IF(B803="","",IFERROR(VLOOKUP(B803, PLANTA_BASE!A:R, 9, FALSE), "GENERAL"))</f>
        <v/>
      </c>
      <c r="H803" s="5">
        <f>IF(B803="","",IFERROR(VLOOKUP(B803, PLANTA_BASE!A:R, 17, FALSE), "GENERAL"))</f>
        <v/>
      </c>
    </row>
    <row r="804" ht="20" customHeight="1">
      <c r="A804" s="2">
        <f>IF(B804="","",IFERROR(VLOOKUP(B804, PLANTA_BASE!A:R, 2, FALSE), "NO ENCONTRADO EN PLANTA"))</f>
        <v/>
      </c>
      <c r="B804" s="3" t="inlineStr"/>
      <c r="C804" s="4">
        <f>IF(B804="","",IFERROR(VLOOKUP(B804, PLANTA_BASE!A:R, 3, FALSE), ""))</f>
        <v/>
      </c>
      <c r="D804" s="2">
        <f>IF(B804="","",IFERROR(VLOOKUP(B804, PLANTA_BASE!A:R, 5, FALSE), "NO ENCONTRADO EN PLANTA"))</f>
        <v/>
      </c>
      <c r="E804" s="2">
        <f>IF(B804="","",IFERROR(VLOOKUP(B804, PLANTA_BASE!A:R, 6, FALSE), "NO ENCONTRADO EN PLANTA"))</f>
        <v/>
      </c>
      <c r="F804" s="4">
        <f>IF(B804="","",IFERROR(VLOOKUP(B804, PLANTA_BASE!A:R, 8, FALSE), "DOCENTE / FACILITADOR"))</f>
        <v/>
      </c>
      <c r="G804" s="4">
        <f>IF(B804="","",IFERROR(VLOOKUP(B804, PLANTA_BASE!A:R, 9, FALSE), "GENERAL"))</f>
        <v/>
      </c>
      <c r="H804" s="2">
        <f>IF(B804="","",IFERROR(VLOOKUP(B804, PLANTA_BASE!A:R, 17, FALSE), "GENERAL"))</f>
        <v/>
      </c>
    </row>
    <row r="805" ht="20" customHeight="1">
      <c r="A805" s="5">
        <f>IF(B805="","",IFERROR(VLOOKUP(B805, PLANTA_BASE!A:R, 2, FALSE), "NO ENCONTRADO EN PLANTA"))</f>
        <v/>
      </c>
      <c r="B805" s="6" t="inlineStr"/>
      <c r="C805" s="7">
        <f>IF(B805="","",IFERROR(VLOOKUP(B805, PLANTA_BASE!A:R, 3, FALSE), ""))</f>
        <v/>
      </c>
      <c r="D805" s="5">
        <f>IF(B805="","",IFERROR(VLOOKUP(B805, PLANTA_BASE!A:R, 5, FALSE), "NO ENCONTRADO EN PLANTA"))</f>
        <v/>
      </c>
      <c r="E805" s="5">
        <f>IF(B805="","",IFERROR(VLOOKUP(B805, PLANTA_BASE!A:R, 6, FALSE), "NO ENCONTRADO EN PLANTA"))</f>
        <v/>
      </c>
      <c r="F805" s="7">
        <f>IF(B805="","",IFERROR(VLOOKUP(B805, PLANTA_BASE!A:R, 8, FALSE), "DOCENTE / FACILITADOR"))</f>
        <v/>
      </c>
      <c r="G805" s="7">
        <f>IF(B805="","",IFERROR(VLOOKUP(B805, PLANTA_BASE!A:R, 9, FALSE), "GENERAL"))</f>
        <v/>
      </c>
      <c r="H805" s="5">
        <f>IF(B805="","",IFERROR(VLOOKUP(B805, PLANTA_BASE!A:R, 17, FALSE), "GENERAL"))</f>
        <v/>
      </c>
    </row>
    <row r="806" ht="20" customHeight="1">
      <c r="A806" s="2">
        <f>IF(B806="","",IFERROR(VLOOKUP(B806, PLANTA_BASE!A:R, 2, FALSE), "NO ENCONTRADO EN PLANTA"))</f>
        <v/>
      </c>
      <c r="B806" s="3" t="inlineStr"/>
      <c r="C806" s="4">
        <f>IF(B806="","",IFERROR(VLOOKUP(B806, PLANTA_BASE!A:R, 3, FALSE), ""))</f>
        <v/>
      </c>
      <c r="D806" s="2">
        <f>IF(B806="","",IFERROR(VLOOKUP(B806, PLANTA_BASE!A:R, 5, FALSE), "NO ENCONTRADO EN PLANTA"))</f>
        <v/>
      </c>
      <c r="E806" s="2">
        <f>IF(B806="","",IFERROR(VLOOKUP(B806, PLANTA_BASE!A:R, 6, FALSE), "NO ENCONTRADO EN PLANTA"))</f>
        <v/>
      </c>
      <c r="F806" s="4">
        <f>IF(B806="","",IFERROR(VLOOKUP(B806, PLANTA_BASE!A:R, 8, FALSE), "DOCENTE / FACILITADOR"))</f>
        <v/>
      </c>
      <c r="G806" s="4">
        <f>IF(B806="","",IFERROR(VLOOKUP(B806, PLANTA_BASE!A:R, 9, FALSE), "GENERAL"))</f>
        <v/>
      </c>
      <c r="H806" s="2">
        <f>IF(B806="","",IFERROR(VLOOKUP(B806, PLANTA_BASE!A:R, 17, FALSE), "GENERAL"))</f>
        <v/>
      </c>
    </row>
    <row r="807" ht="20" customHeight="1">
      <c r="A807" s="5">
        <f>IF(B807="","",IFERROR(VLOOKUP(B807, PLANTA_BASE!A:R, 2, FALSE), "NO ENCONTRADO EN PLANTA"))</f>
        <v/>
      </c>
      <c r="B807" s="6" t="inlineStr"/>
      <c r="C807" s="7">
        <f>IF(B807="","",IFERROR(VLOOKUP(B807, PLANTA_BASE!A:R, 3, FALSE), ""))</f>
        <v/>
      </c>
      <c r="D807" s="5">
        <f>IF(B807="","",IFERROR(VLOOKUP(B807, PLANTA_BASE!A:R, 5, FALSE), "NO ENCONTRADO EN PLANTA"))</f>
        <v/>
      </c>
      <c r="E807" s="5">
        <f>IF(B807="","",IFERROR(VLOOKUP(B807, PLANTA_BASE!A:R, 6, FALSE), "NO ENCONTRADO EN PLANTA"))</f>
        <v/>
      </c>
      <c r="F807" s="7">
        <f>IF(B807="","",IFERROR(VLOOKUP(B807, PLANTA_BASE!A:R, 8, FALSE), "DOCENTE / FACILITADOR"))</f>
        <v/>
      </c>
      <c r="G807" s="7">
        <f>IF(B807="","",IFERROR(VLOOKUP(B807, PLANTA_BASE!A:R, 9, FALSE), "GENERAL"))</f>
        <v/>
      </c>
      <c r="H807" s="5">
        <f>IF(B807="","",IFERROR(VLOOKUP(B807, PLANTA_BASE!A:R, 17, FALSE), "GENERAL"))</f>
        <v/>
      </c>
    </row>
    <row r="808" ht="20" customHeight="1">
      <c r="A808" s="2">
        <f>IF(B808="","",IFERROR(VLOOKUP(B808, PLANTA_BASE!A:R, 2, FALSE), "NO ENCONTRADO EN PLANTA"))</f>
        <v/>
      </c>
      <c r="B808" s="3" t="inlineStr"/>
      <c r="C808" s="4">
        <f>IF(B808="","",IFERROR(VLOOKUP(B808, PLANTA_BASE!A:R, 3, FALSE), ""))</f>
        <v/>
      </c>
      <c r="D808" s="2">
        <f>IF(B808="","",IFERROR(VLOOKUP(B808, PLANTA_BASE!A:R, 5, FALSE), "NO ENCONTRADO EN PLANTA"))</f>
        <v/>
      </c>
      <c r="E808" s="2">
        <f>IF(B808="","",IFERROR(VLOOKUP(B808, PLANTA_BASE!A:R, 6, FALSE), "NO ENCONTRADO EN PLANTA"))</f>
        <v/>
      </c>
      <c r="F808" s="4">
        <f>IF(B808="","",IFERROR(VLOOKUP(B808, PLANTA_BASE!A:R, 8, FALSE), "DOCENTE / FACILITADOR"))</f>
        <v/>
      </c>
      <c r="G808" s="4">
        <f>IF(B808="","",IFERROR(VLOOKUP(B808, PLANTA_BASE!A:R, 9, FALSE), "GENERAL"))</f>
        <v/>
      </c>
      <c r="H808" s="2">
        <f>IF(B808="","",IFERROR(VLOOKUP(B808, PLANTA_BASE!A:R, 17, FALSE), "GENERAL"))</f>
        <v/>
      </c>
    </row>
    <row r="809" ht="20" customHeight="1">
      <c r="A809" s="5">
        <f>IF(B809="","",IFERROR(VLOOKUP(B809, PLANTA_BASE!A:R, 2, FALSE), "NO ENCONTRADO EN PLANTA"))</f>
        <v/>
      </c>
      <c r="B809" s="6" t="inlineStr"/>
      <c r="C809" s="7">
        <f>IF(B809="","",IFERROR(VLOOKUP(B809, PLANTA_BASE!A:R, 3, FALSE), ""))</f>
        <v/>
      </c>
      <c r="D809" s="5">
        <f>IF(B809="","",IFERROR(VLOOKUP(B809, PLANTA_BASE!A:R, 5, FALSE), "NO ENCONTRADO EN PLANTA"))</f>
        <v/>
      </c>
      <c r="E809" s="5">
        <f>IF(B809="","",IFERROR(VLOOKUP(B809, PLANTA_BASE!A:R, 6, FALSE), "NO ENCONTRADO EN PLANTA"))</f>
        <v/>
      </c>
      <c r="F809" s="7">
        <f>IF(B809="","",IFERROR(VLOOKUP(B809, PLANTA_BASE!A:R, 8, FALSE), "DOCENTE / FACILITADOR"))</f>
        <v/>
      </c>
      <c r="G809" s="7">
        <f>IF(B809="","",IFERROR(VLOOKUP(B809, PLANTA_BASE!A:R, 9, FALSE), "GENERAL"))</f>
        <v/>
      </c>
      <c r="H809" s="5">
        <f>IF(B809="","",IFERROR(VLOOKUP(B809, PLANTA_BASE!A:R, 17, FALSE), "GENERAL"))</f>
        <v/>
      </c>
    </row>
    <row r="810" ht="20" customHeight="1">
      <c r="A810" s="2">
        <f>IF(B810="","",IFERROR(VLOOKUP(B810, PLANTA_BASE!A:R, 2, FALSE), "NO ENCONTRADO EN PLANTA"))</f>
        <v/>
      </c>
      <c r="B810" s="3" t="inlineStr"/>
      <c r="C810" s="4">
        <f>IF(B810="","",IFERROR(VLOOKUP(B810, PLANTA_BASE!A:R, 3, FALSE), ""))</f>
        <v/>
      </c>
      <c r="D810" s="2">
        <f>IF(B810="","",IFERROR(VLOOKUP(B810, PLANTA_BASE!A:R, 5, FALSE), "NO ENCONTRADO EN PLANTA"))</f>
        <v/>
      </c>
      <c r="E810" s="2">
        <f>IF(B810="","",IFERROR(VLOOKUP(B810, PLANTA_BASE!A:R, 6, FALSE), "NO ENCONTRADO EN PLANTA"))</f>
        <v/>
      </c>
      <c r="F810" s="4">
        <f>IF(B810="","",IFERROR(VLOOKUP(B810, PLANTA_BASE!A:R, 8, FALSE), "DOCENTE / FACILITADOR"))</f>
        <v/>
      </c>
      <c r="G810" s="4">
        <f>IF(B810="","",IFERROR(VLOOKUP(B810, PLANTA_BASE!A:R, 9, FALSE), "GENERAL"))</f>
        <v/>
      </c>
      <c r="H810" s="2">
        <f>IF(B810="","",IFERROR(VLOOKUP(B810, PLANTA_BASE!A:R, 17, FALSE), "GENERAL"))</f>
        <v/>
      </c>
    </row>
    <row r="811" ht="20" customHeight="1">
      <c r="A811" s="5">
        <f>IF(B811="","",IFERROR(VLOOKUP(B811, PLANTA_BASE!A:R, 2, FALSE), "NO ENCONTRADO EN PLANTA"))</f>
        <v/>
      </c>
      <c r="B811" s="6" t="inlineStr"/>
      <c r="C811" s="7">
        <f>IF(B811="","",IFERROR(VLOOKUP(B811, PLANTA_BASE!A:R, 3, FALSE), ""))</f>
        <v/>
      </c>
      <c r="D811" s="5">
        <f>IF(B811="","",IFERROR(VLOOKUP(B811, PLANTA_BASE!A:R, 5, FALSE), "NO ENCONTRADO EN PLANTA"))</f>
        <v/>
      </c>
      <c r="E811" s="5">
        <f>IF(B811="","",IFERROR(VLOOKUP(B811, PLANTA_BASE!A:R, 6, FALSE), "NO ENCONTRADO EN PLANTA"))</f>
        <v/>
      </c>
      <c r="F811" s="7">
        <f>IF(B811="","",IFERROR(VLOOKUP(B811, PLANTA_BASE!A:R, 8, FALSE), "DOCENTE / FACILITADOR"))</f>
        <v/>
      </c>
      <c r="G811" s="7">
        <f>IF(B811="","",IFERROR(VLOOKUP(B811, PLANTA_BASE!A:R, 9, FALSE), "GENERAL"))</f>
        <v/>
      </c>
      <c r="H811" s="5">
        <f>IF(B811="","",IFERROR(VLOOKUP(B811, PLANTA_BASE!A:R, 17, FALSE), "GENERAL"))</f>
        <v/>
      </c>
    </row>
    <row r="812" ht="20" customHeight="1">
      <c r="A812" s="2">
        <f>IF(B812="","",IFERROR(VLOOKUP(B812, PLANTA_BASE!A:R, 2, FALSE), "NO ENCONTRADO EN PLANTA"))</f>
        <v/>
      </c>
      <c r="B812" s="3" t="inlineStr"/>
      <c r="C812" s="4">
        <f>IF(B812="","",IFERROR(VLOOKUP(B812, PLANTA_BASE!A:R, 3, FALSE), ""))</f>
        <v/>
      </c>
      <c r="D812" s="2">
        <f>IF(B812="","",IFERROR(VLOOKUP(B812, PLANTA_BASE!A:R, 5, FALSE), "NO ENCONTRADO EN PLANTA"))</f>
        <v/>
      </c>
      <c r="E812" s="2">
        <f>IF(B812="","",IFERROR(VLOOKUP(B812, PLANTA_BASE!A:R, 6, FALSE), "NO ENCONTRADO EN PLANTA"))</f>
        <v/>
      </c>
      <c r="F812" s="4">
        <f>IF(B812="","",IFERROR(VLOOKUP(B812, PLANTA_BASE!A:R, 8, FALSE), "DOCENTE / FACILITADOR"))</f>
        <v/>
      </c>
      <c r="G812" s="4">
        <f>IF(B812="","",IFERROR(VLOOKUP(B812, PLANTA_BASE!A:R, 9, FALSE), "GENERAL"))</f>
        <v/>
      </c>
      <c r="H812" s="2">
        <f>IF(B812="","",IFERROR(VLOOKUP(B812, PLANTA_BASE!A:R, 17, FALSE), "GENERAL"))</f>
        <v/>
      </c>
    </row>
    <row r="813" ht="20" customHeight="1">
      <c r="A813" s="5">
        <f>IF(B813="","",IFERROR(VLOOKUP(B813, PLANTA_BASE!A:R, 2, FALSE), "NO ENCONTRADO EN PLANTA"))</f>
        <v/>
      </c>
      <c r="B813" s="6" t="inlineStr"/>
      <c r="C813" s="7">
        <f>IF(B813="","",IFERROR(VLOOKUP(B813, PLANTA_BASE!A:R, 3, FALSE), ""))</f>
        <v/>
      </c>
      <c r="D813" s="5">
        <f>IF(B813="","",IFERROR(VLOOKUP(B813, PLANTA_BASE!A:R, 5, FALSE), "NO ENCONTRADO EN PLANTA"))</f>
        <v/>
      </c>
      <c r="E813" s="5">
        <f>IF(B813="","",IFERROR(VLOOKUP(B813, PLANTA_BASE!A:R, 6, FALSE), "NO ENCONTRADO EN PLANTA"))</f>
        <v/>
      </c>
      <c r="F813" s="7">
        <f>IF(B813="","",IFERROR(VLOOKUP(B813, PLANTA_BASE!A:R, 8, FALSE), "DOCENTE / FACILITADOR"))</f>
        <v/>
      </c>
      <c r="G813" s="7">
        <f>IF(B813="","",IFERROR(VLOOKUP(B813, PLANTA_BASE!A:R, 9, FALSE), "GENERAL"))</f>
        <v/>
      </c>
      <c r="H813" s="5">
        <f>IF(B813="","",IFERROR(VLOOKUP(B813, PLANTA_BASE!A:R, 17, FALSE), "GENERAL"))</f>
        <v/>
      </c>
    </row>
    <row r="814" ht="20" customHeight="1">
      <c r="A814" s="2">
        <f>IF(B814="","",IFERROR(VLOOKUP(B814, PLANTA_BASE!A:R, 2, FALSE), "NO ENCONTRADO EN PLANTA"))</f>
        <v/>
      </c>
      <c r="B814" s="3" t="inlineStr"/>
      <c r="C814" s="4">
        <f>IF(B814="","",IFERROR(VLOOKUP(B814, PLANTA_BASE!A:R, 3, FALSE), ""))</f>
        <v/>
      </c>
      <c r="D814" s="2">
        <f>IF(B814="","",IFERROR(VLOOKUP(B814, PLANTA_BASE!A:R, 5, FALSE), "NO ENCONTRADO EN PLANTA"))</f>
        <v/>
      </c>
      <c r="E814" s="2">
        <f>IF(B814="","",IFERROR(VLOOKUP(B814, PLANTA_BASE!A:R, 6, FALSE), "NO ENCONTRADO EN PLANTA"))</f>
        <v/>
      </c>
      <c r="F814" s="4">
        <f>IF(B814="","",IFERROR(VLOOKUP(B814, PLANTA_BASE!A:R, 8, FALSE), "DOCENTE / FACILITADOR"))</f>
        <v/>
      </c>
      <c r="G814" s="4">
        <f>IF(B814="","",IFERROR(VLOOKUP(B814, PLANTA_BASE!A:R, 9, FALSE), "GENERAL"))</f>
        <v/>
      </c>
      <c r="H814" s="2">
        <f>IF(B814="","",IFERROR(VLOOKUP(B814, PLANTA_BASE!A:R, 17, FALSE), "GENERAL"))</f>
        <v/>
      </c>
    </row>
    <row r="815" ht="20" customHeight="1">
      <c r="A815" s="5">
        <f>IF(B815="","",IFERROR(VLOOKUP(B815, PLANTA_BASE!A:R, 2, FALSE), "NO ENCONTRADO EN PLANTA"))</f>
        <v/>
      </c>
      <c r="B815" s="6" t="inlineStr"/>
      <c r="C815" s="7">
        <f>IF(B815="","",IFERROR(VLOOKUP(B815, PLANTA_BASE!A:R, 3, FALSE), ""))</f>
        <v/>
      </c>
      <c r="D815" s="5">
        <f>IF(B815="","",IFERROR(VLOOKUP(B815, PLANTA_BASE!A:R, 5, FALSE), "NO ENCONTRADO EN PLANTA"))</f>
        <v/>
      </c>
      <c r="E815" s="5">
        <f>IF(B815="","",IFERROR(VLOOKUP(B815, PLANTA_BASE!A:R, 6, FALSE), "NO ENCONTRADO EN PLANTA"))</f>
        <v/>
      </c>
      <c r="F815" s="7">
        <f>IF(B815="","",IFERROR(VLOOKUP(B815, PLANTA_BASE!A:R, 8, FALSE), "DOCENTE / FACILITADOR"))</f>
        <v/>
      </c>
      <c r="G815" s="7">
        <f>IF(B815="","",IFERROR(VLOOKUP(B815, PLANTA_BASE!A:R, 9, FALSE), "GENERAL"))</f>
        <v/>
      </c>
      <c r="H815" s="5">
        <f>IF(B815="","",IFERROR(VLOOKUP(B815, PLANTA_BASE!A:R, 17, FALSE), "GENERAL"))</f>
        <v/>
      </c>
    </row>
    <row r="816" ht="20" customHeight="1">
      <c r="A816" s="2">
        <f>IF(B816="","",IFERROR(VLOOKUP(B816, PLANTA_BASE!A:R, 2, FALSE), "NO ENCONTRADO EN PLANTA"))</f>
        <v/>
      </c>
      <c r="B816" s="3" t="inlineStr"/>
      <c r="C816" s="4">
        <f>IF(B816="","",IFERROR(VLOOKUP(B816, PLANTA_BASE!A:R, 3, FALSE), ""))</f>
        <v/>
      </c>
      <c r="D816" s="2">
        <f>IF(B816="","",IFERROR(VLOOKUP(B816, PLANTA_BASE!A:R, 5, FALSE), "NO ENCONTRADO EN PLANTA"))</f>
        <v/>
      </c>
      <c r="E816" s="2">
        <f>IF(B816="","",IFERROR(VLOOKUP(B816, PLANTA_BASE!A:R, 6, FALSE), "NO ENCONTRADO EN PLANTA"))</f>
        <v/>
      </c>
      <c r="F816" s="4">
        <f>IF(B816="","",IFERROR(VLOOKUP(B816, PLANTA_BASE!A:R, 8, FALSE), "DOCENTE / FACILITADOR"))</f>
        <v/>
      </c>
      <c r="G816" s="4">
        <f>IF(B816="","",IFERROR(VLOOKUP(B816, PLANTA_BASE!A:R, 9, FALSE), "GENERAL"))</f>
        <v/>
      </c>
      <c r="H816" s="2">
        <f>IF(B816="","",IFERROR(VLOOKUP(B816, PLANTA_BASE!A:R, 17, FALSE), "GENERAL"))</f>
        <v/>
      </c>
    </row>
    <row r="817" ht="20" customHeight="1">
      <c r="A817" s="5">
        <f>IF(B817="","",IFERROR(VLOOKUP(B817, PLANTA_BASE!A:R, 2, FALSE), "NO ENCONTRADO EN PLANTA"))</f>
        <v/>
      </c>
      <c r="B817" s="6" t="inlineStr"/>
      <c r="C817" s="7">
        <f>IF(B817="","",IFERROR(VLOOKUP(B817, PLANTA_BASE!A:R, 3, FALSE), ""))</f>
        <v/>
      </c>
      <c r="D817" s="5">
        <f>IF(B817="","",IFERROR(VLOOKUP(B817, PLANTA_BASE!A:R, 5, FALSE), "NO ENCONTRADO EN PLANTA"))</f>
        <v/>
      </c>
      <c r="E817" s="5">
        <f>IF(B817="","",IFERROR(VLOOKUP(B817, PLANTA_BASE!A:R, 6, FALSE), "NO ENCONTRADO EN PLANTA"))</f>
        <v/>
      </c>
      <c r="F817" s="7">
        <f>IF(B817="","",IFERROR(VLOOKUP(B817, PLANTA_BASE!A:R, 8, FALSE), "DOCENTE / FACILITADOR"))</f>
        <v/>
      </c>
      <c r="G817" s="7">
        <f>IF(B817="","",IFERROR(VLOOKUP(B817, PLANTA_BASE!A:R, 9, FALSE), "GENERAL"))</f>
        <v/>
      </c>
      <c r="H817" s="5">
        <f>IF(B817="","",IFERROR(VLOOKUP(B817, PLANTA_BASE!A:R, 17, FALSE), "GENERAL"))</f>
        <v/>
      </c>
    </row>
    <row r="818" ht="20" customHeight="1">
      <c r="A818" s="2">
        <f>IF(B818="","",IFERROR(VLOOKUP(B818, PLANTA_BASE!A:R, 2, FALSE), "NO ENCONTRADO EN PLANTA"))</f>
        <v/>
      </c>
      <c r="B818" s="3" t="inlineStr"/>
      <c r="C818" s="4">
        <f>IF(B818="","",IFERROR(VLOOKUP(B818, PLANTA_BASE!A:R, 3, FALSE), ""))</f>
        <v/>
      </c>
      <c r="D818" s="2">
        <f>IF(B818="","",IFERROR(VLOOKUP(B818, PLANTA_BASE!A:R, 5, FALSE), "NO ENCONTRADO EN PLANTA"))</f>
        <v/>
      </c>
      <c r="E818" s="2">
        <f>IF(B818="","",IFERROR(VLOOKUP(B818, PLANTA_BASE!A:R, 6, FALSE), "NO ENCONTRADO EN PLANTA"))</f>
        <v/>
      </c>
      <c r="F818" s="4">
        <f>IF(B818="","",IFERROR(VLOOKUP(B818, PLANTA_BASE!A:R, 8, FALSE), "DOCENTE / FACILITADOR"))</f>
        <v/>
      </c>
      <c r="G818" s="4">
        <f>IF(B818="","",IFERROR(VLOOKUP(B818, PLANTA_BASE!A:R, 9, FALSE), "GENERAL"))</f>
        <v/>
      </c>
      <c r="H818" s="2">
        <f>IF(B818="","",IFERROR(VLOOKUP(B818, PLANTA_BASE!A:R, 17, FALSE), "GENERAL"))</f>
        <v/>
      </c>
    </row>
    <row r="819" ht="20" customHeight="1">
      <c r="A819" s="5">
        <f>IF(B819="","",IFERROR(VLOOKUP(B819, PLANTA_BASE!A:R, 2, FALSE), "NO ENCONTRADO EN PLANTA"))</f>
        <v/>
      </c>
      <c r="B819" s="6" t="inlineStr"/>
      <c r="C819" s="7">
        <f>IF(B819="","",IFERROR(VLOOKUP(B819, PLANTA_BASE!A:R, 3, FALSE), ""))</f>
        <v/>
      </c>
      <c r="D819" s="5">
        <f>IF(B819="","",IFERROR(VLOOKUP(B819, PLANTA_BASE!A:R, 5, FALSE), "NO ENCONTRADO EN PLANTA"))</f>
        <v/>
      </c>
      <c r="E819" s="5">
        <f>IF(B819="","",IFERROR(VLOOKUP(B819, PLANTA_BASE!A:R, 6, FALSE), "NO ENCONTRADO EN PLANTA"))</f>
        <v/>
      </c>
      <c r="F819" s="7">
        <f>IF(B819="","",IFERROR(VLOOKUP(B819, PLANTA_BASE!A:R, 8, FALSE), "DOCENTE / FACILITADOR"))</f>
        <v/>
      </c>
      <c r="G819" s="7">
        <f>IF(B819="","",IFERROR(VLOOKUP(B819, PLANTA_BASE!A:R, 9, FALSE), "GENERAL"))</f>
        <v/>
      </c>
      <c r="H819" s="5">
        <f>IF(B819="","",IFERROR(VLOOKUP(B819, PLANTA_BASE!A:R, 17, FALSE), "GENERAL"))</f>
        <v/>
      </c>
    </row>
    <row r="820" ht="20" customHeight="1">
      <c r="A820" s="2">
        <f>IF(B820="","",IFERROR(VLOOKUP(B820, PLANTA_BASE!A:R, 2, FALSE), "NO ENCONTRADO EN PLANTA"))</f>
        <v/>
      </c>
      <c r="B820" s="3" t="inlineStr"/>
      <c r="C820" s="4">
        <f>IF(B820="","",IFERROR(VLOOKUP(B820, PLANTA_BASE!A:R, 3, FALSE), ""))</f>
        <v/>
      </c>
      <c r="D820" s="2">
        <f>IF(B820="","",IFERROR(VLOOKUP(B820, PLANTA_BASE!A:R, 5, FALSE), "NO ENCONTRADO EN PLANTA"))</f>
        <v/>
      </c>
      <c r="E820" s="2">
        <f>IF(B820="","",IFERROR(VLOOKUP(B820, PLANTA_BASE!A:R, 6, FALSE), "NO ENCONTRADO EN PLANTA"))</f>
        <v/>
      </c>
      <c r="F820" s="4">
        <f>IF(B820="","",IFERROR(VLOOKUP(B820, PLANTA_BASE!A:R, 8, FALSE), "DOCENTE / FACILITADOR"))</f>
        <v/>
      </c>
      <c r="G820" s="4">
        <f>IF(B820="","",IFERROR(VLOOKUP(B820, PLANTA_BASE!A:R, 9, FALSE), "GENERAL"))</f>
        <v/>
      </c>
      <c r="H820" s="2">
        <f>IF(B820="","",IFERROR(VLOOKUP(B820, PLANTA_BASE!A:R, 17, FALSE), "GENERAL"))</f>
        <v/>
      </c>
    </row>
    <row r="821" ht="20" customHeight="1">
      <c r="A821" s="5">
        <f>IF(B821="","",IFERROR(VLOOKUP(B821, PLANTA_BASE!A:R, 2, FALSE), "NO ENCONTRADO EN PLANTA"))</f>
        <v/>
      </c>
      <c r="B821" s="6" t="inlineStr"/>
      <c r="C821" s="7">
        <f>IF(B821="","",IFERROR(VLOOKUP(B821, PLANTA_BASE!A:R, 3, FALSE), ""))</f>
        <v/>
      </c>
      <c r="D821" s="5">
        <f>IF(B821="","",IFERROR(VLOOKUP(B821, PLANTA_BASE!A:R, 5, FALSE), "NO ENCONTRADO EN PLANTA"))</f>
        <v/>
      </c>
      <c r="E821" s="5">
        <f>IF(B821="","",IFERROR(VLOOKUP(B821, PLANTA_BASE!A:R, 6, FALSE), "NO ENCONTRADO EN PLANTA"))</f>
        <v/>
      </c>
      <c r="F821" s="7">
        <f>IF(B821="","",IFERROR(VLOOKUP(B821, PLANTA_BASE!A:R, 8, FALSE), "DOCENTE / FACILITADOR"))</f>
        <v/>
      </c>
      <c r="G821" s="7">
        <f>IF(B821="","",IFERROR(VLOOKUP(B821, PLANTA_BASE!A:R, 9, FALSE), "GENERAL"))</f>
        <v/>
      </c>
      <c r="H821" s="5">
        <f>IF(B821="","",IFERROR(VLOOKUP(B821, PLANTA_BASE!A:R, 17, FALSE), "GENERAL"))</f>
        <v/>
      </c>
    </row>
    <row r="822" ht="20" customHeight="1">
      <c r="A822" s="2">
        <f>IF(B822="","",IFERROR(VLOOKUP(B822, PLANTA_BASE!A:R, 2, FALSE), "NO ENCONTRADO EN PLANTA"))</f>
        <v/>
      </c>
      <c r="B822" s="3" t="inlineStr"/>
      <c r="C822" s="4">
        <f>IF(B822="","",IFERROR(VLOOKUP(B822, PLANTA_BASE!A:R, 3, FALSE), ""))</f>
        <v/>
      </c>
      <c r="D822" s="2">
        <f>IF(B822="","",IFERROR(VLOOKUP(B822, PLANTA_BASE!A:R, 5, FALSE), "NO ENCONTRADO EN PLANTA"))</f>
        <v/>
      </c>
      <c r="E822" s="2">
        <f>IF(B822="","",IFERROR(VLOOKUP(B822, PLANTA_BASE!A:R, 6, FALSE), "NO ENCONTRADO EN PLANTA"))</f>
        <v/>
      </c>
      <c r="F822" s="4">
        <f>IF(B822="","",IFERROR(VLOOKUP(B822, PLANTA_BASE!A:R, 8, FALSE), "DOCENTE / FACILITADOR"))</f>
        <v/>
      </c>
      <c r="G822" s="4">
        <f>IF(B822="","",IFERROR(VLOOKUP(B822, PLANTA_BASE!A:R, 9, FALSE), "GENERAL"))</f>
        <v/>
      </c>
      <c r="H822" s="2">
        <f>IF(B822="","",IFERROR(VLOOKUP(B822, PLANTA_BASE!A:R, 17, FALSE), "GENERAL"))</f>
        <v/>
      </c>
    </row>
    <row r="823" ht="20" customHeight="1">
      <c r="A823" s="5">
        <f>IF(B823="","",IFERROR(VLOOKUP(B823, PLANTA_BASE!A:R, 2, FALSE), "NO ENCONTRADO EN PLANTA"))</f>
        <v/>
      </c>
      <c r="B823" s="6" t="inlineStr"/>
      <c r="C823" s="7">
        <f>IF(B823="","",IFERROR(VLOOKUP(B823, PLANTA_BASE!A:R, 3, FALSE), ""))</f>
        <v/>
      </c>
      <c r="D823" s="5">
        <f>IF(B823="","",IFERROR(VLOOKUP(B823, PLANTA_BASE!A:R, 5, FALSE), "NO ENCONTRADO EN PLANTA"))</f>
        <v/>
      </c>
      <c r="E823" s="5">
        <f>IF(B823="","",IFERROR(VLOOKUP(B823, PLANTA_BASE!A:R, 6, FALSE), "NO ENCONTRADO EN PLANTA"))</f>
        <v/>
      </c>
      <c r="F823" s="7">
        <f>IF(B823="","",IFERROR(VLOOKUP(B823, PLANTA_BASE!A:R, 8, FALSE), "DOCENTE / FACILITADOR"))</f>
        <v/>
      </c>
      <c r="G823" s="7">
        <f>IF(B823="","",IFERROR(VLOOKUP(B823, PLANTA_BASE!A:R, 9, FALSE), "GENERAL"))</f>
        <v/>
      </c>
      <c r="H823" s="5">
        <f>IF(B823="","",IFERROR(VLOOKUP(B823, PLANTA_BASE!A:R, 17, FALSE), "GENERAL"))</f>
        <v/>
      </c>
    </row>
    <row r="824" ht="20" customHeight="1">
      <c r="A824" s="2">
        <f>IF(B824="","",IFERROR(VLOOKUP(B824, PLANTA_BASE!A:R, 2, FALSE), "NO ENCONTRADO EN PLANTA"))</f>
        <v/>
      </c>
      <c r="B824" s="3" t="inlineStr"/>
      <c r="C824" s="4">
        <f>IF(B824="","",IFERROR(VLOOKUP(B824, PLANTA_BASE!A:R, 3, FALSE), ""))</f>
        <v/>
      </c>
      <c r="D824" s="2">
        <f>IF(B824="","",IFERROR(VLOOKUP(B824, PLANTA_BASE!A:R, 5, FALSE), "NO ENCONTRADO EN PLANTA"))</f>
        <v/>
      </c>
      <c r="E824" s="2">
        <f>IF(B824="","",IFERROR(VLOOKUP(B824, PLANTA_BASE!A:R, 6, FALSE), "NO ENCONTRADO EN PLANTA"))</f>
        <v/>
      </c>
      <c r="F824" s="4">
        <f>IF(B824="","",IFERROR(VLOOKUP(B824, PLANTA_BASE!A:R, 8, FALSE), "DOCENTE / FACILITADOR"))</f>
        <v/>
      </c>
      <c r="G824" s="4">
        <f>IF(B824="","",IFERROR(VLOOKUP(B824, PLANTA_BASE!A:R, 9, FALSE), "GENERAL"))</f>
        <v/>
      </c>
      <c r="H824" s="2">
        <f>IF(B824="","",IFERROR(VLOOKUP(B824, PLANTA_BASE!A:R, 17, FALSE), "GENERAL"))</f>
        <v/>
      </c>
    </row>
    <row r="825" ht="20" customHeight="1">
      <c r="A825" s="5">
        <f>IF(B825="","",IFERROR(VLOOKUP(B825, PLANTA_BASE!A:R, 2, FALSE), "NO ENCONTRADO EN PLANTA"))</f>
        <v/>
      </c>
      <c r="B825" s="6" t="inlineStr"/>
      <c r="C825" s="7">
        <f>IF(B825="","",IFERROR(VLOOKUP(B825, PLANTA_BASE!A:R, 3, FALSE), ""))</f>
        <v/>
      </c>
      <c r="D825" s="5">
        <f>IF(B825="","",IFERROR(VLOOKUP(B825, PLANTA_BASE!A:R, 5, FALSE), "NO ENCONTRADO EN PLANTA"))</f>
        <v/>
      </c>
      <c r="E825" s="5">
        <f>IF(B825="","",IFERROR(VLOOKUP(B825, PLANTA_BASE!A:R, 6, FALSE), "NO ENCONTRADO EN PLANTA"))</f>
        <v/>
      </c>
      <c r="F825" s="7">
        <f>IF(B825="","",IFERROR(VLOOKUP(B825, PLANTA_BASE!A:R, 8, FALSE), "DOCENTE / FACILITADOR"))</f>
        <v/>
      </c>
      <c r="G825" s="7">
        <f>IF(B825="","",IFERROR(VLOOKUP(B825, PLANTA_BASE!A:R, 9, FALSE), "GENERAL"))</f>
        <v/>
      </c>
      <c r="H825" s="5">
        <f>IF(B825="","",IFERROR(VLOOKUP(B825, PLANTA_BASE!A:R, 17, FALSE), "GENERAL"))</f>
        <v/>
      </c>
    </row>
    <row r="826" ht="20" customHeight="1">
      <c r="A826" s="2">
        <f>IF(B826="","",IFERROR(VLOOKUP(B826, PLANTA_BASE!A:R, 2, FALSE), "NO ENCONTRADO EN PLANTA"))</f>
        <v/>
      </c>
      <c r="B826" s="3" t="inlineStr"/>
      <c r="C826" s="4">
        <f>IF(B826="","",IFERROR(VLOOKUP(B826, PLANTA_BASE!A:R, 3, FALSE), ""))</f>
        <v/>
      </c>
      <c r="D826" s="2">
        <f>IF(B826="","",IFERROR(VLOOKUP(B826, PLANTA_BASE!A:R, 5, FALSE), "NO ENCONTRADO EN PLANTA"))</f>
        <v/>
      </c>
      <c r="E826" s="2">
        <f>IF(B826="","",IFERROR(VLOOKUP(B826, PLANTA_BASE!A:R, 6, FALSE), "NO ENCONTRADO EN PLANTA"))</f>
        <v/>
      </c>
      <c r="F826" s="4">
        <f>IF(B826="","",IFERROR(VLOOKUP(B826, PLANTA_BASE!A:R, 8, FALSE), "DOCENTE / FACILITADOR"))</f>
        <v/>
      </c>
      <c r="G826" s="4">
        <f>IF(B826="","",IFERROR(VLOOKUP(B826, PLANTA_BASE!A:R, 9, FALSE), "GENERAL"))</f>
        <v/>
      </c>
      <c r="H826" s="2">
        <f>IF(B826="","",IFERROR(VLOOKUP(B826, PLANTA_BASE!A:R, 17, FALSE), "GENERAL"))</f>
        <v/>
      </c>
    </row>
    <row r="827" ht="20" customHeight="1">
      <c r="A827" s="5">
        <f>IF(B827="","",IFERROR(VLOOKUP(B827, PLANTA_BASE!A:R, 2, FALSE), "NO ENCONTRADO EN PLANTA"))</f>
        <v/>
      </c>
      <c r="B827" s="6" t="inlineStr"/>
      <c r="C827" s="7">
        <f>IF(B827="","",IFERROR(VLOOKUP(B827, PLANTA_BASE!A:R, 3, FALSE), ""))</f>
        <v/>
      </c>
      <c r="D827" s="5">
        <f>IF(B827="","",IFERROR(VLOOKUP(B827, PLANTA_BASE!A:R, 5, FALSE), "NO ENCONTRADO EN PLANTA"))</f>
        <v/>
      </c>
      <c r="E827" s="5">
        <f>IF(B827="","",IFERROR(VLOOKUP(B827, PLANTA_BASE!A:R, 6, FALSE), "NO ENCONTRADO EN PLANTA"))</f>
        <v/>
      </c>
      <c r="F827" s="7">
        <f>IF(B827="","",IFERROR(VLOOKUP(B827, PLANTA_BASE!A:R, 8, FALSE), "DOCENTE / FACILITADOR"))</f>
        <v/>
      </c>
      <c r="G827" s="7">
        <f>IF(B827="","",IFERROR(VLOOKUP(B827, PLANTA_BASE!A:R, 9, FALSE), "GENERAL"))</f>
        <v/>
      </c>
      <c r="H827" s="5">
        <f>IF(B827="","",IFERROR(VLOOKUP(B827, PLANTA_BASE!A:R, 17, FALSE), "GENERAL"))</f>
        <v/>
      </c>
    </row>
    <row r="828" ht="20" customHeight="1">
      <c r="A828" s="2">
        <f>IF(B828="","",IFERROR(VLOOKUP(B828, PLANTA_BASE!A:R, 2, FALSE), "NO ENCONTRADO EN PLANTA"))</f>
        <v/>
      </c>
      <c r="B828" s="3" t="inlineStr"/>
      <c r="C828" s="4">
        <f>IF(B828="","",IFERROR(VLOOKUP(B828, PLANTA_BASE!A:R, 3, FALSE), ""))</f>
        <v/>
      </c>
      <c r="D828" s="2">
        <f>IF(B828="","",IFERROR(VLOOKUP(B828, PLANTA_BASE!A:R, 5, FALSE), "NO ENCONTRADO EN PLANTA"))</f>
        <v/>
      </c>
      <c r="E828" s="2">
        <f>IF(B828="","",IFERROR(VLOOKUP(B828, PLANTA_BASE!A:R, 6, FALSE), "NO ENCONTRADO EN PLANTA"))</f>
        <v/>
      </c>
      <c r="F828" s="4">
        <f>IF(B828="","",IFERROR(VLOOKUP(B828, PLANTA_BASE!A:R, 8, FALSE), "DOCENTE / FACILITADOR"))</f>
        <v/>
      </c>
      <c r="G828" s="4">
        <f>IF(B828="","",IFERROR(VLOOKUP(B828, PLANTA_BASE!A:R, 9, FALSE), "GENERAL"))</f>
        <v/>
      </c>
      <c r="H828" s="2">
        <f>IF(B828="","",IFERROR(VLOOKUP(B828, PLANTA_BASE!A:R, 17, FALSE), "GENERAL"))</f>
        <v/>
      </c>
    </row>
    <row r="829" ht="20" customHeight="1">
      <c r="A829" s="5">
        <f>IF(B829="","",IFERROR(VLOOKUP(B829, PLANTA_BASE!A:R, 2, FALSE), "NO ENCONTRADO EN PLANTA"))</f>
        <v/>
      </c>
      <c r="B829" s="6" t="inlineStr"/>
      <c r="C829" s="7">
        <f>IF(B829="","",IFERROR(VLOOKUP(B829, PLANTA_BASE!A:R, 3, FALSE), ""))</f>
        <v/>
      </c>
      <c r="D829" s="5">
        <f>IF(B829="","",IFERROR(VLOOKUP(B829, PLANTA_BASE!A:R, 5, FALSE), "NO ENCONTRADO EN PLANTA"))</f>
        <v/>
      </c>
      <c r="E829" s="5">
        <f>IF(B829="","",IFERROR(VLOOKUP(B829, PLANTA_BASE!A:R, 6, FALSE), "NO ENCONTRADO EN PLANTA"))</f>
        <v/>
      </c>
      <c r="F829" s="7">
        <f>IF(B829="","",IFERROR(VLOOKUP(B829, PLANTA_BASE!A:R, 8, FALSE), "DOCENTE / FACILITADOR"))</f>
        <v/>
      </c>
      <c r="G829" s="7">
        <f>IF(B829="","",IFERROR(VLOOKUP(B829, PLANTA_BASE!A:R, 9, FALSE), "GENERAL"))</f>
        <v/>
      </c>
      <c r="H829" s="5">
        <f>IF(B829="","",IFERROR(VLOOKUP(B829, PLANTA_BASE!A:R, 17, FALSE), "GENERAL"))</f>
        <v/>
      </c>
    </row>
    <row r="830" ht="20" customHeight="1">
      <c r="A830" s="2">
        <f>IF(B830="","",IFERROR(VLOOKUP(B830, PLANTA_BASE!A:R, 2, FALSE), "NO ENCONTRADO EN PLANTA"))</f>
        <v/>
      </c>
      <c r="B830" s="3" t="inlineStr"/>
      <c r="C830" s="4">
        <f>IF(B830="","",IFERROR(VLOOKUP(B830, PLANTA_BASE!A:R, 3, FALSE), ""))</f>
        <v/>
      </c>
      <c r="D830" s="2">
        <f>IF(B830="","",IFERROR(VLOOKUP(B830, PLANTA_BASE!A:R, 5, FALSE), "NO ENCONTRADO EN PLANTA"))</f>
        <v/>
      </c>
      <c r="E830" s="2">
        <f>IF(B830="","",IFERROR(VLOOKUP(B830, PLANTA_BASE!A:R, 6, FALSE), "NO ENCONTRADO EN PLANTA"))</f>
        <v/>
      </c>
      <c r="F830" s="4">
        <f>IF(B830="","",IFERROR(VLOOKUP(B830, PLANTA_BASE!A:R, 8, FALSE), "DOCENTE / FACILITADOR"))</f>
        <v/>
      </c>
      <c r="G830" s="4">
        <f>IF(B830="","",IFERROR(VLOOKUP(B830, PLANTA_BASE!A:R, 9, FALSE), "GENERAL"))</f>
        <v/>
      </c>
      <c r="H830" s="2">
        <f>IF(B830="","",IFERROR(VLOOKUP(B830, PLANTA_BASE!A:R, 17, FALSE), "GENERAL"))</f>
        <v/>
      </c>
    </row>
    <row r="831" ht="20" customHeight="1">
      <c r="A831" s="5">
        <f>IF(B831="","",IFERROR(VLOOKUP(B831, PLANTA_BASE!A:R, 2, FALSE), "NO ENCONTRADO EN PLANTA"))</f>
        <v/>
      </c>
      <c r="B831" s="6" t="inlineStr"/>
      <c r="C831" s="7">
        <f>IF(B831="","",IFERROR(VLOOKUP(B831, PLANTA_BASE!A:R, 3, FALSE), ""))</f>
        <v/>
      </c>
      <c r="D831" s="5">
        <f>IF(B831="","",IFERROR(VLOOKUP(B831, PLANTA_BASE!A:R, 5, FALSE), "NO ENCONTRADO EN PLANTA"))</f>
        <v/>
      </c>
      <c r="E831" s="5">
        <f>IF(B831="","",IFERROR(VLOOKUP(B831, PLANTA_BASE!A:R, 6, FALSE), "NO ENCONTRADO EN PLANTA"))</f>
        <v/>
      </c>
      <c r="F831" s="7">
        <f>IF(B831="","",IFERROR(VLOOKUP(B831, PLANTA_BASE!A:R, 8, FALSE), "DOCENTE / FACILITADOR"))</f>
        <v/>
      </c>
      <c r="G831" s="7">
        <f>IF(B831="","",IFERROR(VLOOKUP(B831, PLANTA_BASE!A:R, 9, FALSE), "GENERAL"))</f>
        <v/>
      </c>
      <c r="H831" s="5">
        <f>IF(B831="","",IFERROR(VLOOKUP(B831, PLANTA_BASE!A:R, 17, FALSE), "GENERAL"))</f>
        <v/>
      </c>
    </row>
    <row r="832" ht="20" customHeight="1">
      <c r="A832" s="2">
        <f>IF(B832="","",IFERROR(VLOOKUP(B832, PLANTA_BASE!A:R, 2, FALSE), "NO ENCONTRADO EN PLANTA"))</f>
        <v/>
      </c>
      <c r="B832" s="3" t="inlineStr"/>
      <c r="C832" s="4">
        <f>IF(B832="","",IFERROR(VLOOKUP(B832, PLANTA_BASE!A:R, 3, FALSE), ""))</f>
        <v/>
      </c>
      <c r="D832" s="2">
        <f>IF(B832="","",IFERROR(VLOOKUP(B832, PLANTA_BASE!A:R, 5, FALSE), "NO ENCONTRADO EN PLANTA"))</f>
        <v/>
      </c>
      <c r="E832" s="2">
        <f>IF(B832="","",IFERROR(VLOOKUP(B832, PLANTA_BASE!A:R, 6, FALSE), "NO ENCONTRADO EN PLANTA"))</f>
        <v/>
      </c>
      <c r="F832" s="4">
        <f>IF(B832="","",IFERROR(VLOOKUP(B832, PLANTA_BASE!A:R, 8, FALSE), "DOCENTE / FACILITADOR"))</f>
        <v/>
      </c>
      <c r="G832" s="4">
        <f>IF(B832="","",IFERROR(VLOOKUP(B832, PLANTA_BASE!A:R, 9, FALSE), "GENERAL"))</f>
        <v/>
      </c>
      <c r="H832" s="2">
        <f>IF(B832="","",IFERROR(VLOOKUP(B832, PLANTA_BASE!A:R, 17, FALSE), "GENERAL"))</f>
        <v/>
      </c>
    </row>
    <row r="833" ht="20" customHeight="1">
      <c r="A833" s="5">
        <f>IF(B833="","",IFERROR(VLOOKUP(B833, PLANTA_BASE!A:R, 2, FALSE), "NO ENCONTRADO EN PLANTA"))</f>
        <v/>
      </c>
      <c r="B833" s="6" t="inlineStr"/>
      <c r="C833" s="7">
        <f>IF(B833="","",IFERROR(VLOOKUP(B833, PLANTA_BASE!A:R, 3, FALSE), ""))</f>
        <v/>
      </c>
      <c r="D833" s="5">
        <f>IF(B833="","",IFERROR(VLOOKUP(B833, PLANTA_BASE!A:R, 5, FALSE), "NO ENCONTRADO EN PLANTA"))</f>
        <v/>
      </c>
      <c r="E833" s="5">
        <f>IF(B833="","",IFERROR(VLOOKUP(B833, PLANTA_BASE!A:R, 6, FALSE), "NO ENCONTRADO EN PLANTA"))</f>
        <v/>
      </c>
      <c r="F833" s="7">
        <f>IF(B833="","",IFERROR(VLOOKUP(B833, PLANTA_BASE!A:R, 8, FALSE), "DOCENTE / FACILITADOR"))</f>
        <v/>
      </c>
      <c r="G833" s="7">
        <f>IF(B833="","",IFERROR(VLOOKUP(B833, PLANTA_BASE!A:R, 9, FALSE), "GENERAL"))</f>
        <v/>
      </c>
      <c r="H833" s="5">
        <f>IF(B833="","",IFERROR(VLOOKUP(B833, PLANTA_BASE!A:R, 17, FALSE), "GENERAL"))</f>
        <v/>
      </c>
    </row>
    <row r="834" ht="20" customHeight="1">
      <c r="A834" s="2">
        <f>IF(B834="","",IFERROR(VLOOKUP(B834, PLANTA_BASE!A:R, 2, FALSE), "NO ENCONTRADO EN PLANTA"))</f>
        <v/>
      </c>
      <c r="B834" s="3" t="inlineStr"/>
      <c r="C834" s="4">
        <f>IF(B834="","",IFERROR(VLOOKUP(B834, PLANTA_BASE!A:R, 3, FALSE), ""))</f>
        <v/>
      </c>
      <c r="D834" s="2">
        <f>IF(B834="","",IFERROR(VLOOKUP(B834, PLANTA_BASE!A:R, 5, FALSE), "NO ENCONTRADO EN PLANTA"))</f>
        <v/>
      </c>
      <c r="E834" s="2">
        <f>IF(B834="","",IFERROR(VLOOKUP(B834, PLANTA_BASE!A:R, 6, FALSE), "NO ENCONTRADO EN PLANTA"))</f>
        <v/>
      </c>
      <c r="F834" s="4">
        <f>IF(B834="","",IFERROR(VLOOKUP(B834, PLANTA_BASE!A:R, 8, FALSE), "DOCENTE / FACILITADOR"))</f>
        <v/>
      </c>
      <c r="G834" s="4">
        <f>IF(B834="","",IFERROR(VLOOKUP(B834, PLANTA_BASE!A:R, 9, FALSE), "GENERAL"))</f>
        <v/>
      </c>
      <c r="H834" s="2">
        <f>IF(B834="","",IFERROR(VLOOKUP(B834, PLANTA_BASE!A:R, 17, FALSE), "GENERAL"))</f>
        <v/>
      </c>
    </row>
    <row r="835" ht="20" customHeight="1">
      <c r="A835" s="5">
        <f>IF(B835="","",IFERROR(VLOOKUP(B835, PLANTA_BASE!A:R, 2, FALSE), "NO ENCONTRADO EN PLANTA"))</f>
        <v/>
      </c>
      <c r="B835" s="6" t="inlineStr"/>
      <c r="C835" s="7">
        <f>IF(B835="","",IFERROR(VLOOKUP(B835, PLANTA_BASE!A:R, 3, FALSE), ""))</f>
        <v/>
      </c>
      <c r="D835" s="5">
        <f>IF(B835="","",IFERROR(VLOOKUP(B835, PLANTA_BASE!A:R, 5, FALSE), "NO ENCONTRADO EN PLANTA"))</f>
        <v/>
      </c>
      <c r="E835" s="5">
        <f>IF(B835="","",IFERROR(VLOOKUP(B835, PLANTA_BASE!A:R, 6, FALSE), "NO ENCONTRADO EN PLANTA"))</f>
        <v/>
      </c>
      <c r="F835" s="7">
        <f>IF(B835="","",IFERROR(VLOOKUP(B835, PLANTA_BASE!A:R, 8, FALSE), "DOCENTE / FACILITADOR"))</f>
        <v/>
      </c>
      <c r="G835" s="7">
        <f>IF(B835="","",IFERROR(VLOOKUP(B835, PLANTA_BASE!A:R, 9, FALSE), "GENERAL"))</f>
        <v/>
      </c>
      <c r="H835" s="5">
        <f>IF(B835="","",IFERROR(VLOOKUP(B835, PLANTA_BASE!A:R, 17, FALSE), "GENERAL"))</f>
        <v/>
      </c>
    </row>
    <row r="836" ht="20" customHeight="1">
      <c r="A836" s="2">
        <f>IF(B836="","",IFERROR(VLOOKUP(B836, PLANTA_BASE!A:R, 2, FALSE), "NO ENCONTRADO EN PLANTA"))</f>
        <v/>
      </c>
      <c r="B836" s="3" t="inlineStr"/>
      <c r="C836" s="4">
        <f>IF(B836="","",IFERROR(VLOOKUP(B836, PLANTA_BASE!A:R, 3, FALSE), ""))</f>
        <v/>
      </c>
      <c r="D836" s="2">
        <f>IF(B836="","",IFERROR(VLOOKUP(B836, PLANTA_BASE!A:R, 5, FALSE), "NO ENCONTRADO EN PLANTA"))</f>
        <v/>
      </c>
      <c r="E836" s="2">
        <f>IF(B836="","",IFERROR(VLOOKUP(B836, PLANTA_BASE!A:R, 6, FALSE), "NO ENCONTRADO EN PLANTA"))</f>
        <v/>
      </c>
      <c r="F836" s="4">
        <f>IF(B836="","",IFERROR(VLOOKUP(B836, PLANTA_BASE!A:R, 8, FALSE), "DOCENTE / FACILITADOR"))</f>
        <v/>
      </c>
      <c r="G836" s="4">
        <f>IF(B836="","",IFERROR(VLOOKUP(B836, PLANTA_BASE!A:R, 9, FALSE), "GENERAL"))</f>
        <v/>
      </c>
      <c r="H836" s="2">
        <f>IF(B836="","",IFERROR(VLOOKUP(B836, PLANTA_BASE!A:R, 17, FALSE), "GENERAL"))</f>
        <v/>
      </c>
    </row>
    <row r="837" ht="20" customHeight="1">
      <c r="A837" s="5">
        <f>IF(B837="","",IFERROR(VLOOKUP(B837, PLANTA_BASE!A:R, 2, FALSE), "NO ENCONTRADO EN PLANTA"))</f>
        <v/>
      </c>
      <c r="B837" s="6" t="inlineStr"/>
      <c r="C837" s="7">
        <f>IF(B837="","",IFERROR(VLOOKUP(B837, PLANTA_BASE!A:R, 3, FALSE), ""))</f>
        <v/>
      </c>
      <c r="D837" s="5">
        <f>IF(B837="","",IFERROR(VLOOKUP(B837, PLANTA_BASE!A:R, 5, FALSE), "NO ENCONTRADO EN PLANTA"))</f>
        <v/>
      </c>
      <c r="E837" s="5">
        <f>IF(B837="","",IFERROR(VLOOKUP(B837, PLANTA_BASE!A:R, 6, FALSE), "NO ENCONTRADO EN PLANTA"))</f>
        <v/>
      </c>
      <c r="F837" s="7">
        <f>IF(B837="","",IFERROR(VLOOKUP(B837, PLANTA_BASE!A:R, 8, FALSE), "DOCENTE / FACILITADOR"))</f>
        <v/>
      </c>
      <c r="G837" s="7">
        <f>IF(B837="","",IFERROR(VLOOKUP(B837, PLANTA_BASE!A:R, 9, FALSE), "GENERAL"))</f>
        <v/>
      </c>
      <c r="H837" s="5">
        <f>IF(B837="","",IFERROR(VLOOKUP(B837, PLANTA_BASE!A:R, 17, FALSE), "GENERAL"))</f>
        <v/>
      </c>
    </row>
    <row r="838" ht="20" customHeight="1">
      <c r="A838" s="2">
        <f>IF(B838="","",IFERROR(VLOOKUP(B838, PLANTA_BASE!A:R, 2, FALSE), "NO ENCONTRADO EN PLANTA"))</f>
        <v/>
      </c>
      <c r="B838" s="3" t="inlineStr"/>
      <c r="C838" s="4">
        <f>IF(B838="","",IFERROR(VLOOKUP(B838, PLANTA_BASE!A:R, 3, FALSE), ""))</f>
        <v/>
      </c>
      <c r="D838" s="2">
        <f>IF(B838="","",IFERROR(VLOOKUP(B838, PLANTA_BASE!A:R, 5, FALSE), "NO ENCONTRADO EN PLANTA"))</f>
        <v/>
      </c>
      <c r="E838" s="2">
        <f>IF(B838="","",IFERROR(VLOOKUP(B838, PLANTA_BASE!A:R, 6, FALSE), "NO ENCONTRADO EN PLANTA"))</f>
        <v/>
      </c>
      <c r="F838" s="4">
        <f>IF(B838="","",IFERROR(VLOOKUP(B838, PLANTA_BASE!A:R, 8, FALSE), "DOCENTE / FACILITADOR"))</f>
        <v/>
      </c>
      <c r="G838" s="4">
        <f>IF(B838="","",IFERROR(VLOOKUP(B838, PLANTA_BASE!A:R, 9, FALSE), "GENERAL"))</f>
        <v/>
      </c>
      <c r="H838" s="2">
        <f>IF(B838="","",IFERROR(VLOOKUP(B838, PLANTA_BASE!A:R, 17, FALSE), "GENERAL"))</f>
        <v/>
      </c>
    </row>
    <row r="839" ht="20" customHeight="1">
      <c r="A839" s="5">
        <f>IF(B839="","",IFERROR(VLOOKUP(B839, PLANTA_BASE!A:R, 2, FALSE), "NO ENCONTRADO EN PLANTA"))</f>
        <v/>
      </c>
      <c r="B839" s="6" t="inlineStr"/>
      <c r="C839" s="7">
        <f>IF(B839="","",IFERROR(VLOOKUP(B839, PLANTA_BASE!A:R, 3, FALSE), ""))</f>
        <v/>
      </c>
      <c r="D839" s="5">
        <f>IF(B839="","",IFERROR(VLOOKUP(B839, PLANTA_BASE!A:R, 5, FALSE), "NO ENCONTRADO EN PLANTA"))</f>
        <v/>
      </c>
      <c r="E839" s="5">
        <f>IF(B839="","",IFERROR(VLOOKUP(B839, PLANTA_BASE!A:R, 6, FALSE), "NO ENCONTRADO EN PLANTA"))</f>
        <v/>
      </c>
      <c r="F839" s="7">
        <f>IF(B839="","",IFERROR(VLOOKUP(B839, PLANTA_BASE!A:R, 8, FALSE), "DOCENTE / FACILITADOR"))</f>
        <v/>
      </c>
      <c r="G839" s="7">
        <f>IF(B839="","",IFERROR(VLOOKUP(B839, PLANTA_BASE!A:R, 9, FALSE), "GENERAL"))</f>
        <v/>
      </c>
      <c r="H839" s="5">
        <f>IF(B839="","",IFERROR(VLOOKUP(B839, PLANTA_BASE!A:R, 17, FALSE), "GENERAL"))</f>
        <v/>
      </c>
    </row>
    <row r="840" ht="20" customHeight="1">
      <c r="A840" s="2">
        <f>IF(B840="","",IFERROR(VLOOKUP(B840, PLANTA_BASE!A:R, 2, FALSE), "NO ENCONTRADO EN PLANTA"))</f>
        <v/>
      </c>
      <c r="B840" s="3" t="inlineStr"/>
      <c r="C840" s="4">
        <f>IF(B840="","",IFERROR(VLOOKUP(B840, PLANTA_BASE!A:R, 3, FALSE), ""))</f>
        <v/>
      </c>
      <c r="D840" s="2">
        <f>IF(B840="","",IFERROR(VLOOKUP(B840, PLANTA_BASE!A:R, 5, FALSE), "NO ENCONTRADO EN PLANTA"))</f>
        <v/>
      </c>
      <c r="E840" s="2">
        <f>IF(B840="","",IFERROR(VLOOKUP(B840, PLANTA_BASE!A:R, 6, FALSE), "NO ENCONTRADO EN PLANTA"))</f>
        <v/>
      </c>
      <c r="F840" s="4">
        <f>IF(B840="","",IFERROR(VLOOKUP(B840, PLANTA_BASE!A:R, 8, FALSE), "DOCENTE / FACILITADOR"))</f>
        <v/>
      </c>
      <c r="G840" s="4">
        <f>IF(B840="","",IFERROR(VLOOKUP(B840, PLANTA_BASE!A:R, 9, FALSE), "GENERAL"))</f>
        <v/>
      </c>
      <c r="H840" s="2">
        <f>IF(B840="","",IFERROR(VLOOKUP(B840, PLANTA_BASE!A:R, 17, FALSE), "GENERAL"))</f>
        <v/>
      </c>
    </row>
    <row r="841" ht="20" customHeight="1">
      <c r="A841" s="5">
        <f>IF(B841="","",IFERROR(VLOOKUP(B841, PLANTA_BASE!A:R, 2, FALSE), "NO ENCONTRADO EN PLANTA"))</f>
        <v/>
      </c>
      <c r="B841" s="6" t="inlineStr"/>
      <c r="C841" s="7">
        <f>IF(B841="","",IFERROR(VLOOKUP(B841, PLANTA_BASE!A:R, 3, FALSE), ""))</f>
        <v/>
      </c>
      <c r="D841" s="5">
        <f>IF(B841="","",IFERROR(VLOOKUP(B841, PLANTA_BASE!A:R, 5, FALSE), "NO ENCONTRADO EN PLANTA"))</f>
        <v/>
      </c>
      <c r="E841" s="5">
        <f>IF(B841="","",IFERROR(VLOOKUP(B841, PLANTA_BASE!A:R, 6, FALSE), "NO ENCONTRADO EN PLANTA"))</f>
        <v/>
      </c>
      <c r="F841" s="7">
        <f>IF(B841="","",IFERROR(VLOOKUP(B841, PLANTA_BASE!A:R, 8, FALSE), "DOCENTE / FACILITADOR"))</f>
        <v/>
      </c>
      <c r="G841" s="7">
        <f>IF(B841="","",IFERROR(VLOOKUP(B841, PLANTA_BASE!A:R, 9, FALSE), "GENERAL"))</f>
        <v/>
      </c>
      <c r="H841" s="5">
        <f>IF(B841="","",IFERROR(VLOOKUP(B841, PLANTA_BASE!A:R, 17, FALSE), "GENERAL"))</f>
        <v/>
      </c>
    </row>
    <row r="842" ht="20" customHeight="1">
      <c r="A842" s="2">
        <f>IF(B842="","",IFERROR(VLOOKUP(B842, PLANTA_BASE!A:R, 2, FALSE), "NO ENCONTRADO EN PLANTA"))</f>
        <v/>
      </c>
      <c r="B842" s="3" t="inlineStr"/>
      <c r="C842" s="4">
        <f>IF(B842="","",IFERROR(VLOOKUP(B842, PLANTA_BASE!A:R, 3, FALSE), ""))</f>
        <v/>
      </c>
      <c r="D842" s="2">
        <f>IF(B842="","",IFERROR(VLOOKUP(B842, PLANTA_BASE!A:R, 5, FALSE), "NO ENCONTRADO EN PLANTA"))</f>
        <v/>
      </c>
      <c r="E842" s="2">
        <f>IF(B842="","",IFERROR(VLOOKUP(B842, PLANTA_BASE!A:R, 6, FALSE), "NO ENCONTRADO EN PLANTA"))</f>
        <v/>
      </c>
      <c r="F842" s="4">
        <f>IF(B842="","",IFERROR(VLOOKUP(B842, PLANTA_BASE!A:R, 8, FALSE), "DOCENTE / FACILITADOR"))</f>
        <v/>
      </c>
      <c r="G842" s="4">
        <f>IF(B842="","",IFERROR(VLOOKUP(B842, PLANTA_BASE!A:R, 9, FALSE), "GENERAL"))</f>
        <v/>
      </c>
      <c r="H842" s="2">
        <f>IF(B842="","",IFERROR(VLOOKUP(B842, PLANTA_BASE!A:R, 17, FALSE), "GENERAL"))</f>
        <v/>
      </c>
    </row>
    <row r="843" ht="20" customHeight="1">
      <c r="A843" s="5">
        <f>IF(B843="","",IFERROR(VLOOKUP(B843, PLANTA_BASE!A:R, 2, FALSE), "NO ENCONTRADO EN PLANTA"))</f>
        <v/>
      </c>
      <c r="B843" s="6" t="inlineStr"/>
      <c r="C843" s="7">
        <f>IF(B843="","",IFERROR(VLOOKUP(B843, PLANTA_BASE!A:R, 3, FALSE), ""))</f>
        <v/>
      </c>
      <c r="D843" s="5">
        <f>IF(B843="","",IFERROR(VLOOKUP(B843, PLANTA_BASE!A:R, 5, FALSE), "NO ENCONTRADO EN PLANTA"))</f>
        <v/>
      </c>
      <c r="E843" s="5">
        <f>IF(B843="","",IFERROR(VLOOKUP(B843, PLANTA_BASE!A:R, 6, FALSE), "NO ENCONTRADO EN PLANTA"))</f>
        <v/>
      </c>
      <c r="F843" s="7">
        <f>IF(B843="","",IFERROR(VLOOKUP(B843, PLANTA_BASE!A:R, 8, FALSE), "DOCENTE / FACILITADOR"))</f>
        <v/>
      </c>
      <c r="G843" s="7">
        <f>IF(B843="","",IFERROR(VLOOKUP(B843, PLANTA_BASE!A:R, 9, FALSE), "GENERAL"))</f>
        <v/>
      </c>
      <c r="H843" s="5">
        <f>IF(B843="","",IFERROR(VLOOKUP(B843, PLANTA_BASE!A:R, 17, FALSE), "GENERAL"))</f>
        <v/>
      </c>
    </row>
    <row r="844" ht="20" customHeight="1">
      <c r="A844" s="2">
        <f>IF(B844="","",IFERROR(VLOOKUP(B844, PLANTA_BASE!A:R, 2, FALSE), "NO ENCONTRADO EN PLANTA"))</f>
        <v/>
      </c>
      <c r="B844" s="3" t="inlineStr"/>
      <c r="C844" s="4">
        <f>IF(B844="","",IFERROR(VLOOKUP(B844, PLANTA_BASE!A:R, 3, FALSE), ""))</f>
        <v/>
      </c>
      <c r="D844" s="2">
        <f>IF(B844="","",IFERROR(VLOOKUP(B844, PLANTA_BASE!A:R, 5, FALSE), "NO ENCONTRADO EN PLANTA"))</f>
        <v/>
      </c>
      <c r="E844" s="2">
        <f>IF(B844="","",IFERROR(VLOOKUP(B844, PLANTA_BASE!A:R, 6, FALSE), "NO ENCONTRADO EN PLANTA"))</f>
        <v/>
      </c>
      <c r="F844" s="4">
        <f>IF(B844="","",IFERROR(VLOOKUP(B844, PLANTA_BASE!A:R, 8, FALSE), "DOCENTE / FACILITADOR"))</f>
        <v/>
      </c>
      <c r="G844" s="4">
        <f>IF(B844="","",IFERROR(VLOOKUP(B844, PLANTA_BASE!A:R, 9, FALSE), "GENERAL"))</f>
        <v/>
      </c>
      <c r="H844" s="2">
        <f>IF(B844="","",IFERROR(VLOOKUP(B844, PLANTA_BASE!A:R, 17, FALSE), "GENERAL"))</f>
        <v/>
      </c>
    </row>
    <row r="845" ht="20" customHeight="1">
      <c r="A845" s="5">
        <f>IF(B845="","",IFERROR(VLOOKUP(B845, PLANTA_BASE!A:R, 2, FALSE), "NO ENCONTRADO EN PLANTA"))</f>
        <v/>
      </c>
      <c r="B845" s="6" t="inlineStr"/>
      <c r="C845" s="7">
        <f>IF(B845="","",IFERROR(VLOOKUP(B845, PLANTA_BASE!A:R, 3, FALSE), ""))</f>
        <v/>
      </c>
      <c r="D845" s="5">
        <f>IF(B845="","",IFERROR(VLOOKUP(B845, PLANTA_BASE!A:R, 5, FALSE), "NO ENCONTRADO EN PLANTA"))</f>
        <v/>
      </c>
      <c r="E845" s="5">
        <f>IF(B845="","",IFERROR(VLOOKUP(B845, PLANTA_BASE!A:R, 6, FALSE), "NO ENCONTRADO EN PLANTA"))</f>
        <v/>
      </c>
      <c r="F845" s="7">
        <f>IF(B845="","",IFERROR(VLOOKUP(B845, PLANTA_BASE!A:R, 8, FALSE), "DOCENTE / FACILITADOR"))</f>
        <v/>
      </c>
      <c r="G845" s="7">
        <f>IF(B845="","",IFERROR(VLOOKUP(B845, PLANTA_BASE!A:R, 9, FALSE), "GENERAL"))</f>
        <v/>
      </c>
      <c r="H845" s="5">
        <f>IF(B845="","",IFERROR(VLOOKUP(B845, PLANTA_BASE!A:R, 17, FALSE), "GENERAL"))</f>
        <v/>
      </c>
    </row>
    <row r="846" ht="20" customHeight="1">
      <c r="A846" s="2">
        <f>IF(B846="","",IFERROR(VLOOKUP(B846, PLANTA_BASE!A:R, 2, FALSE), "NO ENCONTRADO EN PLANTA"))</f>
        <v/>
      </c>
      <c r="B846" s="3" t="inlineStr"/>
      <c r="C846" s="4">
        <f>IF(B846="","",IFERROR(VLOOKUP(B846, PLANTA_BASE!A:R, 3, FALSE), ""))</f>
        <v/>
      </c>
      <c r="D846" s="2">
        <f>IF(B846="","",IFERROR(VLOOKUP(B846, PLANTA_BASE!A:R, 5, FALSE), "NO ENCONTRADO EN PLANTA"))</f>
        <v/>
      </c>
      <c r="E846" s="2">
        <f>IF(B846="","",IFERROR(VLOOKUP(B846, PLANTA_BASE!A:R, 6, FALSE), "NO ENCONTRADO EN PLANTA"))</f>
        <v/>
      </c>
      <c r="F846" s="4">
        <f>IF(B846="","",IFERROR(VLOOKUP(B846, PLANTA_BASE!A:R, 8, FALSE), "DOCENTE / FACILITADOR"))</f>
        <v/>
      </c>
      <c r="G846" s="4">
        <f>IF(B846="","",IFERROR(VLOOKUP(B846, PLANTA_BASE!A:R, 9, FALSE), "GENERAL"))</f>
        <v/>
      </c>
      <c r="H846" s="2">
        <f>IF(B846="","",IFERROR(VLOOKUP(B846, PLANTA_BASE!A:R, 17, FALSE), "GENERAL"))</f>
        <v/>
      </c>
    </row>
    <row r="847" ht="20" customHeight="1">
      <c r="A847" s="5">
        <f>IF(B847="","",IFERROR(VLOOKUP(B847, PLANTA_BASE!A:R, 2, FALSE), "NO ENCONTRADO EN PLANTA"))</f>
        <v/>
      </c>
      <c r="B847" s="6" t="inlineStr"/>
      <c r="C847" s="7">
        <f>IF(B847="","",IFERROR(VLOOKUP(B847, PLANTA_BASE!A:R, 3, FALSE), ""))</f>
        <v/>
      </c>
      <c r="D847" s="5">
        <f>IF(B847="","",IFERROR(VLOOKUP(B847, PLANTA_BASE!A:R, 5, FALSE), "NO ENCONTRADO EN PLANTA"))</f>
        <v/>
      </c>
      <c r="E847" s="5">
        <f>IF(B847="","",IFERROR(VLOOKUP(B847, PLANTA_BASE!A:R, 6, FALSE), "NO ENCONTRADO EN PLANTA"))</f>
        <v/>
      </c>
      <c r="F847" s="7">
        <f>IF(B847="","",IFERROR(VLOOKUP(B847, PLANTA_BASE!A:R, 8, FALSE), "DOCENTE / FACILITADOR"))</f>
        <v/>
      </c>
      <c r="G847" s="7">
        <f>IF(B847="","",IFERROR(VLOOKUP(B847, PLANTA_BASE!A:R, 9, FALSE), "GENERAL"))</f>
        <v/>
      </c>
      <c r="H847" s="5">
        <f>IF(B847="","",IFERROR(VLOOKUP(B847, PLANTA_BASE!A:R, 17, FALSE), "GENERAL"))</f>
        <v/>
      </c>
    </row>
    <row r="848" ht="20" customHeight="1">
      <c r="A848" s="2">
        <f>IF(B848="","",IFERROR(VLOOKUP(B848, PLANTA_BASE!A:R, 2, FALSE), "NO ENCONTRADO EN PLANTA"))</f>
        <v/>
      </c>
      <c r="B848" s="3" t="inlineStr"/>
      <c r="C848" s="4">
        <f>IF(B848="","",IFERROR(VLOOKUP(B848, PLANTA_BASE!A:R, 3, FALSE), ""))</f>
        <v/>
      </c>
      <c r="D848" s="2">
        <f>IF(B848="","",IFERROR(VLOOKUP(B848, PLANTA_BASE!A:R, 5, FALSE), "NO ENCONTRADO EN PLANTA"))</f>
        <v/>
      </c>
      <c r="E848" s="2">
        <f>IF(B848="","",IFERROR(VLOOKUP(B848, PLANTA_BASE!A:R, 6, FALSE), "NO ENCONTRADO EN PLANTA"))</f>
        <v/>
      </c>
      <c r="F848" s="4">
        <f>IF(B848="","",IFERROR(VLOOKUP(B848, PLANTA_BASE!A:R, 8, FALSE), "DOCENTE / FACILITADOR"))</f>
        <v/>
      </c>
      <c r="G848" s="4">
        <f>IF(B848="","",IFERROR(VLOOKUP(B848, PLANTA_BASE!A:R, 9, FALSE), "GENERAL"))</f>
        <v/>
      </c>
      <c r="H848" s="2">
        <f>IF(B848="","",IFERROR(VLOOKUP(B848, PLANTA_BASE!A:R, 17, FALSE), "GENERAL"))</f>
        <v/>
      </c>
    </row>
    <row r="849" ht="20" customHeight="1">
      <c r="A849" s="5">
        <f>IF(B849="","",IFERROR(VLOOKUP(B849, PLANTA_BASE!A:R, 2, FALSE), "NO ENCONTRADO EN PLANTA"))</f>
        <v/>
      </c>
      <c r="B849" s="6" t="inlineStr"/>
      <c r="C849" s="7">
        <f>IF(B849="","",IFERROR(VLOOKUP(B849, PLANTA_BASE!A:R, 3, FALSE), ""))</f>
        <v/>
      </c>
      <c r="D849" s="5">
        <f>IF(B849="","",IFERROR(VLOOKUP(B849, PLANTA_BASE!A:R, 5, FALSE), "NO ENCONTRADO EN PLANTA"))</f>
        <v/>
      </c>
      <c r="E849" s="5">
        <f>IF(B849="","",IFERROR(VLOOKUP(B849, PLANTA_BASE!A:R, 6, FALSE), "NO ENCONTRADO EN PLANTA"))</f>
        <v/>
      </c>
      <c r="F849" s="7">
        <f>IF(B849="","",IFERROR(VLOOKUP(B849, PLANTA_BASE!A:R, 8, FALSE), "DOCENTE / FACILITADOR"))</f>
        <v/>
      </c>
      <c r="G849" s="7">
        <f>IF(B849="","",IFERROR(VLOOKUP(B849, PLANTA_BASE!A:R, 9, FALSE), "GENERAL"))</f>
        <v/>
      </c>
      <c r="H849" s="5">
        <f>IF(B849="","",IFERROR(VLOOKUP(B849, PLANTA_BASE!A:R, 17, FALSE), "GENERAL"))</f>
        <v/>
      </c>
    </row>
    <row r="850" ht="20" customHeight="1">
      <c r="A850" s="2">
        <f>IF(B850="","",IFERROR(VLOOKUP(B850, PLANTA_BASE!A:R, 2, FALSE), "NO ENCONTRADO EN PLANTA"))</f>
        <v/>
      </c>
      <c r="B850" s="3" t="inlineStr"/>
      <c r="C850" s="4">
        <f>IF(B850="","",IFERROR(VLOOKUP(B850, PLANTA_BASE!A:R, 3, FALSE), ""))</f>
        <v/>
      </c>
      <c r="D850" s="2">
        <f>IF(B850="","",IFERROR(VLOOKUP(B850, PLANTA_BASE!A:R, 5, FALSE), "NO ENCONTRADO EN PLANTA"))</f>
        <v/>
      </c>
      <c r="E850" s="2">
        <f>IF(B850="","",IFERROR(VLOOKUP(B850, PLANTA_BASE!A:R, 6, FALSE), "NO ENCONTRADO EN PLANTA"))</f>
        <v/>
      </c>
      <c r="F850" s="4">
        <f>IF(B850="","",IFERROR(VLOOKUP(B850, PLANTA_BASE!A:R, 8, FALSE), "DOCENTE / FACILITADOR"))</f>
        <v/>
      </c>
      <c r="G850" s="4">
        <f>IF(B850="","",IFERROR(VLOOKUP(B850, PLANTA_BASE!A:R, 9, FALSE), "GENERAL"))</f>
        <v/>
      </c>
      <c r="H850" s="2">
        <f>IF(B850="","",IFERROR(VLOOKUP(B850, PLANTA_BASE!A:R, 17, FALSE), "GENERAL"))</f>
        <v/>
      </c>
    </row>
    <row r="851" ht="20" customHeight="1">
      <c r="A851" s="5">
        <f>IF(B851="","",IFERROR(VLOOKUP(B851, PLANTA_BASE!A:R, 2, FALSE), "NO ENCONTRADO EN PLANTA"))</f>
        <v/>
      </c>
      <c r="B851" s="6" t="inlineStr"/>
      <c r="C851" s="7">
        <f>IF(B851="","",IFERROR(VLOOKUP(B851, PLANTA_BASE!A:R, 3, FALSE), ""))</f>
        <v/>
      </c>
      <c r="D851" s="5">
        <f>IF(B851="","",IFERROR(VLOOKUP(B851, PLANTA_BASE!A:R, 5, FALSE), "NO ENCONTRADO EN PLANTA"))</f>
        <v/>
      </c>
      <c r="E851" s="5">
        <f>IF(B851="","",IFERROR(VLOOKUP(B851, PLANTA_BASE!A:R, 6, FALSE), "NO ENCONTRADO EN PLANTA"))</f>
        <v/>
      </c>
      <c r="F851" s="7">
        <f>IF(B851="","",IFERROR(VLOOKUP(B851, PLANTA_BASE!A:R, 8, FALSE), "DOCENTE / FACILITADOR"))</f>
        <v/>
      </c>
      <c r="G851" s="7">
        <f>IF(B851="","",IFERROR(VLOOKUP(B851, PLANTA_BASE!A:R, 9, FALSE), "GENERAL"))</f>
        <v/>
      </c>
      <c r="H851" s="5">
        <f>IF(B851="","",IFERROR(VLOOKUP(B851, PLANTA_BASE!A:R, 17, FALSE), "GENERAL"))</f>
        <v/>
      </c>
    </row>
    <row r="852" ht="20" customHeight="1">
      <c r="A852" s="2">
        <f>IF(B852="","",IFERROR(VLOOKUP(B852, PLANTA_BASE!A:R, 2, FALSE), "NO ENCONTRADO EN PLANTA"))</f>
        <v/>
      </c>
      <c r="B852" s="3" t="inlineStr"/>
      <c r="C852" s="4">
        <f>IF(B852="","",IFERROR(VLOOKUP(B852, PLANTA_BASE!A:R, 3, FALSE), ""))</f>
        <v/>
      </c>
      <c r="D852" s="2">
        <f>IF(B852="","",IFERROR(VLOOKUP(B852, PLANTA_BASE!A:R, 5, FALSE), "NO ENCONTRADO EN PLANTA"))</f>
        <v/>
      </c>
      <c r="E852" s="2">
        <f>IF(B852="","",IFERROR(VLOOKUP(B852, PLANTA_BASE!A:R, 6, FALSE), "NO ENCONTRADO EN PLANTA"))</f>
        <v/>
      </c>
      <c r="F852" s="4">
        <f>IF(B852="","",IFERROR(VLOOKUP(B852, PLANTA_BASE!A:R, 8, FALSE), "DOCENTE / FACILITADOR"))</f>
        <v/>
      </c>
      <c r="G852" s="4">
        <f>IF(B852="","",IFERROR(VLOOKUP(B852, PLANTA_BASE!A:R, 9, FALSE), "GENERAL"))</f>
        <v/>
      </c>
      <c r="H852" s="2">
        <f>IF(B852="","",IFERROR(VLOOKUP(B852, PLANTA_BASE!A:R, 17, FALSE), "GENERAL"))</f>
        <v/>
      </c>
    </row>
    <row r="853" ht="20" customHeight="1">
      <c r="A853" s="5">
        <f>IF(B853="","",IFERROR(VLOOKUP(B853, PLANTA_BASE!A:R, 2, FALSE), "NO ENCONTRADO EN PLANTA"))</f>
        <v/>
      </c>
      <c r="B853" s="6" t="inlineStr"/>
      <c r="C853" s="7">
        <f>IF(B853="","",IFERROR(VLOOKUP(B853, PLANTA_BASE!A:R, 3, FALSE), ""))</f>
        <v/>
      </c>
      <c r="D853" s="5">
        <f>IF(B853="","",IFERROR(VLOOKUP(B853, PLANTA_BASE!A:R, 5, FALSE), "NO ENCONTRADO EN PLANTA"))</f>
        <v/>
      </c>
      <c r="E853" s="5">
        <f>IF(B853="","",IFERROR(VLOOKUP(B853, PLANTA_BASE!A:R, 6, FALSE), "NO ENCONTRADO EN PLANTA"))</f>
        <v/>
      </c>
      <c r="F853" s="7">
        <f>IF(B853="","",IFERROR(VLOOKUP(B853, PLANTA_BASE!A:R, 8, FALSE), "DOCENTE / FACILITADOR"))</f>
        <v/>
      </c>
      <c r="G853" s="7">
        <f>IF(B853="","",IFERROR(VLOOKUP(B853, PLANTA_BASE!A:R, 9, FALSE), "GENERAL"))</f>
        <v/>
      </c>
      <c r="H853" s="5">
        <f>IF(B853="","",IFERROR(VLOOKUP(B853, PLANTA_BASE!A:R, 17, FALSE), "GENERAL"))</f>
        <v/>
      </c>
    </row>
    <row r="854" ht="20" customHeight="1">
      <c r="A854" s="2">
        <f>IF(B854="","",IFERROR(VLOOKUP(B854, PLANTA_BASE!A:R, 2, FALSE), "NO ENCONTRADO EN PLANTA"))</f>
        <v/>
      </c>
      <c r="B854" s="3" t="inlineStr"/>
      <c r="C854" s="4">
        <f>IF(B854="","",IFERROR(VLOOKUP(B854, PLANTA_BASE!A:R, 3, FALSE), ""))</f>
        <v/>
      </c>
      <c r="D854" s="2">
        <f>IF(B854="","",IFERROR(VLOOKUP(B854, PLANTA_BASE!A:R, 5, FALSE), "NO ENCONTRADO EN PLANTA"))</f>
        <v/>
      </c>
      <c r="E854" s="2">
        <f>IF(B854="","",IFERROR(VLOOKUP(B854, PLANTA_BASE!A:R, 6, FALSE), "NO ENCONTRADO EN PLANTA"))</f>
        <v/>
      </c>
      <c r="F854" s="4">
        <f>IF(B854="","",IFERROR(VLOOKUP(B854, PLANTA_BASE!A:R, 8, FALSE), "DOCENTE / FACILITADOR"))</f>
        <v/>
      </c>
      <c r="G854" s="4">
        <f>IF(B854="","",IFERROR(VLOOKUP(B854, PLANTA_BASE!A:R, 9, FALSE), "GENERAL"))</f>
        <v/>
      </c>
      <c r="H854" s="2">
        <f>IF(B854="","",IFERROR(VLOOKUP(B854, PLANTA_BASE!A:R, 17, FALSE), "GENERAL"))</f>
        <v/>
      </c>
    </row>
    <row r="855" ht="20" customHeight="1">
      <c r="A855" s="5">
        <f>IF(B855="","",IFERROR(VLOOKUP(B855, PLANTA_BASE!A:R, 2, FALSE), "NO ENCONTRADO EN PLANTA"))</f>
        <v/>
      </c>
      <c r="B855" s="6" t="inlineStr"/>
      <c r="C855" s="7">
        <f>IF(B855="","",IFERROR(VLOOKUP(B855, PLANTA_BASE!A:R, 3, FALSE), ""))</f>
        <v/>
      </c>
      <c r="D855" s="5">
        <f>IF(B855="","",IFERROR(VLOOKUP(B855, PLANTA_BASE!A:R, 5, FALSE), "NO ENCONTRADO EN PLANTA"))</f>
        <v/>
      </c>
      <c r="E855" s="5">
        <f>IF(B855="","",IFERROR(VLOOKUP(B855, PLANTA_BASE!A:R, 6, FALSE), "NO ENCONTRADO EN PLANTA"))</f>
        <v/>
      </c>
      <c r="F855" s="7">
        <f>IF(B855="","",IFERROR(VLOOKUP(B855, PLANTA_BASE!A:R, 8, FALSE), "DOCENTE / FACILITADOR"))</f>
        <v/>
      </c>
      <c r="G855" s="7">
        <f>IF(B855="","",IFERROR(VLOOKUP(B855, PLANTA_BASE!A:R, 9, FALSE), "GENERAL"))</f>
        <v/>
      </c>
      <c r="H855" s="5">
        <f>IF(B855="","",IFERROR(VLOOKUP(B855, PLANTA_BASE!A:R, 17, FALSE), "GENERAL"))</f>
        <v/>
      </c>
    </row>
    <row r="856" ht="20" customHeight="1">
      <c r="A856" s="2">
        <f>IF(B856="","",IFERROR(VLOOKUP(B856, PLANTA_BASE!A:R, 2, FALSE), "NO ENCONTRADO EN PLANTA"))</f>
        <v/>
      </c>
      <c r="B856" s="3" t="inlineStr"/>
      <c r="C856" s="4">
        <f>IF(B856="","",IFERROR(VLOOKUP(B856, PLANTA_BASE!A:R, 3, FALSE), ""))</f>
        <v/>
      </c>
      <c r="D856" s="2">
        <f>IF(B856="","",IFERROR(VLOOKUP(B856, PLANTA_BASE!A:R, 5, FALSE), "NO ENCONTRADO EN PLANTA"))</f>
        <v/>
      </c>
      <c r="E856" s="2">
        <f>IF(B856="","",IFERROR(VLOOKUP(B856, PLANTA_BASE!A:R, 6, FALSE), "NO ENCONTRADO EN PLANTA"))</f>
        <v/>
      </c>
      <c r="F856" s="4">
        <f>IF(B856="","",IFERROR(VLOOKUP(B856, PLANTA_BASE!A:R, 8, FALSE), "DOCENTE / FACILITADOR"))</f>
        <v/>
      </c>
      <c r="G856" s="4">
        <f>IF(B856="","",IFERROR(VLOOKUP(B856, PLANTA_BASE!A:R, 9, FALSE), "GENERAL"))</f>
        <v/>
      </c>
      <c r="H856" s="2">
        <f>IF(B856="","",IFERROR(VLOOKUP(B856, PLANTA_BASE!A:R, 17, FALSE), "GENERAL"))</f>
        <v/>
      </c>
    </row>
    <row r="857" ht="20" customHeight="1">
      <c r="A857" s="5">
        <f>IF(B857="","",IFERROR(VLOOKUP(B857, PLANTA_BASE!A:R, 2, FALSE), "NO ENCONTRADO EN PLANTA"))</f>
        <v/>
      </c>
      <c r="B857" s="6" t="inlineStr"/>
      <c r="C857" s="7">
        <f>IF(B857="","",IFERROR(VLOOKUP(B857, PLANTA_BASE!A:R, 3, FALSE), ""))</f>
        <v/>
      </c>
      <c r="D857" s="5">
        <f>IF(B857="","",IFERROR(VLOOKUP(B857, PLANTA_BASE!A:R, 5, FALSE), "NO ENCONTRADO EN PLANTA"))</f>
        <v/>
      </c>
      <c r="E857" s="5">
        <f>IF(B857="","",IFERROR(VLOOKUP(B857, PLANTA_BASE!A:R, 6, FALSE), "NO ENCONTRADO EN PLANTA"))</f>
        <v/>
      </c>
      <c r="F857" s="7">
        <f>IF(B857="","",IFERROR(VLOOKUP(B857, PLANTA_BASE!A:R, 8, FALSE), "DOCENTE / FACILITADOR"))</f>
        <v/>
      </c>
      <c r="G857" s="7">
        <f>IF(B857="","",IFERROR(VLOOKUP(B857, PLANTA_BASE!A:R, 9, FALSE), "GENERAL"))</f>
        <v/>
      </c>
      <c r="H857" s="5">
        <f>IF(B857="","",IFERROR(VLOOKUP(B857, PLANTA_BASE!A:R, 17, FALSE), "GENERAL"))</f>
        <v/>
      </c>
    </row>
    <row r="858" ht="20" customHeight="1">
      <c r="A858" s="2">
        <f>IF(B858="","",IFERROR(VLOOKUP(B858, PLANTA_BASE!A:R, 2, FALSE), "NO ENCONTRADO EN PLANTA"))</f>
        <v/>
      </c>
      <c r="B858" s="3" t="inlineStr"/>
      <c r="C858" s="4">
        <f>IF(B858="","",IFERROR(VLOOKUP(B858, PLANTA_BASE!A:R, 3, FALSE), ""))</f>
        <v/>
      </c>
      <c r="D858" s="2">
        <f>IF(B858="","",IFERROR(VLOOKUP(B858, PLANTA_BASE!A:R, 5, FALSE), "NO ENCONTRADO EN PLANTA"))</f>
        <v/>
      </c>
      <c r="E858" s="2">
        <f>IF(B858="","",IFERROR(VLOOKUP(B858, PLANTA_BASE!A:R, 6, FALSE), "NO ENCONTRADO EN PLANTA"))</f>
        <v/>
      </c>
      <c r="F858" s="4">
        <f>IF(B858="","",IFERROR(VLOOKUP(B858, PLANTA_BASE!A:R, 8, FALSE), "DOCENTE / FACILITADOR"))</f>
        <v/>
      </c>
      <c r="G858" s="4">
        <f>IF(B858="","",IFERROR(VLOOKUP(B858, PLANTA_BASE!A:R, 9, FALSE), "GENERAL"))</f>
        <v/>
      </c>
      <c r="H858" s="2">
        <f>IF(B858="","",IFERROR(VLOOKUP(B858, PLANTA_BASE!A:R, 17, FALSE), "GENERAL"))</f>
        <v/>
      </c>
    </row>
    <row r="859" ht="20" customHeight="1">
      <c r="A859" s="5">
        <f>IF(B859="","",IFERROR(VLOOKUP(B859, PLANTA_BASE!A:R, 2, FALSE), "NO ENCONTRADO EN PLANTA"))</f>
        <v/>
      </c>
      <c r="B859" s="6" t="inlineStr"/>
      <c r="C859" s="7">
        <f>IF(B859="","",IFERROR(VLOOKUP(B859, PLANTA_BASE!A:R, 3, FALSE), ""))</f>
        <v/>
      </c>
      <c r="D859" s="5">
        <f>IF(B859="","",IFERROR(VLOOKUP(B859, PLANTA_BASE!A:R, 5, FALSE), "NO ENCONTRADO EN PLANTA"))</f>
        <v/>
      </c>
      <c r="E859" s="5">
        <f>IF(B859="","",IFERROR(VLOOKUP(B859, PLANTA_BASE!A:R, 6, FALSE), "NO ENCONTRADO EN PLANTA"))</f>
        <v/>
      </c>
      <c r="F859" s="7">
        <f>IF(B859="","",IFERROR(VLOOKUP(B859, PLANTA_BASE!A:R, 8, FALSE), "DOCENTE / FACILITADOR"))</f>
        <v/>
      </c>
      <c r="G859" s="7">
        <f>IF(B859="","",IFERROR(VLOOKUP(B859, PLANTA_BASE!A:R, 9, FALSE), "GENERAL"))</f>
        <v/>
      </c>
      <c r="H859" s="5">
        <f>IF(B859="","",IFERROR(VLOOKUP(B859, PLANTA_BASE!A:R, 17, FALSE), "GENERAL"))</f>
        <v/>
      </c>
    </row>
    <row r="860" ht="20" customHeight="1">
      <c r="A860" s="2">
        <f>IF(B860="","",IFERROR(VLOOKUP(B860, PLANTA_BASE!A:R, 2, FALSE), "NO ENCONTRADO EN PLANTA"))</f>
        <v/>
      </c>
      <c r="B860" s="3" t="inlineStr"/>
      <c r="C860" s="4">
        <f>IF(B860="","",IFERROR(VLOOKUP(B860, PLANTA_BASE!A:R, 3, FALSE), ""))</f>
        <v/>
      </c>
      <c r="D860" s="2">
        <f>IF(B860="","",IFERROR(VLOOKUP(B860, PLANTA_BASE!A:R, 5, FALSE), "NO ENCONTRADO EN PLANTA"))</f>
        <v/>
      </c>
      <c r="E860" s="2">
        <f>IF(B860="","",IFERROR(VLOOKUP(B860, PLANTA_BASE!A:R, 6, FALSE), "NO ENCONTRADO EN PLANTA"))</f>
        <v/>
      </c>
      <c r="F860" s="4">
        <f>IF(B860="","",IFERROR(VLOOKUP(B860, PLANTA_BASE!A:R, 8, FALSE), "DOCENTE / FACILITADOR"))</f>
        <v/>
      </c>
      <c r="G860" s="4">
        <f>IF(B860="","",IFERROR(VLOOKUP(B860, PLANTA_BASE!A:R, 9, FALSE), "GENERAL"))</f>
        <v/>
      </c>
      <c r="H860" s="2">
        <f>IF(B860="","",IFERROR(VLOOKUP(B860, PLANTA_BASE!A:R, 17, FALSE), "GENERAL"))</f>
        <v/>
      </c>
    </row>
    <row r="861" ht="20" customHeight="1">
      <c r="A861" s="5">
        <f>IF(B861="","",IFERROR(VLOOKUP(B861, PLANTA_BASE!A:R, 2, FALSE), "NO ENCONTRADO EN PLANTA"))</f>
        <v/>
      </c>
      <c r="B861" s="6" t="inlineStr"/>
      <c r="C861" s="7">
        <f>IF(B861="","",IFERROR(VLOOKUP(B861, PLANTA_BASE!A:R, 3, FALSE), ""))</f>
        <v/>
      </c>
      <c r="D861" s="5">
        <f>IF(B861="","",IFERROR(VLOOKUP(B861, PLANTA_BASE!A:R, 5, FALSE), "NO ENCONTRADO EN PLANTA"))</f>
        <v/>
      </c>
      <c r="E861" s="5">
        <f>IF(B861="","",IFERROR(VLOOKUP(B861, PLANTA_BASE!A:R, 6, FALSE), "NO ENCONTRADO EN PLANTA"))</f>
        <v/>
      </c>
      <c r="F861" s="7">
        <f>IF(B861="","",IFERROR(VLOOKUP(B861, PLANTA_BASE!A:R, 8, FALSE), "DOCENTE / FACILITADOR"))</f>
        <v/>
      </c>
      <c r="G861" s="7">
        <f>IF(B861="","",IFERROR(VLOOKUP(B861, PLANTA_BASE!A:R, 9, FALSE), "GENERAL"))</f>
        <v/>
      </c>
      <c r="H861" s="5">
        <f>IF(B861="","",IFERROR(VLOOKUP(B861, PLANTA_BASE!A:R, 17, FALSE), "GENERAL"))</f>
        <v/>
      </c>
    </row>
    <row r="862" ht="20" customHeight="1">
      <c r="A862" s="2">
        <f>IF(B862="","",IFERROR(VLOOKUP(B862, PLANTA_BASE!A:R, 2, FALSE), "NO ENCONTRADO EN PLANTA"))</f>
        <v/>
      </c>
      <c r="B862" s="3" t="inlineStr"/>
      <c r="C862" s="4">
        <f>IF(B862="","",IFERROR(VLOOKUP(B862, PLANTA_BASE!A:R, 3, FALSE), ""))</f>
        <v/>
      </c>
      <c r="D862" s="2">
        <f>IF(B862="","",IFERROR(VLOOKUP(B862, PLANTA_BASE!A:R, 5, FALSE), "NO ENCONTRADO EN PLANTA"))</f>
        <v/>
      </c>
      <c r="E862" s="2">
        <f>IF(B862="","",IFERROR(VLOOKUP(B862, PLANTA_BASE!A:R, 6, FALSE), "NO ENCONTRADO EN PLANTA"))</f>
        <v/>
      </c>
      <c r="F862" s="4">
        <f>IF(B862="","",IFERROR(VLOOKUP(B862, PLANTA_BASE!A:R, 8, FALSE), "DOCENTE / FACILITADOR"))</f>
        <v/>
      </c>
      <c r="G862" s="4">
        <f>IF(B862="","",IFERROR(VLOOKUP(B862, PLANTA_BASE!A:R, 9, FALSE), "GENERAL"))</f>
        <v/>
      </c>
      <c r="H862" s="2">
        <f>IF(B862="","",IFERROR(VLOOKUP(B862, PLANTA_BASE!A:R, 17, FALSE), "GENERAL"))</f>
        <v/>
      </c>
    </row>
    <row r="863" ht="20" customHeight="1">
      <c r="A863" s="5">
        <f>IF(B863="","",IFERROR(VLOOKUP(B863, PLANTA_BASE!A:R, 2, FALSE), "NO ENCONTRADO EN PLANTA"))</f>
        <v/>
      </c>
      <c r="B863" s="6" t="inlineStr"/>
      <c r="C863" s="7">
        <f>IF(B863="","",IFERROR(VLOOKUP(B863, PLANTA_BASE!A:R, 3, FALSE), ""))</f>
        <v/>
      </c>
      <c r="D863" s="5">
        <f>IF(B863="","",IFERROR(VLOOKUP(B863, PLANTA_BASE!A:R, 5, FALSE), "NO ENCONTRADO EN PLANTA"))</f>
        <v/>
      </c>
      <c r="E863" s="5">
        <f>IF(B863="","",IFERROR(VLOOKUP(B863, PLANTA_BASE!A:R, 6, FALSE), "NO ENCONTRADO EN PLANTA"))</f>
        <v/>
      </c>
      <c r="F863" s="7">
        <f>IF(B863="","",IFERROR(VLOOKUP(B863, PLANTA_BASE!A:R, 8, FALSE), "DOCENTE / FACILITADOR"))</f>
        <v/>
      </c>
      <c r="G863" s="7">
        <f>IF(B863="","",IFERROR(VLOOKUP(B863, PLANTA_BASE!A:R, 9, FALSE), "GENERAL"))</f>
        <v/>
      </c>
      <c r="H863" s="5">
        <f>IF(B863="","",IFERROR(VLOOKUP(B863, PLANTA_BASE!A:R, 17, FALSE), "GENERAL"))</f>
        <v/>
      </c>
    </row>
    <row r="864" ht="20" customHeight="1">
      <c r="A864" s="2">
        <f>IF(B864="","",IFERROR(VLOOKUP(B864, PLANTA_BASE!A:R, 2, FALSE), "NO ENCONTRADO EN PLANTA"))</f>
        <v/>
      </c>
      <c r="B864" s="3" t="inlineStr"/>
      <c r="C864" s="4">
        <f>IF(B864="","",IFERROR(VLOOKUP(B864, PLANTA_BASE!A:R, 3, FALSE), ""))</f>
        <v/>
      </c>
      <c r="D864" s="2">
        <f>IF(B864="","",IFERROR(VLOOKUP(B864, PLANTA_BASE!A:R, 5, FALSE), "NO ENCONTRADO EN PLANTA"))</f>
        <v/>
      </c>
      <c r="E864" s="2">
        <f>IF(B864="","",IFERROR(VLOOKUP(B864, PLANTA_BASE!A:R, 6, FALSE), "NO ENCONTRADO EN PLANTA"))</f>
        <v/>
      </c>
      <c r="F864" s="4">
        <f>IF(B864="","",IFERROR(VLOOKUP(B864, PLANTA_BASE!A:R, 8, FALSE), "DOCENTE / FACILITADOR"))</f>
        <v/>
      </c>
      <c r="G864" s="4">
        <f>IF(B864="","",IFERROR(VLOOKUP(B864, PLANTA_BASE!A:R, 9, FALSE), "GENERAL"))</f>
        <v/>
      </c>
      <c r="H864" s="2">
        <f>IF(B864="","",IFERROR(VLOOKUP(B864, PLANTA_BASE!A:R, 17, FALSE), "GENERAL"))</f>
        <v/>
      </c>
    </row>
    <row r="865" ht="20" customHeight="1">
      <c r="A865" s="5">
        <f>IF(B865="","",IFERROR(VLOOKUP(B865, PLANTA_BASE!A:R, 2, FALSE), "NO ENCONTRADO EN PLANTA"))</f>
        <v/>
      </c>
      <c r="B865" s="6" t="inlineStr"/>
      <c r="C865" s="7">
        <f>IF(B865="","",IFERROR(VLOOKUP(B865, PLANTA_BASE!A:R, 3, FALSE), ""))</f>
        <v/>
      </c>
      <c r="D865" s="5">
        <f>IF(B865="","",IFERROR(VLOOKUP(B865, PLANTA_BASE!A:R, 5, FALSE), "NO ENCONTRADO EN PLANTA"))</f>
        <v/>
      </c>
      <c r="E865" s="5">
        <f>IF(B865="","",IFERROR(VLOOKUP(B865, PLANTA_BASE!A:R, 6, FALSE), "NO ENCONTRADO EN PLANTA"))</f>
        <v/>
      </c>
      <c r="F865" s="7">
        <f>IF(B865="","",IFERROR(VLOOKUP(B865, PLANTA_BASE!A:R, 8, FALSE), "DOCENTE / FACILITADOR"))</f>
        <v/>
      </c>
      <c r="G865" s="7">
        <f>IF(B865="","",IFERROR(VLOOKUP(B865, PLANTA_BASE!A:R, 9, FALSE), "GENERAL"))</f>
        <v/>
      </c>
      <c r="H865" s="5">
        <f>IF(B865="","",IFERROR(VLOOKUP(B865, PLANTA_BASE!A:R, 17, FALSE), "GENERAL"))</f>
        <v/>
      </c>
    </row>
    <row r="866" ht="20" customHeight="1">
      <c r="A866" s="2">
        <f>IF(B866="","",IFERROR(VLOOKUP(B866, PLANTA_BASE!A:R, 2, FALSE), "NO ENCONTRADO EN PLANTA"))</f>
        <v/>
      </c>
      <c r="B866" s="3" t="inlineStr"/>
      <c r="C866" s="4">
        <f>IF(B866="","",IFERROR(VLOOKUP(B866, PLANTA_BASE!A:R, 3, FALSE), ""))</f>
        <v/>
      </c>
      <c r="D866" s="2">
        <f>IF(B866="","",IFERROR(VLOOKUP(B866, PLANTA_BASE!A:R, 5, FALSE), "NO ENCONTRADO EN PLANTA"))</f>
        <v/>
      </c>
      <c r="E866" s="2">
        <f>IF(B866="","",IFERROR(VLOOKUP(B866, PLANTA_BASE!A:R, 6, FALSE), "NO ENCONTRADO EN PLANTA"))</f>
        <v/>
      </c>
      <c r="F866" s="4">
        <f>IF(B866="","",IFERROR(VLOOKUP(B866, PLANTA_BASE!A:R, 8, FALSE), "DOCENTE / FACILITADOR"))</f>
        <v/>
      </c>
      <c r="G866" s="4">
        <f>IF(B866="","",IFERROR(VLOOKUP(B866, PLANTA_BASE!A:R, 9, FALSE), "GENERAL"))</f>
        <v/>
      </c>
      <c r="H866" s="2">
        <f>IF(B866="","",IFERROR(VLOOKUP(B866, PLANTA_BASE!A:R, 17, FALSE), "GENERAL"))</f>
        <v/>
      </c>
    </row>
    <row r="867" ht="20" customHeight="1">
      <c r="A867" s="5">
        <f>IF(B867="","",IFERROR(VLOOKUP(B867, PLANTA_BASE!A:R, 2, FALSE), "NO ENCONTRADO EN PLANTA"))</f>
        <v/>
      </c>
      <c r="B867" s="6" t="inlineStr"/>
      <c r="C867" s="7">
        <f>IF(B867="","",IFERROR(VLOOKUP(B867, PLANTA_BASE!A:R, 3, FALSE), ""))</f>
        <v/>
      </c>
      <c r="D867" s="5">
        <f>IF(B867="","",IFERROR(VLOOKUP(B867, PLANTA_BASE!A:R, 5, FALSE), "NO ENCONTRADO EN PLANTA"))</f>
        <v/>
      </c>
      <c r="E867" s="5">
        <f>IF(B867="","",IFERROR(VLOOKUP(B867, PLANTA_BASE!A:R, 6, FALSE), "NO ENCONTRADO EN PLANTA"))</f>
        <v/>
      </c>
      <c r="F867" s="7">
        <f>IF(B867="","",IFERROR(VLOOKUP(B867, PLANTA_BASE!A:R, 8, FALSE), "DOCENTE / FACILITADOR"))</f>
        <v/>
      </c>
      <c r="G867" s="7">
        <f>IF(B867="","",IFERROR(VLOOKUP(B867, PLANTA_BASE!A:R, 9, FALSE), "GENERAL"))</f>
        <v/>
      </c>
      <c r="H867" s="5">
        <f>IF(B867="","",IFERROR(VLOOKUP(B867, PLANTA_BASE!A:R, 17, FALSE), "GENERAL"))</f>
        <v/>
      </c>
    </row>
    <row r="868" ht="20" customHeight="1">
      <c r="A868" s="2">
        <f>IF(B868="","",IFERROR(VLOOKUP(B868, PLANTA_BASE!A:R, 2, FALSE), "NO ENCONTRADO EN PLANTA"))</f>
        <v/>
      </c>
      <c r="B868" s="3" t="inlineStr"/>
      <c r="C868" s="4">
        <f>IF(B868="","",IFERROR(VLOOKUP(B868, PLANTA_BASE!A:R, 3, FALSE), ""))</f>
        <v/>
      </c>
      <c r="D868" s="2">
        <f>IF(B868="","",IFERROR(VLOOKUP(B868, PLANTA_BASE!A:R, 5, FALSE), "NO ENCONTRADO EN PLANTA"))</f>
        <v/>
      </c>
      <c r="E868" s="2">
        <f>IF(B868="","",IFERROR(VLOOKUP(B868, PLANTA_BASE!A:R, 6, FALSE), "NO ENCONTRADO EN PLANTA"))</f>
        <v/>
      </c>
      <c r="F868" s="4">
        <f>IF(B868="","",IFERROR(VLOOKUP(B868, PLANTA_BASE!A:R, 8, FALSE), "DOCENTE / FACILITADOR"))</f>
        <v/>
      </c>
      <c r="G868" s="4">
        <f>IF(B868="","",IFERROR(VLOOKUP(B868, PLANTA_BASE!A:R, 9, FALSE), "GENERAL"))</f>
        <v/>
      </c>
      <c r="H868" s="2">
        <f>IF(B868="","",IFERROR(VLOOKUP(B868, PLANTA_BASE!A:R, 17, FALSE), "GENERAL"))</f>
        <v/>
      </c>
    </row>
    <row r="869" ht="20" customHeight="1">
      <c r="A869" s="5">
        <f>IF(B869="","",IFERROR(VLOOKUP(B869, PLANTA_BASE!A:R, 2, FALSE), "NO ENCONTRADO EN PLANTA"))</f>
        <v/>
      </c>
      <c r="B869" s="6" t="inlineStr"/>
      <c r="C869" s="7">
        <f>IF(B869="","",IFERROR(VLOOKUP(B869, PLANTA_BASE!A:R, 3, FALSE), ""))</f>
        <v/>
      </c>
      <c r="D869" s="5">
        <f>IF(B869="","",IFERROR(VLOOKUP(B869, PLANTA_BASE!A:R, 5, FALSE), "NO ENCONTRADO EN PLANTA"))</f>
        <v/>
      </c>
      <c r="E869" s="5">
        <f>IF(B869="","",IFERROR(VLOOKUP(B869, PLANTA_BASE!A:R, 6, FALSE), "NO ENCONTRADO EN PLANTA"))</f>
        <v/>
      </c>
      <c r="F869" s="7">
        <f>IF(B869="","",IFERROR(VLOOKUP(B869, PLANTA_BASE!A:R, 8, FALSE), "DOCENTE / FACILITADOR"))</f>
        <v/>
      </c>
      <c r="G869" s="7">
        <f>IF(B869="","",IFERROR(VLOOKUP(B869, PLANTA_BASE!A:R, 9, FALSE), "GENERAL"))</f>
        <v/>
      </c>
      <c r="H869" s="5">
        <f>IF(B869="","",IFERROR(VLOOKUP(B869, PLANTA_BASE!A:R, 17, FALSE), "GENERAL"))</f>
        <v/>
      </c>
    </row>
    <row r="870" ht="20" customHeight="1">
      <c r="A870" s="2">
        <f>IF(B870="","",IFERROR(VLOOKUP(B870, PLANTA_BASE!A:R, 2, FALSE), "NO ENCONTRADO EN PLANTA"))</f>
        <v/>
      </c>
      <c r="B870" s="3" t="inlineStr"/>
      <c r="C870" s="4">
        <f>IF(B870="","",IFERROR(VLOOKUP(B870, PLANTA_BASE!A:R, 3, FALSE), ""))</f>
        <v/>
      </c>
      <c r="D870" s="2">
        <f>IF(B870="","",IFERROR(VLOOKUP(B870, PLANTA_BASE!A:R, 5, FALSE), "NO ENCONTRADO EN PLANTA"))</f>
        <v/>
      </c>
      <c r="E870" s="2">
        <f>IF(B870="","",IFERROR(VLOOKUP(B870, PLANTA_BASE!A:R, 6, FALSE), "NO ENCONTRADO EN PLANTA"))</f>
        <v/>
      </c>
      <c r="F870" s="4">
        <f>IF(B870="","",IFERROR(VLOOKUP(B870, PLANTA_BASE!A:R, 8, FALSE), "DOCENTE / FACILITADOR"))</f>
        <v/>
      </c>
      <c r="G870" s="4">
        <f>IF(B870="","",IFERROR(VLOOKUP(B870, PLANTA_BASE!A:R, 9, FALSE), "GENERAL"))</f>
        <v/>
      </c>
      <c r="H870" s="2">
        <f>IF(B870="","",IFERROR(VLOOKUP(B870, PLANTA_BASE!A:R, 17, FALSE), "GENERAL"))</f>
        <v/>
      </c>
    </row>
    <row r="871" ht="20" customHeight="1">
      <c r="A871" s="5">
        <f>IF(B871="","",IFERROR(VLOOKUP(B871, PLANTA_BASE!A:R, 2, FALSE), "NO ENCONTRADO EN PLANTA"))</f>
        <v/>
      </c>
      <c r="B871" s="6" t="inlineStr"/>
      <c r="C871" s="7">
        <f>IF(B871="","",IFERROR(VLOOKUP(B871, PLANTA_BASE!A:R, 3, FALSE), ""))</f>
        <v/>
      </c>
      <c r="D871" s="5">
        <f>IF(B871="","",IFERROR(VLOOKUP(B871, PLANTA_BASE!A:R, 5, FALSE), "NO ENCONTRADO EN PLANTA"))</f>
        <v/>
      </c>
      <c r="E871" s="5">
        <f>IF(B871="","",IFERROR(VLOOKUP(B871, PLANTA_BASE!A:R, 6, FALSE), "NO ENCONTRADO EN PLANTA"))</f>
        <v/>
      </c>
      <c r="F871" s="7">
        <f>IF(B871="","",IFERROR(VLOOKUP(B871, PLANTA_BASE!A:R, 8, FALSE), "DOCENTE / FACILITADOR"))</f>
        <v/>
      </c>
      <c r="G871" s="7">
        <f>IF(B871="","",IFERROR(VLOOKUP(B871, PLANTA_BASE!A:R, 9, FALSE), "GENERAL"))</f>
        <v/>
      </c>
      <c r="H871" s="5">
        <f>IF(B871="","",IFERROR(VLOOKUP(B871, PLANTA_BASE!A:R, 17, FALSE), "GENERAL"))</f>
        <v/>
      </c>
    </row>
    <row r="872" ht="20" customHeight="1">
      <c r="A872" s="2">
        <f>IF(B872="","",IFERROR(VLOOKUP(B872, PLANTA_BASE!A:R, 2, FALSE), "NO ENCONTRADO EN PLANTA"))</f>
        <v/>
      </c>
      <c r="B872" s="3" t="inlineStr"/>
      <c r="C872" s="4">
        <f>IF(B872="","",IFERROR(VLOOKUP(B872, PLANTA_BASE!A:R, 3, FALSE), ""))</f>
        <v/>
      </c>
      <c r="D872" s="2">
        <f>IF(B872="","",IFERROR(VLOOKUP(B872, PLANTA_BASE!A:R, 5, FALSE), "NO ENCONTRADO EN PLANTA"))</f>
        <v/>
      </c>
      <c r="E872" s="2">
        <f>IF(B872="","",IFERROR(VLOOKUP(B872, PLANTA_BASE!A:R, 6, FALSE), "NO ENCONTRADO EN PLANTA"))</f>
        <v/>
      </c>
      <c r="F872" s="4">
        <f>IF(B872="","",IFERROR(VLOOKUP(B872, PLANTA_BASE!A:R, 8, FALSE), "DOCENTE / FACILITADOR"))</f>
        <v/>
      </c>
      <c r="G872" s="4">
        <f>IF(B872="","",IFERROR(VLOOKUP(B872, PLANTA_BASE!A:R, 9, FALSE), "GENERAL"))</f>
        <v/>
      </c>
      <c r="H872" s="2">
        <f>IF(B872="","",IFERROR(VLOOKUP(B872, PLANTA_BASE!A:R, 17, FALSE), "GENERAL"))</f>
        <v/>
      </c>
    </row>
    <row r="873" ht="20" customHeight="1">
      <c r="A873" s="5">
        <f>IF(B873="","",IFERROR(VLOOKUP(B873, PLANTA_BASE!A:R, 2, FALSE), "NO ENCONTRADO EN PLANTA"))</f>
        <v/>
      </c>
      <c r="B873" s="6" t="inlineStr"/>
      <c r="C873" s="7">
        <f>IF(B873="","",IFERROR(VLOOKUP(B873, PLANTA_BASE!A:R, 3, FALSE), ""))</f>
        <v/>
      </c>
      <c r="D873" s="5">
        <f>IF(B873="","",IFERROR(VLOOKUP(B873, PLANTA_BASE!A:R, 5, FALSE), "NO ENCONTRADO EN PLANTA"))</f>
        <v/>
      </c>
      <c r="E873" s="5">
        <f>IF(B873="","",IFERROR(VLOOKUP(B873, PLANTA_BASE!A:R, 6, FALSE), "NO ENCONTRADO EN PLANTA"))</f>
        <v/>
      </c>
      <c r="F873" s="7">
        <f>IF(B873="","",IFERROR(VLOOKUP(B873, PLANTA_BASE!A:R, 8, FALSE), "DOCENTE / FACILITADOR"))</f>
        <v/>
      </c>
      <c r="G873" s="7">
        <f>IF(B873="","",IFERROR(VLOOKUP(B873, PLANTA_BASE!A:R, 9, FALSE), "GENERAL"))</f>
        <v/>
      </c>
      <c r="H873" s="5">
        <f>IF(B873="","",IFERROR(VLOOKUP(B873, PLANTA_BASE!A:R, 17, FALSE), "GENERAL"))</f>
        <v/>
      </c>
    </row>
    <row r="874" ht="20" customHeight="1">
      <c r="A874" s="2">
        <f>IF(B874="","",IFERROR(VLOOKUP(B874, PLANTA_BASE!A:R, 2, FALSE), "NO ENCONTRADO EN PLANTA"))</f>
        <v/>
      </c>
      <c r="B874" s="3" t="inlineStr"/>
      <c r="C874" s="4">
        <f>IF(B874="","",IFERROR(VLOOKUP(B874, PLANTA_BASE!A:R, 3, FALSE), ""))</f>
        <v/>
      </c>
      <c r="D874" s="2">
        <f>IF(B874="","",IFERROR(VLOOKUP(B874, PLANTA_BASE!A:R, 5, FALSE), "NO ENCONTRADO EN PLANTA"))</f>
        <v/>
      </c>
      <c r="E874" s="2">
        <f>IF(B874="","",IFERROR(VLOOKUP(B874, PLANTA_BASE!A:R, 6, FALSE), "NO ENCONTRADO EN PLANTA"))</f>
        <v/>
      </c>
      <c r="F874" s="4">
        <f>IF(B874="","",IFERROR(VLOOKUP(B874, PLANTA_BASE!A:R, 8, FALSE), "DOCENTE / FACILITADOR"))</f>
        <v/>
      </c>
      <c r="G874" s="4">
        <f>IF(B874="","",IFERROR(VLOOKUP(B874, PLANTA_BASE!A:R, 9, FALSE), "GENERAL"))</f>
        <v/>
      </c>
      <c r="H874" s="2">
        <f>IF(B874="","",IFERROR(VLOOKUP(B874, PLANTA_BASE!A:R, 17, FALSE), "GENERAL"))</f>
        <v/>
      </c>
    </row>
    <row r="875" ht="20" customHeight="1">
      <c r="A875" s="5">
        <f>IF(B875="","",IFERROR(VLOOKUP(B875, PLANTA_BASE!A:R, 2, FALSE), "NO ENCONTRADO EN PLANTA"))</f>
        <v/>
      </c>
      <c r="B875" s="6" t="inlineStr"/>
      <c r="C875" s="7">
        <f>IF(B875="","",IFERROR(VLOOKUP(B875, PLANTA_BASE!A:R, 3, FALSE), ""))</f>
        <v/>
      </c>
      <c r="D875" s="5">
        <f>IF(B875="","",IFERROR(VLOOKUP(B875, PLANTA_BASE!A:R, 5, FALSE), "NO ENCONTRADO EN PLANTA"))</f>
        <v/>
      </c>
      <c r="E875" s="5">
        <f>IF(B875="","",IFERROR(VLOOKUP(B875, PLANTA_BASE!A:R, 6, FALSE), "NO ENCONTRADO EN PLANTA"))</f>
        <v/>
      </c>
      <c r="F875" s="7">
        <f>IF(B875="","",IFERROR(VLOOKUP(B875, PLANTA_BASE!A:R, 8, FALSE), "DOCENTE / FACILITADOR"))</f>
        <v/>
      </c>
      <c r="G875" s="7">
        <f>IF(B875="","",IFERROR(VLOOKUP(B875, PLANTA_BASE!A:R, 9, FALSE), "GENERAL"))</f>
        <v/>
      </c>
      <c r="H875" s="5">
        <f>IF(B875="","",IFERROR(VLOOKUP(B875, PLANTA_BASE!A:R, 17, FALSE), "GENERAL"))</f>
        <v/>
      </c>
    </row>
    <row r="876" ht="20" customHeight="1">
      <c r="A876" s="2">
        <f>IF(B876="","",IFERROR(VLOOKUP(B876, PLANTA_BASE!A:R, 2, FALSE), "NO ENCONTRADO EN PLANTA"))</f>
        <v/>
      </c>
      <c r="B876" s="3" t="inlineStr"/>
      <c r="C876" s="4">
        <f>IF(B876="","",IFERROR(VLOOKUP(B876, PLANTA_BASE!A:R, 3, FALSE), ""))</f>
        <v/>
      </c>
      <c r="D876" s="2">
        <f>IF(B876="","",IFERROR(VLOOKUP(B876, PLANTA_BASE!A:R, 5, FALSE), "NO ENCONTRADO EN PLANTA"))</f>
        <v/>
      </c>
      <c r="E876" s="2">
        <f>IF(B876="","",IFERROR(VLOOKUP(B876, PLANTA_BASE!A:R, 6, FALSE), "NO ENCONTRADO EN PLANTA"))</f>
        <v/>
      </c>
      <c r="F876" s="4">
        <f>IF(B876="","",IFERROR(VLOOKUP(B876, PLANTA_BASE!A:R, 8, FALSE), "DOCENTE / FACILITADOR"))</f>
        <v/>
      </c>
      <c r="G876" s="4">
        <f>IF(B876="","",IFERROR(VLOOKUP(B876, PLANTA_BASE!A:R, 9, FALSE), "GENERAL"))</f>
        <v/>
      </c>
      <c r="H876" s="2">
        <f>IF(B876="","",IFERROR(VLOOKUP(B876, PLANTA_BASE!A:R, 17, FALSE), "GENERAL"))</f>
        <v/>
      </c>
    </row>
    <row r="877" ht="20" customHeight="1">
      <c r="A877" s="5">
        <f>IF(B877="","",IFERROR(VLOOKUP(B877, PLANTA_BASE!A:R, 2, FALSE), "NO ENCONTRADO EN PLANTA"))</f>
        <v/>
      </c>
      <c r="B877" s="6" t="inlineStr"/>
      <c r="C877" s="7">
        <f>IF(B877="","",IFERROR(VLOOKUP(B877, PLANTA_BASE!A:R, 3, FALSE), ""))</f>
        <v/>
      </c>
      <c r="D877" s="5">
        <f>IF(B877="","",IFERROR(VLOOKUP(B877, PLANTA_BASE!A:R, 5, FALSE), "NO ENCONTRADO EN PLANTA"))</f>
        <v/>
      </c>
      <c r="E877" s="5">
        <f>IF(B877="","",IFERROR(VLOOKUP(B877, PLANTA_BASE!A:R, 6, FALSE), "NO ENCONTRADO EN PLANTA"))</f>
        <v/>
      </c>
      <c r="F877" s="7">
        <f>IF(B877="","",IFERROR(VLOOKUP(B877, PLANTA_BASE!A:R, 8, FALSE), "DOCENTE / FACILITADOR"))</f>
        <v/>
      </c>
      <c r="G877" s="7">
        <f>IF(B877="","",IFERROR(VLOOKUP(B877, PLANTA_BASE!A:R, 9, FALSE), "GENERAL"))</f>
        <v/>
      </c>
      <c r="H877" s="5">
        <f>IF(B877="","",IFERROR(VLOOKUP(B877, PLANTA_BASE!A:R, 17, FALSE), "GENERAL"))</f>
        <v/>
      </c>
    </row>
    <row r="878" ht="20" customHeight="1">
      <c r="A878" s="2">
        <f>IF(B878="","",IFERROR(VLOOKUP(B878, PLANTA_BASE!A:R, 2, FALSE), "NO ENCONTRADO EN PLANTA"))</f>
        <v/>
      </c>
      <c r="B878" s="3" t="inlineStr"/>
      <c r="C878" s="4">
        <f>IF(B878="","",IFERROR(VLOOKUP(B878, PLANTA_BASE!A:R, 3, FALSE), ""))</f>
        <v/>
      </c>
      <c r="D878" s="2">
        <f>IF(B878="","",IFERROR(VLOOKUP(B878, PLANTA_BASE!A:R, 5, FALSE), "NO ENCONTRADO EN PLANTA"))</f>
        <v/>
      </c>
      <c r="E878" s="2">
        <f>IF(B878="","",IFERROR(VLOOKUP(B878, PLANTA_BASE!A:R, 6, FALSE), "NO ENCONTRADO EN PLANTA"))</f>
        <v/>
      </c>
      <c r="F878" s="4">
        <f>IF(B878="","",IFERROR(VLOOKUP(B878, PLANTA_BASE!A:R, 8, FALSE), "DOCENTE / FACILITADOR"))</f>
        <v/>
      </c>
      <c r="G878" s="4">
        <f>IF(B878="","",IFERROR(VLOOKUP(B878, PLANTA_BASE!A:R, 9, FALSE), "GENERAL"))</f>
        <v/>
      </c>
      <c r="H878" s="2">
        <f>IF(B878="","",IFERROR(VLOOKUP(B878, PLANTA_BASE!A:R, 17, FALSE), "GENERAL"))</f>
        <v/>
      </c>
    </row>
    <row r="879" ht="20" customHeight="1">
      <c r="A879" s="5">
        <f>IF(B879="","",IFERROR(VLOOKUP(B879, PLANTA_BASE!A:R, 2, FALSE), "NO ENCONTRADO EN PLANTA"))</f>
        <v/>
      </c>
      <c r="B879" s="6" t="inlineStr"/>
      <c r="C879" s="7">
        <f>IF(B879="","",IFERROR(VLOOKUP(B879, PLANTA_BASE!A:R, 3, FALSE), ""))</f>
        <v/>
      </c>
      <c r="D879" s="5">
        <f>IF(B879="","",IFERROR(VLOOKUP(B879, PLANTA_BASE!A:R, 5, FALSE), "NO ENCONTRADO EN PLANTA"))</f>
        <v/>
      </c>
      <c r="E879" s="5">
        <f>IF(B879="","",IFERROR(VLOOKUP(B879, PLANTA_BASE!A:R, 6, FALSE), "NO ENCONTRADO EN PLANTA"))</f>
        <v/>
      </c>
      <c r="F879" s="7">
        <f>IF(B879="","",IFERROR(VLOOKUP(B879, PLANTA_BASE!A:R, 8, FALSE), "DOCENTE / FACILITADOR"))</f>
        <v/>
      </c>
      <c r="G879" s="7">
        <f>IF(B879="","",IFERROR(VLOOKUP(B879, PLANTA_BASE!A:R, 9, FALSE), "GENERAL"))</f>
        <v/>
      </c>
      <c r="H879" s="5">
        <f>IF(B879="","",IFERROR(VLOOKUP(B879, PLANTA_BASE!A:R, 17, FALSE), "GENERAL"))</f>
        <v/>
      </c>
    </row>
    <row r="880" ht="20" customHeight="1">
      <c r="A880" s="2">
        <f>IF(B880="","",IFERROR(VLOOKUP(B880, PLANTA_BASE!A:R, 2, FALSE), "NO ENCONTRADO EN PLANTA"))</f>
        <v/>
      </c>
      <c r="B880" s="3" t="inlineStr"/>
      <c r="C880" s="4">
        <f>IF(B880="","",IFERROR(VLOOKUP(B880, PLANTA_BASE!A:R, 3, FALSE), ""))</f>
        <v/>
      </c>
      <c r="D880" s="2">
        <f>IF(B880="","",IFERROR(VLOOKUP(B880, PLANTA_BASE!A:R, 5, FALSE), "NO ENCONTRADO EN PLANTA"))</f>
        <v/>
      </c>
      <c r="E880" s="2">
        <f>IF(B880="","",IFERROR(VLOOKUP(B880, PLANTA_BASE!A:R, 6, FALSE), "NO ENCONTRADO EN PLANTA"))</f>
        <v/>
      </c>
      <c r="F880" s="4">
        <f>IF(B880="","",IFERROR(VLOOKUP(B880, PLANTA_BASE!A:R, 8, FALSE), "DOCENTE / FACILITADOR"))</f>
        <v/>
      </c>
      <c r="G880" s="4">
        <f>IF(B880="","",IFERROR(VLOOKUP(B880, PLANTA_BASE!A:R, 9, FALSE), "GENERAL"))</f>
        <v/>
      </c>
      <c r="H880" s="2">
        <f>IF(B880="","",IFERROR(VLOOKUP(B880, PLANTA_BASE!A:R, 17, FALSE), "GENERAL"))</f>
        <v/>
      </c>
    </row>
    <row r="881" ht="20" customHeight="1">
      <c r="A881" s="5">
        <f>IF(B881="","",IFERROR(VLOOKUP(B881, PLANTA_BASE!A:R, 2, FALSE), "NO ENCONTRADO EN PLANTA"))</f>
        <v/>
      </c>
      <c r="B881" s="6" t="inlineStr"/>
      <c r="C881" s="7">
        <f>IF(B881="","",IFERROR(VLOOKUP(B881, PLANTA_BASE!A:R, 3, FALSE), ""))</f>
        <v/>
      </c>
      <c r="D881" s="5">
        <f>IF(B881="","",IFERROR(VLOOKUP(B881, PLANTA_BASE!A:R, 5, FALSE), "NO ENCONTRADO EN PLANTA"))</f>
        <v/>
      </c>
      <c r="E881" s="5">
        <f>IF(B881="","",IFERROR(VLOOKUP(B881, PLANTA_BASE!A:R, 6, FALSE), "NO ENCONTRADO EN PLANTA"))</f>
        <v/>
      </c>
      <c r="F881" s="7">
        <f>IF(B881="","",IFERROR(VLOOKUP(B881, PLANTA_BASE!A:R, 8, FALSE), "DOCENTE / FACILITADOR"))</f>
        <v/>
      </c>
      <c r="G881" s="7">
        <f>IF(B881="","",IFERROR(VLOOKUP(B881, PLANTA_BASE!A:R, 9, FALSE), "GENERAL"))</f>
        <v/>
      </c>
      <c r="H881" s="5">
        <f>IF(B881="","",IFERROR(VLOOKUP(B881, PLANTA_BASE!A:R, 17, FALSE), "GENERAL"))</f>
        <v/>
      </c>
    </row>
    <row r="882" ht="20" customHeight="1">
      <c r="A882" s="2">
        <f>IF(B882="","",IFERROR(VLOOKUP(B882, PLANTA_BASE!A:R, 2, FALSE), "NO ENCONTRADO EN PLANTA"))</f>
        <v/>
      </c>
      <c r="B882" s="3" t="inlineStr"/>
      <c r="C882" s="4">
        <f>IF(B882="","",IFERROR(VLOOKUP(B882, PLANTA_BASE!A:R, 3, FALSE), ""))</f>
        <v/>
      </c>
      <c r="D882" s="2">
        <f>IF(B882="","",IFERROR(VLOOKUP(B882, PLANTA_BASE!A:R, 5, FALSE), "NO ENCONTRADO EN PLANTA"))</f>
        <v/>
      </c>
      <c r="E882" s="2">
        <f>IF(B882="","",IFERROR(VLOOKUP(B882, PLANTA_BASE!A:R, 6, FALSE), "NO ENCONTRADO EN PLANTA"))</f>
        <v/>
      </c>
      <c r="F882" s="4">
        <f>IF(B882="","",IFERROR(VLOOKUP(B882, PLANTA_BASE!A:R, 8, FALSE), "DOCENTE / FACILITADOR"))</f>
        <v/>
      </c>
      <c r="G882" s="4">
        <f>IF(B882="","",IFERROR(VLOOKUP(B882, PLANTA_BASE!A:R, 9, FALSE), "GENERAL"))</f>
        <v/>
      </c>
      <c r="H882" s="2">
        <f>IF(B882="","",IFERROR(VLOOKUP(B882, PLANTA_BASE!A:R, 17, FALSE), "GENERAL"))</f>
        <v/>
      </c>
    </row>
    <row r="883" ht="20" customHeight="1">
      <c r="A883" s="5">
        <f>IF(B883="","",IFERROR(VLOOKUP(B883, PLANTA_BASE!A:R, 2, FALSE), "NO ENCONTRADO EN PLANTA"))</f>
        <v/>
      </c>
      <c r="B883" s="6" t="inlineStr"/>
      <c r="C883" s="7">
        <f>IF(B883="","",IFERROR(VLOOKUP(B883, PLANTA_BASE!A:R, 3, FALSE), ""))</f>
        <v/>
      </c>
      <c r="D883" s="5">
        <f>IF(B883="","",IFERROR(VLOOKUP(B883, PLANTA_BASE!A:R, 5, FALSE), "NO ENCONTRADO EN PLANTA"))</f>
        <v/>
      </c>
      <c r="E883" s="5">
        <f>IF(B883="","",IFERROR(VLOOKUP(B883, PLANTA_BASE!A:R, 6, FALSE), "NO ENCONTRADO EN PLANTA"))</f>
        <v/>
      </c>
      <c r="F883" s="7">
        <f>IF(B883="","",IFERROR(VLOOKUP(B883, PLANTA_BASE!A:R, 8, FALSE), "DOCENTE / FACILITADOR"))</f>
        <v/>
      </c>
      <c r="G883" s="7">
        <f>IF(B883="","",IFERROR(VLOOKUP(B883, PLANTA_BASE!A:R, 9, FALSE), "GENERAL"))</f>
        <v/>
      </c>
      <c r="H883" s="5">
        <f>IF(B883="","",IFERROR(VLOOKUP(B883, PLANTA_BASE!A:R, 17, FALSE), "GENERAL"))</f>
        <v/>
      </c>
    </row>
    <row r="884" ht="20" customHeight="1">
      <c r="A884" s="2">
        <f>IF(B884="","",IFERROR(VLOOKUP(B884, PLANTA_BASE!A:R, 2, FALSE), "NO ENCONTRADO EN PLANTA"))</f>
        <v/>
      </c>
      <c r="B884" s="3" t="inlineStr"/>
      <c r="C884" s="4">
        <f>IF(B884="","",IFERROR(VLOOKUP(B884, PLANTA_BASE!A:R, 3, FALSE), ""))</f>
        <v/>
      </c>
      <c r="D884" s="2">
        <f>IF(B884="","",IFERROR(VLOOKUP(B884, PLANTA_BASE!A:R, 5, FALSE), "NO ENCONTRADO EN PLANTA"))</f>
        <v/>
      </c>
      <c r="E884" s="2">
        <f>IF(B884="","",IFERROR(VLOOKUP(B884, PLANTA_BASE!A:R, 6, FALSE), "NO ENCONTRADO EN PLANTA"))</f>
        <v/>
      </c>
      <c r="F884" s="4">
        <f>IF(B884="","",IFERROR(VLOOKUP(B884, PLANTA_BASE!A:R, 8, FALSE), "DOCENTE / FACILITADOR"))</f>
        <v/>
      </c>
      <c r="G884" s="4">
        <f>IF(B884="","",IFERROR(VLOOKUP(B884, PLANTA_BASE!A:R, 9, FALSE), "GENERAL"))</f>
        <v/>
      </c>
      <c r="H884" s="2">
        <f>IF(B884="","",IFERROR(VLOOKUP(B884, PLANTA_BASE!A:R, 17, FALSE), "GENERAL"))</f>
        <v/>
      </c>
    </row>
    <row r="885" ht="20" customHeight="1">
      <c r="A885" s="5">
        <f>IF(B885="","",IFERROR(VLOOKUP(B885, PLANTA_BASE!A:R, 2, FALSE), "NO ENCONTRADO EN PLANTA"))</f>
        <v/>
      </c>
      <c r="B885" s="6" t="inlineStr"/>
      <c r="C885" s="7">
        <f>IF(B885="","",IFERROR(VLOOKUP(B885, PLANTA_BASE!A:R, 3, FALSE), ""))</f>
        <v/>
      </c>
      <c r="D885" s="5">
        <f>IF(B885="","",IFERROR(VLOOKUP(B885, PLANTA_BASE!A:R, 5, FALSE), "NO ENCONTRADO EN PLANTA"))</f>
        <v/>
      </c>
      <c r="E885" s="5">
        <f>IF(B885="","",IFERROR(VLOOKUP(B885, PLANTA_BASE!A:R, 6, FALSE), "NO ENCONTRADO EN PLANTA"))</f>
        <v/>
      </c>
      <c r="F885" s="7">
        <f>IF(B885="","",IFERROR(VLOOKUP(B885, PLANTA_BASE!A:R, 8, FALSE), "DOCENTE / FACILITADOR"))</f>
        <v/>
      </c>
      <c r="G885" s="7">
        <f>IF(B885="","",IFERROR(VLOOKUP(B885, PLANTA_BASE!A:R, 9, FALSE), "GENERAL"))</f>
        <v/>
      </c>
      <c r="H885" s="5">
        <f>IF(B885="","",IFERROR(VLOOKUP(B885, PLANTA_BASE!A:R, 17, FALSE), "GENERAL"))</f>
        <v/>
      </c>
    </row>
    <row r="886" ht="20" customHeight="1">
      <c r="A886" s="2">
        <f>IF(B886="","",IFERROR(VLOOKUP(B886, PLANTA_BASE!A:R, 2, FALSE), "NO ENCONTRADO EN PLANTA"))</f>
        <v/>
      </c>
      <c r="B886" s="3" t="inlineStr"/>
      <c r="C886" s="4">
        <f>IF(B886="","",IFERROR(VLOOKUP(B886, PLANTA_BASE!A:R, 3, FALSE), ""))</f>
        <v/>
      </c>
      <c r="D886" s="2">
        <f>IF(B886="","",IFERROR(VLOOKUP(B886, PLANTA_BASE!A:R, 5, FALSE), "NO ENCONTRADO EN PLANTA"))</f>
        <v/>
      </c>
      <c r="E886" s="2">
        <f>IF(B886="","",IFERROR(VLOOKUP(B886, PLANTA_BASE!A:R, 6, FALSE), "NO ENCONTRADO EN PLANTA"))</f>
        <v/>
      </c>
      <c r="F886" s="4">
        <f>IF(B886="","",IFERROR(VLOOKUP(B886, PLANTA_BASE!A:R, 8, FALSE), "DOCENTE / FACILITADOR"))</f>
        <v/>
      </c>
      <c r="G886" s="4">
        <f>IF(B886="","",IFERROR(VLOOKUP(B886, PLANTA_BASE!A:R, 9, FALSE), "GENERAL"))</f>
        <v/>
      </c>
      <c r="H886" s="2">
        <f>IF(B886="","",IFERROR(VLOOKUP(B886, PLANTA_BASE!A:R, 17, FALSE), "GENERAL"))</f>
        <v/>
      </c>
    </row>
    <row r="887" ht="20" customHeight="1">
      <c r="A887" s="5">
        <f>IF(B887="","",IFERROR(VLOOKUP(B887, PLANTA_BASE!A:R, 2, FALSE), "NO ENCONTRADO EN PLANTA"))</f>
        <v/>
      </c>
      <c r="B887" s="6" t="inlineStr"/>
      <c r="C887" s="7">
        <f>IF(B887="","",IFERROR(VLOOKUP(B887, PLANTA_BASE!A:R, 3, FALSE), ""))</f>
        <v/>
      </c>
      <c r="D887" s="5">
        <f>IF(B887="","",IFERROR(VLOOKUP(B887, PLANTA_BASE!A:R, 5, FALSE), "NO ENCONTRADO EN PLANTA"))</f>
        <v/>
      </c>
      <c r="E887" s="5">
        <f>IF(B887="","",IFERROR(VLOOKUP(B887, PLANTA_BASE!A:R, 6, FALSE), "NO ENCONTRADO EN PLANTA"))</f>
        <v/>
      </c>
      <c r="F887" s="7">
        <f>IF(B887="","",IFERROR(VLOOKUP(B887, PLANTA_BASE!A:R, 8, FALSE), "DOCENTE / FACILITADOR"))</f>
        <v/>
      </c>
      <c r="G887" s="7">
        <f>IF(B887="","",IFERROR(VLOOKUP(B887, PLANTA_BASE!A:R, 9, FALSE), "GENERAL"))</f>
        <v/>
      </c>
      <c r="H887" s="5">
        <f>IF(B887="","",IFERROR(VLOOKUP(B887, PLANTA_BASE!A:R, 17, FALSE), "GENERAL"))</f>
        <v/>
      </c>
    </row>
    <row r="888" ht="20" customHeight="1">
      <c r="A888" s="2">
        <f>IF(B888="","",IFERROR(VLOOKUP(B888, PLANTA_BASE!A:R, 2, FALSE), "NO ENCONTRADO EN PLANTA"))</f>
        <v/>
      </c>
      <c r="B888" s="3" t="inlineStr"/>
      <c r="C888" s="4">
        <f>IF(B888="","",IFERROR(VLOOKUP(B888, PLANTA_BASE!A:R, 3, FALSE), ""))</f>
        <v/>
      </c>
      <c r="D888" s="2">
        <f>IF(B888="","",IFERROR(VLOOKUP(B888, PLANTA_BASE!A:R, 5, FALSE), "NO ENCONTRADO EN PLANTA"))</f>
        <v/>
      </c>
      <c r="E888" s="2">
        <f>IF(B888="","",IFERROR(VLOOKUP(B888, PLANTA_BASE!A:R, 6, FALSE), "NO ENCONTRADO EN PLANTA"))</f>
        <v/>
      </c>
      <c r="F888" s="4">
        <f>IF(B888="","",IFERROR(VLOOKUP(B888, PLANTA_BASE!A:R, 8, FALSE), "DOCENTE / FACILITADOR"))</f>
        <v/>
      </c>
      <c r="G888" s="4">
        <f>IF(B888="","",IFERROR(VLOOKUP(B888, PLANTA_BASE!A:R, 9, FALSE), "GENERAL"))</f>
        <v/>
      </c>
      <c r="H888" s="2">
        <f>IF(B888="","",IFERROR(VLOOKUP(B888, PLANTA_BASE!A:R, 17, FALSE), "GENERAL"))</f>
        <v/>
      </c>
    </row>
    <row r="889" ht="20" customHeight="1">
      <c r="A889" s="5">
        <f>IF(B889="","",IFERROR(VLOOKUP(B889, PLANTA_BASE!A:R, 2, FALSE), "NO ENCONTRADO EN PLANTA"))</f>
        <v/>
      </c>
      <c r="B889" s="6" t="inlineStr"/>
      <c r="C889" s="7">
        <f>IF(B889="","",IFERROR(VLOOKUP(B889, PLANTA_BASE!A:R, 3, FALSE), ""))</f>
        <v/>
      </c>
      <c r="D889" s="5">
        <f>IF(B889="","",IFERROR(VLOOKUP(B889, PLANTA_BASE!A:R, 5, FALSE), "NO ENCONTRADO EN PLANTA"))</f>
        <v/>
      </c>
      <c r="E889" s="5">
        <f>IF(B889="","",IFERROR(VLOOKUP(B889, PLANTA_BASE!A:R, 6, FALSE), "NO ENCONTRADO EN PLANTA"))</f>
        <v/>
      </c>
      <c r="F889" s="7">
        <f>IF(B889="","",IFERROR(VLOOKUP(B889, PLANTA_BASE!A:R, 8, FALSE), "DOCENTE / FACILITADOR"))</f>
        <v/>
      </c>
      <c r="G889" s="7">
        <f>IF(B889="","",IFERROR(VLOOKUP(B889, PLANTA_BASE!A:R, 9, FALSE), "GENERAL"))</f>
        <v/>
      </c>
      <c r="H889" s="5">
        <f>IF(B889="","",IFERROR(VLOOKUP(B889, PLANTA_BASE!A:R, 17, FALSE), "GENERAL"))</f>
        <v/>
      </c>
    </row>
    <row r="890" ht="20" customHeight="1">
      <c r="A890" s="2">
        <f>IF(B890="","",IFERROR(VLOOKUP(B890, PLANTA_BASE!A:R, 2, FALSE), "NO ENCONTRADO EN PLANTA"))</f>
        <v/>
      </c>
      <c r="B890" s="3" t="inlineStr"/>
      <c r="C890" s="4">
        <f>IF(B890="","",IFERROR(VLOOKUP(B890, PLANTA_BASE!A:R, 3, FALSE), ""))</f>
        <v/>
      </c>
      <c r="D890" s="2">
        <f>IF(B890="","",IFERROR(VLOOKUP(B890, PLANTA_BASE!A:R, 5, FALSE), "NO ENCONTRADO EN PLANTA"))</f>
        <v/>
      </c>
      <c r="E890" s="2">
        <f>IF(B890="","",IFERROR(VLOOKUP(B890, PLANTA_BASE!A:R, 6, FALSE), "NO ENCONTRADO EN PLANTA"))</f>
        <v/>
      </c>
      <c r="F890" s="4">
        <f>IF(B890="","",IFERROR(VLOOKUP(B890, PLANTA_BASE!A:R, 8, FALSE), "DOCENTE / FACILITADOR"))</f>
        <v/>
      </c>
      <c r="G890" s="4">
        <f>IF(B890="","",IFERROR(VLOOKUP(B890, PLANTA_BASE!A:R, 9, FALSE), "GENERAL"))</f>
        <v/>
      </c>
      <c r="H890" s="2">
        <f>IF(B890="","",IFERROR(VLOOKUP(B890, PLANTA_BASE!A:R, 17, FALSE), "GENERAL"))</f>
        <v/>
      </c>
    </row>
    <row r="891" ht="20" customHeight="1">
      <c r="A891" s="5">
        <f>IF(B891="","",IFERROR(VLOOKUP(B891, PLANTA_BASE!A:R, 2, FALSE), "NO ENCONTRADO EN PLANTA"))</f>
        <v/>
      </c>
      <c r="B891" s="6" t="inlineStr"/>
      <c r="C891" s="7">
        <f>IF(B891="","",IFERROR(VLOOKUP(B891, PLANTA_BASE!A:R, 3, FALSE), ""))</f>
        <v/>
      </c>
      <c r="D891" s="5">
        <f>IF(B891="","",IFERROR(VLOOKUP(B891, PLANTA_BASE!A:R, 5, FALSE), "NO ENCONTRADO EN PLANTA"))</f>
        <v/>
      </c>
      <c r="E891" s="5">
        <f>IF(B891="","",IFERROR(VLOOKUP(B891, PLANTA_BASE!A:R, 6, FALSE), "NO ENCONTRADO EN PLANTA"))</f>
        <v/>
      </c>
      <c r="F891" s="7">
        <f>IF(B891="","",IFERROR(VLOOKUP(B891, PLANTA_BASE!A:R, 8, FALSE), "DOCENTE / FACILITADOR"))</f>
        <v/>
      </c>
      <c r="G891" s="7">
        <f>IF(B891="","",IFERROR(VLOOKUP(B891, PLANTA_BASE!A:R, 9, FALSE), "GENERAL"))</f>
        <v/>
      </c>
      <c r="H891" s="5">
        <f>IF(B891="","",IFERROR(VLOOKUP(B891, PLANTA_BASE!A:R, 17, FALSE), "GENERAL"))</f>
        <v/>
      </c>
    </row>
    <row r="892" ht="20" customHeight="1">
      <c r="A892" s="2">
        <f>IF(B892="","",IFERROR(VLOOKUP(B892, PLANTA_BASE!A:R, 2, FALSE), "NO ENCONTRADO EN PLANTA"))</f>
        <v/>
      </c>
      <c r="B892" s="3" t="inlineStr"/>
      <c r="C892" s="4">
        <f>IF(B892="","",IFERROR(VLOOKUP(B892, PLANTA_BASE!A:R, 3, FALSE), ""))</f>
        <v/>
      </c>
      <c r="D892" s="2">
        <f>IF(B892="","",IFERROR(VLOOKUP(B892, PLANTA_BASE!A:R, 5, FALSE), "NO ENCONTRADO EN PLANTA"))</f>
        <v/>
      </c>
      <c r="E892" s="2">
        <f>IF(B892="","",IFERROR(VLOOKUP(B892, PLANTA_BASE!A:R, 6, FALSE), "NO ENCONTRADO EN PLANTA"))</f>
        <v/>
      </c>
      <c r="F892" s="4">
        <f>IF(B892="","",IFERROR(VLOOKUP(B892, PLANTA_BASE!A:R, 8, FALSE), "DOCENTE / FACILITADOR"))</f>
        <v/>
      </c>
      <c r="G892" s="4">
        <f>IF(B892="","",IFERROR(VLOOKUP(B892, PLANTA_BASE!A:R, 9, FALSE), "GENERAL"))</f>
        <v/>
      </c>
      <c r="H892" s="2">
        <f>IF(B892="","",IFERROR(VLOOKUP(B892, PLANTA_BASE!A:R, 17, FALSE), "GENERAL"))</f>
        <v/>
      </c>
    </row>
    <row r="893" ht="20" customHeight="1">
      <c r="A893" s="5">
        <f>IF(B893="","",IFERROR(VLOOKUP(B893, PLANTA_BASE!A:R, 2, FALSE), "NO ENCONTRADO EN PLANTA"))</f>
        <v/>
      </c>
      <c r="B893" s="6" t="inlineStr"/>
      <c r="C893" s="7">
        <f>IF(B893="","",IFERROR(VLOOKUP(B893, PLANTA_BASE!A:R, 3, FALSE), ""))</f>
        <v/>
      </c>
      <c r="D893" s="5">
        <f>IF(B893="","",IFERROR(VLOOKUP(B893, PLANTA_BASE!A:R, 5, FALSE), "NO ENCONTRADO EN PLANTA"))</f>
        <v/>
      </c>
      <c r="E893" s="5">
        <f>IF(B893="","",IFERROR(VLOOKUP(B893, PLANTA_BASE!A:R, 6, FALSE), "NO ENCONTRADO EN PLANTA"))</f>
        <v/>
      </c>
      <c r="F893" s="7">
        <f>IF(B893="","",IFERROR(VLOOKUP(B893, PLANTA_BASE!A:R, 8, FALSE), "DOCENTE / FACILITADOR"))</f>
        <v/>
      </c>
      <c r="G893" s="7">
        <f>IF(B893="","",IFERROR(VLOOKUP(B893, PLANTA_BASE!A:R, 9, FALSE), "GENERAL"))</f>
        <v/>
      </c>
      <c r="H893" s="5">
        <f>IF(B893="","",IFERROR(VLOOKUP(B893, PLANTA_BASE!A:R, 17, FALSE), "GENERAL"))</f>
        <v/>
      </c>
    </row>
    <row r="894" ht="20" customHeight="1">
      <c r="A894" s="2">
        <f>IF(B894="","",IFERROR(VLOOKUP(B894, PLANTA_BASE!A:R, 2, FALSE), "NO ENCONTRADO EN PLANTA"))</f>
        <v/>
      </c>
      <c r="B894" s="3" t="inlineStr"/>
      <c r="C894" s="4">
        <f>IF(B894="","",IFERROR(VLOOKUP(B894, PLANTA_BASE!A:R, 3, FALSE), ""))</f>
        <v/>
      </c>
      <c r="D894" s="2">
        <f>IF(B894="","",IFERROR(VLOOKUP(B894, PLANTA_BASE!A:R, 5, FALSE), "NO ENCONTRADO EN PLANTA"))</f>
        <v/>
      </c>
      <c r="E894" s="2">
        <f>IF(B894="","",IFERROR(VLOOKUP(B894, PLANTA_BASE!A:R, 6, FALSE), "NO ENCONTRADO EN PLANTA"))</f>
        <v/>
      </c>
      <c r="F894" s="4">
        <f>IF(B894="","",IFERROR(VLOOKUP(B894, PLANTA_BASE!A:R, 8, FALSE), "DOCENTE / FACILITADOR"))</f>
        <v/>
      </c>
      <c r="G894" s="4">
        <f>IF(B894="","",IFERROR(VLOOKUP(B894, PLANTA_BASE!A:R, 9, FALSE), "GENERAL"))</f>
        <v/>
      </c>
      <c r="H894" s="2">
        <f>IF(B894="","",IFERROR(VLOOKUP(B894, PLANTA_BASE!A:R, 17, FALSE), "GENERAL"))</f>
        <v/>
      </c>
    </row>
    <row r="895" ht="20" customHeight="1">
      <c r="A895" s="5">
        <f>IF(B895="","",IFERROR(VLOOKUP(B895, PLANTA_BASE!A:R, 2, FALSE), "NO ENCONTRADO EN PLANTA"))</f>
        <v/>
      </c>
      <c r="B895" s="6" t="inlineStr"/>
      <c r="C895" s="7">
        <f>IF(B895="","",IFERROR(VLOOKUP(B895, PLANTA_BASE!A:R, 3, FALSE), ""))</f>
        <v/>
      </c>
      <c r="D895" s="5">
        <f>IF(B895="","",IFERROR(VLOOKUP(B895, PLANTA_BASE!A:R, 5, FALSE), "NO ENCONTRADO EN PLANTA"))</f>
        <v/>
      </c>
      <c r="E895" s="5">
        <f>IF(B895="","",IFERROR(VLOOKUP(B895, PLANTA_BASE!A:R, 6, FALSE), "NO ENCONTRADO EN PLANTA"))</f>
        <v/>
      </c>
      <c r="F895" s="7">
        <f>IF(B895="","",IFERROR(VLOOKUP(B895, PLANTA_BASE!A:R, 8, FALSE), "DOCENTE / FACILITADOR"))</f>
        <v/>
      </c>
      <c r="G895" s="7">
        <f>IF(B895="","",IFERROR(VLOOKUP(B895, PLANTA_BASE!A:R, 9, FALSE), "GENERAL"))</f>
        <v/>
      </c>
      <c r="H895" s="5">
        <f>IF(B895="","",IFERROR(VLOOKUP(B895, PLANTA_BASE!A:R, 17, FALSE), "GENERAL"))</f>
        <v/>
      </c>
    </row>
    <row r="896" ht="20" customHeight="1">
      <c r="A896" s="2">
        <f>IF(B896="","",IFERROR(VLOOKUP(B896, PLANTA_BASE!A:R, 2, FALSE), "NO ENCONTRADO EN PLANTA"))</f>
        <v/>
      </c>
      <c r="B896" s="3" t="inlineStr"/>
      <c r="C896" s="4">
        <f>IF(B896="","",IFERROR(VLOOKUP(B896, PLANTA_BASE!A:R, 3, FALSE), ""))</f>
        <v/>
      </c>
      <c r="D896" s="2">
        <f>IF(B896="","",IFERROR(VLOOKUP(B896, PLANTA_BASE!A:R, 5, FALSE), "NO ENCONTRADO EN PLANTA"))</f>
        <v/>
      </c>
      <c r="E896" s="2">
        <f>IF(B896="","",IFERROR(VLOOKUP(B896, PLANTA_BASE!A:R, 6, FALSE), "NO ENCONTRADO EN PLANTA"))</f>
        <v/>
      </c>
      <c r="F896" s="4">
        <f>IF(B896="","",IFERROR(VLOOKUP(B896, PLANTA_BASE!A:R, 8, FALSE), "DOCENTE / FACILITADOR"))</f>
        <v/>
      </c>
      <c r="G896" s="4">
        <f>IF(B896="","",IFERROR(VLOOKUP(B896, PLANTA_BASE!A:R, 9, FALSE), "GENERAL"))</f>
        <v/>
      </c>
      <c r="H896" s="2">
        <f>IF(B896="","",IFERROR(VLOOKUP(B896, PLANTA_BASE!A:R, 17, FALSE), "GENERAL"))</f>
        <v/>
      </c>
    </row>
    <row r="897" ht="20" customHeight="1">
      <c r="A897" s="5">
        <f>IF(B897="","",IFERROR(VLOOKUP(B897, PLANTA_BASE!A:R, 2, FALSE), "NO ENCONTRADO EN PLANTA"))</f>
        <v/>
      </c>
      <c r="B897" s="6" t="inlineStr"/>
      <c r="C897" s="7">
        <f>IF(B897="","",IFERROR(VLOOKUP(B897, PLANTA_BASE!A:R, 3, FALSE), ""))</f>
        <v/>
      </c>
      <c r="D897" s="5">
        <f>IF(B897="","",IFERROR(VLOOKUP(B897, PLANTA_BASE!A:R, 5, FALSE), "NO ENCONTRADO EN PLANTA"))</f>
        <v/>
      </c>
      <c r="E897" s="5">
        <f>IF(B897="","",IFERROR(VLOOKUP(B897, PLANTA_BASE!A:R, 6, FALSE), "NO ENCONTRADO EN PLANTA"))</f>
        <v/>
      </c>
      <c r="F897" s="7">
        <f>IF(B897="","",IFERROR(VLOOKUP(B897, PLANTA_BASE!A:R, 8, FALSE), "DOCENTE / FACILITADOR"))</f>
        <v/>
      </c>
      <c r="G897" s="7">
        <f>IF(B897="","",IFERROR(VLOOKUP(B897, PLANTA_BASE!A:R, 9, FALSE), "GENERAL"))</f>
        <v/>
      </c>
      <c r="H897" s="5">
        <f>IF(B897="","",IFERROR(VLOOKUP(B897, PLANTA_BASE!A:R, 17, FALSE), "GENERAL"))</f>
        <v/>
      </c>
    </row>
    <row r="898" ht="20" customHeight="1">
      <c r="A898" s="2">
        <f>IF(B898="","",IFERROR(VLOOKUP(B898, PLANTA_BASE!A:R, 2, FALSE), "NO ENCONTRADO EN PLANTA"))</f>
        <v/>
      </c>
      <c r="B898" s="3" t="inlineStr"/>
      <c r="C898" s="4">
        <f>IF(B898="","",IFERROR(VLOOKUP(B898, PLANTA_BASE!A:R, 3, FALSE), ""))</f>
        <v/>
      </c>
      <c r="D898" s="2">
        <f>IF(B898="","",IFERROR(VLOOKUP(B898, PLANTA_BASE!A:R, 5, FALSE), "NO ENCONTRADO EN PLANTA"))</f>
        <v/>
      </c>
      <c r="E898" s="2">
        <f>IF(B898="","",IFERROR(VLOOKUP(B898, PLANTA_BASE!A:R, 6, FALSE), "NO ENCONTRADO EN PLANTA"))</f>
        <v/>
      </c>
      <c r="F898" s="4">
        <f>IF(B898="","",IFERROR(VLOOKUP(B898, PLANTA_BASE!A:R, 8, FALSE), "DOCENTE / FACILITADOR"))</f>
        <v/>
      </c>
      <c r="G898" s="4">
        <f>IF(B898="","",IFERROR(VLOOKUP(B898, PLANTA_BASE!A:R, 9, FALSE), "GENERAL"))</f>
        <v/>
      </c>
      <c r="H898" s="2">
        <f>IF(B898="","",IFERROR(VLOOKUP(B898, PLANTA_BASE!A:R, 17, FALSE), "GENERAL"))</f>
        <v/>
      </c>
    </row>
    <row r="899" ht="20" customHeight="1">
      <c r="A899" s="5">
        <f>IF(B899="","",IFERROR(VLOOKUP(B899, PLANTA_BASE!A:R, 2, FALSE), "NO ENCONTRADO EN PLANTA"))</f>
        <v/>
      </c>
      <c r="B899" s="6" t="inlineStr"/>
      <c r="C899" s="7">
        <f>IF(B899="","",IFERROR(VLOOKUP(B899, PLANTA_BASE!A:R, 3, FALSE), ""))</f>
        <v/>
      </c>
      <c r="D899" s="5">
        <f>IF(B899="","",IFERROR(VLOOKUP(B899, PLANTA_BASE!A:R, 5, FALSE), "NO ENCONTRADO EN PLANTA"))</f>
        <v/>
      </c>
      <c r="E899" s="5">
        <f>IF(B899="","",IFERROR(VLOOKUP(B899, PLANTA_BASE!A:R, 6, FALSE), "NO ENCONTRADO EN PLANTA"))</f>
        <v/>
      </c>
      <c r="F899" s="7">
        <f>IF(B899="","",IFERROR(VLOOKUP(B899, PLANTA_BASE!A:R, 8, FALSE), "DOCENTE / FACILITADOR"))</f>
        <v/>
      </c>
      <c r="G899" s="7">
        <f>IF(B899="","",IFERROR(VLOOKUP(B899, PLANTA_BASE!A:R, 9, FALSE), "GENERAL"))</f>
        <v/>
      </c>
      <c r="H899" s="5">
        <f>IF(B899="","",IFERROR(VLOOKUP(B899, PLANTA_BASE!A:R, 17, FALSE), "GENERAL"))</f>
        <v/>
      </c>
    </row>
    <row r="900" ht="20" customHeight="1">
      <c r="A900" s="2">
        <f>IF(B900="","",IFERROR(VLOOKUP(B900, PLANTA_BASE!A:R, 2, FALSE), "NO ENCONTRADO EN PLANTA"))</f>
        <v/>
      </c>
      <c r="B900" s="3" t="inlineStr"/>
      <c r="C900" s="4">
        <f>IF(B900="","",IFERROR(VLOOKUP(B900, PLANTA_BASE!A:R, 3, FALSE), ""))</f>
        <v/>
      </c>
      <c r="D900" s="2">
        <f>IF(B900="","",IFERROR(VLOOKUP(B900, PLANTA_BASE!A:R, 5, FALSE), "NO ENCONTRADO EN PLANTA"))</f>
        <v/>
      </c>
      <c r="E900" s="2">
        <f>IF(B900="","",IFERROR(VLOOKUP(B900, PLANTA_BASE!A:R, 6, FALSE), "NO ENCONTRADO EN PLANTA"))</f>
        <v/>
      </c>
      <c r="F900" s="4">
        <f>IF(B900="","",IFERROR(VLOOKUP(B900, PLANTA_BASE!A:R, 8, FALSE), "DOCENTE / FACILITADOR"))</f>
        <v/>
      </c>
      <c r="G900" s="4">
        <f>IF(B900="","",IFERROR(VLOOKUP(B900, PLANTA_BASE!A:R, 9, FALSE), "GENERAL"))</f>
        <v/>
      </c>
      <c r="H900" s="2">
        <f>IF(B900="","",IFERROR(VLOOKUP(B900, PLANTA_BASE!A:R, 17, FALSE), "GENERAL"))</f>
        <v/>
      </c>
    </row>
    <row r="901" ht="20" customHeight="1">
      <c r="A901" s="5">
        <f>IF(B901="","",IFERROR(VLOOKUP(B901, PLANTA_BASE!A:R, 2, FALSE), "NO ENCONTRADO EN PLANTA"))</f>
        <v/>
      </c>
      <c r="B901" s="6" t="inlineStr"/>
      <c r="C901" s="7">
        <f>IF(B901="","",IFERROR(VLOOKUP(B901, PLANTA_BASE!A:R, 3, FALSE), ""))</f>
        <v/>
      </c>
      <c r="D901" s="5">
        <f>IF(B901="","",IFERROR(VLOOKUP(B901, PLANTA_BASE!A:R, 5, FALSE), "NO ENCONTRADO EN PLANTA"))</f>
        <v/>
      </c>
      <c r="E901" s="5">
        <f>IF(B901="","",IFERROR(VLOOKUP(B901, PLANTA_BASE!A:R, 6, FALSE), "NO ENCONTRADO EN PLANTA"))</f>
        <v/>
      </c>
      <c r="F901" s="7">
        <f>IF(B901="","",IFERROR(VLOOKUP(B901, PLANTA_BASE!A:R, 8, FALSE), "DOCENTE / FACILITADOR"))</f>
        <v/>
      </c>
      <c r="G901" s="7">
        <f>IF(B901="","",IFERROR(VLOOKUP(B901, PLANTA_BASE!A:R, 9, FALSE), "GENERAL"))</f>
        <v/>
      </c>
      <c r="H901" s="5">
        <f>IF(B901="","",IFERROR(VLOOKUP(B901, PLANTA_BASE!A:R, 17, FALSE), "GENERAL"))</f>
        <v/>
      </c>
    </row>
    <row r="902" ht="20" customHeight="1">
      <c r="A902" s="2">
        <f>IF(B902="","",IFERROR(VLOOKUP(B902, PLANTA_BASE!A:R, 2, FALSE), "NO ENCONTRADO EN PLANTA"))</f>
        <v/>
      </c>
      <c r="B902" s="3" t="inlineStr"/>
      <c r="C902" s="4">
        <f>IF(B902="","",IFERROR(VLOOKUP(B902, PLANTA_BASE!A:R, 3, FALSE), ""))</f>
        <v/>
      </c>
      <c r="D902" s="2">
        <f>IF(B902="","",IFERROR(VLOOKUP(B902, PLANTA_BASE!A:R, 5, FALSE), "NO ENCONTRADO EN PLANTA"))</f>
        <v/>
      </c>
      <c r="E902" s="2">
        <f>IF(B902="","",IFERROR(VLOOKUP(B902, PLANTA_BASE!A:R, 6, FALSE), "NO ENCONTRADO EN PLANTA"))</f>
        <v/>
      </c>
      <c r="F902" s="4">
        <f>IF(B902="","",IFERROR(VLOOKUP(B902, PLANTA_BASE!A:R, 8, FALSE), "DOCENTE / FACILITADOR"))</f>
        <v/>
      </c>
      <c r="G902" s="4">
        <f>IF(B902="","",IFERROR(VLOOKUP(B902, PLANTA_BASE!A:R, 9, FALSE), "GENERAL"))</f>
        <v/>
      </c>
      <c r="H902" s="2">
        <f>IF(B902="","",IFERROR(VLOOKUP(B902, PLANTA_BASE!A:R, 17, FALSE), "GENERAL"))</f>
        <v/>
      </c>
    </row>
    <row r="903" ht="20" customHeight="1">
      <c r="A903" s="5">
        <f>IF(B903="","",IFERROR(VLOOKUP(B903, PLANTA_BASE!A:R, 2, FALSE), "NO ENCONTRADO EN PLANTA"))</f>
        <v/>
      </c>
      <c r="B903" s="6" t="inlineStr"/>
      <c r="C903" s="7">
        <f>IF(B903="","",IFERROR(VLOOKUP(B903, PLANTA_BASE!A:R, 3, FALSE), ""))</f>
        <v/>
      </c>
      <c r="D903" s="5">
        <f>IF(B903="","",IFERROR(VLOOKUP(B903, PLANTA_BASE!A:R, 5, FALSE), "NO ENCONTRADO EN PLANTA"))</f>
        <v/>
      </c>
      <c r="E903" s="5">
        <f>IF(B903="","",IFERROR(VLOOKUP(B903, PLANTA_BASE!A:R, 6, FALSE), "NO ENCONTRADO EN PLANTA"))</f>
        <v/>
      </c>
      <c r="F903" s="7">
        <f>IF(B903="","",IFERROR(VLOOKUP(B903, PLANTA_BASE!A:R, 8, FALSE), "DOCENTE / FACILITADOR"))</f>
        <v/>
      </c>
      <c r="G903" s="7">
        <f>IF(B903="","",IFERROR(VLOOKUP(B903, PLANTA_BASE!A:R, 9, FALSE), "GENERAL"))</f>
        <v/>
      </c>
      <c r="H903" s="5">
        <f>IF(B903="","",IFERROR(VLOOKUP(B903, PLANTA_BASE!A:R, 17, FALSE), "GENERAL"))</f>
        <v/>
      </c>
    </row>
    <row r="904" ht="20" customHeight="1">
      <c r="A904" s="2">
        <f>IF(B904="","",IFERROR(VLOOKUP(B904, PLANTA_BASE!A:R, 2, FALSE), "NO ENCONTRADO EN PLANTA"))</f>
        <v/>
      </c>
      <c r="B904" s="3" t="inlineStr"/>
      <c r="C904" s="4">
        <f>IF(B904="","",IFERROR(VLOOKUP(B904, PLANTA_BASE!A:R, 3, FALSE), ""))</f>
        <v/>
      </c>
      <c r="D904" s="2">
        <f>IF(B904="","",IFERROR(VLOOKUP(B904, PLANTA_BASE!A:R, 5, FALSE), "NO ENCONTRADO EN PLANTA"))</f>
        <v/>
      </c>
      <c r="E904" s="2">
        <f>IF(B904="","",IFERROR(VLOOKUP(B904, PLANTA_BASE!A:R, 6, FALSE), "NO ENCONTRADO EN PLANTA"))</f>
        <v/>
      </c>
      <c r="F904" s="4">
        <f>IF(B904="","",IFERROR(VLOOKUP(B904, PLANTA_BASE!A:R, 8, FALSE), "DOCENTE / FACILITADOR"))</f>
        <v/>
      </c>
      <c r="G904" s="4">
        <f>IF(B904="","",IFERROR(VLOOKUP(B904, PLANTA_BASE!A:R, 9, FALSE), "GENERAL"))</f>
        <v/>
      </c>
      <c r="H904" s="2">
        <f>IF(B904="","",IFERROR(VLOOKUP(B904, PLANTA_BASE!A:R, 17, FALSE), "GENERAL"))</f>
        <v/>
      </c>
    </row>
    <row r="905" ht="20" customHeight="1">
      <c r="A905" s="5">
        <f>IF(B905="","",IFERROR(VLOOKUP(B905, PLANTA_BASE!A:R, 2, FALSE), "NO ENCONTRADO EN PLANTA"))</f>
        <v/>
      </c>
      <c r="B905" s="6" t="inlineStr"/>
      <c r="C905" s="7">
        <f>IF(B905="","",IFERROR(VLOOKUP(B905, PLANTA_BASE!A:R, 3, FALSE), ""))</f>
        <v/>
      </c>
      <c r="D905" s="5">
        <f>IF(B905="","",IFERROR(VLOOKUP(B905, PLANTA_BASE!A:R, 5, FALSE), "NO ENCONTRADO EN PLANTA"))</f>
        <v/>
      </c>
      <c r="E905" s="5">
        <f>IF(B905="","",IFERROR(VLOOKUP(B905, PLANTA_BASE!A:R, 6, FALSE), "NO ENCONTRADO EN PLANTA"))</f>
        <v/>
      </c>
      <c r="F905" s="7">
        <f>IF(B905="","",IFERROR(VLOOKUP(B905, PLANTA_BASE!A:R, 8, FALSE), "DOCENTE / FACILITADOR"))</f>
        <v/>
      </c>
      <c r="G905" s="7">
        <f>IF(B905="","",IFERROR(VLOOKUP(B905, PLANTA_BASE!A:R, 9, FALSE), "GENERAL"))</f>
        <v/>
      </c>
      <c r="H905" s="5">
        <f>IF(B905="","",IFERROR(VLOOKUP(B905, PLANTA_BASE!A:R, 17, FALSE), "GENERAL"))</f>
        <v/>
      </c>
    </row>
    <row r="906" ht="20" customHeight="1">
      <c r="A906" s="2">
        <f>IF(B906="","",IFERROR(VLOOKUP(B906, PLANTA_BASE!A:R, 2, FALSE), "NO ENCONTRADO EN PLANTA"))</f>
        <v/>
      </c>
      <c r="B906" s="3" t="inlineStr"/>
      <c r="C906" s="4">
        <f>IF(B906="","",IFERROR(VLOOKUP(B906, PLANTA_BASE!A:R, 3, FALSE), ""))</f>
        <v/>
      </c>
      <c r="D906" s="2">
        <f>IF(B906="","",IFERROR(VLOOKUP(B906, PLANTA_BASE!A:R, 5, FALSE), "NO ENCONTRADO EN PLANTA"))</f>
        <v/>
      </c>
      <c r="E906" s="2">
        <f>IF(B906="","",IFERROR(VLOOKUP(B906, PLANTA_BASE!A:R, 6, FALSE), "NO ENCONTRADO EN PLANTA"))</f>
        <v/>
      </c>
      <c r="F906" s="4">
        <f>IF(B906="","",IFERROR(VLOOKUP(B906, PLANTA_BASE!A:R, 8, FALSE), "DOCENTE / FACILITADOR"))</f>
        <v/>
      </c>
      <c r="G906" s="4">
        <f>IF(B906="","",IFERROR(VLOOKUP(B906, PLANTA_BASE!A:R, 9, FALSE), "GENERAL"))</f>
        <v/>
      </c>
      <c r="H906" s="2">
        <f>IF(B906="","",IFERROR(VLOOKUP(B906, PLANTA_BASE!A:R, 17, FALSE), "GENERAL"))</f>
        <v/>
      </c>
    </row>
    <row r="907" ht="20" customHeight="1">
      <c r="A907" s="5">
        <f>IF(B907="","",IFERROR(VLOOKUP(B907, PLANTA_BASE!A:R, 2, FALSE), "NO ENCONTRADO EN PLANTA"))</f>
        <v/>
      </c>
      <c r="B907" s="6" t="inlineStr"/>
      <c r="C907" s="7">
        <f>IF(B907="","",IFERROR(VLOOKUP(B907, PLANTA_BASE!A:R, 3, FALSE), ""))</f>
        <v/>
      </c>
      <c r="D907" s="5">
        <f>IF(B907="","",IFERROR(VLOOKUP(B907, PLANTA_BASE!A:R, 5, FALSE), "NO ENCONTRADO EN PLANTA"))</f>
        <v/>
      </c>
      <c r="E907" s="5">
        <f>IF(B907="","",IFERROR(VLOOKUP(B907, PLANTA_BASE!A:R, 6, FALSE), "NO ENCONTRADO EN PLANTA"))</f>
        <v/>
      </c>
      <c r="F907" s="7">
        <f>IF(B907="","",IFERROR(VLOOKUP(B907, PLANTA_BASE!A:R, 8, FALSE), "DOCENTE / FACILITADOR"))</f>
        <v/>
      </c>
      <c r="G907" s="7">
        <f>IF(B907="","",IFERROR(VLOOKUP(B907, PLANTA_BASE!A:R, 9, FALSE), "GENERAL"))</f>
        <v/>
      </c>
      <c r="H907" s="5">
        <f>IF(B907="","",IFERROR(VLOOKUP(B907, PLANTA_BASE!A:R, 17, FALSE), "GENERAL"))</f>
        <v/>
      </c>
    </row>
    <row r="908" ht="20" customHeight="1">
      <c r="A908" s="2">
        <f>IF(B908="","",IFERROR(VLOOKUP(B908, PLANTA_BASE!A:R, 2, FALSE), "NO ENCONTRADO EN PLANTA"))</f>
        <v/>
      </c>
      <c r="B908" s="3" t="inlineStr"/>
      <c r="C908" s="4">
        <f>IF(B908="","",IFERROR(VLOOKUP(B908, PLANTA_BASE!A:R, 3, FALSE), ""))</f>
        <v/>
      </c>
      <c r="D908" s="2">
        <f>IF(B908="","",IFERROR(VLOOKUP(B908, PLANTA_BASE!A:R, 5, FALSE), "NO ENCONTRADO EN PLANTA"))</f>
        <v/>
      </c>
      <c r="E908" s="2">
        <f>IF(B908="","",IFERROR(VLOOKUP(B908, PLANTA_BASE!A:R, 6, FALSE), "NO ENCONTRADO EN PLANTA"))</f>
        <v/>
      </c>
      <c r="F908" s="4">
        <f>IF(B908="","",IFERROR(VLOOKUP(B908, PLANTA_BASE!A:R, 8, FALSE), "DOCENTE / FACILITADOR"))</f>
        <v/>
      </c>
      <c r="G908" s="4">
        <f>IF(B908="","",IFERROR(VLOOKUP(B908, PLANTA_BASE!A:R, 9, FALSE), "GENERAL"))</f>
        <v/>
      </c>
      <c r="H908" s="2">
        <f>IF(B908="","",IFERROR(VLOOKUP(B908, PLANTA_BASE!A:R, 17, FALSE), "GENERAL"))</f>
        <v/>
      </c>
    </row>
    <row r="909" ht="20" customHeight="1">
      <c r="A909" s="5">
        <f>IF(B909="","",IFERROR(VLOOKUP(B909, PLANTA_BASE!A:R, 2, FALSE), "NO ENCONTRADO EN PLANTA"))</f>
        <v/>
      </c>
      <c r="B909" s="6" t="inlineStr"/>
      <c r="C909" s="7">
        <f>IF(B909="","",IFERROR(VLOOKUP(B909, PLANTA_BASE!A:R, 3, FALSE), ""))</f>
        <v/>
      </c>
      <c r="D909" s="5">
        <f>IF(B909="","",IFERROR(VLOOKUP(B909, PLANTA_BASE!A:R, 5, FALSE), "NO ENCONTRADO EN PLANTA"))</f>
        <v/>
      </c>
      <c r="E909" s="5">
        <f>IF(B909="","",IFERROR(VLOOKUP(B909, PLANTA_BASE!A:R, 6, FALSE), "NO ENCONTRADO EN PLANTA"))</f>
        <v/>
      </c>
      <c r="F909" s="7">
        <f>IF(B909="","",IFERROR(VLOOKUP(B909, PLANTA_BASE!A:R, 8, FALSE), "DOCENTE / FACILITADOR"))</f>
        <v/>
      </c>
      <c r="G909" s="7">
        <f>IF(B909="","",IFERROR(VLOOKUP(B909, PLANTA_BASE!A:R, 9, FALSE), "GENERAL"))</f>
        <v/>
      </c>
      <c r="H909" s="5">
        <f>IF(B909="","",IFERROR(VLOOKUP(B909, PLANTA_BASE!A:R, 17, FALSE), "GENERAL"))</f>
        <v/>
      </c>
    </row>
    <row r="910" ht="20" customHeight="1">
      <c r="A910" s="2">
        <f>IF(B910="","",IFERROR(VLOOKUP(B910, PLANTA_BASE!A:R, 2, FALSE), "NO ENCONTRADO EN PLANTA"))</f>
        <v/>
      </c>
      <c r="B910" s="3" t="inlineStr"/>
      <c r="C910" s="4">
        <f>IF(B910="","",IFERROR(VLOOKUP(B910, PLANTA_BASE!A:R, 3, FALSE), ""))</f>
        <v/>
      </c>
      <c r="D910" s="2">
        <f>IF(B910="","",IFERROR(VLOOKUP(B910, PLANTA_BASE!A:R, 5, FALSE), "NO ENCONTRADO EN PLANTA"))</f>
        <v/>
      </c>
      <c r="E910" s="2">
        <f>IF(B910="","",IFERROR(VLOOKUP(B910, PLANTA_BASE!A:R, 6, FALSE), "NO ENCONTRADO EN PLANTA"))</f>
        <v/>
      </c>
      <c r="F910" s="4">
        <f>IF(B910="","",IFERROR(VLOOKUP(B910, PLANTA_BASE!A:R, 8, FALSE), "DOCENTE / FACILITADOR"))</f>
        <v/>
      </c>
      <c r="G910" s="4">
        <f>IF(B910="","",IFERROR(VLOOKUP(B910, PLANTA_BASE!A:R, 9, FALSE), "GENERAL"))</f>
        <v/>
      </c>
      <c r="H910" s="2">
        <f>IF(B910="","",IFERROR(VLOOKUP(B910, PLANTA_BASE!A:R, 17, FALSE), "GENERAL"))</f>
        <v/>
      </c>
    </row>
    <row r="911" ht="20" customHeight="1">
      <c r="A911" s="5">
        <f>IF(B911="","",IFERROR(VLOOKUP(B911, PLANTA_BASE!A:R, 2, FALSE), "NO ENCONTRADO EN PLANTA"))</f>
        <v/>
      </c>
      <c r="B911" s="6" t="inlineStr"/>
      <c r="C911" s="7">
        <f>IF(B911="","",IFERROR(VLOOKUP(B911, PLANTA_BASE!A:R, 3, FALSE), ""))</f>
        <v/>
      </c>
      <c r="D911" s="5">
        <f>IF(B911="","",IFERROR(VLOOKUP(B911, PLANTA_BASE!A:R, 5, FALSE), "NO ENCONTRADO EN PLANTA"))</f>
        <v/>
      </c>
      <c r="E911" s="5">
        <f>IF(B911="","",IFERROR(VLOOKUP(B911, PLANTA_BASE!A:R, 6, FALSE), "NO ENCONTRADO EN PLANTA"))</f>
        <v/>
      </c>
      <c r="F911" s="7">
        <f>IF(B911="","",IFERROR(VLOOKUP(B911, PLANTA_BASE!A:R, 8, FALSE), "DOCENTE / FACILITADOR"))</f>
        <v/>
      </c>
      <c r="G911" s="7">
        <f>IF(B911="","",IFERROR(VLOOKUP(B911, PLANTA_BASE!A:R, 9, FALSE), "GENERAL"))</f>
        <v/>
      </c>
      <c r="H911" s="5">
        <f>IF(B911="","",IFERROR(VLOOKUP(B911, PLANTA_BASE!A:R, 17, FALSE), "GENERAL"))</f>
        <v/>
      </c>
    </row>
    <row r="912" ht="20" customHeight="1">
      <c r="A912" s="2">
        <f>IF(B912="","",IFERROR(VLOOKUP(B912, PLANTA_BASE!A:R, 2, FALSE), "NO ENCONTRADO EN PLANTA"))</f>
        <v/>
      </c>
      <c r="B912" s="3" t="inlineStr"/>
      <c r="C912" s="4">
        <f>IF(B912="","",IFERROR(VLOOKUP(B912, PLANTA_BASE!A:R, 3, FALSE), ""))</f>
        <v/>
      </c>
      <c r="D912" s="2">
        <f>IF(B912="","",IFERROR(VLOOKUP(B912, PLANTA_BASE!A:R, 5, FALSE), "NO ENCONTRADO EN PLANTA"))</f>
        <v/>
      </c>
      <c r="E912" s="2">
        <f>IF(B912="","",IFERROR(VLOOKUP(B912, PLANTA_BASE!A:R, 6, FALSE), "NO ENCONTRADO EN PLANTA"))</f>
        <v/>
      </c>
      <c r="F912" s="4">
        <f>IF(B912="","",IFERROR(VLOOKUP(B912, PLANTA_BASE!A:R, 8, FALSE), "DOCENTE / FACILITADOR"))</f>
        <v/>
      </c>
      <c r="G912" s="4">
        <f>IF(B912="","",IFERROR(VLOOKUP(B912, PLANTA_BASE!A:R, 9, FALSE), "GENERAL"))</f>
        <v/>
      </c>
      <c r="H912" s="2">
        <f>IF(B912="","",IFERROR(VLOOKUP(B912, PLANTA_BASE!A:R, 17, FALSE), "GENERAL"))</f>
        <v/>
      </c>
    </row>
    <row r="913" ht="20" customHeight="1">
      <c r="A913" s="5">
        <f>IF(B913="","",IFERROR(VLOOKUP(B913, PLANTA_BASE!A:R, 2, FALSE), "NO ENCONTRADO EN PLANTA"))</f>
        <v/>
      </c>
      <c r="B913" s="6" t="inlineStr"/>
      <c r="C913" s="7">
        <f>IF(B913="","",IFERROR(VLOOKUP(B913, PLANTA_BASE!A:R, 3, FALSE), ""))</f>
        <v/>
      </c>
      <c r="D913" s="5">
        <f>IF(B913="","",IFERROR(VLOOKUP(B913, PLANTA_BASE!A:R, 5, FALSE), "NO ENCONTRADO EN PLANTA"))</f>
        <v/>
      </c>
      <c r="E913" s="5">
        <f>IF(B913="","",IFERROR(VLOOKUP(B913, PLANTA_BASE!A:R, 6, FALSE), "NO ENCONTRADO EN PLANTA"))</f>
        <v/>
      </c>
      <c r="F913" s="7">
        <f>IF(B913="","",IFERROR(VLOOKUP(B913, PLANTA_BASE!A:R, 8, FALSE), "DOCENTE / FACILITADOR"))</f>
        <v/>
      </c>
      <c r="G913" s="7">
        <f>IF(B913="","",IFERROR(VLOOKUP(B913, PLANTA_BASE!A:R, 9, FALSE), "GENERAL"))</f>
        <v/>
      </c>
      <c r="H913" s="5">
        <f>IF(B913="","",IFERROR(VLOOKUP(B913, PLANTA_BASE!A:R, 17, FALSE), "GENERAL"))</f>
        <v/>
      </c>
    </row>
    <row r="914" ht="20" customHeight="1">
      <c r="A914" s="2">
        <f>IF(B914="","",IFERROR(VLOOKUP(B914, PLANTA_BASE!A:R, 2, FALSE), "NO ENCONTRADO EN PLANTA"))</f>
        <v/>
      </c>
      <c r="B914" s="3" t="inlineStr"/>
      <c r="C914" s="4">
        <f>IF(B914="","",IFERROR(VLOOKUP(B914, PLANTA_BASE!A:R, 3, FALSE), ""))</f>
        <v/>
      </c>
      <c r="D914" s="2">
        <f>IF(B914="","",IFERROR(VLOOKUP(B914, PLANTA_BASE!A:R, 5, FALSE), "NO ENCONTRADO EN PLANTA"))</f>
        <v/>
      </c>
      <c r="E914" s="2">
        <f>IF(B914="","",IFERROR(VLOOKUP(B914, PLANTA_BASE!A:R, 6, FALSE), "NO ENCONTRADO EN PLANTA"))</f>
        <v/>
      </c>
      <c r="F914" s="4">
        <f>IF(B914="","",IFERROR(VLOOKUP(B914, PLANTA_BASE!A:R, 8, FALSE), "DOCENTE / FACILITADOR"))</f>
        <v/>
      </c>
      <c r="G914" s="4">
        <f>IF(B914="","",IFERROR(VLOOKUP(B914, PLANTA_BASE!A:R, 9, FALSE), "GENERAL"))</f>
        <v/>
      </c>
      <c r="H914" s="2">
        <f>IF(B914="","",IFERROR(VLOOKUP(B914, PLANTA_BASE!A:R, 17, FALSE), "GENERAL"))</f>
        <v/>
      </c>
    </row>
    <row r="915" ht="20" customHeight="1">
      <c r="A915" s="5">
        <f>IF(B915="","",IFERROR(VLOOKUP(B915, PLANTA_BASE!A:R, 2, FALSE), "NO ENCONTRADO EN PLANTA"))</f>
        <v/>
      </c>
      <c r="B915" s="6" t="inlineStr"/>
      <c r="C915" s="7">
        <f>IF(B915="","",IFERROR(VLOOKUP(B915, PLANTA_BASE!A:R, 3, FALSE), ""))</f>
        <v/>
      </c>
      <c r="D915" s="5">
        <f>IF(B915="","",IFERROR(VLOOKUP(B915, PLANTA_BASE!A:R, 5, FALSE), "NO ENCONTRADO EN PLANTA"))</f>
        <v/>
      </c>
      <c r="E915" s="5">
        <f>IF(B915="","",IFERROR(VLOOKUP(B915, PLANTA_BASE!A:R, 6, FALSE), "NO ENCONTRADO EN PLANTA"))</f>
        <v/>
      </c>
      <c r="F915" s="7">
        <f>IF(B915="","",IFERROR(VLOOKUP(B915, PLANTA_BASE!A:R, 8, FALSE), "DOCENTE / FACILITADOR"))</f>
        <v/>
      </c>
      <c r="G915" s="7">
        <f>IF(B915="","",IFERROR(VLOOKUP(B915, PLANTA_BASE!A:R, 9, FALSE), "GENERAL"))</f>
        <v/>
      </c>
      <c r="H915" s="5">
        <f>IF(B915="","",IFERROR(VLOOKUP(B915, PLANTA_BASE!A:R, 17, FALSE), "GENERAL"))</f>
        <v/>
      </c>
    </row>
    <row r="916" ht="20" customHeight="1">
      <c r="A916" s="2">
        <f>IF(B916="","",IFERROR(VLOOKUP(B916, PLANTA_BASE!A:R, 2, FALSE), "NO ENCONTRADO EN PLANTA"))</f>
        <v/>
      </c>
      <c r="B916" s="3" t="inlineStr"/>
      <c r="C916" s="4">
        <f>IF(B916="","",IFERROR(VLOOKUP(B916, PLANTA_BASE!A:R, 3, FALSE), ""))</f>
        <v/>
      </c>
      <c r="D916" s="2">
        <f>IF(B916="","",IFERROR(VLOOKUP(B916, PLANTA_BASE!A:R, 5, FALSE), "NO ENCONTRADO EN PLANTA"))</f>
        <v/>
      </c>
      <c r="E916" s="2">
        <f>IF(B916="","",IFERROR(VLOOKUP(B916, PLANTA_BASE!A:R, 6, FALSE), "NO ENCONTRADO EN PLANTA"))</f>
        <v/>
      </c>
      <c r="F916" s="4">
        <f>IF(B916="","",IFERROR(VLOOKUP(B916, PLANTA_BASE!A:R, 8, FALSE), "DOCENTE / FACILITADOR"))</f>
        <v/>
      </c>
      <c r="G916" s="4">
        <f>IF(B916="","",IFERROR(VLOOKUP(B916, PLANTA_BASE!A:R, 9, FALSE), "GENERAL"))</f>
        <v/>
      </c>
      <c r="H916" s="2">
        <f>IF(B916="","",IFERROR(VLOOKUP(B916, PLANTA_BASE!A:R, 17, FALSE), "GENERAL"))</f>
        <v/>
      </c>
    </row>
    <row r="917" ht="20" customHeight="1">
      <c r="A917" s="5">
        <f>IF(B917="","",IFERROR(VLOOKUP(B917, PLANTA_BASE!A:R, 2, FALSE), "NO ENCONTRADO EN PLANTA"))</f>
        <v/>
      </c>
      <c r="B917" s="6" t="inlineStr"/>
      <c r="C917" s="7">
        <f>IF(B917="","",IFERROR(VLOOKUP(B917, PLANTA_BASE!A:R, 3, FALSE), ""))</f>
        <v/>
      </c>
      <c r="D917" s="5">
        <f>IF(B917="","",IFERROR(VLOOKUP(B917, PLANTA_BASE!A:R, 5, FALSE), "NO ENCONTRADO EN PLANTA"))</f>
        <v/>
      </c>
      <c r="E917" s="5">
        <f>IF(B917="","",IFERROR(VLOOKUP(B917, PLANTA_BASE!A:R, 6, FALSE), "NO ENCONTRADO EN PLANTA"))</f>
        <v/>
      </c>
      <c r="F917" s="7">
        <f>IF(B917="","",IFERROR(VLOOKUP(B917, PLANTA_BASE!A:R, 8, FALSE), "DOCENTE / FACILITADOR"))</f>
        <v/>
      </c>
      <c r="G917" s="7">
        <f>IF(B917="","",IFERROR(VLOOKUP(B917, PLANTA_BASE!A:R, 9, FALSE), "GENERAL"))</f>
        <v/>
      </c>
      <c r="H917" s="5">
        <f>IF(B917="","",IFERROR(VLOOKUP(B917, PLANTA_BASE!A:R, 17, FALSE), "GENERAL"))</f>
        <v/>
      </c>
    </row>
    <row r="918" ht="20" customHeight="1">
      <c r="A918" s="2">
        <f>IF(B918="","",IFERROR(VLOOKUP(B918, PLANTA_BASE!A:R, 2, FALSE), "NO ENCONTRADO EN PLANTA"))</f>
        <v/>
      </c>
      <c r="B918" s="3" t="inlineStr"/>
      <c r="C918" s="4">
        <f>IF(B918="","",IFERROR(VLOOKUP(B918, PLANTA_BASE!A:R, 3, FALSE), ""))</f>
        <v/>
      </c>
      <c r="D918" s="2">
        <f>IF(B918="","",IFERROR(VLOOKUP(B918, PLANTA_BASE!A:R, 5, FALSE), "NO ENCONTRADO EN PLANTA"))</f>
        <v/>
      </c>
      <c r="E918" s="2">
        <f>IF(B918="","",IFERROR(VLOOKUP(B918, PLANTA_BASE!A:R, 6, FALSE), "NO ENCONTRADO EN PLANTA"))</f>
        <v/>
      </c>
      <c r="F918" s="4">
        <f>IF(B918="","",IFERROR(VLOOKUP(B918, PLANTA_BASE!A:R, 8, FALSE), "DOCENTE / FACILITADOR"))</f>
        <v/>
      </c>
      <c r="G918" s="4">
        <f>IF(B918="","",IFERROR(VLOOKUP(B918, PLANTA_BASE!A:R, 9, FALSE), "GENERAL"))</f>
        <v/>
      </c>
      <c r="H918" s="2">
        <f>IF(B918="","",IFERROR(VLOOKUP(B918, PLANTA_BASE!A:R, 17, FALSE), "GENERAL"))</f>
        <v/>
      </c>
    </row>
    <row r="919" ht="20" customHeight="1">
      <c r="A919" s="5">
        <f>IF(B919="","",IFERROR(VLOOKUP(B919, PLANTA_BASE!A:R, 2, FALSE), "NO ENCONTRADO EN PLANTA"))</f>
        <v/>
      </c>
      <c r="B919" s="6" t="inlineStr"/>
      <c r="C919" s="7">
        <f>IF(B919="","",IFERROR(VLOOKUP(B919, PLANTA_BASE!A:R, 3, FALSE), ""))</f>
        <v/>
      </c>
      <c r="D919" s="5">
        <f>IF(B919="","",IFERROR(VLOOKUP(B919, PLANTA_BASE!A:R, 5, FALSE), "NO ENCONTRADO EN PLANTA"))</f>
        <v/>
      </c>
      <c r="E919" s="5">
        <f>IF(B919="","",IFERROR(VLOOKUP(B919, PLANTA_BASE!A:R, 6, FALSE), "NO ENCONTRADO EN PLANTA"))</f>
        <v/>
      </c>
      <c r="F919" s="7">
        <f>IF(B919="","",IFERROR(VLOOKUP(B919, PLANTA_BASE!A:R, 8, FALSE), "DOCENTE / FACILITADOR"))</f>
        <v/>
      </c>
      <c r="G919" s="7">
        <f>IF(B919="","",IFERROR(VLOOKUP(B919, PLANTA_BASE!A:R, 9, FALSE), "GENERAL"))</f>
        <v/>
      </c>
      <c r="H919" s="5">
        <f>IF(B919="","",IFERROR(VLOOKUP(B919, PLANTA_BASE!A:R, 17, FALSE), "GENERAL"))</f>
        <v/>
      </c>
    </row>
    <row r="920" ht="20" customHeight="1">
      <c r="A920" s="2">
        <f>IF(B920="","",IFERROR(VLOOKUP(B920, PLANTA_BASE!A:R, 2, FALSE), "NO ENCONTRADO EN PLANTA"))</f>
        <v/>
      </c>
      <c r="B920" s="3" t="inlineStr"/>
      <c r="C920" s="4">
        <f>IF(B920="","",IFERROR(VLOOKUP(B920, PLANTA_BASE!A:R, 3, FALSE), ""))</f>
        <v/>
      </c>
      <c r="D920" s="2">
        <f>IF(B920="","",IFERROR(VLOOKUP(B920, PLANTA_BASE!A:R, 5, FALSE), "NO ENCONTRADO EN PLANTA"))</f>
        <v/>
      </c>
      <c r="E920" s="2">
        <f>IF(B920="","",IFERROR(VLOOKUP(B920, PLANTA_BASE!A:R, 6, FALSE), "NO ENCONTRADO EN PLANTA"))</f>
        <v/>
      </c>
      <c r="F920" s="4">
        <f>IF(B920="","",IFERROR(VLOOKUP(B920, PLANTA_BASE!A:R, 8, FALSE), "DOCENTE / FACILITADOR"))</f>
        <v/>
      </c>
      <c r="G920" s="4">
        <f>IF(B920="","",IFERROR(VLOOKUP(B920, PLANTA_BASE!A:R, 9, FALSE), "GENERAL"))</f>
        <v/>
      </c>
      <c r="H920" s="2">
        <f>IF(B920="","",IFERROR(VLOOKUP(B920, PLANTA_BASE!A:R, 17, FALSE), "GENERAL"))</f>
        <v/>
      </c>
    </row>
    <row r="921" ht="20" customHeight="1">
      <c r="A921" s="5">
        <f>IF(B921="","",IFERROR(VLOOKUP(B921, PLANTA_BASE!A:R, 2, FALSE), "NO ENCONTRADO EN PLANTA"))</f>
        <v/>
      </c>
      <c r="B921" s="6" t="inlineStr"/>
      <c r="C921" s="7">
        <f>IF(B921="","",IFERROR(VLOOKUP(B921, PLANTA_BASE!A:R, 3, FALSE), ""))</f>
        <v/>
      </c>
      <c r="D921" s="5">
        <f>IF(B921="","",IFERROR(VLOOKUP(B921, PLANTA_BASE!A:R, 5, FALSE), "NO ENCONTRADO EN PLANTA"))</f>
        <v/>
      </c>
      <c r="E921" s="5">
        <f>IF(B921="","",IFERROR(VLOOKUP(B921, PLANTA_BASE!A:R, 6, FALSE), "NO ENCONTRADO EN PLANTA"))</f>
        <v/>
      </c>
      <c r="F921" s="7">
        <f>IF(B921="","",IFERROR(VLOOKUP(B921, PLANTA_BASE!A:R, 8, FALSE), "DOCENTE / FACILITADOR"))</f>
        <v/>
      </c>
      <c r="G921" s="7">
        <f>IF(B921="","",IFERROR(VLOOKUP(B921, PLANTA_BASE!A:R, 9, FALSE), "GENERAL"))</f>
        <v/>
      </c>
      <c r="H921" s="5">
        <f>IF(B921="","",IFERROR(VLOOKUP(B921, PLANTA_BASE!A:R, 17, FALSE), "GENERAL"))</f>
        <v/>
      </c>
    </row>
    <row r="922" ht="20" customHeight="1">
      <c r="A922" s="2">
        <f>IF(B922="","",IFERROR(VLOOKUP(B922, PLANTA_BASE!A:R, 2, FALSE), "NO ENCONTRADO EN PLANTA"))</f>
        <v/>
      </c>
      <c r="B922" s="3" t="inlineStr"/>
      <c r="C922" s="4">
        <f>IF(B922="","",IFERROR(VLOOKUP(B922, PLANTA_BASE!A:R, 3, FALSE), ""))</f>
        <v/>
      </c>
      <c r="D922" s="2">
        <f>IF(B922="","",IFERROR(VLOOKUP(B922, PLANTA_BASE!A:R, 5, FALSE), "NO ENCONTRADO EN PLANTA"))</f>
        <v/>
      </c>
      <c r="E922" s="2">
        <f>IF(B922="","",IFERROR(VLOOKUP(B922, PLANTA_BASE!A:R, 6, FALSE), "NO ENCONTRADO EN PLANTA"))</f>
        <v/>
      </c>
      <c r="F922" s="4">
        <f>IF(B922="","",IFERROR(VLOOKUP(B922, PLANTA_BASE!A:R, 8, FALSE), "DOCENTE / FACILITADOR"))</f>
        <v/>
      </c>
      <c r="G922" s="4">
        <f>IF(B922="","",IFERROR(VLOOKUP(B922, PLANTA_BASE!A:R, 9, FALSE), "GENERAL"))</f>
        <v/>
      </c>
      <c r="H922" s="2">
        <f>IF(B922="","",IFERROR(VLOOKUP(B922, PLANTA_BASE!A:R, 17, FALSE), "GENERAL"))</f>
        <v/>
      </c>
    </row>
    <row r="923" ht="20" customHeight="1">
      <c r="A923" s="5">
        <f>IF(B923="","",IFERROR(VLOOKUP(B923, PLANTA_BASE!A:R, 2, FALSE), "NO ENCONTRADO EN PLANTA"))</f>
        <v/>
      </c>
      <c r="B923" s="6" t="inlineStr"/>
      <c r="C923" s="7">
        <f>IF(B923="","",IFERROR(VLOOKUP(B923, PLANTA_BASE!A:R, 3, FALSE), ""))</f>
        <v/>
      </c>
      <c r="D923" s="5">
        <f>IF(B923="","",IFERROR(VLOOKUP(B923, PLANTA_BASE!A:R, 5, FALSE), "NO ENCONTRADO EN PLANTA"))</f>
        <v/>
      </c>
      <c r="E923" s="5">
        <f>IF(B923="","",IFERROR(VLOOKUP(B923, PLANTA_BASE!A:R, 6, FALSE), "NO ENCONTRADO EN PLANTA"))</f>
        <v/>
      </c>
      <c r="F923" s="7">
        <f>IF(B923="","",IFERROR(VLOOKUP(B923, PLANTA_BASE!A:R, 8, FALSE), "DOCENTE / FACILITADOR"))</f>
        <v/>
      </c>
      <c r="G923" s="7">
        <f>IF(B923="","",IFERROR(VLOOKUP(B923, PLANTA_BASE!A:R, 9, FALSE), "GENERAL"))</f>
        <v/>
      </c>
      <c r="H923" s="5">
        <f>IF(B923="","",IFERROR(VLOOKUP(B923, PLANTA_BASE!A:R, 17, FALSE), "GENERAL"))</f>
        <v/>
      </c>
    </row>
    <row r="924" ht="20" customHeight="1">
      <c r="A924" s="2">
        <f>IF(B924="","",IFERROR(VLOOKUP(B924, PLANTA_BASE!A:R, 2, FALSE), "NO ENCONTRADO EN PLANTA"))</f>
        <v/>
      </c>
      <c r="B924" s="3" t="inlineStr"/>
      <c r="C924" s="4">
        <f>IF(B924="","",IFERROR(VLOOKUP(B924, PLANTA_BASE!A:R, 3, FALSE), ""))</f>
        <v/>
      </c>
      <c r="D924" s="2">
        <f>IF(B924="","",IFERROR(VLOOKUP(B924, PLANTA_BASE!A:R, 5, FALSE), "NO ENCONTRADO EN PLANTA"))</f>
        <v/>
      </c>
      <c r="E924" s="2">
        <f>IF(B924="","",IFERROR(VLOOKUP(B924, PLANTA_BASE!A:R, 6, FALSE), "NO ENCONTRADO EN PLANTA"))</f>
        <v/>
      </c>
      <c r="F924" s="4">
        <f>IF(B924="","",IFERROR(VLOOKUP(B924, PLANTA_BASE!A:R, 8, FALSE), "DOCENTE / FACILITADOR"))</f>
        <v/>
      </c>
      <c r="G924" s="4">
        <f>IF(B924="","",IFERROR(VLOOKUP(B924, PLANTA_BASE!A:R, 9, FALSE), "GENERAL"))</f>
        <v/>
      </c>
      <c r="H924" s="2">
        <f>IF(B924="","",IFERROR(VLOOKUP(B924, PLANTA_BASE!A:R, 17, FALSE), "GENERAL"))</f>
        <v/>
      </c>
    </row>
    <row r="925" ht="20" customHeight="1">
      <c r="A925" s="5">
        <f>IF(B925="","",IFERROR(VLOOKUP(B925, PLANTA_BASE!A:R, 2, FALSE), "NO ENCONTRADO EN PLANTA"))</f>
        <v/>
      </c>
      <c r="B925" s="6" t="inlineStr"/>
      <c r="C925" s="7">
        <f>IF(B925="","",IFERROR(VLOOKUP(B925, PLANTA_BASE!A:R, 3, FALSE), ""))</f>
        <v/>
      </c>
      <c r="D925" s="5">
        <f>IF(B925="","",IFERROR(VLOOKUP(B925, PLANTA_BASE!A:R, 5, FALSE), "NO ENCONTRADO EN PLANTA"))</f>
        <v/>
      </c>
      <c r="E925" s="5">
        <f>IF(B925="","",IFERROR(VLOOKUP(B925, PLANTA_BASE!A:R, 6, FALSE), "NO ENCONTRADO EN PLANTA"))</f>
        <v/>
      </c>
      <c r="F925" s="7">
        <f>IF(B925="","",IFERROR(VLOOKUP(B925, PLANTA_BASE!A:R, 8, FALSE), "DOCENTE / FACILITADOR"))</f>
        <v/>
      </c>
      <c r="G925" s="7">
        <f>IF(B925="","",IFERROR(VLOOKUP(B925, PLANTA_BASE!A:R, 9, FALSE), "GENERAL"))</f>
        <v/>
      </c>
      <c r="H925" s="5">
        <f>IF(B925="","",IFERROR(VLOOKUP(B925, PLANTA_BASE!A:R, 17, FALSE), "GENERAL"))</f>
        <v/>
      </c>
    </row>
    <row r="926" ht="20" customHeight="1">
      <c r="A926" s="2">
        <f>IF(B926="","",IFERROR(VLOOKUP(B926, PLANTA_BASE!A:R, 2, FALSE), "NO ENCONTRADO EN PLANTA"))</f>
        <v/>
      </c>
      <c r="B926" s="3" t="inlineStr"/>
      <c r="C926" s="4">
        <f>IF(B926="","",IFERROR(VLOOKUP(B926, PLANTA_BASE!A:R, 3, FALSE), ""))</f>
        <v/>
      </c>
      <c r="D926" s="2">
        <f>IF(B926="","",IFERROR(VLOOKUP(B926, PLANTA_BASE!A:R, 5, FALSE), "NO ENCONTRADO EN PLANTA"))</f>
        <v/>
      </c>
      <c r="E926" s="2">
        <f>IF(B926="","",IFERROR(VLOOKUP(B926, PLANTA_BASE!A:R, 6, FALSE), "NO ENCONTRADO EN PLANTA"))</f>
        <v/>
      </c>
      <c r="F926" s="4">
        <f>IF(B926="","",IFERROR(VLOOKUP(B926, PLANTA_BASE!A:R, 8, FALSE), "DOCENTE / FACILITADOR"))</f>
        <v/>
      </c>
      <c r="G926" s="4">
        <f>IF(B926="","",IFERROR(VLOOKUP(B926, PLANTA_BASE!A:R, 9, FALSE), "GENERAL"))</f>
        <v/>
      </c>
      <c r="H926" s="2">
        <f>IF(B926="","",IFERROR(VLOOKUP(B926, PLANTA_BASE!A:R, 17, FALSE), "GENERAL"))</f>
        <v/>
      </c>
    </row>
    <row r="927" ht="20" customHeight="1">
      <c r="A927" s="5">
        <f>IF(B927="","",IFERROR(VLOOKUP(B927, PLANTA_BASE!A:R, 2, FALSE), "NO ENCONTRADO EN PLANTA"))</f>
        <v/>
      </c>
      <c r="B927" s="6" t="inlineStr"/>
      <c r="C927" s="7">
        <f>IF(B927="","",IFERROR(VLOOKUP(B927, PLANTA_BASE!A:R, 3, FALSE), ""))</f>
        <v/>
      </c>
      <c r="D927" s="5">
        <f>IF(B927="","",IFERROR(VLOOKUP(B927, PLANTA_BASE!A:R, 5, FALSE), "NO ENCONTRADO EN PLANTA"))</f>
        <v/>
      </c>
      <c r="E927" s="5">
        <f>IF(B927="","",IFERROR(VLOOKUP(B927, PLANTA_BASE!A:R, 6, FALSE), "NO ENCONTRADO EN PLANTA"))</f>
        <v/>
      </c>
      <c r="F927" s="7">
        <f>IF(B927="","",IFERROR(VLOOKUP(B927, PLANTA_BASE!A:R, 8, FALSE), "DOCENTE / FACILITADOR"))</f>
        <v/>
      </c>
      <c r="G927" s="7">
        <f>IF(B927="","",IFERROR(VLOOKUP(B927, PLANTA_BASE!A:R, 9, FALSE), "GENERAL"))</f>
        <v/>
      </c>
      <c r="H927" s="5">
        <f>IF(B927="","",IFERROR(VLOOKUP(B927, PLANTA_BASE!A:R, 17, FALSE), "GENERAL"))</f>
        <v/>
      </c>
    </row>
    <row r="928" ht="20" customHeight="1">
      <c r="A928" s="2">
        <f>IF(B928="","",IFERROR(VLOOKUP(B928, PLANTA_BASE!A:R, 2, FALSE), "NO ENCONTRADO EN PLANTA"))</f>
        <v/>
      </c>
      <c r="B928" s="3" t="inlineStr"/>
      <c r="C928" s="4">
        <f>IF(B928="","",IFERROR(VLOOKUP(B928, PLANTA_BASE!A:R, 3, FALSE), ""))</f>
        <v/>
      </c>
      <c r="D928" s="2">
        <f>IF(B928="","",IFERROR(VLOOKUP(B928, PLANTA_BASE!A:R, 5, FALSE), "NO ENCONTRADO EN PLANTA"))</f>
        <v/>
      </c>
      <c r="E928" s="2">
        <f>IF(B928="","",IFERROR(VLOOKUP(B928, PLANTA_BASE!A:R, 6, FALSE), "NO ENCONTRADO EN PLANTA"))</f>
        <v/>
      </c>
      <c r="F928" s="4">
        <f>IF(B928="","",IFERROR(VLOOKUP(B928, PLANTA_BASE!A:R, 8, FALSE), "DOCENTE / FACILITADOR"))</f>
        <v/>
      </c>
      <c r="G928" s="4">
        <f>IF(B928="","",IFERROR(VLOOKUP(B928, PLANTA_BASE!A:R, 9, FALSE), "GENERAL"))</f>
        <v/>
      </c>
      <c r="H928" s="2">
        <f>IF(B928="","",IFERROR(VLOOKUP(B928, PLANTA_BASE!A:R, 17, FALSE), "GENERAL"))</f>
        <v/>
      </c>
    </row>
    <row r="929" ht="20" customHeight="1">
      <c r="A929" s="5">
        <f>IF(B929="","",IFERROR(VLOOKUP(B929, PLANTA_BASE!A:R, 2, FALSE), "NO ENCONTRADO EN PLANTA"))</f>
        <v/>
      </c>
      <c r="B929" s="6" t="inlineStr"/>
      <c r="C929" s="7">
        <f>IF(B929="","",IFERROR(VLOOKUP(B929, PLANTA_BASE!A:R, 3, FALSE), ""))</f>
        <v/>
      </c>
      <c r="D929" s="5">
        <f>IF(B929="","",IFERROR(VLOOKUP(B929, PLANTA_BASE!A:R, 5, FALSE), "NO ENCONTRADO EN PLANTA"))</f>
        <v/>
      </c>
      <c r="E929" s="5">
        <f>IF(B929="","",IFERROR(VLOOKUP(B929, PLANTA_BASE!A:R, 6, FALSE), "NO ENCONTRADO EN PLANTA"))</f>
        <v/>
      </c>
      <c r="F929" s="7">
        <f>IF(B929="","",IFERROR(VLOOKUP(B929, PLANTA_BASE!A:R, 8, FALSE), "DOCENTE / FACILITADOR"))</f>
        <v/>
      </c>
      <c r="G929" s="7">
        <f>IF(B929="","",IFERROR(VLOOKUP(B929, PLANTA_BASE!A:R, 9, FALSE), "GENERAL"))</f>
        <v/>
      </c>
      <c r="H929" s="5">
        <f>IF(B929="","",IFERROR(VLOOKUP(B929, PLANTA_BASE!A:R, 17, FALSE), "GENERAL"))</f>
        <v/>
      </c>
    </row>
    <row r="930" ht="20" customHeight="1">
      <c r="A930" s="2">
        <f>IF(B930="","",IFERROR(VLOOKUP(B930, PLANTA_BASE!A:R, 2, FALSE), "NO ENCONTRADO EN PLANTA"))</f>
        <v/>
      </c>
      <c r="B930" s="3" t="inlineStr"/>
      <c r="C930" s="4">
        <f>IF(B930="","",IFERROR(VLOOKUP(B930, PLANTA_BASE!A:R, 3, FALSE), ""))</f>
        <v/>
      </c>
      <c r="D930" s="2">
        <f>IF(B930="","",IFERROR(VLOOKUP(B930, PLANTA_BASE!A:R, 5, FALSE), "NO ENCONTRADO EN PLANTA"))</f>
        <v/>
      </c>
      <c r="E930" s="2">
        <f>IF(B930="","",IFERROR(VLOOKUP(B930, PLANTA_BASE!A:R, 6, FALSE), "NO ENCONTRADO EN PLANTA"))</f>
        <v/>
      </c>
      <c r="F930" s="4">
        <f>IF(B930="","",IFERROR(VLOOKUP(B930, PLANTA_BASE!A:R, 8, FALSE), "DOCENTE / FACILITADOR"))</f>
        <v/>
      </c>
      <c r="G930" s="4">
        <f>IF(B930="","",IFERROR(VLOOKUP(B930, PLANTA_BASE!A:R, 9, FALSE), "GENERAL"))</f>
        <v/>
      </c>
      <c r="H930" s="2">
        <f>IF(B930="","",IFERROR(VLOOKUP(B930, PLANTA_BASE!A:R, 17, FALSE), "GENERAL"))</f>
        <v/>
      </c>
    </row>
    <row r="931" ht="20" customHeight="1">
      <c r="A931" s="5">
        <f>IF(B931="","",IFERROR(VLOOKUP(B931, PLANTA_BASE!A:R, 2, FALSE), "NO ENCONTRADO EN PLANTA"))</f>
        <v/>
      </c>
      <c r="B931" s="6" t="inlineStr"/>
      <c r="C931" s="7">
        <f>IF(B931="","",IFERROR(VLOOKUP(B931, PLANTA_BASE!A:R, 3, FALSE), ""))</f>
        <v/>
      </c>
      <c r="D931" s="5">
        <f>IF(B931="","",IFERROR(VLOOKUP(B931, PLANTA_BASE!A:R, 5, FALSE), "NO ENCONTRADO EN PLANTA"))</f>
        <v/>
      </c>
      <c r="E931" s="5">
        <f>IF(B931="","",IFERROR(VLOOKUP(B931, PLANTA_BASE!A:R, 6, FALSE), "NO ENCONTRADO EN PLANTA"))</f>
        <v/>
      </c>
      <c r="F931" s="7">
        <f>IF(B931="","",IFERROR(VLOOKUP(B931, PLANTA_BASE!A:R, 8, FALSE), "DOCENTE / FACILITADOR"))</f>
        <v/>
      </c>
      <c r="G931" s="7">
        <f>IF(B931="","",IFERROR(VLOOKUP(B931, PLANTA_BASE!A:R, 9, FALSE), "GENERAL"))</f>
        <v/>
      </c>
      <c r="H931" s="5">
        <f>IF(B931="","",IFERROR(VLOOKUP(B931, PLANTA_BASE!A:R, 17, FALSE), "GENERAL"))</f>
        <v/>
      </c>
    </row>
    <row r="932" ht="20" customHeight="1">
      <c r="A932" s="2">
        <f>IF(B932="","",IFERROR(VLOOKUP(B932, PLANTA_BASE!A:R, 2, FALSE), "NO ENCONTRADO EN PLANTA"))</f>
        <v/>
      </c>
      <c r="B932" s="3" t="inlineStr"/>
      <c r="C932" s="4">
        <f>IF(B932="","",IFERROR(VLOOKUP(B932, PLANTA_BASE!A:R, 3, FALSE), ""))</f>
        <v/>
      </c>
      <c r="D932" s="2">
        <f>IF(B932="","",IFERROR(VLOOKUP(B932, PLANTA_BASE!A:R, 5, FALSE), "NO ENCONTRADO EN PLANTA"))</f>
        <v/>
      </c>
      <c r="E932" s="2">
        <f>IF(B932="","",IFERROR(VLOOKUP(B932, PLANTA_BASE!A:R, 6, FALSE), "NO ENCONTRADO EN PLANTA"))</f>
        <v/>
      </c>
      <c r="F932" s="4">
        <f>IF(B932="","",IFERROR(VLOOKUP(B932, PLANTA_BASE!A:R, 8, FALSE), "DOCENTE / FACILITADOR"))</f>
        <v/>
      </c>
      <c r="G932" s="4">
        <f>IF(B932="","",IFERROR(VLOOKUP(B932, PLANTA_BASE!A:R, 9, FALSE), "GENERAL"))</f>
        <v/>
      </c>
      <c r="H932" s="2">
        <f>IF(B932="","",IFERROR(VLOOKUP(B932, PLANTA_BASE!A:R, 17, FALSE), "GENERAL"))</f>
        <v/>
      </c>
    </row>
    <row r="933" ht="20" customHeight="1">
      <c r="A933" s="5">
        <f>IF(B933="","",IFERROR(VLOOKUP(B933, PLANTA_BASE!A:R, 2, FALSE), "NO ENCONTRADO EN PLANTA"))</f>
        <v/>
      </c>
      <c r="B933" s="6" t="inlineStr"/>
      <c r="C933" s="7">
        <f>IF(B933="","",IFERROR(VLOOKUP(B933, PLANTA_BASE!A:R, 3, FALSE), ""))</f>
        <v/>
      </c>
      <c r="D933" s="5">
        <f>IF(B933="","",IFERROR(VLOOKUP(B933, PLANTA_BASE!A:R, 5, FALSE), "NO ENCONTRADO EN PLANTA"))</f>
        <v/>
      </c>
      <c r="E933" s="5">
        <f>IF(B933="","",IFERROR(VLOOKUP(B933, PLANTA_BASE!A:R, 6, FALSE), "NO ENCONTRADO EN PLANTA"))</f>
        <v/>
      </c>
      <c r="F933" s="7">
        <f>IF(B933="","",IFERROR(VLOOKUP(B933, PLANTA_BASE!A:R, 8, FALSE), "DOCENTE / FACILITADOR"))</f>
        <v/>
      </c>
      <c r="G933" s="7">
        <f>IF(B933="","",IFERROR(VLOOKUP(B933, PLANTA_BASE!A:R, 9, FALSE), "GENERAL"))</f>
        <v/>
      </c>
      <c r="H933" s="5">
        <f>IF(B933="","",IFERROR(VLOOKUP(B933, PLANTA_BASE!A:R, 17, FALSE), "GENERAL"))</f>
        <v/>
      </c>
    </row>
    <row r="934" ht="20" customHeight="1">
      <c r="A934" s="2">
        <f>IF(B934="","",IFERROR(VLOOKUP(B934, PLANTA_BASE!A:R, 2, FALSE), "NO ENCONTRADO EN PLANTA"))</f>
        <v/>
      </c>
      <c r="B934" s="3" t="inlineStr"/>
      <c r="C934" s="4">
        <f>IF(B934="","",IFERROR(VLOOKUP(B934, PLANTA_BASE!A:R, 3, FALSE), ""))</f>
        <v/>
      </c>
      <c r="D934" s="2">
        <f>IF(B934="","",IFERROR(VLOOKUP(B934, PLANTA_BASE!A:R, 5, FALSE), "NO ENCONTRADO EN PLANTA"))</f>
        <v/>
      </c>
      <c r="E934" s="2">
        <f>IF(B934="","",IFERROR(VLOOKUP(B934, PLANTA_BASE!A:R, 6, FALSE), "NO ENCONTRADO EN PLANTA"))</f>
        <v/>
      </c>
      <c r="F934" s="4">
        <f>IF(B934="","",IFERROR(VLOOKUP(B934, PLANTA_BASE!A:R, 8, FALSE), "DOCENTE / FACILITADOR"))</f>
        <v/>
      </c>
      <c r="G934" s="4">
        <f>IF(B934="","",IFERROR(VLOOKUP(B934, PLANTA_BASE!A:R, 9, FALSE), "GENERAL"))</f>
        <v/>
      </c>
      <c r="H934" s="2">
        <f>IF(B934="","",IFERROR(VLOOKUP(B934, PLANTA_BASE!A:R, 17, FALSE), "GENERAL"))</f>
        <v/>
      </c>
    </row>
    <row r="935" ht="20" customHeight="1">
      <c r="A935" s="5">
        <f>IF(B935="","",IFERROR(VLOOKUP(B935, PLANTA_BASE!A:R, 2, FALSE), "NO ENCONTRADO EN PLANTA"))</f>
        <v/>
      </c>
      <c r="B935" s="6" t="inlineStr"/>
      <c r="C935" s="7">
        <f>IF(B935="","",IFERROR(VLOOKUP(B935, PLANTA_BASE!A:R, 3, FALSE), ""))</f>
        <v/>
      </c>
      <c r="D935" s="5">
        <f>IF(B935="","",IFERROR(VLOOKUP(B935, PLANTA_BASE!A:R, 5, FALSE), "NO ENCONTRADO EN PLANTA"))</f>
        <v/>
      </c>
      <c r="E935" s="5">
        <f>IF(B935="","",IFERROR(VLOOKUP(B935, PLANTA_BASE!A:R, 6, FALSE), "NO ENCONTRADO EN PLANTA"))</f>
        <v/>
      </c>
      <c r="F935" s="7">
        <f>IF(B935="","",IFERROR(VLOOKUP(B935, PLANTA_BASE!A:R, 8, FALSE), "DOCENTE / FACILITADOR"))</f>
        <v/>
      </c>
      <c r="G935" s="7">
        <f>IF(B935="","",IFERROR(VLOOKUP(B935, PLANTA_BASE!A:R, 9, FALSE), "GENERAL"))</f>
        <v/>
      </c>
      <c r="H935" s="5">
        <f>IF(B935="","",IFERROR(VLOOKUP(B935, PLANTA_BASE!A:R, 17, FALSE), "GENERAL"))</f>
        <v/>
      </c>
    </row>
    <row r="936" ht="20" customHeight="1">
      <c r="A936" s="2">
        <f>IF(B936="","",IFERROR(VLOOKUP(B936, PLANTA_BASE!A:R, 2, FALSE), "NO ENCONTRADO EN PLANTA"))</f>
        <v/>
      </c>
      <c r="B936" s="3" t="inlineStr"/>
      <c r="C936" s="4">
        <f>IF(B936="","",IFERROR(VLOOKUP(B936, PLANTA_BASE!A:R, 3, FALSE), ""))</f>
        <v/>
      </c>
      <c r="D936" s="2">
        <f>IF(B936="","",IFERROR(VLOOKUP(B936, PLANTA_BASE!A:R, 5, FALSE), "NO ENCONTRADO EN PLANTA"))</f>
        <v/>
      </c>
      <c r="E936" s="2">
        <f>IF(B936="","",IFERROR(VLOOKUP(B936, PLANTA_BASE!A:R, 6, FALSE), "NO ENCONTRADO EN PLANTA"))</f>
        <v/>
      </c>
      <c r="F936" s="4">
        <f>IF(B936="","",IFERROR(VLOOKUP(B936, PLANTA_BASE!A:R, 8, FALSE), "DOCENTE / FACILITADOR"))</f>
        <v/>
      </c>
      <c r="G936" s="4">
        <f>IF(B936="","",IFERROR(VLOOKUP(B936, PLANTA_BASE!A:R, 9, FALSE), "GENERAL"))</f>
        <v/>
      </c>
      <c r="H936" s="2">
        <f>IF(B936="","",IFERROR(VLOOKUP(B936, PLANTA_BASE!A:R, 17, FALSE), "GENERAL"))</f>
        <v/>
      </c>
    </row>
    <row r="937" ht="20" customHeight="1">
      <c r="A937" s="5">
        <f>IF(B937="","",IFERROR(VLOOKUP(B937, PLANTA_BASE!A:R, 2, FALSE), "NO ENCONTRADO EN PLANTA"))</f>
        <v/>
      </c>
      <c r="B937" s="6" t="inlineStr"/>
      <c r="C937" s="7">
        <f>IF(B937="","",IFERROR(VLOOKUP(B937, PLANTA_BASE!A:R, 3, FALSE), ""))</f>
        <v/>
      </c>
      <c r="D937" s="5">
        <f>IF(B937="","",IFERROR(VLOOKUP(B937, PLANTA_BASE!A:R, 5, FALSE), "NO ENCONTRADO EN PLANTA"))</f>
        <v/>
      </c>
      <c r="E937" s="5">
        <f>IF(B937="","",IFERROR(VLOOKUP(B937, PLANTA_BASE!A:R, 6, FALSE), "NO ENCONTRADO EN PLANTA"))</f>
        <v/>
      </c>
      <c r="F937" s="7">
        <f>IF(B937="","",IFERROR(VLOOKUP(B937, PLANTA_BASE!A:R, 8, FALSE), "DOCENTE / FACILITADOR"))</f>
        <v/>
      </c>
      <c r="G937" s="7">
        <f>IF(B937="","",IFERROR(VLOOKUP(B937, PLANTA_BASE!A:R, 9, FALSE), "GENERAL"))</f>
        <v/>
      </c>
      <c r="H937" s="5">
        <f>IF(B937="","",IFERROR(VLOOKUP(B937, PLANTA_BASE!A:R, 17, FALSE), "GENERAL"))</f>
        <v/>
      </c>
    </row>
    <row r="938" ht="20" customHeight="1">
      <c r="A938" s="2">
        <f>IF(B938="","",IFERROR(VLOOKUP(B938, PLANTA_BASE!A:R, 2, FALSE), "NO ENCONTRADO EN PLANTA"))</f>
        <v/>
      </c>
      <c r="B938" s="3" t="inlineStr"/>
      <c r="C938" s="4">
        <f>IF(B938="","",IFERROR(VLOOKUP(B938, PLANTA_BASE!A:R, 3, FALSE), ""))</f>
        <v/>
      </c>
      <c r="D938" s="2">
        <f>IF(B938="","",IFERROR(VLOOKUP(B938, PLANTA_BASE!A:R, 5, FALSE), "NO ENCONTRADO EN PLANTA"))</f>
        <v/>
      </c>
      <c r="E938" s="2">
        <f>IF(B938="","",IFERROR(VLOOKUP(B938, PLANTA_BASE!A:R, 6, FALSE), "NO ENCONTRADO EN PLANTA"))</f>
        <v/>
      </c>
      <c r="F938" s="4">
        <f>IF(B938="","",IFERROR(VLOOKUP(B938, PLANTA_BASE!A:R, 8, FALSE), "DOCENTE / FACILITADOR"))</f>
        <v/>
      </c>
      <c r="G938" s="4">
        <f>IF(B938="","",IFERROR(VLOOKUP(B938, PLANTA_BASE!A:R, 9, FALSE), "GENERAL"))</f>
        <v/>
      </c>
      <c r="H938" s="2">
        <f>IF(B938="","",IFERROR(VLOOKUP(B938, PLANTA_BASE!A:R, 17, FALSE), "GENERAL"))</f>
        <v/>
      </c>
    </row>
    <row r="939" ht="20" customHeight="1">
      <c r="A939" s="5">
        <f>IF(B939="","",IFERROR(VLOOKUP(B939, PLANTA_BASE!A:R, 2, FALSE), "NO ENCONTRADO EN PLANTA"))</f>
        <v/>
      </c>
      <c r="B939" s="6" t="inlineStr"/>
      <c r="C939" s="7">
        <f>IF(B939="","",IFERROR(VLOOKUP(B939, PLANTA_BASE!A:R, 3, FALSE), ""))</f>
        <v/>
      </c>
      <c r="D939" s="5">
        <f>IF(B939="","",IFERROR(VLOOKUP(B939, PLANTA_BASE!A:R, 5, FALSE), "NO ENCONTRADO EN PLANTA"))</f>
        <v/>
      </c>
      <c r="E939" s="5">
        <f>IF(B939="","",IFERROR(VLOOKUP(B939, PLANTA_BASE!A:R, 6, FALSE), "NO ENCONTRADO EN PLANTA"))</f>
        <v/>
      </c>
      <c r="F939" s="7">
        <f>IF(B939="","",IFERROR(VLOOKUP(B939, PLANTA_BASE!A:R, 8, FALSE), "DOCENTE / FACILITADOR"))</f>
        <v/>
      </c>
      <c r="G939" s="7">
        <f>IF(B939="","",IFERROR(VLOOKUP(B939, PLANTA_BASE!A:R, 9, FALSE), "GENERAL"))</f>
        <v/>
      </c>
      <c r="H939" s="5">
        <f>IF(B939="","",IFERROR(VLOOKUP(B939, PLANTA_BASE!A:R, 17, FALSE), "GENERAL"))</f>
        <v/>
      </c>
    </row>
    <row r="940" ht="20" customHeight="1">
      <c r="A940" s="2">
        <f>IF(B940="","",IFERROR(VLOOKUP(B940, PLANTA_BASE!A:R, 2, FALSE), "NO ENCONTRADO EN PLANTA"))</f>
        <v/>
      </c>
      <c r="B940" s="3" t="inlineStr"/>
      <c r="C940" s="4">
        <f>IF(B940="","",IFERROR(VLOOKUP(B940, PLANTA_BASE!A:R, 3, FALSE), ""))</f>
        <v/>
      </c>
      <c r="D940" s="2">
        <f>IF(B940="","",IFERROR(VLOOKUP(B940, PLANTA_BASE!A:R, 5, FALSE), "NO ENCONTRADO EN PLANTA"))</f>
        <v/>
      </c>
      <c r="E940" s="2">
        <f>IF(B940="","",IFERROR(VLOOKUP(B940, PLANTA_BASE!A:R, 6, FALSE), "NO ENCONTRADO EN PLANTA"))</f>
        <v/>
      </c>
      <c r="F940" s="4">
        <f>IF(B940="","",IFERROR(VLOOKUP(B940, PLANTA_BASE!A:R, 8, FALSE), "DOCENTE / FACILITADOR"))</f>
        <v/>
      </c>
      <c r="G940" s="4">
        <f>IF(B940="","",IFERROR(VLOOKUP(B940, PLANTA_BASE!A:R, 9, FALSE), "GENERAL"))</f>
        <v/>
      </c>
      <c r="H940" s="2">
        <f>IF(B940="","",IFERROR(VLOOKUP(B940, PLANTA_BASE!A:R, 17, FALSE), "GENERAL"))</f>
        <v/>
      </c>
    </row>
    <row r="941" ht="20" customHeight="1">
      <c r="A941" s="5">
        <f>IF(B941="","",IFERROR(VLOOKUP(B941, PLANTA_BASE!A:R, 2, FALSE), "NO ENCONTRADO EN PLANTA"))</f>
        <v/>
      </c>
      <c r="B941" s="6" t="inlineStr"/>
      <c r="C941" s="7">
        <f>IF(B941="","",IFERROR(VLOOKUP(B941, PLANTA_BASE!A:R, 3, FALSE), ""))</f>
        <v/>
      </c>
      <c r="D941" s="5">
        <f>IF(B941="","",IFERROR(VLOOKUP(B941, PLANTA_BASE!A:R, 5, FALSE), "NO ENCONTRADO EN PLANTA"))</f>
        <v/>
      </c>
      <c r="E941" s="5">
        <f>IF(B941="","",IFERROR(VLOOKUP(B941, PLANTA_BASE!A:R, 6, FALSE), "NO ENCONTRADO EN PLANTA"))</f>
        <v/>
      </c>
      <c r="F941" s="7">
        <f>IF(B941="","",IFERROR(VLOOKUP(B941, PLANTA_BASE!A:R, 8, FALSE), "DOCENTE / FACILITADOR"))</f>
        <v/>
      </c>
      <c r="G941" s="7">
        <f>IF(B941="","",IFERROR(VLOOKUP(B941, PLANTA_BASE!A:R, 9, FALSE), "GENERAL"))</f>
        <v/>
      </c>
      <c r="H941" s="5">
        <f>IF(B941="","",IFERROR(VLOOKUP(B941, PLANTA_BASE!A:R, 17, FALSE), "GENERAL"))</f>
        <v/>
      </c>
    </row>
    <row r="942" ht="20" customHeight="1">
      <c r="A942" s="2">
        <f>IF(B942="","",IFERROR(VLOOKUP(B942, PLANTA_BASE!A:R, 2, FALSE), "NO ENCONTRADO EN PLANTA"))</f>
        <v/>
      </c>
      <c r="B942" s="3" t="inlineStr"/>
      <c r="C942" s="4">
        <f>IF(B942="","",IFERROR(VLOOKUP(B942, PLANTA_BASE!A:R, 3, FALSE), ""))</f>
        <v/>
      </c>
      <c r="D942" s="2">
        <f>IF(B942="","",IFERROR(VLOOKUP(B942, PLANTA_BASE!A:R, 5, FALSE), "NO ENCONTRADO EN PLANTA"))</f>
        <v/>
      </c>
      <c r="E942" s="2">
        <f>IF(B942="","",IFERROR(VLOOKUP(B942, PLANTA_BASE!A:R, 6, FALSE), "NO ENCONTRADO EN PLANTA"))</f>
        <v/>
      </c>
      <c r="F942" s="4">
        <f>IF(B942="","",IFERROR(VLOOKUP(B942, PLANTA_BASE!A:R, 8, FALSE), "DOCENTE / FACILITADOR"))</f>
        <v/>
      </c>
      <c r="G942" s="4">
        <f>IF(B942="","",IFERROR(VLOOKUP(B942, PLANTA_BASE!A:R, 9, FALSE), "GENERAL"))</f>
        <v/>
      </c>
      <c r="H942" s="2">
        <f>IF(B942="","",IFERROR(VLOOKUP(B942, PLANTA_BASE!A:R, 17, FALSE), "GENERAL"))</f>
        <v/>
      </c>
    </row>
    <row r="943" ht="20" customHeight="1">
      <c r="A943" s="5">
        <f>IF(B943="","",IFERROR(VLOOKUP(B943, PLANTA_BASE!A:R, 2, FALSE), "NO ENCONTRADO EN PLANTA"))</f>
        <v/>
      </c>
      <c r="B943" s="6" t="inlineStr"/>
      <c r="C943" s="7">
        <f>IF(B943="","",IFERROR(VLOOKUP(B943, PLANTA_BASE!A:R, 3, FALSE), ""))</f>
        <v/>
      </c>
      <c r="D943" s="5">
        <f>IF(B943="","",IFERROR(VLOOKUP(B943, PLANTA_BASE!A:R, 5, FALSE), "NO ENCONTRADO EN PLANTA"))</f>
        <v/>
      </c>
      <c r="E943" s="5">
        <f>IF(B943="","",IFERROR(VLOOKUP(B943, PLANTA_BASE!A:R, 6, FALSE), "NO ENCONTRADO EN PLANTA"))</f>
        <v/>
      </c>
      <c r="F943" s="7">
        <f>IF(B943="","",IFERROR(VLOOKUP(B943, PLANTA_BASE!A:R, 8, FALSE), "DOCENTE / FACILITADOR"))</f>
        <v/>
      </c>
      <c r="G943" s="7">
        <f>IF(B943="","",IFERROR(VLOOKUP(B943, PLANTA_BASE!A:R, 9, FALSE), "GENERAL"))</f>
        <v/>
      </c>
      <c r="H943" s="5">
        <f>IF(B943="","",IFERROR(VLOOKUP(B943, PLANTA_BASE!A:R, 17, FALSE), "GENERAL"))</f>
        <v/>
      </c>
    </row>
    <row r="944" ht="20" customHeight="1">
      <c r="A944" s="2">
        <f>IF(B944="","",IFERROR(VLOOKUP(B944, PLANTA_BASE!A:R, 2, FALSE), "NO ENCONTRADO EN PLANTA"))</f>
        <v/>
      </c>
      <c r="B944" s="3" t="inlineStr"/>
      <c r="C944" s="4">
        <f>IF(B944="","",IFERROR(VLOOKUP(B944, PLANTA_BASE!A:R, 3, FALSE), ""))</f>
        <v/>
      </c>
      <c r="D944" s="2">
        <f>IF(B944="","",IFERROR(VLOOKUP(B944, PLANTA_BASE!A:R, 5, FALSE), "NO ENCONTRADO EN PLANTA"))</f>
        <v/>
      </c>
      <c r="E944" s="2">
        <f>IF(B944="","",IFERROR(VLOOKUP(B944, PLANTA_BASE!A:R, 6, FALSE), "NO ENCONTRADO EN PLANTA"))</f>
        <v/>
      </c>
      <c r="F944" s="4">
        <f>IF(B944="","",IFERROR(VLOOKUP(B944, PLANTA_BASE!A:R, 8, FALSE), "DOCENTE / FACILITADOR"))</f>
        <v/>
      </c>
      <c r="G944" s="4">
        <f>IF(B944="","",IFERROR(VLOOKUP(B944, PLANTA_BASE!A:R, 9, FALSE), "GENERAL"))</f>
        <v/>
      </c>
      <c r="H944" s="2">
        <f>IF(B944="","",IFERROR(VLOOKUP(B944, PLANTA_BASE!A:R, 17, FALSE), "GENERAL"))</f>
        <v/>
      </c>
    </row>
    <row r="945" ht="20" customHeight="1">
      <c r="A945" s="5">
        <f>IF(B945="","",IFERROR(VLOOKUP(B945, PLANTA_BASE!A:R, 2, FALSE), "NO ENCONTRADO EN PLANTA"))</f>
        <v/>
      </c>
      <c r="B945" s="6" t="inlineStr"/>
      <c r="C945" s="7">
        <f>IF(B945="","",IFERROR(VLOOKUP(B945, PLANTA_BASE!A:R, 3, FALSE), ""))</f>
        <v/>
      </c>
      <c r="D945" s="5">
        <f>IF(B945="","",IFERROR(VLOOKUP(B945, PLANTA_BASE!A:R, 5, FALSE), "NO ENCONTRADO EN PLANTA"))</f>
        <v/>
      </c>
      <c r="E945" s="5">
        <f>IF(B945="","",IFERROR(VLOOKUP(B945, PLANTA_BASE!A:R, 6, FALSE), "NO ENCONTRADO EN PLANTA"))</f>
        <v/>
      </c>
      <c r="F945" s="7">
        <f>IF(B945="","",IFERROR(VLOOKUP(B945, PLANTA_BASE!A:R, 8, FALSE), "DOCENTE / FACILITADOR"))</f>
        <v/>
      </c>
      <c r="G945" s="7">
        <f>IF(B945="","",IFERROR(VLOOKUP(B945, PLANTA_BASE!A:R, 9, FALSE), "GENERAL"))</f>
        <v/>
      </c>
      <c r="H945" s="5">
        <f>IF(B945="","",IFERROR(VLOOKUP(B945, PLANTA_BASE!A:R, 17, FALSE), "GENERAL"))</f>
        <v/>
      </c>
    </row>
    <row r="946" ht="20" customHeight="1">
      <c r="A946" s="2">
        <f>IF(B946="","",IFERROR(VLOOKUP(B946, PLANTA_BASE!A:R, 2, FALSE), "NO ENCONTRADO EN PLANTA"))</f>
        <v/>
      </c>
      <c r="B946" s="3" t="inlineStr"/>
      <c r="C946" s="4">
        <f>IF(B946="","",IFERROR(VLOOKUP(B946, PLANTA_BASE!A:R, 3, FALSE), ""))</f>
        <v/>
      </c>
      <c r="D946" s="2">
        <f>IF(B946="","",IFERROR(VLOOKUP(B946, PLANTA_BASE!A:R, 5, FALSE), "NO ENCONTRADO EN PLANTA"))</f>
        <v/>
      </c>
      <c r="E946" s="2">
        <f>IF(B946="","",IFERROR(VLOOKUP(B946, PLANTA_BASE!A:R, 6, FALSE), "NO ENCONTRADO EN PLANTA"))</f>
        <v/>
      </c>
      <c r="F946" s="4">
        <f>IF(B946="","",IFERROR(VLOOKUP(B946, PLANTA_BASE!A:R, 8, FALSE), "DOCENTE / FACILITADOR"))</f>
        <v/>
      </c>
      <c r="G946" s="4">
        <f>IF(B946="","",IFERROR(VLOOKUP(B946, PLANTA_BASE!A:R, 9, FALSE), "GENERAL"))</f>
        <v/>
      </c>
      <c r="H946" s="2">
        <f>IF(B946="","",IFERROR(VLOOKUP(B946, PLANTA_BASE!A:R, 17, FALSE), "GENERAL"))</f>
        <v/>
      </c>
    </row>
    <row r="947" ht="20" customHeight="1">
      <c r="A947" s="5">
        <f>IF(B947="","",IFERROR(VLOOKUP(B947, PLANTA_BASE!A:R, 2, FALSE), "NO ENCONTRADO EN PLANTA"))</f>
        <v/>
      </c>
      <c r="B947" s="6" t="inlineStr"/>
      <c r="C947" s="7">
        <f>IF(B947="","",IFERROR(VLOOKUP(B947, PLANTA_BASE!A:R, 3, FALSE), ""))</f>
        <v/>
      </c>
      <c r="D947" s="5">
        <f>IF(B947="","",IFERROR(VLOOKUP(B947, PLANTA_BASE!A:R, 5, FALSE), "NO ENCONTRADO EN PLANTA"))</f>
        <v/>
      </c>
      <c r="E947" s="5">
        <f>IF(B947="","",IFERROR(VLOOKUP(B947, PLANTA_BASE!A:R, 6, FALSE), "NO ENCONTRADO EN PLANTA"))</f>
        <v/>
      </c>
      <c r="F947" s="7">
        <f>IF(B947="","",IFERROR(VLOOKUP(B947, PLANTA_BASE!A:R, 8, FALSE), "DOCENTE / FACILITADOR"))</f>
        <v/>
      </c>
      <c r="G947" s="7">
        <f>IF(B947="","",IFERROR(VLOOKUP(B947, PLANTA_BASE!A:R, 9, FALSE), "GENERAL"))</f>
        <v/>
      </c>
      <c r="H947" s="5">
        <f>IF(B947="","",IFERROR(VLOOKUP(B947, PLANTA_BASE!A:R, 17, FALSE), "GENERAL"))</f>
        <v/>
      </c>
    </row>
    <row r="948" ht="20" customHeight="1">
      <c r="A948" s="2">
        <f>IF(B948="","",IFERROR(VLOOKUP(B948, PLANTA_BASE!A:R, 2, FALSE), "NO ENCONTRADO EN PLANTA"))</f>
        <v/>
      </c>
      <c r="B948" s="3" t="inlineStr"/>
      <c r="C948" s="4">
        <f>IF(B948="","",IFERROR(VLOOKUP(B948, PLANTA_BASE!A:R, 3, FALSE), ""))</f>
        <v/>
      </c>
      <c r="D948" s="2">
        <f>IF(B948="","",IFERROR(VLOOKUP(B948, PLANTA_BASE!A:R, 5, FALSE), "NO ENCONTRADO EN PLANTA"))</f>
        <v/>
      </c>
      <c r="E948" s="2">
        <f>IF(B948="","",IFERROR(VLOOKUP(B948, PLANTA_BASE!A:R, 6, FALSE), "NO ENCONTRADO EN PLANTA"))</f>
        <v/>
      </c>
      <c r="F948" s="4">
        <f>IF(B948="","",IFERROR(VLOOKUP(B948, PLANTA_BASE!A:R, 8, FALSE), "DOCENTE / FACILITADOR"))</f>
        <v/>
      </c>
      <c r="G948" s="4">
        <f>IF(B948="","",IFERROR(VLOOKUP(B948, PLANTA_BASE!A:R, 9, FALSE), "GENERAL"))</f>
        <v/>
      </c>
      <c r="H948" s="2">
        <f>IF(B948="","",IFERROR(VLOOKUP(B948, PLANTA_BASE!A:R, 17, FALSE), "GENERAL"))</f>
        <v/>
      </c>
    </row>
    <row r="949" ht="20" customHeight="1">
      <c r="A949" s="5">
        <f>IF(B949="","",IFERROR(VLOOKUP(B949, PLANTA_BASE!A:R, 2, FALSE), "NO ENCONTRADO EN PLANTA"))</f>
        <v/>
      </c>
      <c r="B949" s="6" t="inlineStr"/>
      <c r="C949" s="7">
        <f>IF(B949="","",IFERROR(VLOOKUP(B949, PLANTA_BASE!A:R, 3, FALSE), ""))</f>
        <v/>
      </c>
      <c r="D949" s="5">
        <f>IF(B949="","",IFERROR(VLOOKUP(B949, PLANTA_BASE!A:R, 5, FALSE), "NO ENCONTRADO EN PLANTA"))</f>
        <v/>
      </c>
      <c r="E949" s="5">
        <f>IF(B949="","",IFERROR(VLOOKUP(B949, PLANTA_BASE!A:R, 6, FALSE), "NO ENCONTRADO EN PLANTA"))</f>
        <v/>
      </c>
      <c r="F949" s="7">
        <f>IF(B949="","",IFERROR(VLOOKUP(B949, PLANTA_BASE!A:R, 8, FALSE), "DOCENTE / FACILITADOR"))</f>
        <v/>
      </c>
      <c r="G949" s="7">
        <f>IF(B949="","",IFERROR(VLOOKUP(B949, PLANTA_BASE!A:R, 9, FALSE), "GENERAL"))</f>
        <v/>
      </c>
      <c r="H949" s="5">
        <f>IF(B949="","",IFERROR(VLOOKUP(B949, PLANTA_BASE!A:R, 17, FALSE), "GENERAL"))</f>
        <v/>
      </c>
    </row>
    <row r="950" ht="20" customHeight="1">
      <c r="A950" s="2">
        <f>IF(B950="","",IFERROR(VLOOKUP(B950, PLANTA_BASE!A:R, 2, FALSE), "NO ENCONTRADO EN PLANTA"))</f>
        <v/>
      </c>
      <c r="B950" s="3" t="inlineStr"/>
      <c r="C950" s="4">
        <f>IF(B950="","",IFERROR(VLOOKUP(B950, PLANTA_BASE!A:R, 3, FALSE), ""))</f>
        <v/>
      </c>
      <c r="D950" s="2">
        <f>IF(B950="","",IFERROR(VLOOKUP(B950, PLANTA_BASE!A:R, 5, FALSE), "NO ENCONTRADO EN PLANTA"))</f>
        <v/>
      </c>
      <c r="E950" s="2">
        <f>IF(B950="","",IFERROR(VLOOKUP(B950, PLANTA_BASE!A:R, 6, FALSE), "NO ENCONTRADO EN PLANTA"))</f>
        <v/>
      </c>
      <c r="F950" s="4">
        <f>IF(B950="","",IFERROR(VLOOKUP(B950, PLANTA_BASE!A:R, 8, FALSE), "DOCENTE / FACILITADOR"))</f>
        <v/>
      </c>
      <c r="G950" s="4">
        <f>IF(B950="","",IFERROR(VLOOKUP(B950, PLANTA_BASE!A:R, 9, FALSE), "GENERAL"))</f>
        <v/>
      </c>
      <c r="H950" s="2">
        <f>IF(B950="","",IFERROR(VLOOKUP(B950, PLANTA_BASE!A:R, 17, FALSE), "GENERAL"))</f>
        <v/>
      </c>
    </row>
    <row r="951" ht="20" customHeight="1">
      <c r="A951" s="5">
        <f>IF(B951="","",IFERROR(VLOOKUP(B951, PLANTA_BASE!A:R, 2, FALSE), "NO ENCONTRADO EN PLANTA"))</f>
        <v/>
      </c>
      <c r="B951" s="6" t="inlineStr"/>
      <c r="C951" s="7">
        <f>IF(B951="","",IFERROR(VLOOKUP(B951, PLANTA_BASE!A:R, 3, FALSE), ""))</f>
        <v/>
      </c>
      <c r="D951" s="5">
        <f>IF(B951="","",IFERROR(VLOOKUP(B951, PLANTA_BASE!A:R, 5, FALSE), "NO ENCONTRADO EN PLANTA"))</f>
        <v/>
      </c>
      <c r="E951" s="5">
        <f>IF(B951="","",IFERROR(VLOOKUP(B951, PLANTA_BASE!A:R, 6, FALSE), "NO ENCONTRADO EN PLANTA"))</f>
        <v/>
      </c>
      <c r="F951" s="7">
        <f>IF(B951="","",IFERROR(VLOOKUP(B951, PLANTA_BASE!A:R, 8, FALSE), "DOCENTE / FACILITADOR"))</f>
        <v/>
      </c>
      <c r="G951" s="7">
        <f>IF(B951="","",IFERROR(VLOOKUP(B951, PLANTA_BASE!A:R, 9, FALSE), "GENERAL"))</f>
        <v/>
      </c>
      <c r="H951" s="5">
        <f>IF(B951="","",IFERROR(VLOOKUP(B951, PLANTA_BASE!A:R, 17, FALSE), "GENERAL"))</f>
        <v/>
      </c>
    </row>
    <row r="952" ht="20" customHeight="1">
      <c r="A952" s="2">
        <f>IF(B952="","",IFERROR(VLOOKUP(B952, PLANTA_BASE!A:R, 2, FALSE), "NO ENCONTRADO EN PLANTA"))</f>
        <v/>
      </c>
      <c r="B952" s="3" t="inlineStr"/>
      <c r="C952" s="4">
        <f>IF(B952="","",IFERROR(VLOOKUP(B952, PLANTA_BASE!A:R, 3, FALSE), ""))</f>
        <v/>
      </c>
      <c r="D952" s="2">
        <f>IF(B952="","",IFERROR(VLOOKUP(B952, PLANTA_BASE!A:R, 5, FALSE), "NO ENCONTRADO EN PLANTA"))</f>
        <v/>
      </c>
      <c r="E952" s="2">
        <f>IF(B952="","",IFERROR(VLOOKUP(B952, PLANTA_BASE!A:R, 6, FALSE), "NO ENCONTRADO EN PLANTA"))</f>
        <v/>
      </c>
      <c r="F952" s="4">
        <f>IF(B952="","",IFERROR(VLOOKUP(B952, PLANTA_BASE!A:R, 8, FALSE), "DOCENTE / FACILITADOR"))</f>
        <v/>
      </c>
      <c r="G952" s="4">
        <f>IF(B952="","",IFERROR(VLOOKUP(B952, PLANTA_BASE!A:R, 9, FALSE), "GENERAL"))</f>
        <v/>
      </c>
      <c r="H952" s="2">
        <f>IF(B952="","",IFERROR(VLOOKUP(B952, PLANTA_BASE!A:R, 17, FALSE), "GENERAL"))</f>
        <v/>
      </c>
    </row>
    <row r="953" ht="20" customHeight="1">
      <c r="A953" s="5">
        <f>IF(B953="","",IFERROR(VLOOKUP(B953, PLANTA_BASE!A:R, 2, FALSE), "NO ENCONTRADO EN PLANTA"))</f>
        <v/>
      </c>
      <c r="B953" s="6" t="inlineStr"/>
      <c r="C953" s="7">
        <f>IF(B953="","",IFERROR(VLOOKUP(B953, PLANTA_BASE!A:R, 3, FALSE), ""))</f>
        <v/>
      </c>
      <c r="D953" s="5">
        <f>IF(B953="","",IFERROR(VLOOKUP(B953, PLANTA_BASE!A:R, 5, FALSE), "NO ENCONTRADO EN PLANTA"))</f>
        <v/>
      </c>
      <c r="E953" s="5">
        <f>IF(B953="","",IFERROR(VLOOKUP(B953, PLANTA_BASE!A:R, 6, FALSE), "NO ENCONTRADO EN PLANTA"))</f>
        <v/>
      </c>
      <c r="F953" s="7">
        <f>IF(B953="","",IFERROR(VLOOKUP(B953, PLANTA_BASE!A:R, 8, FALSE), "DOCENTE / FACILITADOR"))</f>
        <v/>
      </c>
      <c r="G953" s="7">
        <f>IF(B953="","",IFERROR(VLOOKUP(B953, PLANTA_BASE!A:R, 9, FALSE), "GENERAL"))</f>
        <v/>
      </c>
      <c r="H953" s="5">
        <f>IF(B953="","",IFERROR(VLOOKUP(B953, PLANTA_BASE!A:R, 17, FALSE), "GENERAL"))</f>
        <v/>
      </c>
    </row>
    <row r="954" ht="20" customHeight="1">
      <c r="A954" s="2">
        <f>IF(B954="","",IFERROR(VLOOKUP(B954, PLANTA_BASE!A:R, 2, FALSE), "NO ENCONTRADO EN PLANTA"))</f>
        <v/>
      </c>
      <c r="B954" s="3" t="inlineStr"/>
      <c r="C954" s="4">
        <f>IF(B954="","",IFERROR(VLOOKUP(B954, PLANTA_BASE!A:R, 3, FALSE), ""))</f>
        <v/>
      </c>
      <c r="D954" s="2">
        <f>IF(B954="","",IFERROR(VLOOKUP(B954, PLANTA_BASE!A:R, 5, FALSE), "NO ENCONTRADO EN PLANTA"))</f>
        <v/>
      </c>
      <c r="E954" s="2">
        <f>IF(B954="","",IFERROR(VLOOKUP(B954, PLANTA_BASE!A:R, 6, FALSE), "NO ENCONTRADO EN PLANTA"))</f>
        <v/>
      </c>
      <c r="F954" s="4">
        <f>IF(B954="","",IFERROR(VLOOKUP(B954, PLANTA_BASE!A:R, 8, FALSE), "DOCENTE / FACILITADOR"))</f>
        <v/>
      </c>
      <c r="G954" s="4">
        <f>IF(B954="","",IFERROR(VLOOKUP(B954, PLANTA_BASE!A:R, 9, FALSE), "GENERAL"))</f>
        <v/>
      </c>
      <c r="H954" s="2">
        <f>IF(B954="","",IFERROR(VLOOKUP(B954, PLANTA_BASE!A:R, 17, FALSE), "GENERAL"))</f>
        <v/>
      </c>
    </row>
    <row r="955" ht="20" customHeight="1">
      <c r="A955" s="5">
        <f>IF(B955="","",IFERROR(VLOOKUP(B955, PLANTA_BASE!A:R, 2, FALSE), "NO ENCONTRADO EN PLANTA"))</f>
        <v/>
      </c>
      <c r="B955" s="6" t="inlineStr"/>
      <c r="C955" s="7">
        <f>IF(B955="","",IFERROR(VLOOKUP(B955, PLANTA_BASE!A:R, 3, FALSE), ""))</f>
        <v/>
      </c>
      <c r="D955" s="5">
        <f>IF(B955="","",IFERROR(VLOOKUP(B955, PLANTA_BASE!A:R, 5, FALSE), "NO ENCONTRADO EN PLANTA"))</f>
        <v/>
      </c>
      <c r="E955" s="5">
        <f>IF(B955="","",IFERROR(VLOOKUP(B955, PLANTA_BASE!A:R, 6, FALSE), "NO ENCONTRADO EN PLANTA"))</f>
        <v/>
      </c>
      <c r="F955" s="7">
        <f>IF(B955="","",IFERROR(VLOOKUP(B955, PLANTA_BASE!A:R, 8, FALSE), "DOCENTE / FACILITADOR"))</f>
        <v/>
      </c>
      <c r="G955" s="7">
        <f>IF(B955="","",IFERROR(VLOOKUP(B955, PLANTA_BASE!A:R, 9, FALSE), "GENERAL"))</f>
        <v/>
      </c>
      <c r="H955" s="5">
        <f>IF(B955="","",IFERROR(VLOOKUP(B955, PLANTA_BASE!A:R, 17, FALSE), "GENERAL"))</f>
        <v/>
      </c>
    </row>
    <row r="956" ht="20" customHeight="1">
      <c r="A956" s="2">
        <f>IF(B956="","",IFERROR(VLOOKUP(B956, PLANTA_BASE!A:R, 2, FALSE), "NO ENCONTRADO EN PLANTA"))</f>
        <v/>
      </c>
      <c r="B956" s="3" t="inlineStr"/>
      <c r="C956" s="4">
        <f>IF(B956="","",IFERROR(VLOOKUP(B956, PLANTA_BASE!A:R, 3, FALSE), ""))</f>
        <v/>
      </c>
      <c r="D956" s="2">
        <f>IF(B956="","",IFERROR(VLOOKUP(B956, PLANTA_BASE!A:R, 5, FALSE), "NO ENCONTRADO EN PLANTA"))</f>
        <v/>
      </c>
      <c r="E956" s="2">
        <f>IF(B956="","",IFERROR(VLOOKUP(B956, PLANTA_BASE!A:R, 6, FALSE), "NO ENCONTRADO EN PLANTA"))</f>
        <v/>
      </c>
      <c r="F956" s="4">
        <f>IF(B956="","",IFERROR(VLOOKUP(B956, PLANTA_BASE!A:R, 8, FALSE), "DOCENTE / FACILITADOR"))</f>
        <v/>
      </c>
      <c r="G956" s="4">
        <f>IF(B956="","",IFERROR(VLOOKUP(B956, PLANTA_BASE!A:R, 9, FALSE), "GENERAL"))</f>
        <v/>
      </c>
      <c r="H956" s="2">
        <f>IF(B956="","",IFERROR(VLOOKUP(B956, PLANTA_BASE!A:R, 17, FALSE), "GENERAL"))</f>
        <v/>
      </c>
    </row>
    <row r="957" ht="20" customHeight="1">
      <c r="A957" s="5">
        <f>IF(B957="","",IFERROR(VLOOKUP(B957, PLANTA_BASE!A:R, 2, FALSE), "NO ENCONTRADO EN PLANTA"))</f>
        <v/>
      </c>
      <c r="B957" s="6" t="inlineStr"/>
      <c r="C957" s="7">
        <f>IF(B957="","",IFERROR(VLOOKUP(B957, PLANTA_BASE!A:R, 3, FALSE), ""))</f>
        <v/>
      </c>
      <c r="D957" s="5">
        <f>IF(B957="","",IFERROR(VLOOKUP(B957, PLANTA_BASE!A:R, 5, FALSE), "NO ENCONTRADO EN PLANTA"))</f>
        <v/>
      </c>
      <c r="E957" s="5">
        <f>IF(B957="","",IFERROR(VLOOKUP(B957, PLANTA_BASE!A:R, 6, FALSE), "NO ENCONTRADO EN PLANTA"))</f>
        <v/>
      </c>
      <c r="F957" s="7">
        <f>IF(B957="","",IFERROR(VLOOKUP(B957, PLANTA_BASE!A:R, 8, FALSE), "DOCENTE / FACILITADOR"))</f>
        <v/>
      </c>
      <c r="G957" s="7">
        <f>IF(B957="","",IFERROR(VLOOKUP(B957, PLANTA_BASE!A:R, 9, FALSE), "GENERAL"))</f>
        <v/>
      </c>
      <c r="H957" s="5">
        <f>IF(B957="","",IFERROR(VLOOKUP(B957, PLANTA_BASE!A:R, 17, FALSE), "GENERAL"))</f>
        <v/>
      </c>
    </row>
    <row r="958" ht="20" customHeight="1">
      <c r="A958" s="2">
        <f>IF(B958="","",IFERROR(VLOOKUP(B958, PLANTA_BASE!A:R, 2, FALSE), "NO ENCONTRADO EN PLANTA"))</f>
        <v/>
      </c>
      <c r="B958" s="3" t="inlineStr"/>
      <c r="C958" s="4">
        <f>IF(B958="","",IFERROR(VLOOKUP(B958, PLANTA_BASE!A:R, 3, FALSE), ""))</f>
        <v/>
      </c>
      <c r="D958" s="2">
        <f>IF(B958="","",IFERROR(VLOOKUP(B958, PLANTA_BASE!A:R, 5, FALSE), "NO ENCONTRADO EN PLANTA"))</f>
        <v/>
      </c>
      <c r="E958" s="2">
        <f>IF(B958="","",IFERROR(VLOOKUP(B958, PLANTA_BASE!A:R, 6, FALSE), "NO ENCONTRADO EN PLANTA"))</f>
        <v/>
      </c>
      <c r="F958" s="4">
        <f>IF(B958="","",IFERROR(VLOOKUP(B958, PLANTA_BASE!A:R, 8, FALSE), "DOCENTE / FACILITADOR"))</f>
        <v/>
      </c>
      <c r="G958" s="4">
        <f>IF(B958="","",IFERROR(VLOOKUP(B958, PLANTA_BASE!A:R, 9, FALSE), "GENERAL"))</f>
        <v/>
      </c>
      <c r="H958" s="2">
        <f>IF(B958="","",IFERROR(VLOOKUP(B958, PLANTA_BASE!A:R, 17, FALSE), "GENERAL"))</f>
        <v/>
      </c>
    </row>
    <row r="959" ht="20" customHeight="1">
      <c r="A959" s="5">
        <f>IF(B959="","",IFERROR(VLOOKUP(B959, PLANTA_BASE!A:R, 2, FALSE), "NO ENCONTRADO EN PLANTA"))</f>
        <v/>
      </c>
      <c r="B959" s="6" t="inlineStr"/>
      <c r="C959" s="7">
        <f>IF(B959="","",IFERROR(VLOOKUP(B959, PLANTA_BASE!A:R, 3, FALSE), ""))</f>
        <v/>
      </c>
      <c r="D959" s="5">
        <f>IF(B959="","",IFERROR(VLOOKUP(B959, PLANTA_BASE!A:R, 5, FALSE), "NO ENCONTRADO EN PLANTA"))</f>
        <v/>
      </c>
      <c r="E959" s="5">
        <f>IF(B959="","",IFERROR(VLOOKUP(B959, PLANTA_BASE!A:R, 6, FALSE), "NO ENCONTRADO EN PLANTA"))</f>
        <v/>
      </c>
      <c r="F959" s="7">
        <f>IF(B959="","",IFERROR(VLOOKUP(B959, PLANTA_BASE!A:R, 8, FALSE), "DOCENTE / FACILITADOR"))</f>
        <v/>
      </c>
      <c r="G959" s="7">
        <f>IF(B959="","",IFERROR(VLOOKUP(B959, PLANTA_BASE!A:R, 9, FALSE), "GENERAL"))</f>
        <v/>
      </c>
      <c r="H959" s="5">
        <f>IF(B959="","",IFERROR(VLOOKUP(B959, PLANTA_BASE!A:R, 17, FALSE), "GENERAL"))</f>
        <v/>
      </c>
    </row>
    <row r="960" ht="20" customHeight="1">
      <c r="A960" s="2">
        <f>IF(B960="","",IFERROR(VLOOKUP(B960, PLANTA_BASE!A:R, 2, FALSE), "NO ENCONTRADO EN PLANTA"))</f>
        <v/>
      </c>
      <c r="B960" s="3" t="inlineStr"/>
      <c r="C960" s="4">
        <f>IF(B960="","",IFERROR(VLOOKUP(B960, PLANTA_BASE!A:R, 3, FALSE), ""))</f>
        <v/>
      </c>
      <c r="D960" s="2">
        <f>IF(B960="","",IFERROR(VLOOKUP(B960, PLANTA_BASE!A:R, 5, FALSE), "NO ENCONTRADO EN PLANTA"))</f>
        <v/>
      </c>
      <c r="E960" s="2">
        <f>IF(B960="","",IFERROR(VLOOKUP(B960, PLANTA_BASE!A:R, 6, FALSE), "NO ENCONTRADO EN PLANTA"))</f>
        <v/>
      </c>
      <c r="F960" s="4">
        <f>IF(B960="","",IFERROR(VLOOKUP(B960, PLANTA_BASE!A:R, 8, FALSE), "DOCENTE / FACILITADOR"))</f>
        <v/>
      </c>
      <c r="G960" s="4">
        <f>IF(B960="","",IFERROR(VLOOKUP(B960, PLANTA_BASE!A:R, 9, FALSE), "GENERAL"))</f>
        <v/>
      </c>
      <c r="H960" s="2">
        <f>IF(B960="","",IFERROR(VLOOKUP(B960, PLANTA_BASE!A:R, 17, FALSE), "GENERAL"))</f>
        <v/>
      </c>
    </row>
    <row r="961" ht="20" customHeight="1">
      <c r="A961" s="5">
        <f>IF(B961="","",IFERROR(VLOOKUP(B961, PLANTA_BASE!A:R, 2, FALSE), "NO ENCONTRADO EN PLANTA"))</f>
        <v/>
      </c>
      <c r="B961" s="6" t="inlineStr"/>
      <c r="C961" s="7">
        <f>IF(B961="","",IFERROR(VLOOKUP(B961, PLANTA_BASE!A:R, 3, FALSE), ""))</f>
        <v/>
      </c>
      <c r="D961" s="5">
        <f>IF(B961="","",IFERROR(VLOOKUP(B961, PLANTA_BASE!A:R, 5, FALSE), "NO ENCONTRADO EN PLANTA"))</f>
        <v/>
      </c>
      <c r="E961" s="5">
        <f>IF(B961="","",IFERROR(VLOOKUP(B961, PLANTA_BASE!A:R, 6, FALSE), "NO ENCONTRADO EN PLANTA"))</f>
        <v/>
      </c>
      <c r="F961" s="7">
        <f>IF(B961="","",IFERROR(VLOOKUP(B961, PLANTA_BASE!A:R, 8, FALSE), "DOCENTE / FACILITADOR"))</f>
        <v/>
      </c>
      <c r="G961" s="7">
        <f>IF(B961="","",IFERROR(VLOOKUP(B961, PLANTA_BASE!A:R, 9, FALSE), "GENERAL"))</f>
        <v/>
      </c>
      <c r="H961" s="5">
        <f>IF(B961="","",IFERROR(VLOOKUP(B961, PLANTA_BASE!A:R, 17, FALSE), "GENERAL"))</f>
        <v/>
      </c>
    </row>
    <row r="962" ht="20" customHeight="1">
      <c r="A962" s="2">
        <f>IF(B962="","",IFERROR(VLOOKUP(B962, PLANTA_BASE!A:R, 2, FALSE), "NO ENCONTRADO EN PLANTA"))</f>
        <v/>
      </c>
      <c r="B962" s="3" t="inlineStr"/>
      <c r="C962" s="4">
        <f>IF(B962="","",IFERROR(VLOOKUP(B962, PLANTA_BASE!A:R, 3, FALSE), ""))</f>
        <v/>
      </c>
      <c r="D962" s="2">
        <f>IF(B962="","",IFERROR(VLOOKUP(B962, PLANTA_BASE!A:R, 5, FALSE), "NO ENCONTRADO EN PLANTA"))</f>
        <v/>
      </c>
      <c r="E962" s="2">
        <f>IF(B962="","",IFERROR(VLOOKUP(B962, PLANTA_BASE!A:R, 6, FALSE), "NO ENCONTRADO EN PLANTA"))</f>
        <v/>
      </c>
      <c r="F962" s="4">
        <f>IF(B962="","",IFERROR(VLOOKUP(B962, PLANTA_BASE!A:R, 8, FALSE), "DOCENTE / FACILITADOR"))</f>
        <v/>
      </c>
      <c r="G962" s="4">
        <f>IF(B962="","",IFERROR(VLOOKUP(B962, PLANTA_BASE!A:R, 9, FALSE), "GENERAL"))</f>
        <v/>
      </c>
      <c r="H962" s="2">
        <f>IF(B962="","",IFERROR(VLOOKUP(B962, PLANTA_BASE!A:R, 17, FALSE), "GENERAL"))</f>
        <v/>
      </c>
    </row>
    <row r="963" ht="20" customHeight="1">
      <c r="A963" s="5">
        <f>IF(B963="","",IFERROR(VLOOKUP(B963, PLANTA_BASE!A:R, 2, FALSE), "NO ENCONTRADO EN PLANTA"))</f>
        <v/>
      </c>
      <c r="B963" s="6" t="inlineStr"/>
      <c r="C963" s="7">
        <f>IF(B963="","",IFERROR(VLOOKUP(B963, PLANTA_BASE!A:R, 3, FALSE), ""))</f>
        <v/>
      </c>
      <c r="D963" s="5">
        <f>IF(B963="","",IFERROR(VLOOKUP(B963, PLANTA_BASE!A:R, 5, FALSE), "NO ENCONTRADO EN PLANTA"))</f>
        <v/>
      </c>
      <c r="E963" s="5">
        <f>IF(B963="","",IFERROR(VLOOKUP(B963, PLANTA_BASE!A:R, 6, FALSE), "NO ENCONTRADO EN PLANTA"))</f>
        <v/>
      </c>
      <c r="F963" s="7">
        <f>IF(B963="","",IFERROR(VLOOKUP(B963, PLANTA_BASE!A:R, 8, FALSE), "DOCENTE / FACILITADOR"))</f>
        <v/>
      </c>
      <c r="G963" s="7">
        <f>IF(B963="","",IFERROR(VLOOKUP(B963, PLANTA_BASE!A:R, 9, FALSE), "GENERAL"))</f>
        <v/>
      </c>
      <c r="H963" s="5">
        <f>IF(B963="","",IFERROR(VLOOKUP(B963, PLANTA_BASE!A:R, 17, FALSE), "GENERAL"))</f>
        <v/>
      </c>
    </row>
    <row r="964" ht="20" customHeight="1">
      <c r="A964" s="2">
        <f>IF(B964="","",IFERROR(VLOOKUP(B964, PLANTA_BASE!A:R, 2, FALSE), "NO ENCONTRADO EN PLANTA"))</f>
        <v/>
      </c>
      <c r="B964" s="3" t="inlineStr"/>
      <c r="C964" s="4">
        <f>IF(B964="","",IFERROR(VLOOKUP(B964, PLANTA_BASE!A:R, 3, FALSE), ""))</f>
        <v/>
      </c>
      <c r="D964" s="2">
        <f>IF(B964="","",IFERROR(VLOOKUP(B964, PLANTA_BASE!A:R, 5, FALSE), "NO ENCONTRADO EN PLANTA"))</f>
        <v/>
      </c>
      <c r="E964" s="2">
        <f>IF(B964="","",IFERROR(VLOOKUP(B964, PLANTA_BASE!A:R, 6, FALSE), "NO ENCONTRADO EN PLANTA"))</f>
        <v/>
      </c>
      <c r="F964" s="4">
        <f>IF(B964="","",IFERROR(VLOOKUP(B964, PLANTA_BASE!A:R, 8, FALSE), "DOCENTE / FACILITADOR"))</f>
        <v/>
      </c>
      <c r="G964" s="4">
        <f>IF(B964="","",IFERROR(VLOOKUP(B964, PLANTA_BASE!A:R, 9, FALSE), "GENERAL"))</f>
        <v/>
      </c>
      <c r="H964" s="2">
        <f>IF(B964="","",IFERROR(VLOOKUP(B964, PLANTA_BASE!A:R, 17, FALSE), "GENERAL"))</f>
        <v/>
      </c>
    </row>
    <row r="965" ht="20" customHeight="1">
      <c r="A965" s="5">
        <f>IF(B965="","",IFERROR(VLOOKUP(B965, PLANTA_BASE!A:R, 2, FALSE), "NO ENCONTRADO EN PLANTA"))</f>
        <v/>
      </c>
      <c r="B965" s="6" t="inlineStr"/>
      <c r="C965" s="7">
        <f>IF(B965="","",IFERROR(VLOOKUP(B965, PLANTA_BASE!A:R, 3, FALSE), ""))</f>
        <v/>
      </c>
      <c r="D965" s="5">
        <f>IF(B965="","",IFERROR(VLOOKUP(B965, PLANTA_BASE!A:R, 5, FALSE), "NO ENCONTRADO EN PLANTA"))</f>
        <v/>
      </c>
      <c r="E965" s="5">
        <f>IF(B965="","",IFERROR(VLOOKUP(B965, PLANTA_BASE!A:R, 6, FALSE), "NO ENCONTRADO EN PLANTA"))</f>
        <v/>
      </c>
      <c r="F965" s="7">
        <f>IF(B965="","",IFERROR(VLOOKUP(B965, PLANTA_BASE!A:R, 8, FALSE), "DOCENTE / FACILITADOR"))</f>
        <v/>
      </c>
      <c r="G965" s="7">
        <f>IF(B965="","",IFERROR(VLOOKUP(B965, PLANTA_BASE!A:R, 9, FALSE), "GENERAL"))</f>
        <v/>
      </c>
      <c r="H965" s="5">
        <f>IF(B965="","",IFERROR(VLOOKUP(B965, PLANTA_BASE!A:R, 17, FALSE), "GENERAL"))</f>
        <v/>
      </c>
    </row>
    <row r="966" ht="20" customHeight="1">
      <c r="A966" s="2">
        <f>IF(B966="","",IFERROR(VLOOKUP(B966, PLANTA_BASE!A:R, 2, FALSE), "NO ENCONTRADO EN PLANTA"))</f>
        <v/>
      </c>
      <c r="B966" s="3" t="inlineStr"/>
      <c r="C966" s="4">
        <f>IF(B966="","",IFERROR(VLOOKUP(B966, PLANTA_BASE!A:R, 3, FALSE), ""))</f>
        <v/>
      </c>
      <c r="D966" s="2">
        <f>IF(B966="","",IFERROR(VLOOKUP(B966, PLANTA_BASE!A:R, 5, FALSE), "NO ENCONTRADO EN PLANTA"))</f>
        <v/>
      </c>
      <c r="E966" s="2">
        <f>IF(B966="","",IFERROR(VLOOKUP(B966, PLANTA_BASE!A:R, 6, FALSE), "NO ENCONTRADO EN PLANTA"))</f>
        <v/>
      </c>
      <c r="F966" s="4">
        <f>IF(B966="","",IFERROR(VLOOKUP(B966, PLANTA_BASE!A:R, 8, FALSE), "DOCENTE / FACILITADOR"))</f>
        <v/>
      </c>
      <c r="G966" s="4">
        <f>IF(B966="","",IFERROR(VLOOKUP(B966, PLANTA_BASE!A:R, 9, FALSE), "GENERAL"))</f>
        <v/>
      </c>
      <c r="H966" s="2">
        <f>IF(B966="","",IFERROR(VLOOKUP(B966, PLANTA_BASE!A:R, 17, FALSE), "GENERAL"))</f>
        <v/>
      </c>
    </row>
    <row r="967" ht="20" customHeight="1">
      <c r="A967" s="5">
        <f>IF(B967="","",IFERROR(VLOOKUP(B967, PLANTA_BASE!A:R, 2, FALSE), "NO ENCONTRADO EN PLANTA"))</f>
        <v/>
      </c>
      <c r="B967" s="6" t="inlineStr"/>
      <c r="C967" s="7">
        <f>IF(B967="","",IFERROR(VLOOKUP(B967, PLANTA_BASE!A:R, 3, FALSE), ""))</f>
        <v/>
      </c>
      <c r="D967" s="5">
        <f>IF(B967="","",IFERROR(VLOOKUP(B967, PLANTA_BASE!A:R, 5, FALSE), "NO ENCONTRADO EN PLANTA"))</f>
        <v/>
      </c>
      <c r="E967" s="5">
        <f>IF(B967="","",IFERROR(VLOOKUP(B967, PLANTA_BASE!A:R, 6, FALSE), "NO ENCONTRADO EN PLANTA"))</f>
        <v/>
      </c>
      <c r="F967" s="7">
        <f>IF(B967="","",IFERROR(VLOOKUP(B967, PLANTA_BASE!A:R, 8, FALSE), "DOCENTE / FACILITADOR"))</f>
        <v/>
      </c>
      <c r="G967" s="7">
        <f>IF(B967="","",IFERROR(VLOOKUP(B967, PLANTA_BASE!A:R, 9, FALSE), "GENERAL"))</f>
        <v/>
      </c>
      <c r="H967" s="5">
        <f>IF(B967="","",IFERROR(VLOOKUP(B967, PLANTA_BASE!A:R, 17, FALSE), "GENERAL"))</f>
        <v/>
      </c>
    </row>
    <row r="968" ht="20" customHeight="1">
      <c r="A968" s="2">
        <f>IF(B968="","",IFERROR(VLOOKUP(B968, PLANTA_BASE!A:R, 2, FALSE), "NO ENCONTRADO EN PLANTA"))</f>
        <v/>
      </c>
      <c r="B968" s="3" t="inlineStr"/>
      <c r="C968" s="4">
        <f>IF(B968="","",IFERROR(VLOOKUP(B968, PLANTA_BASE!A:R, 3, FALSE), ""))</f>
        <v/>
      </c>
      <c r="D968" s="2">
        <f>IF(B968="","",IFERROR(VLOOKUP(B968, PLANTA_BASE!A:R, 5, FALSE), "NO ENCONTRADO EN PLANTA"))</f>
        <v/>
      </c>
      <c r="E968" s="2">
        <f>IF(B968="","",IFERROR(VLOOKUP(B968, PLANTA_BASE!A:R, 6, FALSE), "NO ENCONTRADO EN PLANTA"))</f>
        <v/>
      </c>
      <c r="F968" s="4">
        <f>IF(B968="","",IFERROR(VLOOKUP(B968, PLANTA_BASE!A:R, 8, FALSE), "DOCENTE / FACILITADOR"))</f>
        <v/>
      </c>
      <c r="G968" s="4">
        <f>IF(B968="","",IFERROR(VLOOKUP(B968, PLANTA_BASE!A:R, 9, FALSE), "GENERAL"))</f>
        <v/>
      </c>
      <c r="H968" s="2">
        <f>IF(B968="","",IFERROR(VLOOKUP(B968, PLANTA_BASE!A:R, 17, FALSE), "GENERAL"))</f>
        <v/>
      </c>
    </row>
    <row r="969" ht="20" customHeight="1">
      <c r="A969" s="5">
        <f>IF(B969="","",IFERROR(VLOOKUP(B969, PLANTA_BASE!A:R, 2, FALSE), "NO ENCONTRADO EN PLANTA"))</f>
        <v/>
      </c>
      <c r="B969" s="6" t="inlineStr"/>
      <c r="C969" s="7">
        <f>IF(B969="","",IFERROR(VLOOKUP(B969, PLANTA_BASE!A:R, 3, FALSE), ""))</f>
        <v/>
      </c>
      <c r="D969" s="5">
        <f>IF(B969="","",IFERROR(VLOOKUP(B969, PLANTA_BASE!A:R, 5, FALSE), "NO ENCONTRADO EN PLANTA"))</f>
        <v/>
      </c>
      <c r="E969" s="5">
        <f>IF(B969="","",IFERROR(VLOOKUP(B969, PLANTA_BASE!A:R, 6, FALSE), "NO ENCONTRADO EN PLANTA"))</f>
        <v/>
      </c>
      <c r="F969" s="7">
        <f>IF(B969="","",IFERROR(VLOOKUP(B969, PLANTA_BASE!A:R, 8, FALSE), "DOCENTE / FACILITADOR"))</f>
        <v/>
      </c>
      <c r="G969" s="7">
        <f>IF(B969="","",IFERROR(VLOOKUP(B969, PLANTA_BASE!A:R, 9, FALSE), "GENERAL"))</f>
        <v/>
      </c>
      <c r="H969" s="5">
        <f>IF(B969="","",IFERROR(VLOOKUP(B969, PLANTA_BASE!A:R, 17, FALSE), "GENERAL"))</f>
        <v/>
      </c>
    </row>
    <row r="970" ht="20" customHeight="1">
      <c r="A970" s="2">
        <f>IF(B970="","",IFERROR(VLOOKUP(B970, PLANTA_BASE!A:R, 2, FALSE), "NO ENCONTRADO EN PLANTA"))</f>
        <v/>
      </c>
      <c r="B970" s="3" t="inlineStr"/>
      <c r="C970" s="4">
        <f>IF(B970="","",IFERROR(VLOOKUP(B970, PLANTA_BASE!A:R, 3, FALSE), ""))</f>
        <v/>
      </c>
      <c r="D970" s="2">
        <f>IF(B970="","",IFERROR(VLOOKUP(B970, PLANTA_BASE!A:R, 5, FALSE), "NO ENCONTRADO EN PLANTA"))</f>
        <v/>
      </c>
      <c r="E970" s="2">
        <f>IF(B970="","",IFERROR(VLOOKUP(B970, PLANTA_BASE!A:R, 6, FALSE), "NO ENCONTRADO EN PLANTA"))</f>
        <v/>
      </c>
      <c r="F970" s="4">
        <f>IF(B970="","",IFERROR(VLOOKUP(B970, PLANTA_BASE!A:R, 8, FALSE), "DOCENTE / FACILITADOR"))</f>
        <v/>
      </c>
      <c r="G970" s="4">
        <f>IF(B970="","",IFERROR(VLOOKUP(B970, PLANTA_BASE!A:R, 9, FALSE), "GENERAL"))</f>
        <v/>
      </c>
      <c r="H970" s="2">
        <f>IF(B970="","",IFERROR(VLOOKUP(B970, PLANTA_BASE!A:R, 17, FALSE), "GENERAL"))</f>
        <v/>
      </c>
    </row>
    <row r="971" ht="20" customHeight="1">
      <c r="A971" s="5">
        <f>IF(B971="","",IFERROR(VLOOKUP(B971, PLANTA_BASE!A:R, 2, FALSE), "NO ENCONTRADO EN PLANTA"))</f>
        <v/>
      </c>
      <c r="B971" s="6" t="inlineStr"/>
      <c r="C971" s="7">
        <f>IF(B971="","",IFERROR(VLOOKUP(B971, PLANTA_BASE!A:R, 3, FALSE), ""))</f>
        <v/>
      </c>
      <c r="D971" s="5">
        <f>IF(B971="","",IFERROR(VLOOKUP(B971, PLANTA_BASE!A:R, 5, FALSE), "NO ENCONTRADO EN PLANTA"))</f>
        <v/>
      </c>
      <c r="E971" s="5">
        <f>IF(B971="","",IFERROR(VLOOKUP(B971, PLANTA_BASE!A:R, 6, FALSE), "NO ENCONTRADO EN PLANTA"))</f>
        <v/>
      </c>
      <c r="F971" s="7">
        <f>IF(B971="","",IFERROR(VLOOKUP(B971, PLANTA_BASE!A:R, 8, FALSE), "DOCENTE / FACILITADOR"))</f>
        <v/>
      </c>
      <c r="G971" s="7">
        <f>IF(B971="","",IFERROR(VLOOKUP(B971, PLANTA_BASE!A:R, 9, FALSE), "GENERAL"))</f>
        <v/>
      </c>
      <c r="H971" s="5">
        <f>IF(B971="","",IFERROR(VLOOKUP(B971, PLANTA_BASE!A:R, 17, FALSE), "GENERAL"))</f>
        <v/>
      </c>
    </row>
    <row r="972" ht="20" customHeight="1">
      <c r="A972" s="2">
        <f>IF(B972="","",IFERROR(VLOOKUP(B972, PLANTA_BASE!A:R, 2, FALSE), "NO ENCONTRADO EN PLANTA"))</f>
        <v/>
      </c>
      <c r="B972" s="3" t="inlineStr"/>
      <c r="C972" s="4">
        <f>IF(B972="","",IFERROR(VLOOKUP(B972, PLANTA_BASE!A:R, 3, FALSE), ""))</f>
        <v/>
      </c>
      <c r="D972" s="2">
        <f>IF(B972="","",IFERROR(VLOOKUP(B972, PLANTA_BASE!A:R, 5, FALSE), "NO ENCONTRADO EN PLANTA"))</f>
        <v/>
      </c>
      <c r="E972" s="2">
        <f>IF(B972="","",IFERROR(VLOOKUP(B972, PLANTA_BASE!A:R, 6, FALSE), "NO ENCONTRADO EN PLANTA"))</f>
        <v/>
      </c>
      <c r="F972" s="4">
        <f>IF(B972="","",IFERROR(VLOOKUP(B972, PLANTA_BASE!A:R, 8, FALSE), "DOCENTE / FACILITADOR"))</f>
        <v/>
      </c>
      <c r="G972" s="4">
        <f>IF(B972="","",IFERROR(VLOOKUP(B972, PLANTA_BASE!A:R, 9, FALSE), "GENERAL"))</f>
        <v/>
      </c>
      <c r="H972" s="2">
        <f>IF(B972="","",IFERROR(VLOOKUP(B972, PLANTA_BASE!A:R, 17, FALSE), "GENERAL"))</f>
        <v/>
      </c>
    </row>
    <row r="973" ht="20" customHeight="1">
      <c r="A973" s="5">
        <f>IF(B973="","",IFERROR(VLOOKUP(B973, PLANTA_BASE!A:R, 2, FALSE), "NO ENCONTRADO EN PLANTA"))</f>
        <v/>
      </c>
      <c r="B973" s="6" t="inlineStr"/>
      <c r="C973" s="7">
        <f>IF(B973="","",IFERROR(VLOOKUP(B973, PLANTA_BASE!A:R, 3, FALSE), ""))</f>
        <v/>
      </c>
      <c r="D973" s="5">
        <f>IF(B973="","",IFERROR(VLOOKUP(B973, PLANTA_BASE!A:R, 5, FALSE), "NO ENCONTRADO EN PLANTA"))</f>
        <v/>
      </c>
      <c r="E973" s="5">
        <f>IF(B973="","",IFERROR(VLOOKUP(B973, PLANTA_BASE!A:R, 6, FALSE), "NO ENCONTRADO EN PLANTA"))</f>
        <v/>
      </c>
      <c r="F973" s="7">
        <f>IF(B973="","",IFERROR(VLOOKUP(B973, PLANTA_BASE!A:R, 8, FALSE), "DOCENTE / FACILITADOR"))</f>
        <v/>
      </c>
      <c r="G973" s="7">
        <f>IF(B973="","",IFERROR(VLOOKUP(B973, PLANTA_BASE!A:R, 9, FALSE), "GENERAL"))</f>
        <v/>
      </c>
      <c r="H973" s="5">
        <f>IF(B973="","",IFERROR(VLOOKUP(B973, PLANTA_BASE!A:R, 17, FALSE), "GENERAL"))</f>
        <v/>
      </c>
    </row>
    <row r="974" ht="20" customHeight="1">
      <c r="A974" s="2">
        <f>IF(B974="","",IFERROR(VLOOKUP(B974, PLANTA_BASE!A:R, 2, FALSE), "NO ENCONTRADO EN PLANTA"))</f>
        <v/>
      </c>
      <c r="B974" s="3" t="inlineStr"/>
      <c r="C974" s="4">
        <f>IF(B974="","",IFERROR(VLOOKUP(B974, PLANTA_BASE!A:R, 3, FALSE), ""))</f>
        <v/>
      </c>
      <c r="D974" s="2">
        <f>IF(B974="","",IFERROR(VLOOKUP(B974, PLANTA_BASE!A:R, 5, FALSE), "NO ENCONTRADO EN PLANTA"))</f>
        <v/>
      </c>
      <c r="E974" s="2">
        <f>IF(B974="","",IFERROR(VLOOKUP(B974, PLANTA_BASE!A:R, 6, FALSE), "NO ENCONTRADO EN PLANTA"))</f>
        <v/>
      </c>
      <c r="F974" s="4">
        <f>IF(B974="","",IFERROR(VLOOKUP(B974, PLANTA_BASE!A:R, 8, FALSE), "DOCENTE / FACILITADOR"))</f>
        <v/>
      </c>
      <c r="G974" s="4">
        <f>IF(B974="","",IFERROR(VLOOKUP(B974, PLANTA_BASE!A:R, 9, FALSE), "GENERAL"))</f>
        <v/>
      </c>
      <c r="H974" s="2">
        <f>IF(B974="","",IFERROR(VLOOKUP(B974, PLANTA_BASE!A:R, 17, FALSE), "GENERAL"))</f>
        <v/>
      </c>
    </row>
    <row r="975" ht="20" customHeight="1">
      <c r="A975" s="5">
        <f>IF(B975="","",IFERROR(VLOOKUP(B975, PLANTA_BASE!A:R, 2, FALSE), "NO ENCONTRADO EN PLANTA"))</f>
        <v/>
      </c>
      <c r="B975" s="6" t="inlineStr"/>
      <c r="C975" s="7">
        <f>IF(B975="","",IFERROR(VLOOKUP(B975, PLANTA_BASE!A:R, 3, FALSE), ""))</f>
        <v/>
      </c>
      <c r="D975" s="5">
        <f>IF(B975="","",IFERROR(VLOOKUP(B975, PLANTA_BASE!A:R, 5, FALSE), "NO ENCONTRADO EN PLANTA"))</f>
        <v/>
      </c>
      <c r="E975" s="5">
        <f>IF(B975="","",IFERROR(VLOOKUP(B975, PLANTA_BASE!A:R, 6, FALSE), "NO ENCONTRADO EN PLANTA"))</f>
        <v/>
      </c>
      <c r="F975" s="7">
        <f>IF(B975="","",IFERROR(VLOOKUP(B975, PLANTA_BASE!A:R, 8, FALSE), "DOCENTE / FACILITADOR"))</f>
        <v/>
      </c>
      <c r="G975" s="7">
        <f>IF(B975="","",IFERROR(VLOOKUP(B975, PLANTA_BASE!A:R, 9, FALSE), "GENERAL"))</f>
        <v/>
      </c>
      <c r="H975" s="5">
        <f>IF(B975="","",IFERROR(VLOOKUP(B975, PLANTA_BASE!A:R, 17, FALSE), "GENERAL"))</f>
        <v/>
      </c>
    </row>
    <row r="976" ht="20" customHeight="1">
      <c r="A976" s="2">
        <f>IF(B976="","",IFERROR(VLOOKUP(B976, PLANTA_BASE!A:R, 2, FALSE), "NO ENCONTRADO EN PLANTA"))</f>
        <v/>
      </c>
      <c r="B976" s="3" t="inlineStr"/>
      <c r="C976" s="4">
        <f>IF(B976="","",IFERROR(VLOOKUP(B976, PLANTA_BASE!A:R, 3, FALSE), ""))</f>
        <v/>
      </c>
      <c r="D976" s="2">
        <f>IF(B976="","",IFERROR(VLOOKUP(B976, PLANTA_BASE!A:R, 5, FALSE), "NO ENCONTRADO EN PLANTA"))</f>
        <v/>
      </c>
      <c r="E976" s="2">
        <f>IF(B976="","",IFERROR(VLOOKUP(B976, PLANTA_BASE!A:R, 6, FALSE), "NO ENCONTRADO EN PLANTA"))</f>
        <v/>
      </c>
      <c r="F976" s="4">
        <f>IF(B976="","",IFERROR(VLOOKUP(B976, PLANTA_BASE!A:R, 8, FALSE), "DOCENTE / FACILITADOR"))</f>
        <v/>
      </c>
      <c r="G976" s="4">
        <f>IF(B976="","",IFERROR(VLOOKUP(B976, PLANTA_BASE!A:R, 9, FALSE), "GENERAL"))</f>
        <v/>
      </c>
      <c r="H976" s="2">
        <f>IF(B976="","",IFERROR(VLOOKUP(B976, PLANTA_BASE!A:R, 17, FALSE), "GENERAL"))</f>
        <v/>
      </c>
    </row>
    <row r="977" ht="20" customHeight="1">
      <c r="A977" s="5">
        <f>IF(B977="","",IFERROR(VLOOKUP(B977, PLANTA_BASE!A:R, 2, FALSE), "NO ENCONTRADO EN PLANTA"))</f>
        <v/>
      </c>
      <c r="B977" s="6" t="inlineStr"/>
      <c r="C977" s="7">
        <f>IF(B977="","",IFERROR(VLOOKUP(B977, PLANTA_BASE!A:R, 3, FALSE), ""))</f>
        <v/>
      </c>
      <c r="D977" s="5">
        <f>IF(B977="","",IFERROR(VLOOKUP(B977, PLANTA_BASE!A:R, 5, FALSE), "NO ENCONTRADO EN PLANTA"))</f>
        <v/>
      </c>
      <c r="E977" s="5">
        <f>IF(B977="","",IFERROR(VLOOKUP(B977, PLANTA_BASE!A:R, 6, FALSE), "NO ENCONTRADO EN PLANTA"))</f>
        <v/>
      </c>
      <c r="F977" s="7">
        <f>IF(B977="","",IFERROR(VLOOKUP(B977, PLANTA_BASE!A:R, 8, FALSE), "DOCENTE / FACILITADOR"))</f>
        <v/>
      </c>
      <c r="G977" s="7">
        <f>IF(B977="","",IFERROR(VLOOKUP(B977, PLANTA_BASE!A:R, 9, FALSE), "GENERAL"))</f>
        <v/>
      </c>
      <c r="H977" s="5">
        <f>IF(B977="","",IFERROR(VLOOKUP(B977, PLANTA_BASE!A:R, 17, FALSE), "GENERAL"))</f>
        <v/>
      </c>
    </row>
    <row r="978" ht="20" customHeight="1">
      <c r="A978" s="2">
        <f>IF(B978="","",IFERROR(VLOOKUP(B978, PLANTA_BASE!A:R, 2, FALSE), "NO ENCONTRADO EN PLANTA"))</f>
        <v/>
      </c>
      <c r="B978" s="3" t="inlineStr"/>
      <c r="C978" s="4">
        <f>IF(B978="","",IFERROR(VLOOKUP(B978, PLANTA_BASE!A:R, 3, FALSE), ""))</f>
        <v/>
      </c>
      <c r="D978" s="2">
        <f>IF(B978="","",IFERROR(VLOOKUP(B978, PLANTA_BASE!A:R, 5, FALSE), "NO ENCONTRADO EN PLANTA"))</f>
        <v/>
      </c>
      <c r="E978" s="2">
        <f>IF(B978="","",IFERROR(VLOOKUP(B978, PLANTA_BASE!A:R, 6, FALSE), "NO ENCONTRADO EN PLANTA"))</f>
        <v/>
      </c>
      <c r="F978" s="4">
        <f>IF(B978="","",IFERROR(VLOOKUP(B978, PLANTA_BASE!A:R, 8, FALSE), "DOCENTE / FACILITADOR"))</f>
        <v/>
      </c>
      <c r="G978" s="4">
        <f>IF(B978="","",IFERROR(VLOOKUP(B978, PLANTA_BASE!A:R, 9, FALSE), "GENERAL"))</f>
        <v/>
      </c>
      <c r="H978" s="2">
        <f>IF(B978="","",IFERROR(VLOOKUP(B978, PLANTA_BASE!A:R, 17, FALSE), "GENERAL"))</f>
        <v/>
      </c>
    </row>
    <row r="979" ht="20" customHeight="1">
      <c r="A979" s="5">
        <f>IF(B979="","",IFERROR(VLOOKUP(B979, PLANTA_BASE!A:R, 2, FALSE), "NO ENCONTRADO EN PLANTA"))</f>
        <v/>
      </c>
      <c r="B979" s="6" t="inlineStr"/>
      <c r="C979" s="7">
        <f>IF(B979="","",IFERROR(VLOOKUP(B979, PLANTA_BASE!A:R, 3, FALSE), ""))</f>
        <v/>
      </c>
      <c r="D979" s="5">
        <f>IF(B979="","",IFERROR(VLOOKUP(B979, PLANTA_BASE!A:R, 5, FALSE), "NO ENCONTRADO EN PLANTA"))</f>
        <v/>
      </c>
      <c r="E979" s="5">
        <f>IF(B979="","",IFERROR(VLOOKUP(B979, PLANTA_BASE!A:R, 6, FALSE), "NO ENCONTRADO EN PLANTA"))</f>
        <v/>
      </c>
      <c r="F979" s="7">
        <f>IF(B979="","",IFERROR(VLOOKUP(B979, PLANTA_BASE!A:R, 8, FALSE), "DOCENTE / FACILITADOR"))</f>
        <v/>
      </c>
      <c r="G979" s="7">
        <f>IF(B979="","",IFERROR(VLOOKUP(B979, PLANTA_BASE!A:R, 9, FALSE), "GENERAL"))</f>
        <v/>
      </c>
      <c r="H979" s="5">
        <f>IF(B979="","",IFERROR(VLOOKUP(B979, PLANTA_BASE!A:R, 17, FALSE), "GENERAL"))</f>
        <v/>
      </c>
    </row>
    <row r="980" ht="20" customHeight="1">
      <c r="A980" s="2">
        <f>IF(B980="","",IFERROR(VLOOKUP(B980, PLANTA_BASE!A:R, 2, FALSE), "NO ENCONTRADO EN PLANTA"))</f>
        <v/>
      </c>
      <c r="B980" s="3" t="inlineStr"/>
      <c r="C980" s="4">
        <f>IF(B980="","",IFERROR(VLOOKUP(B980, PLANTA_BASE!A:R, 3, FALSE), ""))</f>
        <v/>
      </c>
      <c r="D980" s="2">
        <f>IF(B980="","",IFERROR(VLOOKUP(B980, PLANTA_BASE!A:R, 5, FALSE), "NO ENCONTRADO EN PLANTA"))</f>
        <v/>
      </c>
      <c r="E980" s="2">
        <f>IF(B980="","",IFERROR(VLOOKUP(B980, PLANTA_BASE!A:R, 6, FALSE), "NO ENCONTRADO EN PLANTA"))</f>
        <v/>
      </c>
      <c r="F980" s="4">
        <f>IF(B980="","",IFERROR(VLOOKUP(B980, PLANTA_BASE!A:R, 8, FALSE), "DOCENTE / FACILITADOR"))</f>
        <v/>
      </c>
      <c r="G980" s="4">
        <f>IF(B980="","",IFERROR(VLOOKUP(B980, PLANTA_BASE!A:R, 9, FALSE), "GENERAL"))</f>
        <v/>
      </c>
      <c r="H980" s="2">
        <f>IF(B980="","",IFERROR(VLOOKUP(B980, PLANTA_BASE!A:R, 17, FALSE), "GENERAL"))</f>
        <v/>
      </c>
    </row>
    <row r="981" ht="20" customHeight="1">
      <c r="A981" s="5">
        <f>IF(B981="","",IFERROR(VLOOKUP(B981, PLANTA_BASE!A:R, 2, FALSE), "NO ENCONTRADO EN PLANTA"))</f>
        <v/>
      </c>
      <c r="B981" s="6" t="inlineStr"/>
      <c r="C981" s="7">
        <f>IF(B981="","",IFERROR(VLOOKUP(B981, PLANTA_BASE!A:R, 3, FALSE), ""))</f>
        <v/>
      </c>
      <c r="D981" s="5">
        <f>IF(B981="","",IFERROR(VLOOKUP(B981, PLANTA_BASE!A:R, 5, FALSE), "NO ENCONTRADO EN PLANTA"))</f>
        <v/>
      </c>
      <c r="E981" s="5">
        <f>IF(B981="","",IFERROR(VLOOKUP(B981, PLANTA_BASE!A:R, 6, FALSE), "NO ENCONTRADO EN PLANTA"))</f>
        <v/>
      </c>
      <c r="F981" s="7">
        <f>IF(B981="","",IFERROR(VLOOKUP(B981, PLANTA_BASE!A:R, 8, FALSE), "DOCENTE / FACILITADOR"))</f>
        <v/>
      </c>
      <c r="G981" s="7">
        <f>IF(B981="","",IFERROR(VLOOKUP(B981, PLANTA_BASE!A:R, 9, FALSE), "GENERAL"))</f>
        <v/>
      </c>
      <c r="H981" s="5">
        <f>IF(B981="","",IFERROR(VLOOKUP(B981, PLANTA_BASE!A:R, 17, FALSE), "GENERAL"))</f>
        <v/>
      </c>
    </row>
    <row r="982" ht="20" customHeight="1">
      <c r="A982" s="2">
        <f>IF(B982="","",IFERROR(VLOOKUP(B982, PLANTA_BASE!A:R, 2, FALSE), "NO ENCONTRADO EN PLANTA"))</f>
        <v/>
      </c>
      <c r="B982" s="3" t="inlineStr"/>
      <c r="C982" s="4">
        <f>IF(B982="","",IFERROR(VLOOKUP(B982, PLANTA_BASE!A:R, 3, FALSE), ""))</f>
        <v/>
      </c>
      <c r="D982" s="2">
        <f>IF(B982="","",IFERROR(VLOOKUP(B982, PLANTA_BASE!A:R, 5, FALSE), "NO ENCONTRADO EN PLANTA"))</f>
        <v/>
      </c>
      <c r="E982" s="2">
        <f>IF(B982="","",IFERROR(VLOOKUP(B982, PLANTA_BASE!A:R, 6, FALSE), "NO ENCONTRADO EN PLANTA"))</f>
        <v/>
      </c>
      <c r="F982" s="4">
        <f>IF(B982="","",IFERROR(VLOOKUP(B982, PLANTA_BASE!A:R, 8, FALSE), "DOCENTE / FACILITADOR"))</f>
        <v/>
      </c>
      <c r="G982" s="4">
        <f>IF(B982="","",IFERROR(VLOOKUP(B982, PLANTA_BASE!A:R, 9, FALSE), "GENERAL"))</f>
        <v/>
      </c>
      <c r="H982" s="2">
        <f>IF(B982="","",IFERROR(VLOOKUP(B982, PLANTA_BASE!A:R, 17, FALSE), "GENERAL"))</f>
        <v/>
      </c>
    </row>
    <row r="983" ht="20" customHeight="1">
      <c r="A983" s="5">
        <f>IF(B983="","",IFERROR(VLOOKUP(B983, PLANTA_BASE!A:R, 2, FALSE), "NO ENCONTRADO EN PLANTA"))</f>
        <v/>
      </c>
      <c r="B983" s="6" t="inlineStr"/>
      <c r="C983" s="7">
        <f>IF(B983="","",IFERROR(VLOOKUP(B983, PLANTA_BASE!A:R, 3, FALSE), ""))</f>
        <v/>
      </c>
      <c r="D983" s="5">
        <f>IF(B983="","",IFERROR(VLOOKUP(B983, PLANTA_BASE!A:R, 5, FALSE), "NO ENCONTRADO EN PLANTA"))</f>
        <v/>
      </c>
      <c r="E983" s="5">
        <f>IF(B983="","",IFERROR(VLOOKUP(B983, PLANTA_BASE!A:R, 6, FALSE), "NO ENCONTRADO EN PLANTA"))</f>
        <v/>
      </c>
      <c r="F983" s="7">
        <f>IF(B983="","",IFERROR(VLOOKUP(B983, PLANTA_BASE!A:R, 8, FALSE), "DOCENTE / FACILITADOR"))</f>
        <v/>
      </c>
      <c r="G983" s="7">
        <f>IF(B983="","",IFERROR(VLOOKUP(B983, PLANTA_BASE!A:R, 9, FALSE), "GENERAL"))</f>
        <v/>
      </c>
      <c r="H983" s="5">
        <f>IF(B983="","",IFERROR(VLOOKUP(B983, PLANTA_BASE!A:R, 17, FALSE), "GENERAL"))</f>
        <v/>
      </c>
    </row>
    <row r="984" ht="20" customHeight="1">
      <c r="A984" s="2">
        <f>IF(B984="","",IFERROR(VLOOKUP(B984, PLANTA_BASE!A:R, 2, FALSE), "NO ENCONTRADO EN PLANTA"))</f>
        <v/>
      </c>
      <c r="B984" s="3" t="inlineStr"/>
      <c r="C984" s="4">
        <f>IF(B984="","",IFERROR(VLOOKUP(B984, PLANTA_BASE!A:R, 3, FALSE), ""))</f>
        <v/>
      </c>
      <c r="D984" s="2">
        <f>IF(B984="","",IFERROR(VLOOKUP(B984, PLANTA_BASE!A:R, 5, FALSE), "NO ENCONTRADO EN PLANTA"))</f>
        <v/>
      </c>
      <c r="E984" s="2">
        <f>IF(B984="","",IFERROR(VLOOKUP(B984, PLANTA_BASE!A:R, 6, FALSE), "NO ENCONTRADO EN PLANTA"))</f>
        <v/>
      </c>
      <c r="F984" s="4">
        <f>IF(B984="","",IFERROR(VLOOKUP(B984, PLANTA_BASE!A:R, 8, FALSE), "DOCENTE / FACILITADOR"))</f>
        <v/>
      </c>
      <c r="G984" s="4">
        <f>IF(B984="","",IFERROR(VLOOKUP(B984, PLANTA_BASE!A:R, 9, FALSE), "GENERAL"))</f>
        <v/>
      </c>
      <c r="H984" s="2">
        <f>IF(B984="","",IFERROR(VLOOKUP(B984, PLANTA_BASE!A:R, 17, FALSE), "GENERAL"))</f>
        <v/>
      </c>
    </row>
    <row r="985" ht="20" customHeight="1">
      <c r="A985" s="5">
        <f>IF(B985="","",IFERROR(VLOOKUP(B985, PLANTA_BASE!A:R, 2, FALSE), "NO ENCONTRADO EN PLANTA"))</f>
        <v/>
      </c>
      <c r="B985" s="6" t="inlineStr"/>
      <c r="C985" s="7">
        <f>IF(B985="","",IFERROR(VLOOKUP(B985, PLANTA_BASE!A:R, 3, FALSE), ""))</f>
        <v/>
      </c>
      <c r="D985" s="5">
        <f>IF(B985="","",IFERROR(VLOOKUP(B985, PLANTA_BASE!A:R, 5, FALSE), "NO ENCONTRADO EN PLANTA"))</f>
        <v/>
      </c>
      <c r="E985" s="5">
        <f>IF(B985="","",IFERROR(VLOOKUP(B985, PLANTA_BASE!A:R, 6, FALSE), "NO ENCONTRADO EN PLANTA"))</f>
        <v/>
      </c>
      <c r="F985" s="7">
        <f>IF(B985="","",IFERROR(VLOOKUP(B985, PLANTA_BASE!A:R, 8, FALSE), "DOCENTE / FACILITADOR"))</f>
        <v/>
      </c>
      <c r="G985" s="7">
        <f>IF(B985="","",IFERROR(VLOOKUP(B985, PLANTA_BASE!A:R, 9, FALSE), "GENERAL"))</f>
        <v/>
      </c>
      <c r="H985" s="5">
        <f>IF(B985="","",IFERROR(VLOOKUP(B985, PLANTA_BASE!A:R, 17, FALSE), "GENERAL"))</f>
        <v/>
      </c>
    </row>
    <row r="986" ht="20" customHeight="1">
      <c r="A986" s="2">
        <f>IF(B986="","",IFERROR(VLOOKUP(B986, PLANTA_BASE!A:R, 2, FALSE), "NO ENCONTRADO EN PLANTA"))</f>
        <v/>
      </c>
      <c r="B986" s="3" t="inlineStr"/>
      <c r="C986" s="4">
        <f>IF(B986="","",IFERROR(VLOOKUP(B986, PLANTA_BASE!A:R, 3, FALSE), ""))</f>
        <v/>
      </c>
      <c r="D986" s="2">
        <f>IF(B986="","",IFERROR(VLOOKUP(B986, PLANTA_BASE!A:R, 5, FALSE), "NO ENCONTRADO EN PLANTA"))</f>
        <v/>
      </c>
      <c r="E986" s="2">
        <f>IF(B986="","",IFERROR(VLOOKUP(B986, PLANTA_BASE!A:R, 6, FALSE), "NO ENCONTRADO EN PLANTA"))</f>
        <v/>
      </c>
      <c r="F986" s="4">
        <f>IF(B986="","",IFERROR(VLOOKUP(B986, PLANTA_BASE!A:R, 8, FALSE), "DOCENTE / FACILITADOR"))</f>
        <v/>
      </c>
      <c r="G986" s="4">
        <f>IF(B986="","",IFERROR(VLOOKUP(B986, PLANTA_BASE!A:R, 9, FALSE), "GENERAL"))</f>
        <v/>
      </c>
      <c r="H986" s="2">
        <f>IF(B986="","",IFERROR(VLOOKUP(B986, PLANTA_BASE!A:R, 17, FALSE), "GENERAL"))</f>
        <v/>
      </c>
    </row>
    <row r="987" ht="20" customHeight="1">
      <c r="A987" s="5">
        <f>IF(B987="","",IFERROR(VLOOKUP(B987, PLANTA_BASE!A:R, 2, FALSE), "NO ENCONTRADO EN PLANTA"))</f>
        <v/>
      </c>
      <c r="B987" s="6" t="inlineStr"/>
      <c r="C987" s="7">
        <f>IF(B987="","",IFERROR(VLOOKUP(B987, PLANTA_BASE!A:R, 3, FALSE), ""))</f>
        <v/>
      </c>
      <c r="D987" s="5">
        <f>IF(B987="","",IFERROR(VLOOKUP(B987, PLANTA_BASE!A:R, 5, FALSE), "NO ENCONTRADO EN PLANTA"))</f>
        <v/>
      </c>
      <c r="E987" s="5">
        <f>IF(B987="","",IFERROR(VLOOKUP(B987, PLANTA_BASE!A:R, 6, FALSE), "NO ENCONTRADO EN PLANTA"))</f>
        <v/>
      </c>
      <c r="F987" s="7">
        <f>IF(B987="","",IFERROR(VLOOKUP(B987, PLANTA_BASE!A:R, 8, FALSE), "DOCENTE / FACILITADOR"))</f>
        <v/>
      </c>
      <c r="G987" s="7">
        <f>IF(B987="","",IFERROR(VLOOKUP(B987, PLANTA_BASE!A:R, 9, FALSE), "GENERAL"))</f>
        <v/>
      </c>
      <c r="H987" s="5">
        <f>IF(B987="","",IFERROR(VLOOKUP(B987, PLANTA_BASE!A:R, 17, FALSE), "GENERAL"))</f>
        <v/>
      </c>
    </row>
    <row r="988" ht="20" customHeight="1">
      <c r="A988" s="2">
        <f>IF(B988="","",IFERROR(VLOOKUP(B988, PLANTA_BASE!A:R, 2, FALSE), "NO ENCONTRADO EN PLANTA"))</f>
        <v/>
      </c>
      <c r="B988" s="3" t="inlineStr"/>
      <c r="C988" s="4">
        <f>IF(B988="","",IFERROR(VLOOKUP(B988, PLANTA_BASE!A:R, 3, FALSE), ""))</f>
        <v/>
      </c>
      <c r="D988" s="2">
        <f>IF(B988="","",IFERROR(VLOOKUP(B988, PLANTA_BASE!A:R, 5, FALSE), "NO ENCONTRADO EN PLANTA"))</f>
        <v/>
      </c>
      <c r="E988" s="2">
        <f>IF(B988="","",IFERROR(VLOOKUP(B988, PLANTA_BASE!A:R, 6, FALSE), "NO ENCONTRADO EN PLANTA"))</f>
        <v/>
      </c>
      <c r="F988" s="4">
        <f>IF(B988="","",IFERROR(VLOOKUP(B988, PLANTA_BASE!A:R, 8, FALSE), "DOCENTE / FACILITADOR"))</f>
        <v/>
      </c>
      <c r="G988" s="4">
        <f>IF(B988="","",IFERROR(VLOOKUP(B988, PLANTA_BASE!A:R, 9, FALSE), "GENERAL"))</f>
        <v/>
      </c>
      <c r="H988" s="2">
        <f>IF(B988="","",IFERROR(VLOOKUP(B988, PLANTA_BASE!A:R, 17, FALSE), "GENERAL"))</f>
        <v/>
      </c>
    </row>
    <row r="989" ht="20" customHeight="1">
      <c r="A989" s="5">
        <f>IF(B989="","",IFERROR(VLOOKUP(B989, PLANTA_BASE!A:R, 2, FALSE), "NO ENCONTRADO EN PLANTA"))</f>
        <v/>
      </c>
      <c r="B989" s="6" t="inlineStr"/>
      <c r="C989" s="7">
        <f>IF(B989="","",IFERROR(VLOOKUP(B989, PLANTA_BASE!A:R, 3, FALSE), ""))</f>
        <v/>
      </c>
      <c r="D989" s="5">
        <f>IF(B989="","",IFERROR(VLOOKUP(B989, PLANTA_BASE!A:R, 5, FALSE), "NO ENCONTRADO EN PLANTA"))</f>
        <v/>
      </c>
      <c r="E989" s="5">
        <f>IF(B989="","",IFERROR(VLOOKUP(B989, PLANTA_BASE!A:R, 6, FALSE), "NO ENCONTRADO EN PLANTA"))</f>
        <v/>
      </c>
      <c r="F989" s="7">
        <f>IF(B989="","",IFERROR(VLOOKUP(B989, PLANTA_BASE!A:R, 8, FALSE), "DOCENTE / FACILITADOR"))</f>
        <v/>
      </c>
      <c r="G989" s="7">
        <f>IF(B989="","",IFERROR(VLOOKUP(B989, PLANTA_BASE!A:R, 9, FALSE), "GENERAL"))</f>
        <v/>
      </c>
      <c r="H989" s="5">
        <f>IF(B989="","",IFERROR(VLOOKUP(B989, PLANTA_BASE!A:R, 17, FALSE), "GENERAL"))</f>
        <v/>
      </c>
    </row>
    <row r="990" ht="20" customHeight="1">
      <c r="A990" s="2">
        <f>IF(B990="","",IFERROR(VLOOKUP(B990, PLANTA_BASE!A:R, 2, FALSE), "NO ENCONTRADO EN PLANTA"))</f>
        <v/>
      </c>
      <c r="B990" s="3" t="inlineStr"/>
      <c r="C990" s="4">
        <f>IF(B990="","",IFERROR(VLOOKUP(B990, PLANTA_BASE!A:R, 3, FALSE), ""))</f>
        <v/>
      </c>
      <c r="D990" s="2">
        <f>IF(B990="","",IFERROR(VLOOKUP(B990, PLANTA_BASE!A:R, 5, FALSE), "NO ENCONTRADO EN PLANTA"))</f>
        <v/>
      </c>
      <c r="E990" s="2">
        <f>IF(B990="","",IFERROR(VLOOKUP(B990, PLANTA_BASE!A:R, 6, FALSE), "NO ENCONTRADO EN PLANTA"))</f>
        <v/>
      </c>
      <c r="F990" s="4">
        <f>IF(B990="","",IFERROR(VLOOKUP(B990, PLANTA_BASE!A:R, 8, FALSE), "DOCENTE / FACILITADOR"))</f>
        <v/>
      </c>
      <c r="G990" s="4">
        <f>IF(B990="","",IFERROR(VLOOKUP(B990, PLANTA_BASE!A:R, 9, FALSE), "GENERAL"))</f>
        <v/>
      </c>
      <c r="H990" s="2">
        <f>IF(B990="","",IFERROR(VLOOKUP(B990, PLANTA_BASE!A:R, 17, FALSE), "GENERAL"))</f>
        <v/>
      </c>
    </row>
    <row r="991" ht="20" customHeight="1">
      <c r="A991" s="5">
        <f>IF(B991="","",IFERROR(VLOOKUP(B991, PLANTA_BASE!A:R, 2, FALSE), "NO ENCONTRADO EN PLANTA"))</f>
        <v/>
      </c>
      <c r="B991" s="6" t="inlineStr"/>
      <c r="C991" s="7">
        <f>IF(B991="","",IFERROR(VLOOKUP(B991, PLANTA_BASE!A:R, 3, FALSE), ""))</f>
        <v/>
      </c>
      <c r="D991" s="5">
        <f>IF(B991="","",IFERROR(VLOOKUP(B991, PLANTA_BASE!A:R, 5, FALSE), "NO ENCONTRADO EN PLANTA"))</f>
        <v/>
      </c>
      <c r="E991" s="5">
        <f>IF(B991="","",IFERROR(VLOOKUP(B991, PLANTA_BASE!A:R, 6, FALSE), "NO ENCONTRADO EN PLANTA"))</f>
        <v/>
      </c>
      <c r="F991" s="7">
        <f>IF(B991="","",IFERROR(VLOOKUP(B991, PLANTA_BASE!A:R, 8, FALSE), "DOCENTE / FACILITADOR"))</f>
        <v/>
      </c>
      <c r="G991" s="7">
        <f>IF(B991="","",IFERROR(VLOOKUP(B991, PLANTA_BASE!A:R, 9, FALSE), "GENERAL"))</f>
        <v/>
      </c>
      <c r="H991" s="5">
        <f>IF(B991="","",IFERROR(VLOOKUP(B991, PLANTA_BASE!A:R, 17, FALSE), "GENERAL"))</f>
        <v/>
      </c>
    </row>
    <row r="992" ht="20" customHeight="1">
      <c r="A992" s="2">
        <f>IF(B992="","",IFERROR(VLOOKUP(B992, PLANTA_BASE!A:R, 2, FALSE), "NO ENCONTRADO EN PLANTA"))</f>
        <v/>
      </c>
      <c r="B992" s="3" t="inlineStr"/>
      <c r="C992" s="4">
        <f>IF(B992="","",IFERROR(VLOOKUP(B992, PLANTA_BASE!A:R, 3, FALSE), ""))</f>
        <v/>
      </c>
      <c r="D992" s="2">
        <f>IF(B992="","",IFERROR(VLOOKUP(B992, PLANTA_BASE!A:R, 5, FALSE), "NO ENCONTRADO EN PLANTA"))</f>
        <v/>
      </c>
      <c r="E992" s="2">
        <f>IF(B992="","",IFERROR(VLOOKUP(B992, PLANTA_BASE!A:R, 6, FALSE), "NO ENCONTRADO EN PLANTA"))</f>
        <v/>
      </c>
      <c r="F992" s="4">
        <f>IF(B992="","",IFERROR(VLOOKUP(B992, PLANTA_BASE!A:R, 8, FALSE), "DOCENTE / FACILITADOR"))</f>
        <v/>
      </c>
      <c r="G992" s="4">
        <f>IF(B992="","",IFERROR(VLOOKUP(B992, PLANTA_BASE!A:R, 9, FALSE), "GENERAL"))</f>
        <v/>
      </c>
      <c r="H992" s="2">
        <f>IF(B992="","",IFERROR(VLOOKUP(B992, PLANTA_BASE!A:R, 17, FALSE), "GENERAL"))</f>
        <v/>
      </c>
    </row>
    <row r="993" ht="20" customHeight="1">
      <c r="A993" s="5">
        <f>IF(B993="","",IFERROR(VLOOKUP(B993, PLANTA_BASE!A:R, 2, FALSE), "NO ENCONTRADO EN PLANTA"))</f>
        <v/>
      </c>
      <c r="B993" s="6" t="inlineStr"/>
      <c r="C993" s="7">
        <f>IF(B993="","",IFERROR(VLOOKUP(B993, PLANTA_BASE!A:R, 3, FALSE), ""))</f>
        <v/>
      </c>
      <c r="D993" s="5">
        <f>IF(B993="","",IFERROR(VLOOKUP(B993, PLANTA_BASE!A:R, 5, FALSE), "NO ENCONTRADO EN PLANTA"))</f>
        <v/>
      </c>
      <c r="E993" s="5">
        <f>IF(B993="","",IFERROR(VLOOKUP(B993, PLANTA_BASE!A:R, 6, FALSE), "NO ENCONTRADO EN PLANTA"))</f>
        <v/>
      </c>
      <c r="F993" s="7">
        <f>IF(B993="","",IFERROR(VLOOKUP(B993, PLANTA_BASE!A:R, 8, FALSE), "DOCENTE / FACILITADOR"))</f>
        <v/>
      </c>
      <c r="G993" s="7">
        <f>IF(B993="","",IFERROR(VLOOKUP(B993, PLANTA_BASE!A:R, 9, FALSE), "GENERAL"))</f>
        <v/>
      </c>
      <c r="H993" s="5">
        <f>IF(B993="","",IFERROR(VLOOKUP(B993, PLANTA_BASE!A:R, 17, FALSE), "GENERAL"))</f>
        <v/>
      </c>
    </row>
    <row r="994" ht="20" customHeight="1">
      <c r="A994" s="2">
        <f>IF(B994="","",IFERROR(VLOOKUP(B994, PLANTA_BASE!A:R, 2, FALSE), "NO ENCONTRADO EN PLANTA"))</f>
        <v/>
      </c>
      <c r="B994" s="3" t="inlineStr"/>
      <c r="C994" s="4">
        <f>IF(B994="","",IFERROR(VLOOKUP(B994, PLANTA_BASE!A:R, 3, FALSE), ""))</f>
        <v/>
      </c>
      <c r="D994" s="2">
        <f>IF(B994="","",IFERROR(VLOOKUP(B994, PLANTA_BASE!A:R, 5, FALSE), "NO ENCONTRADO EN PLANTA"))</f>
        <v/>
      </c>
      <c r="E994" s="2">
        <f>IF(B994="","",IFERROR(VLOOKUP(B994, PLANTA_BASE!A:R, 6, FALSE), "NO ENCONTRADO EN PLANTA"))</f>
        <v/>
      </c>
      <c r="F994" s="4">
        <f>IF(B994="","",IFERROR(VLOOKUP(B994, PLANTA_BASE!A:R, 8, FALSE), "DOCENTE / FACILITADOR"))</f>
        <v/>
      </c>
      <c r="G994" s="4">
        <f>IF(B994="","",IFERROR(VLOOKUP(B994, PLANTA_BASE!A:R, 9, FALSE), "GENERAL"))</f>
        <v/>
      </c>
      <c r="H994" s="2">
        <f>IF(B994="","",IFERROR(VLOOKUP(B994, PLANTA_BASE!A:R, 17, FALSE), "GENERAL"))</f>
        <v/>
      </c>
    </row>
    <row r="995" ht="20" customHeight="1">
      <c r="A995" s="5">
        <f>IF(B995="","",IFERROR(VLOOKUP(B995, PLANTA_BASE!A:R, 2, FALSE), "NO ENCONTRADO EN PLANTA"))</f>
        <v/>
      </c>
      <c r="B995" s="6" t="inlineStr"/>
      <c r="C995" s="7">
        <f>IF(B995="","",IFERROR(VLOOKUP(B995, PLANTA_BASE!A:R, 3, FALSE), ""))</f>
        <v/>
      </c>
      <c r="D995" s="5">
        <f>IF(B995="","",IFERROR(VLOOKUP(B995, PLANTA_BASE!A:R, 5, FALSE), "NO ENCONTRADO EN PLANTA"))</f>
        <v/>
      </c>
      <c r="E995" s="5">
        <f>IF(B995="","",IFERROR(VLOOKUP(B995, PLANTA_BASE!A:R, 6, FALSE), "NO ENCONTRADO EN PLANTA"))</f>
        <v/>
      </c>
      <c r="F995" s="7">
        <f>IF(B995="","",IFERROR(VLOOKUP(B995, PLANTA_BASE!A:R, 8, FALSE), "DOCENTE / FACILITADOR"))</f>
        <v/>
      </c>
      <c r="G995" s="7">
        <f>IF(B995="","",IFERROR(VLOOKUP(B995, PLANTA_BASE!A:R, 9, FALSE), "GENERAL"))</f>
        <v/>
      </c>
      <c r="H995" s="5">
        <f>IF(B995="","",IFERROR(VLOOKUP(B995, PLANTA_BASE!A:R, 17, FALSE), "GENERAL"))</f>
        <v/>
      </c>
    </row>
    <row r="996" ht="20" customHeight="1">
      <c r="A996" s="2">
        <f>IF(B996="","",IFERROR(VLOOKUP(B996, PLANTA_BASE!A:R, 2, FALSE), "NO ENCONTRADO EN PLANTA"))</f>
        <v/>
      </c>
      <c r="B996" s="3" t="inlineStr"/>
      <c r="C996" s="4">
        <f>IF(B996="","",IFERROR(VLOOKUP(B996, PLANTA_BASE!A:R, 3, FALSE), ""))</f>
        <v/>
      </c>
      <c r="D996" s="2">
        <f>IF(B996="","",IFERROR(VLOOKUP(B996, PLANTA_BASE!A:R, 5, FALSE), "NO ENCONTRADO EN PLANTA"))</f>
        <v/>
      </c>
      <c r="E996" s="2">
        <f>IF(B996="","",IFERROR(VLOOKUP(B996, PLANTA_BASE!A:R, 6, FALSE), "NO ENCONTRADO EN PLANTA"))</f>
        <v/>
      </c>
      <c r="F996" s="4">
        <f>IF(B996="","",IFERROR(VLOOKUP(B996, PLANTA_BASE!A:R, 8, FALSE), "DOCENTE / FACILITADOR"))</f>
        <v/>
      </c>
      <c r="G996" s="4">
        <f>IF(B996="","",IFERROR(VLOOKUP(B996, PLANTA_BASE!A:R, 9, FALSE), "GENERAL"))</f>
        <v/>
      </c>
      <c r="H996" s="2">
        <f>IF(B996="","",IFERROR(VLOOKUP(B996, PLANTA_BASE!A:R, 17, FALSE), "GENERAL"))</f>
        <v/>
      </c>
    </row>
    <row r="997" ht="20" customHeight="1">
      <c r="A997" s="5">
        <f>IF(B997="","",IFERROR(VLOOKUP(B997, PLANTA_BASE!A:R, 2, FALSE), "NO ENCONTRADO EN PLANTA"))</f>
        <v/>
      </c>
      <c r="B997" s="6" t="inlineStr"/>
      <c r="C997" s="7">
        <f>IF(B997="","",IFERROR(VLOOKUP(B997, PLANTA_BASE!A:R, 3, FALSE), ""))</f>
        <v/>
      </c>
      <c r="D997" s="5">
        <f>IF(B997="","",IFERROR(VLOOKUP(B997, PLANTA_BASE!A:R, 5, FALSE), "NO ENCONTRADO EN PLANTA"))</f>
        <v/>
      </c>
      <c r="E997" s="5">
        <f>IF(B997="","",IFERROR(VLOOKUP(B997, PLANTA_BASE!A:R, 6, FALSE), "NO ENCONTRADO EN PLANTA"))</f>
        <v/>
      </c>
      <c r="F997" s="7">
        <f>IF(B997="","",IFERROR(VLOOKUP(B997, PLANTA_BASE!A:R, 8, FALSE), "DOCENTE / FACILITADOR"))</f>
        <v/>
      </c>
      <c r="G997" s="7">
        <f>IF(B997="","",IFERROR(VLOOKUP(B997, PLANTA_BASE!A:R, 9, FALSE), "GENERAL"))</f>
        <v/>
      </c>
      <c r="H997" s="5">
        <f>IF(B997="","",IFERROR(VLOOKUP(B997, PLANTA_BASE!A:R, 17, FALSE), "GENERAL"))</f>
        <v/>
      </c>
    </row>
    <row r="998" ht="20" customHeight="1">
      <c r="A998" s="2">
        <f>IF(B998="","",IFERROR(VLOOKUP(B998, PLANTA_BASE!A:R, 2, FALSE), "NO ENCONTRADO EN PLANTA"))</f>
        <v/>
      </c>
      <c r="B998" s="3" t="inlineStr"/>
      <c r="C998" s="4">
        <f>IF(B998="","",IFERROR(VLOOKUP(B998, PLANTA_BASE!A:R, 3, FALSE), ""))</f>
        <v/>
      </c>
      <c r="D998" s="2">
        <f>IF(B998="","",IFERROR(VLOOKUP(B998, PLANTA_BASE!A:R, 5, FALSE), "NO ENCONTRADO EN PLANTA"))</f>
        <v/>
      </c>
      <c r="E998" s="2">
        <f>IF(B998="","",IFERROR(VLOOKUP(B998, PLANTA_BASE!A:R, 6, FALSE), "NO ENCONTRADO EN PLANTA"))</f>
        <v/>
      </c>
      <c r="F998" s="4">
        <f>IF(B998="","",IFERROR(VLOOKUP(B998, PLANTA_BASE!A:R, 8, FALSE), "DOCENTE / FACILITADOR"))</f>
        <v/>
      </c>
      <c r="G998" s="4">
        <f>IF(B998="","",IFERROR(VLOOKUP(B998, PLANTA_BASE!A:R, 9, FALSE), "GENERAL"))</f>
        <v/>
      </c>
      <c r="H998" s="2">
        <f>IF(B998="","",IFERROR(VLOOKUP(B998, PLANTA_BASE!A:R, 17, FALSE), "GENERAL"))</f>
        <v/>
      </c>
    </row>
    <row r="999" ht="20" customHeight="1">
      <c r="A999" s="5">
        <f>IF(B999="","",IFERROR(VLOOKUP(B999, PLANTA_BASE!A:R, 2, FALSE), "NO ENCONTRADO EN PLANTA"))</f>
        <v/>
      </c>
      <c r="B999" s="6" t="inlineStr"/>
      <c r="C999" s="7">
        <f>IF(B999="","",IFERROR(VLOOKUP(B999, PLANTA_BASE!A:R, 3, FALSE), ""))</f>
        <v/>
      </c>
      <c r="D999" s="5">
        <f>IF(B999="","",IFERROR(VLOOKUP(B999, PLANTA_BASE!A:R, 5, FALSE), "NO ENCONTRADO EN PLANTA"))</f>
        <v/>
      </c>
      <c r="E999" s="5">
        <f>IF(B999="","",IFERROR(VLOOKUP(B999, PLANTA_BASE!A:R, 6, FALSE), "NO ENCONTRADO EN PLANTA"))</f>
        <v/>
      </c>
      <c r="F999" s="7">
        <f>IF(B999="","",IFERROR(VLOOKUP(B999, PLANTA_BASE!A:R, 8, FALSE), "DOCENTE / FACILITADOR"))</f>
        <v/>
      </c>
      <c r="G999" s="7">
        <f>IF(B999="","",IFERROR(VLOOKUP(B999, PLANTA_BASE!A:R, 9, FALSE), "GENERAL"))</f>
        <v/>
      </c>
      <c r="H999" s="5">
        <f>IF(B999="","",IFERROR(VLOOKUP(B999, PLANTA_BASE!A:R, 17, FALSE), "GENERAL"))</f>
        <v/>
      </c>
    </row>
    <row r="1000" ht="20" customHeight="1">
      <c r="A1000" s="2">
        <f>IF(B1000="","",IFERROR(VLOOKUP(B1000, PLANTA_BASE!A:R, 2, FALSE), "NO ENCONTRADO EN PLANTA"))</f>
        <v/>
      </c>
      <c r="B1000" s="3" t="inlineStr"/>
      <c r="C1000" s="4">
        <f>IF(B1000="","",IFERROR(VLOOKUP(B1000, PLANTA_BASE!A:R, 3, FALSE), ""))</f>
        <v/>
      </c>
      <c r="D1000" s="2">
        <f>IF(B1000="","",IFERROR(VLOOKUP(B1000, PLANTA_BASE!A:R, 5, FALSE), "NO ENCONTRADO EN PLANTA"))</f>
        <v/>
      </c>
      <c r="E1000" s="2">
        <f>IF(B1000="","",IFERROR(VLOOKUP(B1000, PLANTA_BASE!A:R, 6, FALSE), "NO ENCONTRADO EN PLANTA"))</f>
        <v/>
      </c>
      <c r="F1000" s="4">
        <f>IF(B1000="","",IFERROR(VLOOKUP(B1000, PLANTA_BASE!A:R, 8, FALSE), "DOCENTE / FACILITADOR"))</f>
        <v/>
      </c>
      <c r="G1000" s="4">
        <f>IF(B1000="","",IFERROR(VLOOKUP(B1000, PLANTA_BASE!A:R, 9, FALSE), "GENERAL"))</f>
        <v/>
      </c>
      <c r="H1000" s="2">
        <f>IF(B1000="","",IFERROR(VLOOKUP(B1000, PLANTA_BASE!A:R, 17, FALSE), "GENERAL"))</f>
        <v/>
      </c>
    </row>
    <row r="1001" ht="20" customHeight="1">
      <c r="A1001" s="5">
        <f>IF(B1001="","",IFERROR(VLOOKUP(B1001, PLANTA_BASE!A:R, 2, FALSE), "NO ENCONTRADO EN PLANTA"))</f>
        <v/>
      </c>
      <c r="B1001" s="6" t="inlineStr"/>
      <c r="C1001" s="7">
        <f>IF(B1001="","",IFERROR(VLOOKUP(B1001, PLANTA_BASE!A:R, 3, FALSE), ""))</f>
        <v/>
      </c>
      <c r="D1001" s="5">
        <f>IF(B1001="","",IFERROR(VLOOKUP(B1001, PLANTA_BASE!A:R, 5, FALSE), "NO ENCONTRADO EN PLANTA"))</f>
        <v/>
      </c>
      <c r="E1001" s="5">
        <f>IF(B1001="","",IFERROR(VLOOKUP(B1001, PLANTA_BASE!A:R, 6, FALSE), "NO ENCONTRADO EN PLANTA"))</f>
        <v/>
      </c>
      <c r="F1001" s="7">
        <f>IF(B1001="","",IFERROR(VLOOKUP(B1001, PLANTA_BASE!A:R, 8, FALSE), "DOCENTE / FACILITADOR"))</f>
        <v/>
      </c>
      <c r="G1001" s="7">
        <f>IF(B1001="","",IFERROR(VLOOKUP(B1001, PLANTA_BASE!A:R, 9, FALSE), "GENERAL"))</f>
        <v/>
      </c>
      <c r="H1001" s="5">
        <f>IF(B1001="","",IFERROR(VLOOKUP(B1001, PLANTA_BASE!A:R, 17, FALSE), "GENERAL"))</f>
        <v/>
      </c>
    </row>
    <row r="1002" ht="20" customHeight="1">
      <c r="A1002" s="2">
        <f>IF(B1002="","",IFERROR(VLOOKUP(B1002, PLANTA_BASE!A:R, 2, FALSE), "NO ENCONTRADO EN PLANTA"))</f>
        <v/>
      </c>
      <c r="B1002" s="3" t="inlineStr"/>
      <c r="C1002" s="4">
        <f>IF(B1002="","",IFERROR(VLOOKUP(B1002, PLANTA_BASE!A:R, 3, FALSE), ""))</f>
        <v/>
      </c>
      <c r="D1002" s="2">
        <f>IF(B1002="","",IFERROR(VLOOKUP(B1002, PLANTA_BASE!A:R, 5, FALSE), "NO ENCONTRADO EN PLANTA"))</f>
        <v/>
      </c>
      <c r="E1002" s="2">
        <f>IF(B1002="","",IFERROR(VLOOKUP(B1002, PLANTA_BASE!A:R, 6, FALSE), "NO ENCONTRADO EN PLANTA"))</f>
        <v/>
      </c>
      <c r="F1002" s="4">
        <f>IF(B1002="","",IFERROR(VLOOKUP(B1002, PLANTA_BASE!A:R, 8, FALSE), "DOCENTE / FACILITADOR"))</f>
        <v/>
      </c>
      <c r="G1002" s="4">
        <f>IF(B1002="","",IFERROR(VLOOKUP(B1002, PLANTA_BASE!A:R, 9, FALSE), "GENERAL"))</f>
        <v/>
      </c>
      <c r="H1002" s="2">
        <f>IF(B1002="","",IFERROR(VLOOKUP(B1002, PLANTA_BASE!A:R, 17, FALSE), "GENERAL"))</f>
        <v/>
      </c>
    </row>
    <row r="1003" ht="20" customHeight="1">
      <c r="A1003" s="5">
        <f>IF(B1003="","",IFERROR(VLOOKUP(B1003, PLANTA_BASE!A:R, 2, FALSE), "NO ENCONTRADO EN PLANTA"))</f>
        <v/>
      </c>
      <c r="B1003" s="6" t="inlineStr"/>
      <c r="C1003" s="7">
        <f>IF(B1003="","",IFERROR(VLOOKUP(B1003, PLANTA_BASE!A:R, 3, FALSE), ""))</f>
        <v/>
      </c>
      <c r="D1003" s="5">
        <f>IF(B1003="","",IFERROR(VLOOKUP(B1003, PLANTA_BASE!A:R, 5, FALSE), "NO ENCONTRADO EN PLANTA"))</f>
        <v/>
      </c>
      <c r="E1003" s="5">
        <f>IF(B1003="","",IFERROR(VLOOKUP(B1003, PLANTA_BASE!A:R, 6, FALSE), "NO ENCONTRADO EN PLANTA"))</f>
        <v/>
      </c>
      <c r="F1003" s="7">
        <f>IF(B1003="","",IFERROR(VLOOKUP(B1003, PLANTA_BASE!A:R, 8, FALSE), "DOCENTE / FACILITADOR"))</f>
        <v/>
      </c>
      <c r="G1003" s="7">
        <f>IF(B1003="","",IFERROR(VLOOKUP(B1003, PLANTA_BASE!A:R, 9, FALSE), "GENERAL"))</f>
        <v/>
      </c>
      <c r="H1003" s="5">
        <f>IF(B1003="","",IFERROR(VLOOKUP(B1003, PLANTA_BASE!A:R, 17, FALSE), "GENERAL"))</f>
        <v/>
      </c>
    </row>
    <row r="1004" ht="20" customHeight="1">
      <c r="A1004" s="2">
        <f>IF(B1004="","",IFERROR(VLOOKUP(B1004, PLANTA_BASE!A:R, 2, FALSE), "NO ENCONTRADO EN PLANTA"))</f>
        <v/>
      </c>
      <c r="B1004" s="3" t="inlineStr"/>
      <c r="C1004" s="4">
        <f>IF(B1004="","",IFERROR(VLOOKUP(B1004, PLANTA_BASE!A:R, 3, FALSE), ""))</f>
        <v/>
      </c>
      <c r="D1004" s="2">
        <f>IF(B1004="","",IFERROR(VLOOKUP(B1004, PLANTA_BASE!A:R, 5, FALSE), "NO ENCONTRADO EN PLANTA"))</f>
        <v/>
      </c>
      <c r="E1004" s="2">
        <f>IF(B1004="","",IFERROR(VLOOKUP(B1004, PLANTA_BASE!A:R, 6, FALSE), "NO ENCONTRADO EN PLANTA"))</f>
        <v/>
      </c>
      <c r="F1004" s="4">
        <f>IF(B1004="","",IFERROR(VLOOKUP(B1004, PLANTA_BASE!A:R, 8, FALSE), "DOCENTE / FACILITADOR"))</f>
        <v/>
      </c>
      <c r="G1004" s="4">
        <f>IF(B1004="","",IFERROR(VLOOKUP(B1004, PLANTA_BASE!A:R, 9, FALSE), "GENERAL"))</f>
        <v/>
      </c>
      <c r="H1004" s="2">
        <f>IF(B1004="","",IFERROR(VLOOKUP(B1004, PLANTA_BASE!A:R, 17, FALSE), "GENERAL"))</f>
        <v/>
      </c>
    </row>
    <row r="1005" ht="20" customHeight="1">
      <c r="A1005" s="5">
        <f>IF(B1005="","",IFERROR(VLOOKUP(B1005, PLANTA_BASE!A:R, 2, FALSE), "NO ENCONTRADO EN PLANTA"))</f>
        <v/>
      </c>
      <c r="B1005" s="6" t="inlineStr"/>
      <c r="C1005" s="7">
        <f>IF(B1005="","",IFERROR(VLOOKUP(B1005, PLANTA_BASE!A:R, 3, FALSE), ""))</f>
        <v/>
      </c>
      <c r="D1005" s="5">
        <f>IF(B1005="","",IFERROR(VLOOKUP(B1005, PLANTA_BASE!A:R, 5, FALSE), "NO ENCONTRADO EN PLANTA"))</f>
        <v/>
      </c>
      <c r="E1005" s="5">
        <f>IF(B1005="","",IFERROR(VLOOKUP(B1005, PLANTA_BASE!A:R, 6, FALSE), "NO ENCONTRADO EN PLANTA"))</f>
        <v/>
      </c>
      <c r="F1005" s="7">
        <f>IF(B1005="","",IFERROR(VLOOKUP(B1005, PLANTA_BASE!A:R, 8, FALSE), "DOCENTE / FACILITADOR"))</f>
        <v/>
      </c>
      <c r="G1005" s="7">
        <f>IF(B1005="","",IFERROR(VLOOKUP(B1005, PLANTA_BASE!A:R, 9, FALSE), "GENERAL"))</f>
        <v/>
      </c>
      <c r="H1005" s="5">
        <f>IF(B1005="","",IFERROR(VLOOKUP(B1005, PLANTA_BASE!A:R, 17, FALSE), "GENERAL"))</f>
        <v/>
      </c>
    </row>
    <row r="1006" ht="20" customHeight="1">
      <c r="A1006" s="2">
        <f>IF(B1006="","",IFERROR(VLOOKUP(B1006, PLANTA_BASE!A:R, 2, FALSE), "NO ENCONTRADO EN PLANTA"))</f>
        <v/>
      </c>
      <c r="B1006" s="3" t="inlineStr"/>
      <c r="C1006" s="4">
        <f>IF(B1006="","",IFERROR(VLOOKUP(B1006, PLANTA_BASE!A:R, 3, FALSE), ""))</f>
        <v/>
      </c>
      <c r="D1006" s="2">
        <f>IF(B1006="","",IFERROR(VLOOKUP(B1006, PLANTA_BASE!A:R, 5, FALSE), "NO ENCONTRADO EN PLANTA"))</f>
        <v/>
      </c>
      <c r="E1006" s="2">
        <f>IF(B1006="","",IFERROR(VLOOKUP(B1006, PLANTA_BASE!A:R, 6, FALSE), "NO ENCONTRADO EN PLANTA"))</f>
        <v/>
      </c>
      <c r="F1006" s="4">
        <f>IF(B1006="","",IFERROR(VLOOKUP(B1006, PLANTA_BASE!A:R, 8, FALSE), "DOCENTE / FACILITADOR"))</f>
        <v/>
      </c>
      <c r="G1006" s="4">
        <f>IF(B1006="","",IFERROR(VLOOKUP(B1006, PLANTA_BASE!A:R, 9, FALSE), "GENERAL"))</f>
        <v/>
      </c>
      <c r="H1006" s="2">
        <f>IF(B1006="","",IFERROR(VLOOKUP(B1006, PLANTA_BASE!A:R, 17, FALSE), "GENERAL"))</f>
        <v/>
      </c>
    </row>
    <row r="1007" ht="20" customHeight="1">
      <c r="A1007" s="5">
        <f>IF(B1007="","",IFERROR(VLOOKUP(B1007, PLANTA_BASE!A:R, 2, FALSE), "NO ENCONTRADO EN PLANTA"))</f>
        <v/>
      </c>
      <c r="B1007" s="6" t="inlineStr"/>
      <c r="C1007" s="7">
        <f>IF(B1007="","",IFERROR(VLOOKUP(B1007, PLANTA_BASE!A:R, 3, FALSE), ""))</f>
        <v/>
      </c>
      <c r="D1007" s="5">
        <f>IF(B1007="","",IFERROR(VLOOKUP(B1007, PLANTA_BASE!A:R, 5, FALSE), "NO ENCONTRADO EN PLANTA"))</f>
        <v/>
      </c>
      <c r="E1007" s="5">
        <f>IF(B1007="","",IFERROR(VLOOKUP(B1007, PLANTA_BASE!A:R, 6, FALSE), "NO ENCONTRADO EN PLANTA"))</f>
        <v/>
      </c>
      <c r="F1007" s="7">
        <f>IF(B1007="","",IFERROR(VLOOKUP(B1007, PLANTA_BASE!A:R, 8, FALSE), "DOCENTE / FACILITADOR"))</f>
        <v/>
      </c>
      <c r="G1007" s="7">
        <f>IF(B1007="","",IFERROR(VLOOKUP(B1007, PLANTA_BASE!A:R, 9, FALSE), "GENERAL"))</f>
        <v/>
      </c>
      <c r="H1007" s="5">
        <f>IF(B1007="","",IFERROR(VLOOKUP(B1007, PLANTA_BASE!A:R, 17, FALSE), "GENERAL"))</f>
        <v/>
      </c>
    </row>
    <row r="1008" ht="20" customHeight="1">
      <c r="A1008" s="2">
        <f>IF(B1008="","",IFERROR(VLOOKUP(B1008, PLANTA_BASE!A:R, 2, FALSE), "NO ENCONTRADO EN PLANTA"))</f>
        <v/>
      </c>
      <c r="B1008" s="3" t="inlineStr"/>
      <c r="C1008" s="4">
        <f>IF(B1008="","",IFERROR(VLOOKUP(B1008, PLANTA_BASE!A:R, 3, FALSE), ""))</f>
        <v/>
      </c>
      <c r="D1008" s="2">
        <f>IF(B1008="","",IFERROR(VLOOKUP(B1008, PLANTA_BASE!A:R, 5, FALSE), "NO ENCONTRADO EN PLANTA"))</f>
        <v/>
      </c>
      <c r="E1008" s="2">
        <f>IF(B1008="","",IFERROR(VLOOKUP(B1008, PLANTA_BASE!A:R, 6, FALSE), "NO ENCONTRADO EN PLANTA"))</f>
        <v/>
      </c>
      <c r="F1008" s="4">
        <f>IF(B1008="","",IFERROR(VLOOKUP(B1008, PLANTA_BASE!A:R, 8, FALSE), "DOCENTE / FACILITADOR"))</f>
        <v/>
      </c>
      <c r="G1008" s="4">
        <f>IF(B1008="","",IFERROR(VLOOKUP(B1008, PLANTA_BASE!A:R, 9, FALSE), "GENERAL"))</f>
        <v/>
      </c>
      <c r="H1008" s="2">
        <f>IF(B1008="","",IFERROR(VLOOKUP(B1008, PLANTA_BASE!A:R, 17, FALSE), "GENERAL"))</f>
        <v/>
      </c>
    </row>
    <row r="1009" ht="20" customHeight="1">
      <c r="A1009" s="5">
        <f>IF(B1009="","",IFERROR(VLOOKUP(B1009, PLANTA_BASE!A:R, 2, FALSE), "NO ENCONTRADO EN PLANTA"))</f>
        <v/>
      </c>
      <c r="B1009" s="6" t="inlineStr"/>
      <c r="C1009" s="7">
        <f>IF(B1009="","",IFERROR(VLOOKUP(B1009, PLANTA_BASE!A:R, 3, FALSE), ""))</f>
        <v/>
      </c>
      <c r="D1009" s="5">
        <f>IF(B1009="","",IFERROR(VLOOKUP(B1009, PLANTA_BASE!A:R, 5, FALSE), "NO ENCONTRADO EN PLANTA"))</f>
        <v/>
      </c>
      <c r="E1009" s="5">
        <f>IF(B1009="","",IFERROR(VLOOKUP(B1009, PLANTA_BASE!A:R, 6, FALSE), "NO ENCONTRADO EN PLANTA"))</f>
        <v/>
      </c>
      <c r="F1009" s="7">
        <f>IF(B1009="","",IFERROR(VLOOKUP(B1009, PLANTA_BASE!A:R, 8, FALSE), "DOCENTE / FACILITADOR"))</f>
        <v/>
      </c>
      <c r="G1009" s="7">
        <f>IF(B1009="","",IFERROR(VLOOKUP(B1009, PLANTA_BASE!A:R, 9, FALSE), "GENERAL"))</f>
        <v/>
      </c>
      <c r="H1009" s="5">
        <f>IF(B1009="","",IFERROR(VLOOKUP(B1009, PLANTA_BASE!A:R, 17, FALSE), "GENERAL"))</f>
        <v/>
      </c>
    </row>
    <row r="1010" ht="20" customHeight="1">
      <c r="A1010" s="2">
        <f>IF(B1010="","",IFERROR(VLOOKUP(B1010, PLANTA_BASE!A:R, 2, FALSE), "NO ENCONTRADO EN PLANTA"))</f>
        <v/>
      </c>
      <c r="B1010" s="3" t="inlineStr"/>
      <c r="C1010" s="4">
        <f>IF(B1010="","",IFERROR(VLOOKUP(B1010, PLANTA_BASE!A:R, 3, FALSE), ""))</f>
        <v/>
      </c>
      <c r="D1010" s="2">
        <f>IF(B1010="","",IFERROR(VLOOKUP(B1010, PLANTA_BASE!A:R, 5, FALSE), "NO ENCONTRADO EN PLANTA"))</f>
        <v/>
      </c>
      <c r="E1010" s="2">
        <f>IF(B1010="","",IFERROR(VLOOKUP(B1010, PLANTA_BASE!A:R, 6, FALSE), "NO ENCONTRADO EN PLANTA"))</f>
        <v/>
      </c>
      <c r="F1010" s="4">
        <f>IF(B1010="","",IFERROR(VLOOKUP(B1010, PLANTA_BASE!A:R, 8, FALSE), "DOCENTE / FACILITADOR"))</f>
        <v/>
      </c>
      <c r="G1010" s="4">
        <f>IF(B1010="","",IFERROR(VLOOKUP(B1010, PLANTA_BASE!A:R, 9, FALSE), "GENERAL"))</f>
        <v/>
      </c>
      <c r="H1010" s="2">
        <f>IF(B1010="","",IFERROR(VLOOKUP(B1010, PLANTA_BASE!A:R, 17, FALSE), "GENERAL"))</f>
        <v/>
      </c>
    </row>
    <row r="1011" ht="20" customHeight="1">
      <c r="A1011" s="5">
        <f>IF(B1011="","",IFERROR(VLOOKUP(B1011, PLANTA_BASE!A:R, 2, FALSE), "NO ENCONTRADO EN PLANTA"))</f>
        <v/>
      </c>
      <c r="B1011" s="6" t="inlineStr"/>
      <c r="C1011" s="7">
        <f>IF(B1011="","",IFERROR(VLOOKUP(B1011, PLANTA_BASE!A:R, 3, FALSE), ""))</f>
        <v/>
      </c>
      <c r="D1011" s="5">
        <f>IF(B1011="","",IFERROR(VLOOKUP(B1011, PLANTA_BASE!A:R, 5, FALSE), "NO ENCONTRADO EN PLANTA"))</f>
        <v/>
      </c>
      <c r="E1011" s="5">
        <f>IF(B1011="","",IFERROR(VLOOKUP(B1011, PLANTA_BASE!A:R, 6, FALSE), "NO ENCONTRADO EN PLANTA"))</f>
        <v/>
      </c>
      <c r="F1011" s="7">
        <f>IF(B1011="","",IFERROR(VLOOKUP(B1011, PLANTA_BASE!A:R, 8, FALSE), "DOCENTE / FACILITADOR"))</f>
        <v/>
      </c>
      <c r="G1011" s="7">
        <f>IF(B1011="","",IFERROR(VLOOKUP(B1011, PLANTA_BASE!A:R, 9, FALSE), "GENERAL"))</f>
        <v/>
      </c>
      <c r="H1011" s="5">
        <f>IF(B1011="","",IFERROR(VLOOKUP(B1011, PLANTA_BASE!A:R, 17, FALSE), "GENERAL"))</f>
        <v/>
      </c>
    </row>
    <row r="1012" ht="20" customHeight="1">
      <c r="A1012" s="2">
        <f>IF(B1012="","",IFERROR(VLOOKUP(B1012, PLANTA_BASE!A:R, 2, FALSE), "NO ENCONTRADO EN PLANTA"))</f>
        <v/>
      </c>
      <c r="B1012" s="3" t="inlineStr"/>
      <c r="C1012" s="4">
        <f>IF(B1012="","",IFERROR(VLOOKUP(B1012, PLANTA_BASE!A:R, 3, FALSE), ""))</f>
        <v/>
      </c>
      <c r="D1012" s="2">
        <f>IF(B1012="","",IFERROR(VLOOKUP(B1012, PLANTA_BASE!A:R, 5, FALSE), "NO ENCONTRADO EN PLANTA"))</f>
        <v/>
      </c>
      <c r="E1012" s="2">
        <f>IF(B1012="","",IFERROR(VLOOKUP(B1012, PLANTA_BASE!A:R, 6, FALSE), "NO ENCONTRADO EN PLANTA"))</f>
        <v/>
      </c>
      <c r="F1012" s="4">
        <f>IF(B1012="","",IFERROR(VLOOKUP(B1012, PLANTA_BASE!A:R, 8, FALSE), "DOCENTE / FACILITADOR"))</f>
        <v/>
      </c>
      <c r="G1012" s="4">
        <f>IF(B1012="","",IFERROR(VLOOKUP(B1012, PLANTA_BASE!A:R, 9, FALSE), "GENERAL"))</f>
        <v/>
      </c>
      <c r="H1012" s="2">
        <f>IF(B1012="","",IFERROR(VLOOKUP(B1012, PLANTA_BASE!A:R, 17, FALSE), "GENERAL"))</f>
        <v/>
      </c>
    </row>
    <row r="1013" ht="20" customHeight="1">
      <c r="A1013" s="5">
        <f>IF(B1013="","",IFERROR(VLOOKUP(B1013, PLANTA_BASE!A:R, 2, FALSE), "NO ENCONTRADO EN PLANTA"))</f>
        <v/>
      </c>
      <c r="B1013" s="6" t="inlineStr"/>
      <c r="C1013" s="7">
        <f>IF(B1013="","",IFERROR(VLOOKUP(B1013, PLANTA_BASE!A:R, 3, FALSE), ""))</f>
        <v/>
      </c>
      <c r="D1013" s="5">
        <f>IF(B1013="","",IFERROR(VLOOKUP(B1013, PLANTA_BASE!A:R, 5, FALSE), "NO ENCONTRADO EN PLANTA"))</f>
        <v/>
      </c>
      <c r="E1013" s="5">
        <f>IF(B1013="","",IFERROR(VLOOKUP(B1013, PLANTA_BASE!A:R, 6, FALSE), "NO ENCONTRADO EN PLANTA"))</f>
        <v/>
      </c>
      <c r="F1013" s="7">
        <f>IF(B1013="","",IFERROR(VLOOKUP(B1013, PLANTA_BASE!A:R, 8, FALSE), "DOCENTE / FACILITADOR"))</f>
        <v/>
      </c>
      <c r="G1013" s="7">
        <f>IF(B1013="","",IFERROR(VLOOKUP(B1013, PLANTA_BASE!A:R, 9, FALSE), "GENERAL"))</f>
        <v/>
      </c>
      <c r="H1013" s="5">
        <f>IF(B1013="","",IFERROR(VLOOKUP(B1013, PLANTA_BASE!A:R, 17, FALSE), "GENERAL"))</f>
        <v/>
      </c>
    </row>
    <row r="1014" ht="20" customHeight="1">
      <c r="A1014" s="2">
        <f>IF(B1014="","",IFERROR(VLOOKUP(B1014, PLANTA_BASE!A:R, 2, FALSE), "NO ENCONTRADO EN PLANTA"))</f>
        <v/>
      </c>
      <c r="B1014" s="3" t="inlineStr"/>
      <c r="C1014" s="4">
        <f>IF(B1014="","",IFERROR(VLOOKUP(B1014, PLANTA_BASE!A:R, 3, FALSE), ""))</f>
        <v/>
      </c>
      <c r="D1014" s="2">
        <f>IF(B1014="","",IFERROR(VLOOKUP(B1014, PLANTA_BASE!A:R, 5, FALSE), "NO ENCONTRADO EN PLANTA"))</f>
        <v/>
      </c>
      <c r="E1014" s="2">
        <f>IF(B1014="","",IFERROR(VLOOKUP(B1014, PLANTA_BASE!A:R, 6, FALSE), "NO ENCONTRADO EN PLANTA"))</f>
        <v/>
      </c>
      <c r="F1014" s="4">
        <f>IF(B1014="","",IFERROR(VLOOKUP(B1014, PLANTA_BASE!A:R, 8, FALSE), "DOCENTE / FACILITADOR"))</f>
        <v/>
      </c>
      <c r="G1014" s="4">
        <f>IF(B1014="","",IFERROR(VLOOKUP(B1014, PLANTA_BASE!A:R, 9, FALSE), "GENERAL"))</f>
        <v/>
      </c>
      <c r="H1014" s="2">
        <f>IF(B1014="","",IFERROR(VLOOKUP(B1014, PLANTA_BASE!A:R, 17, FALSE), "GENERAL"))</f>
        <v/>
      </c>
    </row>
    <row r="1015" ht="20" customHeight="1">
      <c r="A1015" s="5">
        <f>IF(B1015="","",IFERROR(VLOOKUP(B1015, PLANTA_BASE!A:R, 2, FALSE), "NO ENCONTRADO EN PLANTA"))</f>
        <v/>
      </c>
      <c r="B1015" s="6" t="inlineStr"/>
      <c r="C1015" s="7">
        <f>IF(B1015="","",IFERROR(VLOOKUP(B1015, PLANTA_BASE!A:R, 3, FALSE), ""))</f>
        <v/>
      </c>
      <c r="D1015" s="5">
        <f>IF(B1015="","",IFERROR(VLOOKUP(B1015, PLANTA_BASE!A:R, 5, FALSE), "NO ENCONTRADO EN PLANTA"))</f>
        <v/>
      </c>
      <c r="E1015" s="5">
        <f>IF(B1015="","",IFERROR(VLOOKUP(B1015, PLANTA_BASE!A:R, 6, FALSE), "NO ENCONTRADO EN PLANTA"))</f>
        <v/>
      </c>
      <c r="F1015" s="7">
        <f>IF(B1015="","",IFERROR(VLOOKUP(B1015, PLANTA_BASE!A:R, 8, FALSE), "DOCENTE / FACILITADOR"))</f>
        <v/>
      </c>
      <c r="G1015" s="7">
        <f>IF(B1015="","",IFERROR(VLOOKUP(B1015, PLANTA_BASE!A:R, 9, FALSE), "GENERAL"))</f>
        <v/>
      </c>
      <c r="H1015" s="5">
        <f>IF(B1015="","",IFERROR(VLOOKUP(B1015, PLANTA_BASE!A:R, 17, FALSE), "GENERAL"))</f>
        <v/>
      </c>
    </row>
    <row r="1016" ht="20" customHeight="1">
      <c r="A1016" s="2">
        <f>IF(B1016="","",IFERROR(VLOOKUP(B1016, PLANTA_BASE!A:R, 2, FALSE), "NO ENCONTRADO EN PLANTA"))</f>
        <v/>
      </c>
      <c r="B1016" s="3" t="inlineStr"/>
      <c r="C1016" s="4">
        <f>IF(B1016="","",IFERROR(VLOOKUP(B1016, PLANTA_BASE!A:R, 3, FALSE), ""))</f>
        <v/>
      </c>
      <c r="D1016" s="2">
        <f>IF(B1016="","",IFERROR(VLOOKUP(B1016, PLANTA_BASE!A:R, 5, FALSE), "NO ENCONTRADO EN PLANTA"))</f>
        <v/>
      </c>
      <c r="E1016" s="2">
        <f>IF(B1016="","",IFERROR(VLOOKUP(B1016, PLANTA_BASE!A:R, 6, FALSE), "NO ENCONTRADO EN PLANTA"))</f>
        <v/>
      </c>
      <c r="F1016" s="4">
        <f>IF(B1016="","",IFERROR(VLOOKUP(B1016, PLANTA_BASE!A:R, 8, FALSE), "DOCENTE / FACILITADOR"))</f>
        <v/>
      </c>
      <c r="G1016" s="4">
        <f>IF(B1016="","",IFERROR(VLOOKUP(B1016, PLANTA_BASE!A:R, 9, FALSE), "GENERAL"))</f>
        <v/>
      </c>
      <c r="H1016" s="2">
        <f>IF(B1016="","",IFERROR(VLOOKUP(B1016, PLANTA_BASE!A:R, 17, FALSE), "GENERAL"))</f>
        <v/>
      </c>
    </row>
    <row r="1017" ht="20" customHeight="1">
      <c r="A1017" s="5">
        <f>IF(B1017="","",IFERROR(VLOOKUP(B1017, PLANTA_BASE!A:R, 2, FALSE), "NO ENCONTRADO EN PLANTA"))</f>
        <v/>
      </c>
      <c r="B1017" s="6" t="inlineStr"/>
      <c r="C1017" s="7">
        <f>IF(B1017="","",IFERROR(VLOOKUP(B1017, PLANTA_BASE!A:R, 3, FALSE), ""))</f>
        <v/>
      </c>
      <c r="D1017" s="5">
        <f>IF(B1017="","",IFERROR(VLOOKUP(B1017, PLANTA_BASE!A:R, 5, FALSE), "NO ENCONTRADO EN PLANTA"))</f>
        <v/>
      </c>
      <c r="E1017" s="5">
        <f>IF(B1017="","",IFERROR(VLOOKUP(B1017, PLANTA_BASE!A:R, 6, FALSE), "NO ENCONTRADO EN PLANTA"))</f>
        <v/>
      </c>
      <c r="F1017" s="7">
        <f>IF(B1017="","",IFERROR(VLOOKUP(B1017, PLANTA_BASE!A:R, 8, FALSE), "DOCENTE / FACILITADOR"))</f>
        <v/>
      </c>
      <c r="G1017" s="7">
        <f>IF(B1017="","",IFERROR(VLOOKUP(B1017, PLANTA_BASE!A:R, 9, FALSE), "GENERAL"))</f>
        <v/>
      </c>
      <c r="H1017" s="5">
        <f>IF(B1017="","",IFERROR(VLOOKUP(B1017, PLANTA_BASE!A:R, 17, FALSE), "GENERAL"))</f>
        <v/>
      </c>
    </row>
    <row r="1018" ht="20" customHeight="1">
      <c r="A1018" s="2">
        <f>IF(B1018="","",IFERROR(VLOOKUP(B1018, PLANTA_BASE!A:R, 2, FALSE), "NO ENCONTRADO EN PLANTA"))</f>
        <v/>
      </c>
      <c r="B1018" s="3" t="inlineStr"/>
      <c r="C1018" s="4">
        <f>IF(B1018="","",IFERROR(VLOOKUP(B1018, PLANTA_BASE!A:R, 3, FALSE), ""))</f>
        <v/>
      </c>
      <c r="D1018" s="2">
        <f>IF(B1018="","",IFERROR(VLOOKUP(B1018, PLANTA_BASE!A:R, 5, FALSE), "NO ENCONTRADO EN PLANTA"))</f>
        <v/>
      </c>
      <c r="E1018" s="2">
        <f>IF(B1018="","",IFERROR(VLOOKUP(B1018, PLANTA_BASE!A:R, 6, FALSE), "NO ENCONTRADO EN PLANTA"))</f>
        <v/>
      </c>
      <c r="F1018" s="4">
        <f>IF(B1018="","",IFERROR(VLOOKUP(B1018, PLANTA_BASE!A:R, 8, FALSE), "DOCENTE / FACILITADOR"))</f>
        <v/>
      </c>
      <c r="G1018" s="4">
        <f>IF(B1018="","",IFERROR(VLOOKUP(B1018, PLANTA_BASE!A:R, 9, FALSE), "GENERAL"))</f>
        <v/>
      </c>
      <c r="H1018" s="2">
        <f>IF(B1018="","",IFERROR(VLOOKUP(B1018, PLANTA_BASE!A:R, 17, FALSE), "GENERAL"))</f>
        <v/>
      </c>
    </row>
    <row r="1019" ht="20" customHeight="1">
      <c r="A1019" s="5">
        <f>IF(B1019="","",IFERROR(VLOOKUP(B1019, PLANTA_BASE!A:R, 2, FALSE), "NO ENCONTRADO EN PLANTA"))</f>
        <v/>
      </c>
      <c r="B1019" s="6" t="inlineStr"/>
      <c r="C1019" s="7">
        <f>IF(B1019="","",IFERROR(VLOOKUP(B1019, PLANTA_BASE!A:R, 3, FALSE), ""))</f>
        <v/>
      </c>
      <c r="D1019" s="5">
        <f>IF(B1019="","",IFERROR(VLOOKUP(B1019, PLANTA_BASE!A:R, 5, FALSE), "NO ENCONTRADO EN PLANTA"))</f>
        <v/>
      </c>
      <c r="E1019" s="5">
        <f>IF(B1019="","",IFERROR(VLOOKUP(B1019, PLANTA_BASE!A:R, 6, FALSE), "NO ENCONTRADO EN PLANTA"))</f>
        <v/>
      </c>
      <c r="F1019" s="7">
        <f>IF(B1019="","",IFERROR(VLOOKUP(B1019, PLANTA_BASE!A:R, 8, FALSE), "DOCENTE / FACILITADOR"))</f>
        <v/>
      </c>
      <c r="G1019" s="7">
        <f>IF(B1019="","",IFERROR(VLOOKUP(B1019, PLANTA_BASE!A:R, 9, FALSE), "GENERAL"))</f>
        <v/>
      </c>
      <c r="H1019" s="5">
        <f>IF(B1019="","",IFERROR(VLOOKUP(B1019, PLANTA_BASE!A:R, 17, FALSE), "GENERAL"))</f>
        <v/>
      </c>
    </row>
    <row r="1020" ht="20" customHeight="1">
      <c r="A1020" s="2">
        <f>IF(B1020="","",IFERROR(VLOOKUP(B1020, PLANTA_BASE!A:R, 2, FALSE), "NO ENCONTRADO EN PLANTA"))</f>
        <v/>
      </c>
      <c r="B1020" s="3" t="inlineStr"/>
      <c r="C1020" s="4">
        <f>IF(B1020="","",IFERROR(VLOOKUP(B1020, PLANTA_BASE!A:R, 3, FALSE), ""))</f>
        <v/>
      </c>
      <c r="D1020" s="2">
        <f>IF(B1020="","",IFERROR(VLOOKUP(B1020, PLANTA_BASE!A:R, 5, FALSE), "NO ENCONTRADO EN PLANTA"))</f>
        <v/>
      </c>
      <c r="E1020" s="2">
        <f>IF(B1020="","",IFERROR(VLOOKUP(B1020, PLANTA_BASE!A:R, 6, FALSE), "NO ENCONTRADO EN PLANTA"))</f>
        <v/>
      </c>
      <c r="F1020" s="4">
        <f>IF(B1020="","",IFERROR(VLOOKUP(B1020, PLANTA_BASE!A:R, 8, FALSE), "DOCENTE / FACILITADOR"))</f>
        <v/>
      </c>
      <c r="G1020" s="4">
        <f>IF(B1020="","",IFERROR(VLOOKUP(B1020, PLANTA_BASE!A:R, 9, FALSE), "GENERAL"))</f>
        <v/>
      </c>
      <c r="H1020" s="2">
        <f>IF(B1020="","",IFERROR(VLOOKUP(B1020, PLANTA_BASE!A:R, 17, FALSE), "GENERAL"))</f>
        <v/>
      </c>
    </row>
    <row r="1021" ht="20" customHeight="1">
      <c r="A1021" s="5">
        <f>IF(B1021="","",IFERROR(VLOOKUP(B1021, PLANTA_BASE!A:R, 2, FALSE), "NO ENCONTRADO EN PLANTA"))</f>
        <v/>
      </c>
      <c r="B1021" s="6" t="inlineStr"/>
      <c r="C1021" s="7">
        <f>IF(B1021="","",IFERROR(VLOOKUP(B1021, PLANTA_BASE!A:R, 3, FALSE), ""))</f>
        <v/>
      </c>
      <c r="D1021" s="5">
        <f>IF(B1021="","",IFERROR(VLOOKUP(B1021, PLANTA_BASE!A:R, 5, FALSE), "NO ENCONTRADO EN PLANTA"))</f>
        <v/>
      </c>
      <c r="E1021" s="5">
        <f>IF(B1021="","",IFERROR(VLOOKUP(B1021, PLANTA_BASE!A:R, 6, FALSE), "NO ENCONTRADO EN PLANTA"))</f>
        <v/>
      </c>
      <c r="F1021" s="7">
        <f>IF(B1021="","",IFERROR(VLOOKUP(B1021, PLANTA_BASE!A:R, 8, FALSE), "DOCENTE / FACILITADOR"))</f>
        <v/>
      </c>
      <c r="G1021" s="7">
        <f>IF(B1021="","",IFERROR(VLOOKUP(B1021, PLANTA_BASE!A:R, 9, FALSE), "GENERAL"))</f>
        <v/>
      </c>
      <c r="H1021" s="5">
        <f>IF(B1021="","",IFERROR(VLOOKUP(B1021, PLANTA_BASE!A:R, 17, FALSE), "GENERAL"))</f>
        <v/>
      </c>
    </row>
    <row r="1022" ht="20" customHeight="1">
      <c r="A1022" s="2">
        <f>IF(B1022="","",IFERROR(VLOOKUP(B1022, PLANTA_BASE!A:R, 2, FALSE), "NO ENCONTRADO EN PLANTA"))</f>
        <v/>
      </c>
      <c r="B1022" s="3" t="inlineStr"/>
      <c r="C1022" s="4">
        <f>IF(B1022="","",IFERROR(VLOOKUP(B1022, PLANTA_BASE!A:R, 3, FALSE), ""))</f>
        <v/>
      </c>
      <c r="D1022" s="2">
        <f>IF(B1022="","",IFERROR(VLOOKUP(B1022, PLANTA_BASE!A:R, 5, FALSE), "NO ENCONTRADO EN PLANTA"))</f>
        <v/>
      </c>
      <c r="E1022" s="2">
        <f>IF(B1022="","",IFERROR(VLOOKUP(B1022, PLANTA_BASE!A:R, 6, FALSE), "NO ENCONTRADO EN PLANTA"))</f>
        <v/>
      </c>
      <c r="F1022" s="4">
        <f>IF(B1022="","",IFERROR(VLOOKUP(B1022, PLANTA_BASE!A:R, 8, FALSE), "DOCENTE / FACILITADOR"))</f>
        <v/>
      </c>
      <c r="G1022" s="4">
        <f>IF(B1022="","",IFERROR(VLOOKUP(B1022, PLANTA_BASE!A:R, 9, FALSE), "GENERAL"))</f>
        <v/>
      </c>
      <c r="H1022" s="2">
        <f>IF(B1022="","",IFERROR(VLOOKUP(B1022, PLANTA_BASE!A:R, 17, FALSE), "GENERAL"))</f>
        <v/>
      </c>
    </row>
    <row r="1023" ht="20" customHeight="1">
      <c r="A1023" s="5">
        <f>IF(B1023="","",IFERROR(VLOOKUP(B1023, PLANTA_BASE!A:R, 2, FALSE), "NO ENCONTRADO EN PLANTA"))</f>
        <v/>
      </c>
      <c r="B1023" s="6" t="inlineStr"/>
      <c r="C1023" s="7">
        <f>IF(B1023="","",IFERROR(VLOOKUP(B1023, PLANTA_BASE!A:R, 3, FALSE), ""))</f>
        <v/>
      </c>
      <c r="D1023" s="5">
        <f>IF(B1023="","",IFERROR(VLOOKUP(B1023, PLANTA_BASE!A:R, 5, FALSE), "NO ENCONTRADO EN PLANTA"))</f>
        <v/>
      </c>
      <c r="E1023" s="5">
        <f>IF(B1023="","",IFERROR(VLOOKUP(B1023, PLANTA_BASE!A:R, 6, FALSE), "NO ENCONTRADO EN PLANTA"))</f>
        <v/>
      </c>
      <c r="F1023" s="7">
        <f>IF(B1023="","",IFERROR(VLOOKUP(B1023, PLANTA_BASE!A:R, 8, FALSE), "DOCENTE / FACILITADOR"))</f>
        <v/>
      </c>
      <c r="G1023" s="7">
        <f>IF(B1023="","",IFERROR(VLOOKUP(B1023, PLANTA_BASE!A:R, 9, FALSE), "GENERAL"))</f>
        <v/>
      </c>
      <c r="H1023" s="5">
        <f>IF(B1023="","",IFERROR(VLOOKUP(B1023, PLANTA_BASE!A:R, 17, FALSE), "GENERAL"))</f>
        <v/>
      </c>
    </row>
    <row r="1024" ht="20" customHeight="1">
      <c r="A1024" s="2">
        <f>IF(B1024="","",IFERROR(VLOOKUP(B1024, PLANTA_BASE!A:R, 2, FALSE), "NO ENCONTRADO EN PLANTA"))</f>
        <v/>
      </c>
      <c r="B1024" s="3" t="inlineStr"/>
      <c r="C1024" s="4">
        <f>IF(B1024="","",IFERROR(VLOOKUP(B1024, PLANTA_BASE!A:R, 3, FALSE), ""))</f>
        <v/>
      </c>
      <c r="D1024" s="2">
        <f>IF(B1024="","",IFERROR(VLOOKUP(B1024, PLANTA_BASE!A:R, 5, FALSE), "NO ENCONTRADO EN PLANTA"))</f>
        <v/>
      </c>
      <c r="E1024" s="2">
        <f>IF(B1024="","",IFERROR(VLOOKUP(B1024, PLANTA_BASE!A:R, 6, FALSE), "NO ENCONTRADO EN PLANTA"))</f>
        <v/>
      </c>
      <c r="F1024" s="4">
        <f>IF(B1024="","",IFERROR(VLOOKUP(B1024, PLANTA_BASE!A:R, 8, FALSE), "DOCENTE / FACILITADOR"))</f>
        <v/>
      </c>
      <c r="G1024" s="4">
        <f>IF(B1024="","",IFERROR(VLOOKUP(B1024, PLANTA_BASE!A:R, 9, FALSE), "GENERAL"))</f>
        <v/>
      </c>
      <c r="H1024" s="2">
        <f>IF(B1024="","",IFERROR(VLOOKUP(B1024, PLANTA_BASE!A:R, 17, FALSE), "GENERAL"))</f>
        <v/>
      </c>
    </row>
    <row r="1025" ht="20" customHeight="1">
      <c r="A1025" s="5">
        <f>IF(B1025="","",IFERROR(VLOOKUP(B1025, PLANTA_BASE!A:R, 2, FALSE), "NO ENCONTRADO EN PLANTA"))</f>
        <v/>
      </c>
      <c r="B1025" s="6" t="inlineStr"/>
      <c r="C1025" s="7">
        <f>IF(B1025="","",IFERROR(VLOOKUP(B1025, PLANTA_BASE!A:R, 3, FALSE), ""))</f>
        <v/>
      </c>
      <c r="D1025" s="5">
        <f>IF(B1025="","",IFERROR(VLOOKUP(B1025, PLANTA_BASE!A:R, 5, FALSE), "NO ENCONTRADO EN PLANTA"))</f>
        <v/>
      </c>
      <c r="E1025" s="5">
        <f>IF(B1025="","",IFERROR(VLOOKUP(B1025, PLANTA_BASE!A:R, 6, FALSE), "NO ENCONTRADO EN PLANTA"))</f>
        <v/>
      </c>
      <c r="F1025" s="7">
        <f>IF(B1025="","",IFERROR(VLOOKUP(B1025, PLANTA_BASE!A:R, 8, FALSE), "DOCENTE / FACILITADOR"))</f>
        <v/>
      </c>
      <c r="G1025" s="7">
        <f>IF(B1025="","",IFERROR(VLOOKUP(B1025, PLANTA_BASE!A:R, 9, FALSE), "GENERAL"))</f>
        <v/>
      </c>
      <c r="H1025" s="5">
        <f>IF(B1025="","",IFERROR(VLOOKUP(B1025, PLANTA_BASE!A:R, 17, FALSE), "GENERAL"))</f>
        <v/>
      </c>
    </row>
    <row r="1026" ht="20" customHeight="1">
      <c r="A1026" s="2">
        <f>IF(B1026="","",IFERROR(VLOOKUP(B1026, PLANTA_BASE!A:R, 2, FALSE), "NO ENCONTRADO EN PLANTA"))</f>
        <v/>
      </c>
      <c r="B1026" s="3" t="inlineStr"/>
      <c r="C1026" s="4">
        <f>IF(B1026="","",IFERROR(VLOOKUP(B1026, PLANTA_BASE!A:R, 3, FALSE), ""))</f>
        <v/>
      </c>
      <c r="D1026" s="2">
        <f>IF(B1026="","",IFERROR(VLOOKUP(B1026, PLANTA_BASE!A:R, 5, FALSE), "NO ENCONTRADO EN PLANTA"))</f>
        <v/>
      </c>
      <c r="E1026" s="2">
        <f>IF(B1026="","",IFERROR(VLOOKUP(B1026, PLANTA_BASE!A:R, 6, FALSE), "NO ENCONTRADO EN PLANTA"))</f>
        <v/>
      </c>
      <c r="F1026" s="4">
        <f>IF(B1026="","",IFERROR(VLOOKUP(B1026, PLANTA_BASE!A:R, 8, FALSE), "DOCENTE / FACILITADOR"))</f>
        <v/>
      </c>
      <c r="G1026" s="4">
        <f>IF(B1026="","",IFERROR(VLOOKUP(B1026, PLANTA_BASE!A:R, 9, FALSE), "GENERAL"))</f>
        <v/>
      </c>
      <c r="H1026" s="2">
        <f>IF(B1026="","",IFERROR(VLOOKUP(B1026, PLANTA_BASE!A:R, 17, FALSE), "GENERAL"))</f>
        <v/>
      </c>
    </row>
    <row r="1027" ht="20" customHeight="1">
      <c r="A1027" s="5">
        <f>IF(B1027="","",IFERROR(VLOOKUP(B1027, PLANTA_BASE!A:R, 2, FALSE), "NO ENCONTRADO EN PLANTA"))</f>
        <v/>
      </c>
      <c r="B1027" s="6" t="inlineStr"/>
      <c r="C1027" s="7">
        <f>IF(B1027="","",IFERROR(VLOOKUP(B1027, PLANTA_BASE!A:R, 3, FALSE), ""))</f>
        <v/>
      </c>
      <c r="D1027" s="5">
        <f>IF(B1027="","",IFERROR(VLOOKUP(B1027, PLANTA_BASE!A:R, 5, FALSE), "NO ENCONTRADO EN PLANTA"))</f>
        <v/>
      </c>
      <c r="E1027" s="5">
        <f>IF(B1027="","",IFERROR(VLOOKUP(B1027, PLANTA_BASE!A:R, 6, FALSE), "NO ENCONTRADO EN PLANTA"))</f>
        <v/>
      </c>
      <c r="F1027" s="7">
        <f>IF(B1027="","",IFERROR(VLOOKUP(B1027, PLANTA_BASE!A:R, 8, FALSE), "DOCENTE / FACILITADOR"))</f>
        <v/>
      </c>
      <c r="G1027" s="7">
        <f>IF(B1027="","",IFERROR(VLOOKUP(B1027, PLANTA_BASE!A:R, 9, FALSE), "GENERAL"))</f>
        <v/>
      </c>
      <c r="H1027" s="5">
        <f>IF(B1027="","",IFERROR(VLOOKUP(B1027, PLANTA_BASE!A:R, 17, FALSE), "GENERAL"))</f>
        <v/>
      </c>
    </row>
    <row r="1028" ht="20" customHeight="1">
      <c r="A1028" s="2">
        <f>IF(B1028="","",IFERROR(VLOOKUP(B1028, PLANTA_BASE!A:R, 2, FALSE), "NO ENCONTRADO EN PLANTA"))</f>
        <v/>
      </c>
      <c r="B1028" s="3" t="inlineStr"/>
      <c r="C1028" s="4">
        <f>IF(B1028="","",IFERROR(VLOOKUP(B1028, PLANTA_BASE!A:R, 3, FALSE), ""))</f>
        <v/>
      </c>
      <c r="D1028" s="2">
        <f>IF(B1028="","",IFERROR(VLOOKUP(B1028, PLANTA_BASE!A:R, 5, FALSE), "NO ENCONTRADO EN PLANTA"))</f>
        <v/>
      </c>
      <c r="E1028" s="2">
        <f>IF(B1028="","",IFERROR(VLOOKUP(B1028, PLANTA_BASE!A:R, 6, FALSE), "NO ENCONTRADO EN PLANTA"))</f>
        <v/>
      </c>
      <c r="F1028" s="4">
        <f>IF(B1028="","",IFERROR(VLOOKUP(B1028, PLANTA_BASE!A:R, 8, FALSE), "DOCENTE / FACILITADOR"))</f>
        <v/>
      </c>
      <c r="G1028" s="4">
        <f>IF(B1028="","",IFERROR(VLOOKUP(B1028, PLANTA_BASE!A:R, 9, FALSE), "GENERAL"))</f>
        <v/>
      </c>
      <c r="H1028" s="2">
        <f>IF(B1028="","",IFERROR(VLOOKUP(B1028, PLANTA_BASE!A:R, 17, FALSE), "GENERAL"))</f>
        <v/>
      </c>
    </row>
    <row r="1029" ht="20" customHeight="1">
      <c r="A1029" s="5">
        <f>IF(B1029="","",IFERROR(VLOOKUP(B1029, PLANTA_BASE!A:R, 2, FALSE), "NO ENCONTRADO EN PLANTA"))</f>
        <v/>
      </c>
      <c r="B1029" s="6" t="inlineStr"/>
      <c r="C1029" s="7">
        <f>IF(B1029="","",IFERROR(VLOOKUP(B1029, PLANTA_BASE!A:R, 3, FALSE), ""))</f>
        <v/>
      </c>
      <c r="D1029" s="5">
        <f>IF(B1029="","",IFERROR(VLOOKUP(B1029, PLANTA_BASE!A:R, 5, FALSE), "NO ENCONTRADO EN PLANTA"))</f>
        <v/>
      </c>
      <c r="E1029" s="5">
        <f>IF(B1029="","",IFERROR(VLOOKUP(B1029, PLANTA_BASE!A:R, 6, FALSE), "NO ENCONTRADO EN PLANTA"))</f>
        <v/>
      </c>
      <c r="F1029" s="7">
        <f>IF(B1029="","",IFERROR(VLOOKUP(B1029, PLANTA_BASE!A:R, 8, FALSE), "DOCENTE / FACILITADOR"))</f>
        <v/>
      </c>
      <c r="G1029" s="7">
        <f>IF(B1029="","",IFERROR(VLOOKUP(B1029, PLANTA_BASE!A:R, 9, FALSE), "GENERAL"))</f>
        <v/>
      </c>
      <c r="H1029" s="5">
        <f>IF(B1029="","",IFERROR(VLOOKUP(B1029, PLANTA_BASE!A:R, 17, FALSE), "GENERAL"))</f>
        <v/>
      </c>
    </row>
    <row r="1030" ht="20" customHeight="1">
      <c r="A1030" s="2">
        <f>IF(B1030="","",IFERROR(VLOOKUP(B1030, PLANTA_BASE!A:R, 2, FALSE), "NO ENCONTRADO EN PLANTA"))</f>
        <v/>
      </c>
      <c r="B1030" s="3" t="inlineStr"/>
      <c r="C1030" s="4">
        <f>IF(B1030="","",IFERROR(VLOOKUP(B1030, PLANTA_BASE!A:R, 3, FALSE), ""))</f>
        <v/>
      </c>
      <c r="D1030" s="2">
        <f>IF(B1030="","",IFERROR(VLOOKUP(B1030, PLANTA_BASE!A:R, 5, FALSE), "NO ENCONTRADO EN PLANTA"))</f>
        <v/>
      </c>
      <c r="E1030" s="2">
        <f>IF(B1030="","",IFERROR(VLOOKUP(B1030, PLANTA_BASE!A:R, 6, FALSE), "NO ENCONTRADO EN PLANTA"))</f>
        <v/>
      </c>
      <c r="F1030" s="4">
        <f>IF(B1030="","",IFERROR(VLOOKUP(B1030, PLANTA_BASE!A:R, 8, FALSE), "DOCENTE / FACILITADOR"))</f>
        <v/>
      </c>
      <c r="G1030" s="4">
        <f>IF(B1030="","",IFERROR(VLOOKUP(B1030, PLANTA_BASE!A:R, 9, FALSE), "GENERAL"))</f>
        <v/>
      </c>
      <c r="H1030" s="2">
        <f>IF(B1030="","",IFERROR(VLOOKUP(B1030, PLANTA_BASE!A:R, 17, FALSE), "GENERAL"))</f>
        <v/>
      </c>
    </row>
    <row r="1031" ht="20" customHeight="1">
      <c r="A1031" s="5">
        <f>IF(B1031="","",IFERROR(VLOOKUP(B1031, PLANTA_BASE!A:R, 2, FALSE), "NO ENCONTRADO EN PLANTA"))</f>
        <v/>
      </c>
      <c r="B1031" s="6" t="inlineStr"/>
      <c r="C1031" s="7">
        <f>IF(B1031="","",IFERROR(VLOOKUP(B1031, PLANTA_BASE!A:R, 3, FALSE), ""))</f>
        <v/>
      </c>
      <c r="D1031" s="5">
        <f>IF(B1031="","",IFERROR(VLOOKUP(B1031, PLANTA_BASE!A:R, 5, FALSE), "NO ENCONTRADO EN PLANTA"))</f>
        <v/>
      </c>
      <c r="E1031" s="5">
        <f>IF(B1031="","",IFERROR(VLOOKUP(B1031, PLANTA_BASE!A:R, 6, FALSE), "NO ENCONTRADO EN PLANTA"))</f>
        <v/>
      </c>
      <c r="F1031" s="7">
        <f>IF(B1031="","",IFERROR(VLOOKUP(B1031, PLANTA_BASE!A:R, 8, FALSE), "DOCENTE / FACILITADOR"))</f>
        <v/>
      </c>
      <c r="G1031" s="7">
        <f>IF(B1031="","",IFERROR(VLOOKUP(B1031, PLANTA_BASE!A:R, 9, FALSE), "GENERAL"))</f>
        <v/>
      </c>
      <c r="H1031" s="5">
        <f>IF(B1031="","",IFERROR(VLOOKUP(B1031, PLANTA_BASE!A:R, 17, FALSE), "GENERAL"))</f>
        <v/>
      </c>
    </row>
    <row r="1032" ht="20" customHeight="1">
      <c r="A1032" s="2">
        <f>IF(B1032="","",IFERROR(VLOOKUP(B1032, PLANTA_BASE!A:R, 2, FALSE), "NO ENCONTRADO EN PLANTA"))</f>
        <v/>
      </c>
      <c r="B1032" s="3" t="inlineStr"/>
      <c r="C1032" s="4">
        <f>IF(B1032="","",IFERROR(VLOOKUP(B1032, PLANTA_BASE!A:R, 3, FALSE), ""))</f>
        <v/>
      </c>
      <c r="D1032" s="2">
        <f>IF(B1032="","",IFERROR(VLOOKUP(B1032, PLANTA_BASE!A:R, 5, FALSE), "NO ENCONTRADO EN PLANTA"))</f>
        <v/>
      </c>
      <c r="E1032" s="2">
        <f>IF(B1032="","",IFERROR(VLOOKUP(B1032, PLANTA_BASE!A:R, 6, FALSE), "NO ENCONTRADO EN PLANTA"))</f>
        <v/>
      </c>
      <c r="F1032" s="4">
        <f>IF(B1032="","",IFERROR(VLOOKUP(B1032, PLANTA_BASE!A:R, 8, FALSE), "DOCENTE / FACILITADOR"))</f>
        <v/>
      </c>
      <c r="G1032" s="4">
        <f>IF(B1032="","",IFERROR(VLOOKUP(B1032, PLANTA_BASE!A:R, 9, FALSE), "GENERAL"))</f>
        <v/>
      </c>
      <c r="H1032" s="2">
        <f>IF(B1032="","",IFERROR(VLOOKUP(B1032, PLANTA_BASE!A:R, 17, FALSE), "GENERAL"))</f>
        <v/>
      </c>
    </row>
    <row r="1033" ht="20" customHeight="1">
      <c r="A1033" s="5">
        <f>IF(B1033="","",IFERROR(VLOOKUP(B1033, PLANTA_BASE!A:R, 2, FALSE), "NO ENCONTRADO EN PLANTA"))</f>
        <v/>
      </c>
      <c r="B1033" s="6" t="inlineStr"/>
      <c r="C1033" s="7">
        <f>IF(B1033="","",IFERROR(VLOOKUP(B1033, PLANTA_BASE!A:R, 3, FALSE), ""))</f>
        <v/>
      </c>
      <c r="D1033" s="5">
        <f>IF(B1033="","",IFERROR(VLOOKUP(B1033, PLANTA_BASE!A:R, 5, FALSE), "NO ENCONTRADO EN PLANTA"))</f>
        <v/>
      </c>
      <c r="E1033" s="5">
        <f>IF(B1033="","",IFERROR(VLOOKUP(B1033, PLANTA_BASE!A:R, 6, FALSE), "NO ENCONTRADO EN PLANTA"))</f>
        <v/>
      </c>
      <c r="F1033" s="7">
        <f>IF(B1033="","",IFERROR(VLOOKUP(B1033, PLANTA_BASE!A:R, 8, FALSE), "DOCENTE / FACILITADOR"))</f>
        <v/>
      </c>
      <c r="G1033" s="7">
        <f>IF(B1033="","",IFERROR(VLOOKUP(B1033, PLANTA_BASE!A:R, 9, FALSE), "GENERAL"))</f>
        <v/>
      </c>
      <c r="H1033" s="5">
        <f>IF(B1033="","",IFERROR(VLOOKUP(B1033, PLANTA_BASE!A:R, 17, FALSE), "GENERAL"))</f>
        <v/>
      </c>
    </row>
    <row r="1034" ht="20" customHeight="1">
      <c r="A1034" s="2">
        <f>IF(B1034="","",IFERROR(VLOOKUP(B1034, PLANTA_BASE!A:R, 2, FALSE), "NO ENCONTRADO EN PLANTA"))</f>
        <v/>
      </c>
      <c r="B1034" s="3" t="inlineStr"/>
      <c r="C1034" s="4">
        <f>IF(B1034="","",IFERROR(VLOOKUP(B1034, PLANTA_BASE!A:R, 3, FALSE), ""))</f>
        <v/>
      </c>
      <c r="D1034" s="2">
        <f>IF(B1034="","",IFERROR(VLOOKUP(B1034, PLANTA_BASE!A:R, 5, FALSE), "NO ENCONTRADO EN PLANTA"))</f>
        <v/>
      </c>
      <c r="E1034" s="2">
        <f>IF(B1034="","",IFERROR(VLOOKUP(B1034, PLANTA_BASE!A:R, 6, FALSE), "NO ENCONTRADO EN PLANTA"))</f>
        <v/>
      </c>
      <c r="F1034" s="4">
        <f>IF(B1034="","",IFERROR(VLOOKUP(B1034, PLANTA_BASE!A:R, 8, FALSE), "DOCENTE / FACILITADOR"))</f>
        <v/>
      </c>
      <c r="G1034" s="4">
        <f>IF(B1034="","",IFERROR(VLOOKUP(B1034, PLANTA_BASE!A:R, 9, FALSE), "GENERAL"))</f>
        <v/>
      </c>
      <c r="H1034" s="2">
        <f>IF(B1034="","",IFERROR(VLOOKUP(B1034, PLANTA_BASE!A:R, 17, FALSE), "GENERAL"))</f>
        <v/>
      </c>
    </row>
    <row r="1035" ht="20" customHeight="1">
      <c r="A1035" s="5">
        <f>IF(B1035="","",IFERROR(VLOOKUP(B1035, PLANTA_BASE!A:R, 2, FALSE), "NO ENCONTRADO EN PLANTA"))</f>
        <v/>
      </c>
      <c r="B1035" s="6" t="inlineStr"/>
      <c r="C1035" s="7">
        <f>IF(B1035="","",IFERROR(VLOOKUP(B1035, PLANTA_BASE!A:R, 3, FALSE), ""))</f>
        <v/>
      </c>
      <c r="D1035" s="5">
        <f>IF(B1035="","",IFERROR(VLOOKUP(B1035, PLANTA_BASE!A:R, 5, FALSE), "NO ENCONTRADO EN PLANTA"))</f>
        <v/>
      </c>
      <c r="E1035" s="5">
        <f>IF(B1035="","",IFERROR(VLOOKUP(B1035, PLANTA_BASE!A:R, 6, FALSE), "NO ENCONTRADO EN PLANTA"))</f>
        <v/>
      </c>
      <c r="F1035" s="7">
        <f>IF(B1035="","",IFERROR(VLOOKUP(B1035, PLANTA_BASE!A:R, 8, FALSE), "DOCENTE / FACILITADOR"))</f>
        <v/>
      </c>
      <c r="G1035" s="7">
        <f>IF(B1035="","",IFERROR(VLOOKUP(B1035, PLANTA_BASE!A:R, 9, FALSE), "GENERAL"))</f>
        <v/>
      </c>
      <c r="H1035" s="5">
        <f>IF(B1035="","",IFERROR(VLOOKUP(B1035, PLANTA_BASE!A:R, 17, FALSE), "GENERAL"))</f>
        <v/>
      </c>
    </row>
    <row r="1036" ht="20" customHeight="1">
      <c r="A1036" s="2">
        <f>IF(B1036="","",IFERROR(VLOOKUP(B1036, PLANTA_BASE!A:R, 2, FALSE), "NO ENCONTRADO EN PLANTA"))</f>
        <v/>
      </c>
      <c r="B1036" s="3" t="inlineStr"/>
      <c r="C1036" s="4">
        <f>IF(B1036="","",IFERROR(VLOOKUP(B1036, PLANTA_BASE!A:R, 3, FALSE), ""))</f>
        <v/>
      </c>
      <c r="D1036" s="2">
        <f>IF(B1036="","",IFERROR(VLOOKUP(B1036, PLANTA_BASE!A:R, 5, FALSE), "NO ENCONTRADO EN PLANTA"))</f>
        <v/>
      </c>
      <c r="E1036" s="2">
        <f>IF(B1036="","",IFERROR(VLOOKUP(B1036, PLANTA_BASE!A:R, 6, FALSE), "NO ENCONTRADO EN PLANTA"))</f>
        <v/>
      </c>
      <c r="F1036" s="4">
        <f>IF(B1036="","",IFERROR(VLOOKUP(B1036, PLANTA_BASE!A:R, 8, FALSE), "DOCENTE / FACILITADOR"))</f>
        <v/>
      </c>
      <c r="G1036" s="4">
        <f>IF(B1036="","",IFERROR(VLOOKUP(B1036, PLANTA_BASE!A:R, 9, FALSE), "GENERAL"))</f>
        <v/>
      </c>
      <c r="H1036" s="2">
        <f>IF(B1036="","",IFERROR(VLOOKUP(B1036, PLANTA_BASE!A:R, 17, FALSE), "GENERAL"))</f>
        <v/>
      </c>
    </row>
    <row r="1037" ht="20" customHeight="1">
      <c r="A1037" s="5">
        <f>IF(B1037="","",IFERROR(VLOOKUP(B1037, PLANTA_BASE!A:R, 2, FALSE), "NO ENCONTRADO EN PLANTA"))</f>
        <v/>
      </c>
      <c r="B1037" s="6" t="inlineStr"/>
      <c r="C1037" s="7">
        <f>IF(B1037="","",IFERROR(VLOOKUP(B1037, PLANTA_BASE!A:R, 3, FALSE), ""))</f>
        <v/>
      </c>
      <c r="D1037" s="5">
        <f>IF(B1037="","",IFERROR(VLOOKUP(B1037, PLANTA_BASE!A:R, 5, FALSE), "NO ENCONTRADO EN PLANTA"))</f>
        <v/>
      </c>
      <c r="E1037" s="5">
        <f>IF(B1037="","",IFERROR(VLOOKUP(B1037, PLANTA_BASE!A:R, 6, FALSE), "NO ENCONTRADO EN PLANTA"))</f>
        <v/>
      </c>
      <c r="F1037" s="7">
        <f>IF(B1037="","",IFERROR(VLOOKUP(B1037, PLANTA_BASE!A:R, 8, FALSE), "DOCENTE / FACILITADOR"))</f>
        <v/>
      </c>
      <c r="G1037" s="7">
        <f>IF(B1037="","",IFERROR(VLOOKUP(B1037, PLANTA_BASE!A:R, 9, FALSE), "GENERAL"))</f>
        <v/>
      </c>
      <c r="H1037" s="5">
        <f>IF(B1037="","",IFERROR(VLOOKUP(B1037, PLANTA_BASE!A:R, 17, FALSE), "GENERAL"))</f>
        <v/>
      </c>
    </row>
    <row r="1038" ht="20" customHeight="1">
      <c r="A1038" s="2">
        <f>IF(B1038="","",IFERROR(VLOOKUP(B1038, PLANTA_BASE!A:R, 2, FALSE), "NO ENCONTRADO EN PLANTA"))</f>
        <v/>
      </c>
      <c r="B1038" s="3" t="inlineStr"/>
      <c r="C1038" s="4">
        <f>IF(B1038="","",IFERROR(VLOOKUP(B1038, PLANTA_BASE!A:R, 3, FALSE), ""))</f>
        <v/>
      </c>
      <c r="D1038" s="2">
        <f>IF(B1038="","",IFERROR(VLOOKUP(B1038, PLANTA_BASE!A:R, 5, FALSE), "NO ENCONTRADO EN PLANTA"))</f>
        <v/>
      </c>
      <c r="E1038" s="2">
        <f>IF(B1038="","",IFERROR(VLOOKUP(B1038, PLANTA_BASE!A:R, 6, FALSE), "NO ENCONTRADO EN PLANTA"))</f>
        <v/>
      </c>
      <c r="F1038" s="4">
        <f>IF(B1038="","",IFERROR(VLOOKUP(B1038, PLANTA_BASE!A:R, 8, FALSE), "DOCENTE / FACILITADOR"))</f>
        <v/>
      </c>
      <c r="G1038" s="4">
        <f>IF(B1038="","",IFERROR(VLOOKUP(B1038, PLANTA_BASE!A:R, 9, FALSE), "GENERAL"))</f>
        <v/>
      </c>
      <c r="H1038" s="2">
        <f>IF(B1038="","",IFERROR(VLOOKUP(B1038, PLANTA_BASE!A:R, 17, FALSE), "GENERAL"))</f>
        <v/>
      </c>
    </row>
    <row r="1039" ht="20" customHeight="1">
      <c r="A1039" s="5">
        <f>IF(B1039="","",IFERROR(VLOOKUP(B1039, PLANTA_BASE!A:R, 2, FALSE), "NO ENCONTRADO EN PLANTA"))</f>
        <v/>
      </c>
      <c r="B1039" s="6" t="inlineStr"/>
      <c r="C1039" s="7">
        <f>IF(B1039="","",IFERROR(VLOOKUP(B1039, PLANTA_BASE!A:R, 3, FALSE), ""))</f>
        <v/>
      </c>
      <c r="D1039" s="5">
        <f>IF(B1039="","",IFERROR(VLOOKUP(B1039, PLANTA_BASE!A:R, 5, FALSE), "NO ENCONTRADO EN PLANTA"))</f>
        <v/>
      </c>
      <c r="E1039" s="5">
        <f>IF(B1039="","",IFERROR(VLOOKUP(B1039, PLANTA_BASE!A:R, 6, FALSE), "NO ENCONTRADO EN PLANTA"))</f>
        <v/>
      </c>
      <c r="F1039" s="7">
        <f>IF(B1039="","",IFERROR(VLOOKUP(B1039, PLANTA_BASE!A:R, 8, FALSE), "DOCENTE / FACILITADOR"))</f>
        <v/>
      </c>
      <c r="G1039" s="7">
        <f>IF(B1039="","",IFERROR(VLOOKUP(B1039, PLANTA_BASE!A:R, 9, FALSE), "GENERAL"))</f>
        <v/>
      </c>
      <c r="H1039" s="5">
        <f>IF(B1039="","",IFERROR(VLOOKUP(B1039, PLANTA_BASE!A:R, 17, FALSE), "GENERAL"))</f>
        <v/>
      </c>
    </row>
    <row r="1040" ht="20" customHeight="1">
      <c r="A1040" s="2">
        <f>IF(B1040="","",IFERROR(VLOOKUP(B1040, PLANTA_BASE!A:R, 2, FALSE), "NO ENCONTRADO EN PLANTA"))</f>
        <v/>
      </c>
      <c r="B1040" s="3" t="inlineStr"/>
      <c r="C1040" s="4">
        <f>IF(B1040="","",IFERROR(VLOOKUP(B1040, PLANTA_BASE!A:R, 3, FALSE), ""))</f>
        <v/>
      </c>
      <c r="D1040" s="2">
        <f>IF(B1040="","",IFERROR(VLOOKUP(B1040, PLANTA_BASE!A:R, 5, FALSE), "NO ENCONTRADO EN PLANTA"))</f>
        <v/>
      </c>
      <c r="E1040" s="2">
        <f>IF(B1040="","",IFERROR(VLOOKUP(B1040, PLANTA_BASE!A:R, 6, FALSE), "NO ENCONTRADO EN PLANTA"))</f>
        <v/>
      </c>
      <c r="F1040" s="4">
        <f>IF(B1040="","",IFERROR(VLOOKUP(B1040, PLANTA_BASE!A:R, 8, FALSE), "DOCENTE / FACILITADOR"))</f>
        <v/>
      </c>
      <c r="G1040" s="4">
        <f>IF(B1040="","",IFERROR(VLOOKUP(B1040, PLANTA_BASE!A:R, 9, FALSE), "GENERAL"))</f>
        <v/>
      </c>
      <c r="H1040" s="2">
        <f>IF(B1040="","",IFERROR(VLOOKUP(B1040, PLANTA_BASE!A:R, 17, FALSE), "GENERAL"))</f>
        <v/>
      </c>
    </row>
    <row r="1041" ht="20" customHeight="1">
      <c r="A1041" s="5">
        <f>IF(B1041="","",IFERROR(VLOOKUP(B1041, PLANTA_BASE!A:R, 2, FALSE), "NO ENCONTRADO EN PLANTA"))</f>
        <v/>
      </c>
      <c r="B1041" s="6" t="inlineStr"/>
      <c r="C1041" s="7">
        <f>IF(B1041="","",IFERROR(VLOOKUP(B1041, PLANTA_BASE!A:R, 3, FALSE), ""))</f>
        <v/>
      </c>
      <c r="D1041" s="5">
        <f>IF(B1041="","",IFERROR(VLOOKUP(B1041, PLANTA_BASE!A:R, 5, FALSE), "NO ENCONTRADO EN PLANTA"))</f>
        <v/>
      </c>
      <c r="E1041" s="5">
        <f>IF(B1041="","",IFERROR(VLOOKUP(B1041, PLANTA_BASE!A:R, 6, FALSE), "NO ENCONTRADO EN PLANTA"))</f>
        <v/>
      </c>
      <c r="F1041" s="7">
        <f>IF(B1041="","",IFERROR(VLOOKUP(B1041, PLANTA_BASE!A:R, 8, FALSE), "DOCENTE / FACILITADOR"))</f>
        <v/>
      </c>
      <c r="G1041" s="7">
        <f>IF(B1041="","",IFERROR(VLOOKUP(B1041, PLANTA_BASE!A:R, 9, FALSE), "GENERAL"))</f>
        <v/>
      </c>
      <c r="H1041" s="5">
        <f>IF(B1041="","",IFERROR(VLOOKUP(B1041, PLANTA_BASE!A:R, 17, FALSE), "GENERAL"))</f>
        <v/>
      </c>
    </row>
    <row r="1042" ht="20" customHeight="1">
      <c r="A1042" s="2">
        <f>IF(B1042="","",IFERROR(VLOOKUP(B1042, PLANTA_BASE!A:R, 2, FALSE), "NO ENCONTRADO EN PLANTA"))</f>
        <v/>
      </c>
      <c r="B1042" s="3" t="inlineStr"/>
      <c r="C1042" s="4">
        <f>IF(B1042="","",IFERROR(VLOOKUP(B1042, PLANTA_BASE!A:R, 3, FALSE), ""))</f>
        <v/>
      </c>
      <c r="D1042" s="2">
        <f>IF(B1042="","",IFERROR(VLOOKUP(B1042, PLANTA_BASE!A:R, 5, FALSE), "NO ENCONTRADO EN PLANTA"))</f>
        <v/>
      </c>
      <c r="E1042" s="2">
        <f>IF(B1042="","",IFERROR(VLOOKUP(B1042, PLANTA_BASE!A:R, 6, FALSE), "NO ENCONTRADO EN PLANTA"))</f>
        <v/>
      </c>
      <c r="F1042" s="4">
        <f>IF(B1042="","",IFERROR(VLOOKUP(B1042, PLANTA_BASE!A:R, 8, FALSE), "DOCENTE / FACILITADOR"))</f>
        <v/>
      </c>
      <c r="G1042" s="4">
        <f>IF(B1042="","",IFERROR(VLOOKUP(B1042, PLANTA_BASE!A:R, 9, FALSE), "GENERAL"))</f>
        <v/>
      </c>
      <c r="H1042" s="2">
        <f>IF(B1042="","",IFERROR(VLOOKUP(B1042, PLANTA_BASE!A:R, 17, FALSE), "GENERAL"))</f>
        <v/>
      </c>
    </row>
    <row r="1043" ht="20" customHeight="1">
      <c r="A1043" s="5">
        <f>IF(B1043="","",IFERROR(VLOOKUP(B1043, PLANTA_BASE!A:R, 2, FALSE), "NO ENCONTRADO EN PLANTA"))</f>
        <v/>
      </c>
      <c r="B1043" s="6" t="inlineStr"/>
      <c r="C1043" s="7">
        <f>IF(B1043="","",IFERROR(VLOOKUP(B1043, PLANTA_BASE!A:R, 3, FALSE), ""))</f>
        <v/>
      </c>
      <c r="D1043" s="5">
        <f>IF(B1043="","",IFERROR(VLOOKUP(B1043, PLANTA_BASE!A:R, 5, FALSE), "NO ENCONTRADO EN PLANTA"))</f>
        <v/>
      </c>
      <c r="E1043" s="5">
        <f>IF(B1043="","",IFERROR(VLOOKUP(B1043, PLANTA_BASE!A:R, 6, FALSE), "NO ENCONTRADO EN PLANTA"))</f>
        <v/>
      </c>
      <c r="F1043" s="7">
        <f>IF(B1043="","",IFERROR(VLOOKUP(B1043, PLANTA_BASE!A:R, 8, FALSE), "DOCENTE / FACILITADOR"))</f>
        <v/>
      </c>
      <c r="G1043" s="7">
        <f>IF(B1043="","",IFERROR(VLOOKUP(B1043, PLANTA_BASE!A:R, 9, FALSE), "GENERAL"))</f>
        <v/>
      </c>
      <c r="H1043" s="5">
        <f>IF(B1043="","",IFERROR(VLOOKUP(B1043, PLANTA_BASE!A:R, 17, FALSE), "GENERAL"))</f>
        <v/>
      </c>
    </row>
    <row r="1044" ht="20" customHeight="1">
      <c r="A1044" s="2">
        <f>IF(B1044="","",IFERROR(VLOOKUP(B1044, PLANTA_BASE!A:R, 2, FALSE), "NO ENCONTRADO EN PLANTA"))</f>
        <v/>
      </c>
      <c r="B1044" s="3" t="inlineStr"/>
      <c r="C1044" s="4">
        <f>IF(B1044="","",IFERROR(VLOOKUP(B1044, PLANTA_BASE!A:R, 3, FALSE), ""))</f>
        <v/>
      </c>
      <c r="D1044" s="2">
        <f>IF(B1044="","",IFERROR(VLOOKUP(B1044, PLANTA_BASE!A:R, 5, FALSE), "NO ENCONTRADO EN PLANTA"))</f>
        <v/>
      </c>
      <c r="E1044" s="2">
        <f>IF(B1044="","",IFERROR(VLOOKUP(B1044, PLANTA_BASE!A:R, 6, FALSE), "NO ENCONTRADO EN PLANTA"))</f>
        <v/>
      </c>
      <c r="F1044" s="4">
        <f>IF(B1044="","",IFERROR(VLOOKUP(B1044, PLANTA_BASE!A:R, 8, FALSE), "DOCENTE / FACILITADOR"))</f>
        <v/>
      </c>
      <c r="G1044" s="4">
        <f>IF(B1044="","",IFERROR(VLOOKUP(B1044, PLANTA_BASE!A:R, 9, FALSE), "GENERAL"))</f>
        <v/>
      </c>
      <c r="H1044" s="2">
        <f>IF(B1044="","",IFERROR(VLOOKUP(B1044, PLANTA_BASE!A:R, 17, FALSE), "GENERAL"))</f>
        <v/>
      </c>
    </row>
    <row r="1045" ht="20" customHeight="1">
      <c r="A1045" s="5">
        <f>IF(B1045="","",IFERROR(VLOOKUP(B1045, PLANTA_BASE!A:R, 2, FALSE), "NO ENCONTRADO EN PLANTA"))</f>
        <v/>
      </c>
      <c r="B1045" s="6" t="inlineStr"/>
      <c r="C1045" s="7">
        <f>IF(B1045="","",IFERROR(VLOOKUP(B1045, PLANTA_BASE!A:R, 3, FALSE), ""))</f>
        <v/>
      </c>
      <c r="D1045" s="5">
        <f>IF(B1045="","",IFERROR(VLOOKUP(B1045, PLANTA_BASE!A:R, 5, FALSE), "NO ENCONTRADO EN PLANTA"))</f>
        <v/>
      </c>
      <c r="E1045" s="5">
        <f>IF(B1045="","",IFERROR(VLOOKUP(B1045, PLANTA_BASE!A:R, 6, FALSE), "NO ENCONTRADO EN PLANTA"))</f>
        <v/>
      </c>
      <c r="F1045" s="7">
        <f>IF(B1045="","",IFERROR(VLOOKUP(B1045, PLANTA_BASE!A:R, 8, FALSE), "DOCENTE / FACILITADOR"))</f>
        <v/>
      </c>
      <c r="G1045" s="7">
        <f>IF(B1045="","",IFERROR(VLOOKUP(B1045, PLANTA_BASE!A:R, 9, FALSE), "GENERAL"))</f>
        <v/>
      </c>
      <c r="H1045" s="5">
        <f>IF(B1045="","",IFERROR(VLOOKUP(B1045, PLANTA_BASE!A:R, 17, FALSE), "GENERAL"))</f>
        <v/>
      </c>
    </row>
    <row r="1046" ht="20" customHeight="1">
      <c r="A1046" s="2">
        <f>IF(B1046="","",IFERROR(VLOOKUP(B1046, PLANTA_BASE!A:R, 2, FALSE), "NO ENCONTRADO EN PLANTA"))</f>
        <v/>
      </c>
      <c r="B1046" s="3" t="inlineStr"/>
      <c r="C1046" s="4">
        <f>IF(B1046="","",IFERROR(VLOOKUP(B1046, PLANTA_BASE!A:R, 3, FALSE), ""))</f>
        <v/>
      </c>
      <c r="D1046" s="2">
        <f>IF(B1046="","",IFERROR(VLOOKUP(B1046, PLANTA_BASE!A:R, 5, FALSE), "NO ENCONTRADO EN PLANTA"))</f>
        <v/>
      </c>
      <c r="E1046" s="2">
        <f>IF(B1046="","",IFERROR(VLOOKUP(B1046, PLANTA_BASE!A:R, 6, FALSE), "NO ENCONTRADO EN PLANTA"))</f>
        <v/>
      </c>
      <c r="F1046" s="4">
        <f>IF(B1046="","",IFERROR(VLOOKUP(B1046, PLANTA_BASE!A:R, 8, FALSE), "DOCENTE / FACILITADOR"))</f>
        <v/>
      </c>
      <c r="G1046" s="4">
        <f>IF(B1046="","",IFERROR(VLOOKUP(B1046, PLANTA_BASE!A:R, 9, FALSE), "GENERAL"))</f>
        <v/>
      </c>
      <c r="H1046" s="2">
        <f>IF(B1046="","",IFERROR(VLOOKUP(B1046, PLANTA_BASE!A:R, 17, FALSE), "GENERAL"))</f>
        <v/>
      </c>
    </row>
    <row r="1047" ht="20" customHeight="1">
      <c r="A1047" s="5">
        <f>IF(B1047="","",IFERROR(VLOOKUP(B1047, PLANTA_BASE!A:R, 2, FALSE), "NO ENCONTRADO EN PLANTA"))</f>
        <v/>
      </c>
      <c r="B1047" s="6" t="inlineStr"/>
      <c r="C1047" s="7">
        <f>IF(B1047="","",IFERROR(VLOOKUP(B1047, PLANTA_BASE!A:R, 3, FALSE), ""))</f>
        <v/>
      </c>
      <c r="D1047" s="5">
        <f>IF(B1047="","",IFERROR(VLOOKUP(B1047, PLANTA_BASE!A:R, 5, FALSE), "NO ENCONTRADO EN PLANTA"))</f>
        <v/>
      </c>
      <c r="E1047" s="5">
        <f>IF(B1047="","",IFERROR(VLOOKUP(B1047, PLANTA_BASE!A:R, 6, FALSE), "NO ENCONTRADO EN PLANTA"))</f>
        <v/>
      </c>
      <c r="F1047" s="7">
        <f>IF(B1047="","",IFERROR(VLOOKUP(B1047, PLANTA_BASE!A:R, 8, FALSE), "DOCENTE / FACILITADOR"))</f>
        <v/>
      </c>
      <c r="G1047" s="7">
        <f>IF(B1047="","",IFERROR(VLOOKUP(B1047, PLANTA_BASE!A:R, 9, FALSE), "GENERAL"))</f>
        <v/>
      </c>
      <c r="H1047" s="5">
        <f>IF(B1047="","",IFERROR(VLOOKUP(B1047, PLANTA_BASE!A:R, 17, FALSE), "GENERAL"))</f>
        <v/>
      </c>
    </row>
    <row r="1048" ht="20" customHeight="1">
      <c r="A1048" s="2">
        <f>IF(B1048="","",IFERROR(VLOOKUP(B1048, PLANTA_BASE!A:R, 2, FALSE), "NO ENCONTRADO EN PLANTA"))</f>
        <v/>
      </c>
      <c r="B1048" s="3" t="inlineStr"/>
      <c r="C1048" s="4">
        <f>IF(B1048="","",IFERROR(VLOOKUP(B1048, PLANTA_BASE!A:R, 3, FALSE), ""))</f>
        <v/>
      </c>
      <c r="D1048" s="2">
        <f>IF(B1048="","",IFERROR(VLOOKUP(B1048, PLANTA_BASE!A:R, 5, FALSE), "NO ENCONTRADO EN PLANTA"))</f>
        <v/>
      </c>
      <c r="E1048" s="2">
        <f>IF(B1048="","",IFERROR(VLOOKUP(B1048, PLANTA_BASE!A:R, 6, FALSE), "NO ENCONTRADO EN PLANTA"))</f>
        <v/>
      </c>
      <c r="F1048" s="4">
        <f>IF(B1048="","",IFERROR(VLOOKUP(B1048, PLANTA_BASE!A:R, 8, FALSE), "DOCENTE / FACILITADOR"))</f>
        <v/>
      </c>
      <c r="G1048" s="4">
        <f>IF(B1048="","",IFERROR(VLOOKUP(B1048, PLANTA_BASE!A:R, 9, FALSE), "GENERAL"))</f>
        <v/>
      </c>
      <c r="H1048" s="2">
        <f>IF(B1048="","",IFERROR(VLOOKUP(B1048, PLANTA_BASE!A:R, 17, FALSE), "GENERAL"))</f>
        <v/>
      </c>
    </row>
    <row r="1049" ht="20" customHeight="1">
      <c r="A1049" s="5">
        <f>IF(B1049="","",IFERROR(VLOOKUP(B1049, PLANTA_BASE!A:R, 2, FALSE), "NO ENCONTRADO EN PLANTA"))</f>
        <v/>
      </c>
      <c r="B1049" s="6" t="inlineStr"/>
      <c r="C1049" s="7">
        <f>IF(B1049="","",IFERROR(VLOOKUP(B1049, PLANTA_BASE!A:R, 3, FALSE), ""))</f>
        <v/>
      </c>
      <c r="D1049" s="5">
        <f>IF(B1049="","",IFERROR(VLOOKUP(B1049, PLANTA_BASE!A:R, 5, FALSE), "NO ENCONTRADO EN PLANTA"))</f>
        <v/>
      </c>
      <c r="E1049" s="5">
        <f>IF(B1049="","",IFERROR(VLOOKUP(B1049, PLANTA_BASE!A:R, 6, FALSE), "NO ENCONTRADO EN PLANTA"))</f>
        <v/>
      </c>
      <c r="F1049" s="7">
        <f>IF(B1049="","",IFERROR(VLOOKUP(B1049, PLANTA_BASE!A:R, 8, FALSE), "DOCENTE / FACILITADOR"))</f>
        <v/>
      </c>
      <c r="G1049" s="7">
        <f>IF(B1049="","",IFERROR(VLOOKUP(B1049, PLANTA_BASE!A:R, 9, FALSE), "GENERAL"))</f>
        <v/>
      </c>
      <c r="H1049" s="5">
        <f>IF(B1049="","",IFERROR(VLOOKUP(B1049, PLANTA_BASE!A:R, 17, FALSE), "GENERAL"))</f>
        <v/>
      </c>
    </row>
    <row r="1050" ht="20" customHeight="1">
      <c r="A1050" s="2">
        <f>IF(B1050="","",IFERROR(VLOOKUP(B1050, PLANTA_BASE!A:R, 2, FALSE), "NO ENCONTRADO EN PLANTA"))</f>
        <v/>
      </c>
      <c r="B1050" s="3" t="inlineStr"/>
      <c r="C1050" s="4">
        <f>IF(B1050="","",IFERROR(VLOOKUP(B1050, PLANTA_BASE!A:R, 3, FALSE), ""))</f>
        <v/>
      </c>
      <c r="D1050" s="2">
        <f>IF(B1050="","",IFERROR(VLOOKUP(B1050, PLANTA_BASE!A:R, 5, FALSE), "NO ENCONTRADO EN PLANTA"))</f>
        <v/>
      </c>
      <c r="E1050" s="2">
        <f>IF(B1050="","",IFERROR(VLOOKUP(B1050, PLANTA_BASE!A:R, 6, FALSE), "NO ENCONTRADO EN PLANTA"))</f>
        <v/>
      </c>
      <c r="F1050" s="4">
        <f>IF(B1050="","",IFERROR(VLOOKUP(B1050, PLANTA_BASE!A:R, 8, FALSE), "DOCENTE / FACILITADOR"))</f>
        <v/>
      </c>
      <c r="G1050" s="4">
        <f>IF(B1050="","",IFERROR(VLOOKUP(B1050, PLANTA_BASE!A:R, 9, FALSE), "GENERAL"))</f>
        <v/>
      </c>
      <c r="H1050" s="2">
        <f>IF(B1050="","",IFERROR(VLOOKUP(B1050, PLANTA_BASE!A:R, 17, FALSE), "GENERAL"))</f>
        <v/>
      </c>
    </row>
    <row r="1051" ht="20" customHeight="1">
      <c r="A1051" s="5">
        <f>IF(B1051="","",IFERROR(VLOOKUP(B1051, PLANTA_BASE!A:R, 2, FALSE), "NO ENCONTRADO EN PLANTA"))</f>
        <v/>
      </c>
      <c r="B1051" s="6" t="inlineStr"/>
      <c r="C1051" s="7">
        <f>IF(B1051="","",IFERROR(VLOOKUP(B1051, PLANTA_BASE!A:R, 3, FALSE), ""))</f>
        <v/>
      </c>
      <c r="D1051" s="5">
        <f>IF(B1051="","",IFERROR(VLOOKUP(B1051, PLANTA_BASE!A:R, 5, FALSE), "NO ENCONTRADO EN PLANTA"))</f>
        <v/>
      </c>
      <c r="E1051" s="5">
        <f>IF(B1051="","",IFERROR(VLOOKUP(B1051, PLANTA_BASE!A:R, 6, FALSE), "NO ENCONTRADO EN PLANTA"))</f>
        <v/>
      </c>
      <c r="F1051" s="7">
        <f>IF(B1051="","",IFERROR(VLOOKUP(B1051, PLANTA_BASE!A:R, 8, FALSE), "DOCENTE / FACILITADOR"))</f>
        <v/>
      </c>
      <c r="G1051" s="7">
        <f>IF(B1051="","",IFERROR(VLOOKUP(B1051, PLANTA_BASE!A:R, 9, FALSE), "GENERAL"))</f>
        <v/>
      </c>
      <c r="H1051" s="5">
        <f>IF(B1051="","",IFERROR(VLOOKUP(B1051, PLANTA_BASE!A:R, 17, FALSE), "GENERAL"))</f>
        <v/>
      </c>
    </row>
    <row r="1052" ht="20" customHeight="1">
      <c r="A1052" s="2">
        <f>IF(B1052="","",IFERROR(VLOOKUP(B1052, PLANTA_BASE!A:R, 2, FALSE), "NO ENCONTRADO EN PLANTA"))</f>
        <v/>
      </c>
      <c r="B1052" s="3" t="inlineStr"/>
      <c r="C1052" s="4">
        <f>IF(B1052="","",IFERROR(VLOOKUP(B1052, PLANTA_BASE!A:R, 3, FALSE), ""))</f>
        <v/>
      </c>
      <c r="D1052" s="2">
        <f>IF(B1052="","",IFERROR(VLOOKUP(B1052, PLANTA_BASE!A:R, 5, FALSE), "NO ENCONTRADO EN PLANTA"))</f>
        <v/>
      </c>
      <c r="E1052" s="2">
        <f>IF(B1052="","",IFERROR(VLOOKUP(B1052, PLANTA_BASE!A:R, 6, FALSE), "NO ENCONTRADO EN PLANTA"))</f>
        <v/>
      </c>
      <c r="F1052" s="4">
        <f>IF(B1052="","",IFERROR(VLOOKUP(B1052, PLANTA_BASE!A:R, 8, FALSE), "DOCENTE / FACILITADOR"))</f>
        <v/>
      </c>
      <c r="G1052" s="4">
        <f>IF(B1052="","",IFERROR(VLOOKUP(B1052, PLANTA_BASE!A:R, 9, FALSE), "GENERAL"))</f>
        <v/>
      </c>
      <c r="H1052" s="2">
        <f>IF(B1052="","",IFERROR(VLOOKUP(B1052, PLANTA_BASE!A:R, 17, FALSE), "GENERAL"))</f>
        <v/>
      </c>
    </row>
    <row r="1053" ht="20" customHeight="1">
      <c r="A1053" s="5">
        <f>IF(B1053="","",IFERROR(VLOOKUP(B1053, PLANTA_BASE!A:R, 2, FALSE), "NO ENCONTRADO EN PLANTA"))</f>
        <v/>
      </c>
      <c r="B1053" s="6" t="inlineStr"/>
      <c r="C1053" s="7">
        <f>IF(B1053="","",IFERROR(VLOOKUP(B1053, PLANTA_BASE!A:R, 3, FALSE), ""))</f>
        <v/>
      </c>
      <c r="D1053" s="5">
        <f>IF(B1053="","",IFERROR(VLOOKUP(B1053, PLANTA_BASE!A:R, 5, FALSE), "NO ENCONTRADO EN PLANTA"))</f>
        <v/>
      </c>
      <c r="E1053" s="5">
        <f>IF(B1053="","",IFERROR(VLOOKUP(B1053, PLANTA_BASE!A:R, 6, FALSE), "NO ENCONTRADO EN PLANTA"))</f>
        <v/>
      </c>
      <c r="F1053" s="7">
        <f>IF(B1053="","",IFERROR(VLOOKUP(B1053, PLANTA_BASE!A:R, 8, FALSE), "DOCENTE / FACILITADOR"))</f>
        <v/>
      </c>
      <c r="G1053" s="7">
        <f>IF(B1053="","",IFERROR(VLOOKUP(B1053, PLANTA_BASE!A:R, 9, FALSE), "GENERAL"))</f>
        <v/>
      </c>
      <c r="H1053" s="5">
        <f>IF(B1053="","",IFERROR(VLOOKUP(B1053, PLANTA_BASE!A:R, 17, FALSE), "GENERAL"))</f>
        <v/>
      </c>
    </row>
    <row r="1054" ht="20" customHeight="1">
      <c r="A1054" s="2">
        <f>IF(B1054="","",IFERROR(VLOOKUP(B1054, PLANTA_BASE!A:R, 2, FALSE), "NO ENCONTRADO EN PLANTA"))</f>
        <v/>
      </c>
      <c r="B1054" s="3" t="inlineStr"/>
      <c r="C1054" s="4">
        <f>IF(B1054="","",IFERROR(VLOOKUP(B1054, PLANTA_BASE!A:R, 3, FALSE), ""))</f>
        <v/>
      </c>
      <c r="D1054" s="2">
        <f>IF(B1054="","",IFERROR(VLOOKUP(B1054, PLANTA_BASE!A:R, 5, FALSE), "NO ENCONTRADO EN PLANTA"))</f>
        <v/>
      </c>
      <c r="E1054" s="2">
        <f>IF(B1054="","",IFERROR(VLOOKUP(B1054, PLANTA_BASE!A:R, 6, FALSE), "NO ENCONTRADO EN PLANTA"))</f>
        <v/>
      </c>
      <c r="F1054" s="4">
        <f>IF(B1054="","",IFERROR(VLOOKUP(B1054, PLANTA_BASE!A:R, 8, FALSE), "DOCENTE / FACILITADOR"))</f>
        <v/>
      </c>
      <c r="G1054" s="4">
        <f>IF(B1054="","",IFERROR(VLOOKUP(B1054, PLANTA_BASE!A:R, 9, FALSE), "GENERAL"))</f>
        <v/>
      </c>
      <c r="H1054" s="2">
        <f>IF(B1054="","",IFERROR(VLOOKUP(B1054, PLANTA_BASE!A:R, 17, FALSE), "GENERAL"))</f>
        <v/>
      </c>
    </row>
    <row r="1055" ht="20" customHeight="1">
      <c r="A1055" s="5">
        <f>IF(B1055="","",IFERROR(VLOOKUP(B1055, PLANTA_BASE!A:R, 2, FALSE), "NO ENCONTRADO EN PLANTA"))</f>
        <v/>
      </c>
      <c r="B1055" s="6" t="inlineStr"/>
      <c r="C1055" s="7">
        <f>IF(B1055="","",IFERROR(VLOOKUP(B1055, PLANTA_BASE!A:R, 3, FALSE), ""))</f>
        <v/>
      </c>
      <c r="D1055" s="5">
        <f>IF(B1055="","",IFERROR(VLOOKUP(B1055, PLANTA_BASE!A:R, 5, FALSE), "NO ENCONTRADO EN PLANTA"))</f>
        <v/>
      </c>
      <c r="E1055" s="5">
        <f>IF(B1055="","",IFERROR(VLOOKUP(B1055, PLANTA_BASE!A:R, 6, FALSE), "NO ENCONTRADO EN PLANTA"))</f>
        <v/>
      </c>
      <c r="F1055" s="7">
        <f>IF(B1055="","",IFERROR(VLOOKUP(B1055, PLANTA_BASE!A:R, 8, FALSE), "DOCENTE / FACILITADOR"))</f>
        <v/>
      </c>
      <c r="G1055" s="7">
        <f>IF(B1055="","",IFERROR(VLOOKUP(B1055, PLANTA_BASE!A:R, 9, FALSE), "GENERAL"))</f>
        <v/>
      </c>
      <c r="H1055" s="5">
        <f>IF(B1055="","",IFERROR(VLOOKUP(B1055, PLANTA_BASE!A:R, 17, FALSE), "GENERAL"))</f>
        <v/>
      </c>
    </row>
    <row r="1056" ht="20" customHeight="1">
      <c r="A1056" s="2">
        <f>IF(B1056="","",IFERROR(VLOOKUP(B1056, PLANTA_BASE!A:R, 2, FALSE), "NO ENCONTRADO EN PLANTA"))</f>
        <v/>
      </c>
      <c r="B1056" s="3" t="inlineStr"/>
      <c r="C1056" s="4">
        <f>IF(B1056="","",IFERROR(VLOOKUP(B1056, PLANTA_BASE!A:R, 3, FALSE), ""))</f>
        <v/>
      </c>
      <c r="D1056" s="2">
        <f>IF(B1056="","",IFERROR(VLOOKUP(B1056, PLANTA_BASE!A:R, 5, FALSE), "NO ENCONTRADO EN PLANTA"))</f>
        <v/>
      </c>
      <c r="E1056" s="2">
        <f>IF(B1056="","",IFERROR(VLOOKUP(B1056, PLANTA_BASE!A:R, 6, FALSE), "NO ENCONTRADO EN PLANTA"))</f>
        <v/>
      </c>
      <c r="F1056" s="4">
        <f>IF(B1056="","",IFERROR(VLOOKUP(B1056, PLANTA_BASE!A:R, 8, FALSE), "DOCENTE / FACILITADOR"))</f>
        <v/>
      </c>
      <c r="G1056" s="4">
        <f>IF(B1056="","",IFERROR(VLOOKUP(B1056, PLANTA_BASE!A:R, 9, FALSE), "GENERAL"))</f>
        <v/>
      </c>
      <c r="H1056" s="2">
        <f>IF(B1056="","",IFERROR(VLOOKUP(B1056, PLANTA_BASE!A:R, 17, FALSE), "GENERAL"))</f>
        <v/>
      </c>
    </row>
    <row r="1057" ht="20" customHeight="1">
      <c r="A1057" s="5">
        <f>IF(B1057="","",IFERROR(VLOOKUP(B1057, PLANTA_BASE!A:R, 2, FALSE), "NO ENCONTRADO EN PLANTA"))</f>
        <v/>
      </c>
      <c r="B1057" s="6" t="inlineStr"/>
      <c r="C1057" s="7">
        <f>IF(B1057="","",IFERROR(VLOOKUP(B1057, PLANTA_BASE!A:R, 3, FALSE), ""))</f>
        <v/>
      </c>
      <c r="D1057" s="5">
        <f>IF(B1057="","",IFERROR(VLOOKUP(B1057, PLANTA_BASE!A:R, 5, FALSE), "NO ENCONTRADO EN PLANTA"))</f>
        <v/>
      </c>
      <c r="E1057" s="5">
        <f>IF(B1057="","",IFERROR(VLOOKUP(B1057, PLANTA_BASE!A:R, 6, FALSE), "NO ENCONTRADO EN PLANTA"))</f>
        <v/>
      </c>
      <c r="F1057" s="7">
        <f>IF(B1057="","",IFERROR(VLOOKUP(B1057, PLANTA_BASE!A:R, 8, FALSE), "DOCENTE / FACILITADOR"))</f>
        <v/>
      </c>
      <c r="G1057" s="7">
        <f>IF(B1057="","",IFERROR(VLOOKUP(B1057, PLANTA_BASE!A:R, 9, FALSE), "GENERAL"))</f>
        <v/>
      </c>
      <c r="H1057" s="5">
        <f>IF(B1057="","",IFERROR(VLOOKUP(B1057, PLANTA_BASE!A:R, 17, FALSE), "GENERAL"))</f>
        <v/>
      </c>
    </row>
    <row r="1058" ht="20" customHeight="1">
      <c r="A1058" s="2">
        <f>IF(B1058="","",IFERROR(VLOOKUP(B1058, PLANTA_BASE!A:R, 2, FALSE), "NO ENCONTRADO EN PLANTA"))</f>
        <v/>
      </c>
      <c r="B1058" s="3" t="inlineStr"/>
      <c r="C1058" s="4">
        <f>IF(B1058="","",IFERROR(VLOOKUP(B1058, PLANTA_BASE!A:R, 3, FALSE), ""))</f>
        <v/>
      </c>
      <c r="D1058" s="2">
        <f>IF(B1058="","",IFERROR(VLOOKUP(B1058, PLANTA_BASE!A:R, 5, FALSE), "NO ENCONTRADO EN PLANTA"))</f>
        <v/>
      </c>
      <c r="E1058" s="2">
        <f>IF(B1058="","",IFERROR(VLOOKUP(B1058, PLANTA_BASE!A:R, 6, FALSE), "NO ENCONTRADO EN PLANTA"))</f>
        <v/>
      </c>
      <c r="F1058" s="4">
        <f>IF(B1058="","",IFERROR(VLOOKUP(B1058, PLANTA_BASE!A:R, 8, FALSE), "DOCENTE / FACILITADOR"))</f>
        <v/>
      </c>
      <c r="G1058" s="4">
        <f>IF(B1058="","",IFERROR(VLOOKUP(B1058, PLANTA_BASE!A:R, 9, FALSE), "GENERAL"))</f>
        <v/>
      </c>
      <c r="H1058" s="2">
        <f>IF(B1058="","",IFERROR(VLOOKUP(B1058, PLANTA_BASE!A:R, 17, FALSE), "GENERAL"))</f>
        <v/>
      </c>
    </row>
    <row r="1059" ht="20" customHeight="1">
      <c r="A1059" s="5">
        <f>IF(B1059="","",IFERROR(VLOOKUP(B1059, PLANTA_BASE!A:R, 2, FALSE), "NO ENCONTRADO EN PLANTA"))</f>
        <v/>
      </c>
      <c r="B1059" s="6" t="inlineStr"/>
      <c r="C1059" s="7">
        <f>IF(B1059="","",IFERROR(VLOOKUP(B1059, PLANTA_BASE!A:R, 3, FALSE), ""))</f>
        <v/>
      </c>
      <c r="D1059" s="5">
        <f>IF(B1059="","",IFERROR(VLOOKUP(B1059, PLANTA_BASE!A:R, 5, FALSE), "NO ENCONTRADO EN PLANTA"))</f>
        <v/>
      </c>
      <c r="E1059" s="5">
        <f>IF(B1059="","",IFERROR(VLOOKUP(B1059, PLANTA_BASE!A:R, 6, FALSE), "NO ENCONTRADO EN PLANTA"))</f>
        <v/>
      </c>
      <c r="F1059" s="7">
        <f>IF(B1059="","",IFERROR(VLOOKUP(B1059, PLANTA_BASE!A:R, 8, FALSE), "DOCENTE / FACILITADOR"))</f>
        <v/>
      </c>
      <c r="G1059" s="7">
        <f>IF(B1059="","",IFERROR(VLOOKUP(B1059, PLANTA_BASE!A:R, 9, FALSE), "GENERAL"))</f>
        <v/>
      </c>
      <c r="H1059" s="5">
        <f>IF(B1059="","",IFERROR(VLOOKUP(B1059, PLANTA_BASE!A:R, 17, FALSE), "GENERAL"))</f>
        <v/>
      </c>
    </row>
    <row r="1060" ht="20" customHeight="1">
      <c r="A1060" s="2">
        <f>IF(B1060="","",IFERROR(VLOOKUP(B1060, PLANTA_BASE!A:R, 2, FALSE), "NO ENCONTRADO EN PLANTA"))</f>
        <v/>
      </c>
      <c r="B1060" s="3" t="inlineStr"/>
      <c r="C1060" s="4">
        <f>IF(B1060="","",IFERROR(VLOOKUP(B1060, PLANTA_BASE!A:R, 3, FALSE), ""))</f>
        <v/>
      </c>
      <c r="D1060" s="2">
        <f>IF(B1060="","",IFERROR(VLOOKUP(B1060, PLANTA_BASE!A:R, 5, FALSE), "NO ENCONTRADO EN PLANTA"))</f>
        <v/>
      </c>
      <c r="E1060" s="2">
        <f>IF(B1060="","",IFERROR(VLOOKUP(B1060, PLANTA_BASE!A:R, 6, FALSE), "NO ENCONTRADO EN PLANTA"))</f>
        <v/>
      </c>
      <c r="F1060" s="4">
        <f>IF(B1060="","",IFERROR(VLOOKUP(B1060, PLANTA_BASE!A:R, 8, FALSE), "DOCENTE / FACILITADOR"))</f>
        <v/>
      </c>
      <c r="G1060" s="4">
        <f>IF(B1060="","",IFERROR(VLOOKUP(B1060, PLANTA_BASE!A:R, 9, FALSE), "GENERAL"))</f>
        <v/>
      </c>
      <c r="H1060" s="2">
        <f>IF(B1060="","",IFERROR(VLOOKUP(B1060, PLANTA_BASE!A:R, 17, FALSE), "GENERAL"))</f>
        <v/>
      </c>
    </row>
    <row r="1061" ht="20" customHeight="1">
      <c r="A1061" s="5">
        <f>IF(B1061="","",IFERROR(VLOOKUP(B1061, PLANTA_BASE!A:R, 2, FALSE), "NO ENCONTRADO EN PLANTA"))</f>
        <v/>
      </c>
      <c r="B1061" s="6" t="inlineStr"/>
      <c r="C1061" s="7">
        <f>IF(B1061="","",IFERROR(VLOOKUP(B1061, PLANTA_BASE!A:R, 3, FALSE), ""))</f>
        <v/>
      </c>
      <c r="D1061" s="5">
        <f>IF(B1061="","",IFERROR(VLOOKUP(B1061, PLANTA_BASE!A:R, 5, FALSE), "NO ENCONTRADO EN PLANTA"))</f>
        <v/>
      </c>
      <c r="E1061" s="5">
        <f>IF(B1061="","",IFERROR(VLOOKUP(B1061, PLANTA_BASE!A:R, 6, FALSE), "NO ENCONTRADO EN PLANTA"))</f>
        <v/>
      </c>
      <c r="F1061" s="7">
        <f>IF(B1061="","",IFERROR(VLOOKUP(B1061, PLANTA_BASE!A:R, 8, FALSE), "DOCENTE / FACILITADOR"))</f>
        <v/>
      </c>
      <c r="G1061" s="7">
        <f>IF(B1061="","",IFERROR(VLOOKUP(B1061, PLANTA_BASE!A:R, 9, FALSE), "GENERAL"))</f>
        <v/>
      </c>
      <c r="H1061" s="5">
        <f>IF(B1061="","",IFERROR(VLOOKUP(B1061, PLANTA_BASE!A:R, 17, FALSE), "GENERAL"))</f>
        <v/>
      </c>
    </row>
    <row r="1062" ht="20" customHeight="1">
      <c r="A1062" s="2">
        <f>IF(B1062="","",IFERROR(VLOOKUP(B1062, PLANTA_BASE!A:R, 2, FALSE), "NO ENCONTRADO EN PLANTA"))</f>
        <v/>
      </c>
      <c r="B1062" s="3" t="inlineStr"/>
      <c r="C1062" s="4">
        <f>IF(B1062="","",IFERROR(VLOOKUP(B1062, PLANTA_BASE!A:R, 3, FALSE), ""))</f>
        <v/>
      </c>
      <c r="D1062" s="2">
        <f>IF(B1062="","",IFERROR(VLOOKUP(B1062, PLANTA_BASE!A:R, 5, FALSE), "NO ENCONTRADO EN PLANTA"))</f>
        <v/>
      </c>
      <c r="E1062" s="2">
        <f>IF(B1062="","",IFERROR(VLOOKUP(B1062, PLANTA_BASE!A:R, 6, FALSE), "NO ENCONTRADO EN PLANTA"))</f>
        <v/>
      </c>
      <c r="F1062" s="4">
        <f>IF(B1062="","",IFERROR(VLOOKUP(B1062, PLANTA_BASE!A:R, 8, FALSE), "DOCENTE / FACILITADOR"))</f>
        <v/>
      </c>
      <c r="G1062" s="4">
        <f>IF(B1062="","",IFERROR(VLOOKUP(B1062, PLANTA_BASE!A:R, 9, FALSE), "GENERAL"))</f>
        <v/>
      </c>
      <c r="H1062" s="2">
        <f>IF(B1062="","",IFERROR(VLOOKUP(B1062, PLANTA_BASE!A:R, 17, FALSE), "GENERAL"))</f>
        <v/>
      </c>
    </row>
    <row r="1063" ht="20" customHeight="1">
      <c r="A1063" s="5">
        <f>IF(B1063="","",IFERROR(VLOOKUP(B1063, PLANTA_BASE!A:R, 2, FALSE), "NO ENCONTRADO EN PLANTA"))</f>
        <v/>
      </c>
      <c r="B1063" s="6" t="inlineStr"/>
      <c r="C1063" s="7">
        <f>IF(B1063="","",IFERROR(VLOOKUP(B1063, PLANTA_BASE!A:R, 3, FALSE), ""))</f>
        <v/>
      </c>
      <c r="D1063" s="5">
        <f>IF(B1063="","",IFERROR(VLOOKUP(B1063, PLANTA_BASE!A:R, 5, FALSE), "NO ENCONTRADO EN PLANTA"))</f>
        <v/>
      </c>
      <c r="E1063" s="5">
        <f>IF(B1063="","",IFERROR(VLOOKUP(B1063, PLANTA_BASE!A:R, 6, FALSE), "NO ENCONTRADO EN PLANTA"))</f>
        <v/>
      </c>
      <c r="F1063" s="7">
        <f>IF(B1063="","",IFERROR(VLOOKUP(B1063, PLANTA_BASE!A:R, 8, FALSE), "DOCENTE / FACILITADOR"))</f>
        <v/>
      </c>
      <c r="G1063" s="7">
        <f>IF(B1063="","",IFERROR(VLOOKUP(B1063, PLANTA_BASE!A:R, 9, FALSE), "GENERAL"))</f>
        <v/>
      </c>
      <c r="H1063" s="5">
        <f>IF(B1063="","",IFERROR(VLOOKUP(B1063, PLANTA_BASE!A:R, 17, FALSE), "GENERAL"))</f>
        <v/>
      </c>
    </row>
    <row r="1064" ht="20" customHeight="1">
      <c r="A1064" s="2">
        <f>IF(B1064="","",IFERROR(VLOOKUP(B1064, PLANTA_BASE!A:R, 2, FALSE), "NO ENCONTRADO EN PLANTA"))</f>
        <v/>
      </c>
      <c r="B1064" s="3" t="inlineStr"/>
      <c r="C1064" s="4">
        <f>IF(B1064="","",IFERROR(VLOOKUP(B1064, PLANTA_BASE!A:R, 3, FALSE), ""))</f>
        <v/>
      </c>
      <c r="D1064" s="2">
        <f>IF(B1064="","",IFERROR(VLOOKUP(B1064, PLANTA_BASE!A:R, 5, FALSE), "NO ENCONTRADO EN PLANTA"))</f>
        <v/>
      </c>
      <c r="E1064" s="2">
        <f>IF(B1064="","",IFERROR(VLOOKUP(B1064, PLANTA_BASE!A:R, 6, FALSE), "NO ENCONTRADO EN PLANTA"))</f>
        <v/>
      </c>
      <c r="F1064" s="4">
        <f>IF(B1064="","",IFERROR(VLOOKUP(B1064, PLANTA_BASE!A:R, 8, FALSE), "DOCENTE / FACILITADOR"))</f>
        <v/>
      </c>
      <c r="G1064" s="4">
        <f>IF(B1064="","",IFERROR(VLOOKUP(B1064, PLANTA_BASE!A:R, 9, FALSE), "GENERAL"))</f>
        <v/>
      </c>
      <c r="H1064" s="2">
        <f>IF(B1064="","",IFERROR(VLOOKUP(B1064, PLANTA_BASE!A:R, 17, FALSE), "GENERAL"))</f>
        <v/>
      </c>
    </row>
    <row r="1065" ht="20" customHeight="1">
      <c r="A1065" s="5">
        <f>IF(B1065="","",IFERROR(VLOOKUP(B1065, PLANTA_BASE!A:R, 2, FALSE), "NO ENCONTRADO EN PLANTA"))</f>
        <v/>
      </c>
      <c r="B1065" s="6" t="inlineStr"/>
      <c r="C1065" s="7">
        <f>IF(B1065="","",IFERROR(VLOOKUP(B1065, PLANTA_BASE!A:R, 3, FALSE), ""))</f>
        <v/>
      </c>
      <c r="D1065" s="5">
        <f>IF(B1065="","",IFERROR(VLOOKUP(B1065, PLANTA_BASE!A:R, 5, FALSE), "NO ENCONTRADO EN PLANTA"))</f>
        <v/>
      </c>
      <c r="E1065" s="5">
        <f>IF(B1065="","",IFERROR(VLOOKUP(B1065, PLANTA_BASE!A:R, 6, FALSE), "NO ENCONTRADO EN PLANTA"))</f>
        <v/>
      </c>
      <c r="F1065" s="7">
        <f>IF(B1065="","",IFERROR(VLOOKUP(B1065, PLANTA_BASE!A:R, 8, FALSE), "DOCENTE / FACILITADOR"))</f>
        <v/>
      </c>
      <c r="G1065" s="7">
        <f>IF(B1065="","",IFERROR(VLOOKUP(B1065, PLANTA_BASE!A:R, 9, FALSE), "GENERAL"))</f>
        <v/>
      </c>
      <c r="H1065" s="5">
        <f>IF(B1065="","",IFERROR(VLOOKUP(B1065, PLANTA_BASE!A:R, 17, FALSE), "GENERAL"))</f>
        <v/>
      </c>
    </row>
    <row r="1066" ht="20" customHeight="1">
      <c r="A1066" s="2">
        <f>IF(B1066="","",IFERROR(VLOOKUP(B1066, PLANTA_BASE!A:R, 2, FALSE), "NO ENCONTRADO EN PLANTA"))</f>
        <v/>
      </c>
      <c r="B1066" s="3" t="inlineStr"/>
      <c r="C1066" s="4">
        <f>IF(B1066="","",IFERROR(VLOOKUP(B1066, PLANTA_BASE!A:R, 3, FALSE), ""))</f>
        <v/>
      </c>
      <c r="D1066" s="2">
        <f>IF(B1066="","",IFERROR(VLOOKUP(B1066, PLANTA_BASE!A:R, 5, FALSE), "NO ENCONTRADO EN PLANTA"))</f>
        <v/>
      </c>
      <c r="E1066" s="2">
        <f>IF(B1066="","",IFERROR(VLOOKUP(B1066, PLANTA_BASE!A:R, 6, FALSE), "NO ENCONTRADO EN PLANTA"))</f>
        <v/>
      </c>
      <c r="F1066" s="4">
        <f>IF(B1066="","",IFERROR(VLOOKUP(B1066, PLANTA_BASE!A:R, 8, FALSE), "DOCENTE / FACILITADOR"))</f>
        <v/>
      </c>
      <c r="G1066" s="4">
        <f>IF(B1066="","",IFERROR(VLOOKUP(B1066, PLANTA_BASE!A:R, 9, FALSE), "GENERAL"))</f>
        <v/>
      </c>
      <c r="H1066" s="2">
        <f>IF(B1066="","",IFERROR(VLOOKUP(B1066, PLANTA_BASE!A:R, 17, FALSE), "GENERAL"))</f>
        <v/>
      </c>
    </row>
    <row r="1067" ht="20" customHeight="1">
      <c r="A1067" s="5">
        <f>IF(B1067="","",IFERROR(VLOOKUP(B1067, PLANTA_BASE!A:R, 2, FALSE), "NO ENCONTRADO EN PLANTA"))</f>
        <v/>
      </c>
      <c r="B1067" s="6" t="inlineStr"/>
      <c r="C1067" s="7">
        <f>IF(B1067="","",IFERROR(VLOOKUP(B1067, PLANTA_BASE!A:R, 3, FALSE), ""))</f>
        <v/>
      </c>
      <c r="D1067" s="5">
        <f>IF(B1067="","",IFERROR(VLOOKUP(B1067, PLANTA_BASE!A:R, 5, FALSE), "NO ENCONTRADO EN PLANTA"))</f>
        <v/>
      </c>
      <c r="E1067" s="5">
        <f>IF(B1067="","",IFERROR(VLOOKUP(B1067, PLANTA_BASE!A:R, 6, FALSE), "NO ENCONTRADO EN PLANTA"))</f>
        <v/>
      </c>
      <c r="F1067" s="7">
        <f>IF(B1067="","",IFERROR(VLOOKUP(B1067, PLANTA_BASE!A:R, 8, FALSE), "DOCENTE / FACILITADOR"))</f>
        <v/>
      </c>
      <c r="G1067" s="7">
        <f>IF(B1067="","",IFERROR(VLOOKUP(B1067, PLANTA_BASE!A:R, 9, FALSE), "GENERAL"))</f>
        <v/>
      </c>
      <c r="H1067" s="5">
        <f>IF(B1067="","",IFERROR(VLOOKUP(B1067, PLANTA_BASE!A:R, 17, FALSE), "GENERAL"))</f>
        <v/>
      </c>
    </row>
    <row r="1068" ht="20" customHeight="1">
      <c r="A1068" s="2">
        <f>IF(B1068="","",IFERROR(VLOOKUP(B1068, PLANTA_BASE!A:R, 2, FALSE), "NO ENCONTRADO EN PLANTA"))</f>
        <v/>
      </c>
      <c r="B1068" s="3" t="inlineStr"/>
      <c r="C1068" s="4">
        <f>IF(B1068="","",IFERROR(VLOOKUP(B1068, PLANTA_BASE!A:R, 3, FALSE), ""))</f>
        <v/>
      </c>
      <c r="D1068" s="2">
        <f>IF(B1068="","",IFERROR(VLOOKUP(B1068, PLANTA_BASE!A:R, 5, FALSE), "NO ENCONTRADO EN PLANTA"))</f>
        <v/>
      </c>
      <c r="E1068" s="2">
        <f>IF(B1068="","",IFERROR(VLOOKUP(B1068, PLANTA_BASE!A:R, 6, FALSE), "NO ENCONTRADO EN PLANTA"))</f>
        <v/>
      </c>
      <c r="F1068" s="4">
        <f>IF(B1068="","",IFERROR(VLOOKUP(B1068, PLANTA_BASE!A:R, 8, FALSE), "DOCENTE / FACILITADOR"))</f>
        <v/>
      </c>
      <c r="G1068" s="4">
        <f>IF(B1068="","",IFERROR(VLOOKUP(B1068, PLANTA_BASE!A:R, 9, FALSE), "GENERAL"))</f>
        <v/>
      </c>
      <c r="H1068" s="2">
        <f>IF(B1068="","",IFERROR(VLOOKUP(B1068, PLANTA_BASE!A:R, 17, FALSE), "GENERAL"))</f>
        <v/>
      </c>
    </row>
    <row r="1069" ht="20" customHeight="1">
      <c r="A1069" s="5">
        <f>IF(B1069="","",IFERROR(VLOOKUP(B1069, PLANTA_BASE!A:R, 2, FALSE), "NO ENCONTRADO EN PLANTA"))</f>
        <v/>
      </c>
      <c r="B1069" s="6" t="inlineStr"/>
      <c r="C1069" s="7">
        <f>IF(B1069="","",IFERROR(VLOOKUP(B1069, PLANTA_BASE!A:R, 3, FALSE), ""))</f>
        <v/>
      </c>
      <c r="D1069" s="5">
        <f>IF(B1069="","",IFERROR(VLOOKUP(B1069, PLANTA_BASE!A:R, 5, FALSE), "NO ENCONTRADO EN PLANTA"))</f>
        <v/>
      </c>
      <c r="E1069" s="5">
        <f>IF(B1069="","",IFERROR(VLOOKUP(B1069, PLANTA_BASE!A:R, 6, FALSE), "NO ENCONTRADO EN PLANTA"))</f>
        <v/>
      </c>
      <c r="F1069" s="7">
        <f>IF(B1069="","",IFERROR(VLOOKUP(B1069, PLANTA_BASE!A:R, 8, FALSE), "DOCENTE / FACILITADOR"))</f>
        <v/>
      </c>
      <c r="G1069" s="7">
        <f>IF(B1069="","",IFERROR(VLOOKUP(B1069, PLANTA_BASE!A:R, 9, FALSE), "GENERAL"))</f>
        <v/>
      </c>
      <c r="H1069" s="5">
        <f>IF(B1069="","",IFERROR(VLOOKUP(B1069, PLANTA_BASE!A:R, 17, FALSE), "GENERAL"))</f>
        <v/>
      </c>
    </row>
    <row r="1070" ht="20" customHeight="1">
      <c r="A1070" s="2">
        <f>IF(B1070="","",IFERROR(VLOOKUP(B1070, PLANTA_BASE!A:R, 2, FALSE), "NO ENCONTRADO EN PLANTA"))</f>
        <v/>
      </c>
      <c r="B1070" s="3" t="inlineStr"/>
      <c r="C1070" s="4">
        <f>IF(B1070="","",IFERROR(VLOOKUP(B1070, PLANTA_BASE!A:R, 3, FALSE), ""))</f>
        <v/>
      </c>
      <c r="D1070" s="2">
        <f>IF(B1070="","",IFERROR(VLOOKUP(B1070, PLANTA_BASE!A:R, 5, FALSE), "NO ENCONTRADO EN PLANTA"))</f>
        <v/>
      </c>
      <c r="E1070" s="2">
        <f>IF(B1070="","",IFERROR(VLOOKUP(B1070, PLANTA_BASE!A:R, 6, FALSE), "NO ENCONTRADO EN PLANTA"))</f>
        <v/>
      </c>
      <c r="F1070" s="4">
        <f>IF(B1070="","",IFERROR(VLOOKUP(B1070, PLANTA_BASE!A:R, 8, FALSE), "DOCENTE / FACILITADOR"))</f>
        <v/>
      </c>
      <c r="G1070" s="4">
        <f>IF(B1070="","",IFERROR(VLOOKUP(B1070, PLANTA_BASE!A:R, 9, FALSE), "GENERAL"))</f>
        <v/>
      </c>
      <c r="H1070" s="2">
        <f>IF(B1070="","",IFERROR(VLOOKUP(B1070, PLANTA_BASE!A:R, 17, FALSE), "GENERAL"))</f>
        <v/>
      </c>
    </row>
    <row r="1071" ht="20" customHeight="1">
      <c r="A1071" s="5">
        <f>IF(B1071="","",IFERROR(VLOOKUP(B1071, PLANTA_BASE!A:R, 2, FALSE), "NO ENCONTRADO EN PLANTA"))</f>
        <v/>
      </c>
      <c r="B1071" s="6" t="inlineStr"/>
      <c r="C1071" s="7">
        <f>IF(B1071="","",IFERROR(VLOOKUP(B1071, PLANTA_BASE!A:R, 3, FALSE), ""))</f>
        <v/>
      </c>
      <c r="D1071" s="5">
        <f>IF(B1071="","",IFERROR(VLOOKUP(B1071, PLANTA_BASE!A:R, 5, FALSE), "NO ENCONTRADO EN PLANTA"))</f>
        <v/>
      </c>
      <c r="E1071" s="5">
        <f>IF(B1071="","",IFERROR(VLOOKUP(B1071, PLANTA_BASE!A:R, 6, FALSE), "NO ENCONTRADO EN PLANTA"))</f>
        <v/>
      </c>
      <c r="F1071" s="7">
        <f>IF(B1071="","",IFERROR(VLOOKUP(B1071, PLANTA_BASE!A:R, 8, FALSE), "DOCENTE / FACILITADOR"))</f>
        <v/>
      </c>
      <c r="G1071" s="7">
        <f>IF(B1071="","",IFERROR(VLOOKUP(B1071, PLANTA_BASE!A:R, 9, FALSE), "GENERAL"))</f>
        <v/>
      </c>
      <c r="H1071" s="5">
        <f>IF(B1071="","",IFERROR(VLOOKUP(B1071, PLANTA_BASE!A:R, 17, FALSE), "GENERAL"))</f>
        <v/>
      </c>
    </row>
    <row r="1072" ht="20" customHeight="1">
      <c r="A1072" s="2">
        <f>IF(B1072="","",IFERROR(VLOOKUP(B1072, PLANTA_BASE!A:R, 2, FALSE), "NO ENCONTRADO EN PLANTA"))</f>
        <v/>
      </c>
      <c r="B1072" s="3" t="inlineStr"/>
      <c r="C1072" s="4">
        <f>IF(B1072="","",IFERROR(VLOOKUP(B1072, PLANTA_BASE!A:R, 3, FALSE), ""))</f>
        <v/>
      </c>
      <c r="D1072" s="2">
        <f>IF(B1072="","",IFERROR(VLOOKUP(B1072, PLANTA_BASE!A:R, 5, FALSE), "NO ENCONTRADO EN PLANTA"))</f>
        <v/>
      </c>
      <c r="E1072" s="2">
        <f>IF(B1072="","",IFERROR(VLOOKUP(B1072, PLANTA_BASE!A:R, 6, FALSE), "NO ENCONTRADO EN PLANTA"))</f>
        <v/>
      </c>
      <c r="F1072" s="4">
        <f>IF(B1072="","",IFERROR(VLOOKUP(B1072, PLANTA_BASE!A:R, 8, FALSE), "DOCENTE / FACILITADOR"))</f>
        <v/>
      </c>
      <c r="G1072" s="4">
        <f>IF(B1072="","",IFERROR(VLOOKUP(B1072, PLANTA_BASE!A:R, 9, FALSE), "GENERAL"))</f>
        <v/>
      </c>
      <c r="H1072" s="2">
        <f>IF(B1072="","",IFERROR(VLOOKUP(B1072, PLANTA_BASE!A:R, 17, FALSE), "GENERAL"))</f>
        <v/>
      </c>
    </row>
    <row r="1073" ht="20" customHeight="1">
      <c r="A1073" s="5">
        <f>IF(B1073="","",IFERROR(VLOOKUP(B1073, PLANTA_BASE!A:R, 2, FALSE), "NO ENCONTRADO EN PLANTA"))</f>
        <v/>
      </c>
      <c r="B1073" s="6" t="inlineStr"/>
      <c r="C1073" s="7">
        <f>IF(B1073="","",IFERROR(VLOOKUP(B1073, PLANTA_BASE!A:R, 3, FALSE), ""))</f>
        <v/>
      </c>
      <c r="D1073" s="5">
        <f>IF(B1073="","",IFERROR(VLOOKUP(B1073, PLANTA_BASE!A:R, 5, FALSE), "NO ENCONTRADO EN PLANTA"))</f>
        <v/>
      </c>
      <c r="E1073" s="5">
        <f>IF(B1073="","",IFERROR(VLOOKUP(B1073, PLANTA_BASE!A:R, 6, FALSE), "NO ENCONTRADO EN PLANTA"))</f>
        <v/>
      </c>
      <c r="F1073" s="7">
        <f>IF(B1073="","",IFERROR(VLOOKUP(B1073, PLANTA_BASE!A:R, 8, FALSE), "DOCENTE / FACILITADOR"))</f>
        <v/>
      </c>
      <c r="G1073" s="7">
        <f>IF(B1073="","",IFERROR(VLOOKUP(B1073, PLANTA_BASE!A:R, 9, FALSE), "GENERAL"))</f>
        <v/>
      </c>
      <c r="H1073" s="5">
        <f>IF(B1073="","",IFERROR(VLOOKUP(B1073, PLANTA_BASE!A:R, 17, FALSE), "GENERAL"))</f>
        <v/>
      </c>
    </row>
    <row r="1074" ht="20" customHeight="1">
      <c r="A1074" s="2">
        <f>IF(B1074="","",IFERROR(VLOOKUP(B1074, PLANTA_BASE!A:R, 2, FALSE), "NO ENCONTRADO EN PLANTA"))</f>
        <v/>
      </c>
      <c r="B1074" s="3" t="inlineStr"/>
      <c r="C1074" s="4">
        <f>IF(B1074="","",IFERROR(VLOOKUP(B1074, PLANTA_BASE!A:R, 3, FALSE), ""))</f>
        <v/>
      </c>
      <c r="D1074" s="2">
        <f>IF(B1074="","",IFERROR(VLOOKUP(B1074, PLANTA_BASE!A:R, 5, FALSE), "NO ENCONTRADO EN PLANTA"))</f>
        <v/>
      </c>
      <c r="E1074" s="2">
        <f>IF(B1074="","",IFERROR(VLOOKUP(B1074, PLANTA_BASE!A:R, 6, FALSE), "NO ENCONTRADO EN PLANTA"))</f>
        <v/>
      </c>
      <c r="F1074" s="4">
        <f>IF(B1074="","",IFERROR(VLOOKUP(B1074, PLANTA_BASE!A:R, 8, FALSE), "DOCENTE / FACILITADOR"))</f>
        <v/>
      </c>
      <c r="G1074" s="4">
        <f>IF(B1074="","",IFERROR(VLOOKUP(B1074, PLANTA_BASE!A:R, 9, FALSE), "GENERAL"))</f>
        <v/>
      </c>
      <c r="H1074" s="2">
        <f>IF(B1074="","",IFERROR(VLOOKUP(B1074, PLANTA_BASE!A:R, 17, FALSE), "GENERAL"))</f>
        <v/>
      </c>
    </row>
    <row r="1075" ht="20" customHeight="1">
      <c r="A1075" s="5">
        <f>IF(B1075="","",IFERROR(VLOOKUP(B1075, PLANTA_BASE!A:R, 2, FALSE), "NO ENCONTRADO EN PLANTA"))</f>
        <v/>
      </c>
      <c r="B1075" s="6" t="inlineStr"/>
      <c r="C1075" s="7">
        <f>IF(B1075="","",IFERROR(VLOOKUP(B1075, PLANTA_BASE!A:R, 3, FALSE), ""))</f>
        <v/>
      </c>
      <c r="D1075" s="5">
        <f>IF(B1075="","",IFERROR(VLOOKUP(B1075, PLANTA_BASE!A:R, 5, FALSE), "NO ENCONTRADO EN PLANTA"))</f>
        <v/>
      </c>
      <c r="E1075" s="5">
        <f>IF(B1075="","",IFERROR(VLOOKUP(B1075, PLANTA_BASE!A:R, 6, FALSE), "NO ENCONTRADO EN PLANTA"))</f>
        <v/>
      </c>
      <c r="F1075" s="7">
        <f>IF(B1075="","",IFERROR(VLOOKUP(B1075, PLANTA_BASE!A:R, 8, FALSE), "DOCENTE / FACILITADOR"))</f>
        <v/>
      </c>
      <c r="G1075" s="7">
        <f>IF(B1075="","",IFERROR(VLOOKUP(B1075, PLANTA_BASE!A:R, 9, FALSE), "GENERAL"))</f>
        <v/>
      </c>
      <c r="H1075" s="5">
        <f>IF(B1075="","",IFERROR(VLOOKUP(B1075, PLANTA_BASE!A:R, 17, FALSE), "GENERAL"))</f>
        <v/>
      </c>
    </row>
    <row r="1076" ht="20" customHeight="1">
      <c r="A1076" s="2">
        <f>IF(B1076="","",IFERROR(VLOOKUP(B1076, PLANTA_BASE!A:R, 2, FALSE), "NO ENCONTRADO EN PLANTA"))</f>
        <v/>
      </c>
      <c r="B1076" s="3" t="inlineStr"/>
      <c r="C1076" s="4">
        <f>IF(B1076="","",IFERROR(VLOOKUP(B1076, PLANTA_BASE!A:R, 3, FALSE), ""))</f>
        <v/>
      </c>
      <c r="D1076" s="2">
        <f>IF(B1076="","",IFERROR(VLOOKUP(B1076, PLANTA_BASE!A:R, 5, FALSE), "NO ENCONTRADO EN PLANTA"))</f>
        <v/>
      </c>
      <c r="E1076" s="2">
        <f>IF(B1076="","",IFERROR(VLOOKUP(B1076, PLANTA_BASE!A:R, 6, FALSE), "NO ENCONTRADO EN PLANTA"))</f>
        <v/>
      </c>
      <c r="F1076" s="4">
        <f>IF(B1076="","",IFERROR(VLOOKUP(B1076, PLANTA_BASE!A:R, 8, FALSE), "DOCENTE / FACILITADOR"))</f>
        <v/>
      </c>
      <c r="G1076" s="4">
        <f>IF(B1076="","",IFERROR(VLOOKUP(B1076, PLANTA_BASE!A:R, 9, FALSE), "GENERAL"))</f>
        <v/>
      </c>
      <c r="H1076" s="2">
        <f>IF(B1076="","",IFERROR(VLOOKUP(B1076, PLANTA_BASE!A:R, 17, FALSE), "GENERAL"))</f>
        <v/>
      </c>
    </row>
    <row r="1077" ht="20" customHeight="1">
      <c r="A1077" s="5">
        <f>IF(B1077="","",IFERROR(VLOOKUP(B1077, PLANTA_BASE!A:R, 2, FALSE), "NO ENCONTRADO EN PLANTA"))</f>
        <v/>
      </c>
      <c r="B1077" s="6" t="inlineStr"/>
      <c r="C1077" s="7">
        <f>IF(B1077="","",IFERROR(VLOOKUP(B1077, PLANTA_BASE!A:R, 3, FALSE), ""))</f>
        <v/>
      </c>
      <c r="D1077" s="5">
        <f>IF(B1077="","",IFERROR(VLOOKUP(B1077, PLANTA_BASE!A:R, 5, FALSE), "NO ENCONTRADO EN PLANTA"))</f>
        <v/>
      </c>
      <c r="E1077" s="5">
        <f>IF(B1077="","",IFERROR(VLOOKUP(B1077, PLANTA_BASE!A:R, 6, FALSE), "NO ENCONTRADO EN PLANTA"))</f>
        <v/>
      </c>
      <c r="F1077" s="7">
        <f>IF(B1077="","",IFERROR(VLOOKUP(B1077, PLANTA_BASE!A:R, 8, FALSE), "DOCENTE / FACILITADOR"))</f>
        <v/>
      </c>
      <c r="G1077" s="7">
        <f>IF(B1077="","",IFERROR(VLOOKUP(B1077, PLANTA_BASE!A:R, 9, FALSE), "GENERAL"))</f>
        <v/>
      </c>
      <c r="H1077" s="5">
        <f>IF(B1077="","",IFERROR(VLOOKUP(B1077, PLANTA_BASE!A:R, 17, FALSE), "GENERAL"))</f>
        <v/>
      </c>
    </row>
    <row r="1078" ht="20" customHeight="1">
      <c r="A1078" s="2">
        <f>IF(B1078="","",IFERROR(VLOOKUP(B1078, PLANTA_BASE!A:R, 2, FALSE), "NO ENCONTRADO EN PLANTA"))</f>
        <v/>
      </c>
      <c r="B1078" s="3" t="inlineStr"/>
      <c r="C1078" s="4">
        <f>IF(B1078="","",IFERROR(VLOOKUP(B1078, PLANTA_BASE!A:R, 3, FALSE), ""))</f>
        <v/>
      </c>
      <c r="D1078" s="2">
        <f>IF(B1078="","",IFERROR(VLOOKUP(B1078, PLANTA_BASE!A:R, 5, FALSE), "NO ENCONTRADO EN PLANTA"))</f>
        <v/>
      </c>
      <c r="E1078" s="2">
        <f>IF(B1078="","",IFERROR(VLOOKUP(B1078, PLANTA_BASE!A:R, 6, FALSE), "NO ENCONTRADO EN PLANTA"))</f>
        <v/>
      </c>
      <c r="F1078" s="4">
        <f>IF(B1078="","",IFERROR(VLOOKUP(B1078, PLANTA_BASE!A:R, 8, FALSE), "DOCENTE / FACILITADOR"))</f>
        <v/>
      </c>
      <c r="G1078" s="4">
        <f>IF(B1078="","",IFERROR(VLOOKUP(B1078, PLANTA_BASE!A:R, 9, FALSE), "GENERAL"))</f>
        <v/>
      </c>
      <c r="H1078" s="2">
        <f>IF(B1078="","",IFERROR(VLOOKUP(B1078, PLANTA_BASE!A:R, 17, FALSE), "GENERAL"))</f>
        <v/>
      </c>
    </row>
    <row r="1079" ht="20" customHeight="1">
      <c r="A1079" s="5">
        <f>IF(B1079="","",IFERROR(VLOOKUP(B1079, PLANTA_BASE!A:R, 2, FALSE), "NO ENCONTRADO EN PLANTA"))</f>
        <v/>
      </c>
      <c r="B1079" s="6" t="inlineStr"/>
      <c r="C1079" s="7">
        <f>IF(B1079="","",IFERROR(VLOOKUP(B1079, PLANTA_BASE!A:R, 3, FALSE), ""))</f>
        <v/>
      </c>
      <c r="D1079" s="5">
        <f>IF(B1079="","",IFERROR(VLOOKUP(B1079, PLANTA_BASE!A:R, 5, FALSE), "NO ENCONTRADO EN PLANTA"))</f>
        <v/>
      </c>
      <c r="E1079" s="5">
        <f>IF(B1079="","",IFERROR(VLOOKUP(B1079, PLANTA_BASE!A:R, 6, FALSE), "NO ENCONTRADO EN PLANTA"))</f>
        <v/>
      </c>
      <c r="F1079" s="7">
        <f>IF(B1079="","",IFERROR(VLOOKUP(B1079, PLANTA_BASE!A:R, 8, FALSE), "DOCENTE / FACILITADOR"))</f>
        <v/>
      </c>
      <c r="G1079" s="7">
        <f>IF(B1079="","",IFERROR(VLOOKUP(B1079, PLANTA_BASE!A:R, 9, FALSE), "GENERAL"))</f>
        <v/>
      </c>
      <c r="H1079" s="5">
        <f>IF(B1079="","",IFERROR(VLOOKUP(B1079, PLANTA_BASE!A:R, 17, FALSE), "GENERAL"))</f>
        <v/>
      </c>
    </row>
    <row r="1080" ht="20" customHeight="1">
      <c r="A1080" s="2">
        <f>IF(B1080="","",IFERROR(VLOOKUP(B1080, PLANTA_BASE!A:R, 2, FALSE), "NO ENCONTRADO EN PLANTA"))</f>
        <v/>
      </c>
      <c r="B1080" s="3" t="inlineStr"/>
      <c r="C1080" s="4">
        <f>IF(B1080="","",IFERROR(VLOOKUP(B1080, PLANTA_BASE!A:R, 3, FALSE), ""))</f>
        <v/>
      </c>
      <c r="D1080" s="2">
        <f>IF(B1080="","",IFERROR(VLOOKUP(B1080, PLANTA_BASE!A:R, 5, FALSE), "NO ENCONTRADO EN PLANTA"))</f>
        <v/>
      </c>
      <c r="E1080" s="2">
        <f>IF(B1080="","",IFERROR(VLOOKUP(B1080, PLANTA_BASE!A:R, 6, FALSE), "NO ENCONTRADO EN PLANTA"))</f>
        <v/>
      </c>
      <c r="F1080" s="4">
        <f>IF(B1080="","",IFERROR(VLOOKUP(B1080, PLANTA_BASE!A:R, 8, FALSE), "DOCENTE / FACILITADOR"))</f>
        <v/>
      </c>
      <c r="G1080" s="4">
        <f>IF(B1080="","",IFERROR(VLOOKUP(B1080, PLANTA_BASE!A:R, 9, FALSE), "GENERAL"))</f>
        <v/>
      </c>
      <c r="H1080" s="2">
        <f>IF(B1080="","",IFERROR(VLOOKUP(B1080, PLANTA_BASE!A:R, 17, FALSE), "GENERAL"))</f>
        <v/>
      </c>
    </row>
    <row r="1081" ht="20" customHeight="1">
      <c r="A1081" s="5">
        <f>IF(B1081="","",IFERROR(VLOOKUP(B1081, PLANTA_BASE!A:R, 2, FALSE), "NO ENCONTRADO EN PLANTA"))</f>
        <v/>
      </c>
      <c r="B1081" s="6" t="inlineStr"/>
      <c r="C1081" s="7">
        <f>IF(B1081="","",IFERROR(VLOOKUP(B1081, PLANTA_BASE!A:R, 3, FALSE), ""))</f>
        <v/>
      </c>
      <c r="D1081" s="5">
        <f>IF(B1081="","",IFERROR(VLOOKUP(B1081, PLANTA_BASE!A:R, 5, FALSE), "NO ENCONTRADO EN PLANTA"))</f>
        <v/>
      </c>
      <c r="E1081" s="5">
        <f>IF(B1081="","",IFERROR(VLOOKUP(B1081, PLANTA_BASE!A:R, 6, FALSE), "NO ENCONTRADO EN PLANTA"))</f>
        <v/>
      </c>
      <c r="F1081" s="7">
        <f>IF(B1081="","",IFERROR(VLOOKUP(B1081, PLANTA_BASE!A:R, 8, FALSE), "DOCENTE / FACILITADOR"))</f>
        <v/>
      </c>
      <c r="G1081" s="7">
        <f>IF(B1081="","",IFERROR(VLOOKUP(B1081, PLANTA_BASE!A:R, 9, FALSE), "GENERAL"))</f>
        <v/>
      </c>
      <c r="H1081" s="5">
        <f>IF(B1081="","",IFERROR(VLOOKUP(B1081, PLANTA_BASE!A:R, 17, FALSE), "GENERAL"))</f>
        <v/>
      </c>
    </row>
    <row r="1082" ht="20" customHeight="1">
      <c r="A1082" s="2">
        <f>IF(B1082="","",IFERROR(VLOOKUP(B1082, PLANTA_BASE!A:R, 2, FALSE), "NO ENCONTRADO EN PLANTA"))</f>
        <v/>
      </c>
      <c r="B1082" s="3" t="inlineStr"/>
      <c r="C1082" s="4">
        <f>IF(B1082="","",IFERROR(VLOOKUP(B1082, PLANTA_BASE!A:R, 3, FALSE), ""))</f>
        <v/>
      </c>
      <c r="D1082" s="2">
        <f>IF(B1082="","",IFERROR(VLOOKUP(B1082, PLANTA_BASE!A:R, 5, FALSE), "NO ENCONTRADO EN PLANTA"))</f>
        <v/>
      </c>
      <c r="E1082" s="2">
        <f>IF(B1082="","",IFERROR(VLOOKUP(B1082, PLANTA_BASE!A:R, 6, FALSE), "NO ENCONTRADO EN PLANTA"))</f>
        <v/>
      </c>
      <c r="F1082" s="4">
        <f>IF(B1082="","",IFERROR(VLOOKUP(B1082, PLANTA_BASE!A:R, 8, FALSE), "DOCENTE / FACILITADOR"))</f>
        <v/>
      </c>
      <c r="G1082" s="4">
        <f>IF(B1082="","",IFERROR(VLOOKUP(B1082, PLANTA_BASE!A:R, 9, FALSE), "GENERAL"))</f>
        <v/>
      </c>
      <c r="H1082" s="2">
        <f>IF(B1082="","",IFERROR(VLOOKUP(B1082, PLANTA_BASE!A:R, 17, FALSE), "GENERAL"))</f>
        <v/>
      </c>
    </row>
    <row r="1083" ht="20" customHeight="1">
      <c r="A1083" s="5">
        <f>IF(B1083="","",IFERROR(VLOOKUP(B1083, PLANTA_BASE!A:R, 2, FALSE), "NO ENCONTRADO EN PLANTA"))</f>
        <v/>
      </c>
      <c r="B1083" s="6" t="inlineStr"/>
      <c r="C1083" s="7">
        <f>IF(B1083="","",IFERROR(VLOOKUP(B1083, PLANTA_BASE!A:R, 3, FALSE), ""))</f>
        <v/>
      </c>
      <c r="D1083" s="5">
        <f>IF(B1083="","",IFERROR(VLOOKUP(B1083, PLANTA_BASE!A:R, 5, FALSE), "NO ENCONTRADO EN PLANTA"))</f>
        <v/>
      </c>
      <c r="E1083" s="5">
        <f>IF(B1083="","",IFERROR(VLOOKUP(B1083, PLANTA_BASE!A:R, 6, FALSE), "NO ENCONTRADO EN PLANTA"))</f>
        <v/>
      </c>
      <c r="F1083" s="7">
        <f>IF(B1083="","",IFERROR(VLOOKUP(B1083, PLANTA_BASE!A:R, 8, FALSE), "DOCENTE / FACILITADOR"))</f>
        <v/>
      </c>
      <c r="G1083" s="7">
        <f>IF(B1083="","",IFERROR(VLOOKUP(B1083, PLANTA_BASE!A:R, 9, FALSE), "GENERAL"))</f>
        <v/>
      </c>
      <c r="H1083" s="5">
        <f>IF(B1083="","",IFERROR(VLOOKUP(B1083, PLANTA_BASE!A:R, 17, FALSE), "GENERAL"))</f>
        <v/>
      </c>
    </row>
    <row r="1084" ht="20" customHeight="1">
      <c r="A1084" s="2">
        <f>IF(B1084="","",IFERROR(VLOOKUP(B1084, PLANTA_BASE!A:R, 2, FALSE), "NO ENCONTRADO EN PLANTA"))</f>
        <v/>
      </c>
      <c r="B1084" s="3" t="inlineStr"/>
      <c r="C1084" s="4">
        <f>IF(B1084="","",IFERROR(VLOOKUP(B1084, PLANTA_BASE!A:R, 3, FALSE), ""))</f>
        <v/>
      </c>
      <c r="D1084" s="2">
        <f>IF(B1084="","",IFERROR(VLOOKUP(B1084, PLANTA_BASE!A:R, 5, FALSE), "NO ENCONTRADO EN PLANTA"))</f>
        <v/>
      </c>
      <c r="E1084" s="2">
        <f>IF(B1084="","",IFERROR(VLOOKUP(B1084, PLANTA_BASE!A:R, 6, FALSE), "NO ENCONTRADO EN PLANTA"))</f>
        <v/>
      </c>
      <c r="F1084" s="4">
        <f>IF(B1084="","",IFERROR(VLOOKUP(B1084, PLANTA_BASE!A:R, 8, FALSE), "DOCENTE / FACILITADOR"))</f>
        <v/>
      </c>
      <c r="G1084" s="4">
        <f>IF(B1084="","",IFERROR(VLOOKUP(B1084, PLANTA_BASE!A:R, 9, FALSE), "GENERAL"))</f>
        <v/>
      </c>
      <c r="H1084" s="2">
        <f>IF(B1084="","",IFERROR(VLOOKUP(B1084, PLANTA_BASE!A:R, 17, FALSE), "GENERAL"))</f>
        <v/>
      </c>
    </row>
    <row r="1085" ht="20" customHeight="1">
      <c r="A1085" s="5">
        <f>IF(B1085="","",IFERROR(VLOOKUP(B1085, PLANTA_BASE!A:R, 2, FALSE), "NO ENCONTRADO EN PLANTA"))</f>
        <v/>
      </c>
      <c r="B1085" s="6" t="inlineStr"/>
      <c r="C1085" s="7">
        <f>IF(B1085="","",IFERROR(VLOOKUP(B1085, PLANTA_BASE!A:R, 3, FALSE), ""))</f>
        <v/>
      </c>
      <c r="D1085" s="5">
        <f>IF(B1085="","",IFERROR(VLOOKUP(B1085, PLANTA_BASE!A:R, 5, FALSE), "NO ENCONTRADO EN PLANTA"))</f>
        <v/>
      </c>
      <c r="E1085" s="5">
        <f>IF(B1085="","",IFERROR(VLOOKUP(B1085, PLANTA_BASE!A:R, 6, FALSE), "NO ENCONTRADO EN PLANTA"))</f>
        <v/>
      </c>
      <c r="F1085" s="7">
        <f>IF(B1085="","",IFERROR(VLOOKUP(B1085, PLANTA_BASE!A:R, 8, FALSE), "DOCENTE / FACILITADOR"))</f>
        <v/>
      </c>
      <c r="G1085" s="7">
        <f>IF(B1085="","",IFERROR(VLOOKUP(B1085, PLANTA_BASE!A:R, 9, FALSE), "GENERAL"))</f>
        <v/>
      </c>
      <c r="H1085" s="5">
        <f>IF(B1085="","",IFERROR(VLOOKUP(B1085, PLANTA_BASE!A:R, 17, FALSE), "GENERAL"))</f>
        <v/>
      </c>
    </row>
    <row r="1086" ht="20" customHeight="1">
      <c r="A1086" s="2">
        <f>IF(B1086="","",IFERROR(VLOOKUP(B1086, PLANTA_BASE!A:R, 2, FALSE), "NO ENCONTRADO EN PLANTA"))</f>
        <v/>
      </c>
      <c r="B1086" s="3" t="inlineStr"/>
      <c r="C1086" s="4">
        <f>IF(B1086="","",IFERROR(VLOOKUP(B1086, PLANTA_BASE!A:R, 3, FALSE), ""))</f>
        <v/>
      </c>
      <c r="D1086" s="2">
        <f>IF(B1086="","",IFERROR(VLOOKUP(B1086, PLANTA_BASE!A:R, 5, FALSE), "NO ENCONTRADO EN PLANTA"))</f>
        <v/>
      </c>
      <c r="E1086" s="2">
        <f>IF(B1086="","",IFERROR(VLOOKUP(B1086, PLANTA_BASE!A:R, 6, FALSE), "NO ENCONTRADO EN PLANTA"))</f>
        <v/>
      </c>
      <c r="F1086" s="4">
        <f>IF(B1086="","",IFERROR(VLOOKUP(B1086, PLANTA_BASE!A:R, 8, FALSE), "DOCENTE / FACILITADOR"))</f>
        <v/>
      </c>
      <c r="G1086" s="4">
        <f>IF(B1086="","",IFERROR(VLOOKUP(B1086, PLANTA_BASE!A:R, 9, FALSE), "GENERAL"))</f>
        <v/>
      </c>
      <c r="H1086" s="2">
        <f>IF(B1086="","",IFERROR(VLOOKUP(B1086, PLANTA_BASE!A:R, 17, FALSE), "GENERAL"))</f>
        <v/>
      </c>
    </row>
    <row r="1087" ht="20" customHeight="1">
      <c r="A1087" s="5">
        <f>IF(B1087="","",IFERROR(VLOOKUP(B1087, PLANTA_BASE!A:R, 2, FALSE), "NO ENCONTRADO EN PLANTA"))</f>
        <v/>
      </c>
      <c r="B1087" s="6" t="inlineStr"/>
      <c r="C1087" s="7">
        <f>IF(B1087="","",IFERROR(VLOOKUP(B1087, PLANTA_BASE!A:R, 3, FALSE), ""))</f>
        <v/>
      </c>
      <c r="D1087" s="5">
        <f>IF(B1087="","",IFERROR(VLOOKUP(B1087, PLANTA_BASE!A:R, 5, FALSE), "NO ENCONTRADO EN PLANTA"))</f>
        <v/>
      </c>
      <c r="E1087" s="5">
        <f>IF(B1087="","",IFERROR(VLOOKUP(B1087, PLANTA_BASE!A:R, 6, FALSE), "NO ENCONTRADO EN PLANTA"))</f>
        <v/>
      </c>
      <c r="F1087" s="7">
        <f>IF(B1087="","",IFERROR(VLOOKUP(B1087, PLANTA_BASE!A:R, 8, FALSE), "DOCENTE / FACILITADOR"))</f>
        <v/>
      </c>
      <c r="G1087" s="7">
        <f>IF(B1087="","",IFERROR(VLOOKUP(B1087, PLANTA_BASE!A:R, 9, FALSE), "GENERAL"))</f>
        <v/>
      </c>
      <c r="H1087" s="5">
        <f>IF(B1087="","",IFERROR(VLOOKUP(B1087, PLANTA_BASE!A:R, 17, FALSE), "GENERAL"))</f>
        <v/>
      </c>
    </row>
    <row r="1088" ht="20" customHeight="1">
      <c r="A1088" s="2">
        <f>IF(B1088="","",IFERROR(VLOOKUP(B1088, PLANTA_BASE!A:R, 2, FALSE), "NO ENCONTRADO EN PLANTA"))</f>
        <v/>
      </c>
      <c r="B1088" s="3" t="inlineStr"/>
      <c r="C1088" s="4">
        <f>IF(B1088="","",IFERROR(VLOOKUP(B1088, PLANTA_BASE!A:R, 3, FALSE), ""))</f>
        <v/>
      </c>
      <c r="D1088" s="2">
        <f>IF(B1088="","",IFERROR(VLOOKUP(B1088, PLANTA_BASE!A:R, 5, FALSE), "NO ENCONTRADO EN PLANTA"))</f>
        <v/>
      </c>
      <c r="E1088" s="2">
        <f>IF(B1088="","",IFERROR(VLOOKUP(B1088, PLANTA_BASE!A:R, 6, FALSE), "NO ENCONTRADO EN PLANTA"))</f>
        <v/>
      </c>
      <c r="F1088" s="4">
        <f>IF(B1088="","",IFERROR(VLOOKUP(B1088, PLANTA_BASE!A:R, 8, FALSE), "DOCENTE / FACILITADOR"))</f>
        <v/>
      </c>
      <c r="G1088" s="4">
        <f>IF(B1088="","",IFERROR(VLOOKUP(B1088, PLANTA_BASE!A:R, 9, FALSE), "GENERAL"))</f>
        <v/>
      </c>
      <c r="H1088" s="2">
        <f>IF(B1088="","",IFERROR(VLOOKUP(B1088, PLANTA_BASE!A:R, 17, FALSE), "GENERAL"))</f>
        <v/>
      </c>
    </row>
    <row r="1089" ht="20" customHeight="1">
      <c r="A1089" s="5">
        <f>IF(B1089="","",IFERROR(VLOOKUP(B1089, PLANTA_BASE!A:R, 2, FALSE), "NO ENCONTRADO EN PLANTA"))</f>
        <v/>
      </c>
      <c r="B1089" s="6" t="inlineStr"/>
      <c r="C1089" s="7">
        <f>IF(B1089="","",IFERROR(VLOOKUP(B1089, PLANTA_BASE!A:R, 3, FALSE), ""))</f>
        <v/>
      </c>
      <c r="D1089" s="5">
        <f>IF(B1089="","",IFERROR(VLOOKUP(B1089, PLANTA_BASE!A:R, 5, FALSE), "NO ENCONTRADO EN PLANTA"))</f>
        <v/>
      </c>
      <c r="E1089" s="5">
        <f>IF(B1089="","",IFERROR(VLOOKUP(B1089, PLANTA_BASE!A:R, 6, FALSE), "NO ENCONTRADO EN PLANTA"))</f>
        <v/>
      </c>
      <c r="F1089" s="7">
        <f>IF(B1089="","",IFERROR(VLOOKUP(B1089, PLANTA_BASE!A:R, 8, FALSE), "DOCENTE / FACILITADOR"))</f>
        <v/>
      </c>
      <c r="G1089" s="7">
        <f>IF(B1089="","",IFERROR(VLOOKUP(B1089, PLANTA_BASE!A:R, 9, FALSE), "GENERAL"))</f>
        <v/>
      </c>
      <c r="H1089" s="5">
        <f>IF(B1089="","",IFERROR(VLOOKUP(B1089, PLANTA_BASE!A:R, 17, FALSE), "GENERAL"))</f>
        <v/>
      </c>
    </row>
    <row r="1090" ht="20" customHeight="1">
      <c r="A1090" s="2">
        <f>IF(B1090="","",IFERROR(VLOOKUP(B1090, PLANTA_BASE!A:R, 2, FALSE), "NO ENCONTRADO EN PLANTA"))</f>
        <v/>
      </c>
      <c r="B1090" s="3" t="inlineStr"/>
      <c r="C1090" s="4">
        <f>IF(B1090="","",IFERROR(VLOOKUP(B1090, PLANTA_BASE!A:R, 3, FALSE), ""))</f>
        <v/>
      </c>
      <c r="D1090" s="2">
        <f>IF(B1090="","",IFERROR(VLOOKUP(B1090, PLANTA_BASE!A:R, 5, FALSE), "NO ENCONTRADO EN PLANTA"))</f>
        <v/>
      </c>
      <c r="E1090" s="2">
        <f>IF(B1090="","",IFERROR(VLOOKUP(B1090, PLANTA_BASE!A:R, 6, FALSE), "NO ENCONTRADO EN PLANTA"))</f>
        <v/>
      </c>
      <c r="F1090" s="4">
        <f>IF(B1090="","",IFERROR(VLOOKUP(B1090, PLANTA_BASE!A:R, 8, FALSE), "DOCENTE / FACILITADOR"))</f>
        <v/>
      </c>
      <c r="G1090" s="4">
        <f>IF(B1090="","",IFERROR(VLOOKUP(B1090, PLANTA_BASE!A:R, 9, FALSE), "GENERAL"))</f>
        <v/>
      </c>
      <c r="H1090" s="2">
        <f>IF(B1090="","",IFERROR(VLOOKUP(B1090, PLANTA_BASE!A:R, 17, FALSE), "GENERAL"))</f>
        <v/>
      </c>
    </row>
    <row r="1091" ht="20" customHeight="1">
      <c r="A1091" s="5">
        <f>IF(B1091="","",IFERROR(VLOOKUP(B1091, PLANTA_BASE!A:R, 2, FALSE), "NO ENCONTRADO EN PLANTA"))</f>
        <v/>
      </c>
      <c r="B1091" s="6" t="inlineStr"/>
      <c r="C1091" s="7">
        <f>IF(B1091="","",IFERROR(VLOOKUP(B1091, PLANTA_BASE!A:R, 3, FALSE), ""))</f>
        <v/>
      </c>
      <c r="D1091" s="5">
        <f>IF(B1091="","",IFERROR(VLOOKUP(B1091, PLANTA_BASE!A:R, 5, FALSE), "NO ENCONTRADO EN PLANTA"))</f>
        <v/>
      </c>
      <c r="E1091" s="5">
        <f>IF(B1091="","",IFERROR(VLOOKUP(B1091, PLANTA_BASE!A:R, 6, FALSE), "NO ENCONTRADO EN PLANTA"))</f>
        <v/>
      </c>
      <c r="F1091" s="7">
        <f>IF(B1091="","",IFERROR(VLOOKUP(B1091, PLANTA_BASE!A:R, 8, FALSE), "DOCENTE / FACILITADOR"))</f>
        <v/>
      </c>
      <c r="G1091" s="7">
        <f>IF(B1091="","",IFERROR(VLOOKUP(B1091, PLANTA_BASE!A:R, 9, FALSE), "GENERAL"))</f>
        <v/>
      </c>
      <c r="H1091" s="5">
        <f>IF(B1091="","",IFERROR(VLOOKUP(B1091, PLANTA_BASE!A:R, 17, FALSE), "GENERAL"))</f>
        <v/>
      </c>
    </row>
    <row r="1092" ht="20" customHeight="1">
      <c r="A1092" s="2">
        <f>IF(B1092="","",IFERROR(VLOOKUP(B1092, PLANTA_BASE!A:R, 2, FALSE), "NO ENCONTRADO EN PLANTA"))</f>
        <v/>
      </c>
      <c r="B1092" s="3" t="inlineStr"/>
      <c r="C1092" s="4">
        <f>IF(B1092="","",IFERROR(VLOOKUP(B1092, PLANTA_BASE!A:R, 3, FALSE), ""))</f>
        <v/>
      </c>
      <c r="D1092" s="2">
        <f>IF(B1092="","",IFERROR(VLOOKUP(B1092, PLANTA_BASE!A:R, 5, FALSE), "NO ENCONTRADO EN PLANTA"))</f>
        <v/>
      </c>
      <c r="E1092" s="2">
        <f>IF(B1092="","",IFERROR(VLOOKUP(B1092, PLANTA_BASE!A:R, 6, FALSE), "NO ENCONTRADO EN PLANTA"))</f>
        <v/>
      </c>
      <c r="F1092" s="4">
        <f>IF(B1092="","",IFERROR(VLOOKUP(B1092, PLANTA_BASE!A:R, 8, FALSE), "DOCENTE / FACILITADOR"))</f>
        <v/>
      </c>
      <c r="G1092" s="4">
        <f>IF(B1092="","",IFERROR(VLOOKUP(B1092, PLANTA_BASE!A:R, 9, FALSE), "GENERAL"))</f>
        <v/>
      </c>
      <c r="H1092" s="2">
        <f>IF(B1092="","",IFERROR(VLOOKUP(B1092, PLANTA_BASE!A:R, 17, FALSE), "GENERAL"))</f>
        <v/>
      </c>
    </row>
    <row r="1093" ht="20" customHeight="1">
      <c r="A1093" s="5">
        <f>IF(B1093="","",IFERROR(VLOOKUP(B1093, PLANTA_BASE!A:R, 2, FALSE), "NO ENCONTRADO EN PLANTA"))</f>
        <v/>
      </c>
      <c r="B1093" s="6" t="inlineStr"/>
      <c r="C1093" s="7">
        <f>IF(B1093="","",IFERROR(VLOOKUP(B1093, PLANTA_BASE!A:R, 3, FALSE), ""))</f>
        <v/>
      </c>
      <c r="D1093" s="5">
        <f>IF(B1093="","",IFERROR(VLOOKUP(B1093, PLANTA_BASE!A:R, 5, FALSE), "NO ENCONTRADO EN PLANTA"))</f>
        <v/>
      </c>
      <c r="E1093" s="5">
        <f>IF(B1093="","",IFERROR(VLOOKUP(B1093, PLANTA_BASE!A:R, 6, FALSE), "NO ENCONTRADO EN PLANTA"))</f>
        <v/>
      </c>
      <c r="F1093" s="7">
        <f>IF(B1093="","",IFERROR(VLOOKUP(B1093, PLANTA_BASE!A:R, 8, FALSE), "DOCENTE / FACILITADOR"))</f>
        <v/>
      </c>
      <c r="G1093" s="7">
        <f>IF(B1093="","",IFERROR(VLOOKUP(B1093, PLANTA_BASE!A:R, 9, FALSE), "GENERAL"))</f>
        <v/>
      </c>
      <c r="H1093" s="5">
        <f>IF(B1093="","",IFERROR(VLOOKUP(B1093, PLANTA_BASE!A:R, 17, FALSE), "GENERAL"))</f>
        <v/>
      </c>
    </row>
    <row r="1094" ht="20" customHeight="1">
      <c r="A1094" s="2">
        <f>IF(B1094="","",IFERROR(VLOOKUP(B1094, PLANTA_BASE!A:R, 2, FALSE), "NO ENCONTRADO EN PLANTA"))</f>
        <v/>
      </c>
      <c r="B1094" s="3" t="inlineStr"/>
      <c r="C1094" s="4">
        <f>IF(B1094="","",IFERROR(VLOOKUP(B1094, PLANTA_BASE!A:R, 3, FALSE), ""))</f>
        <v/>
      </c>
      <c r="D1094" s="2">
        <f>IF(B1094="","",IFERROR(VLOOKUP(B1094, PLANTA_BASE!A:R, 5, FALSE), "NO ENCONTRADO EN PLANTA"))</f>
        <v/>
      </c>
      <c r="E1094" s="2">
        <f>IF(B1094="","",IFERROR(VLOOKUP(B1094, PLANTA_BASE!A:R, 6, FALSE), "NO ENCONTRADO EN PLANTA"))</f>
        <v/>
      </c>
      <c r="F1094" s="4">
        <f>IF(B1094="","",IFERROR(VLOOKUP(B1094, PLANTA_BASE!A:R, 8, FALSE), "DOCENTE / FACILITADOR"))</f>
        <v/>
      </c>
      <c r="G1094" s="4">
        <f>IF(B1094="","",IFERROR(VLOOKUP(B1094, PLANTA_BASE!A:R, 9, FALSE), "GENERAL"))</f>
        <v/>
      </c>
      <c r="H1094" s="2">
        <f>IF(B1094="","",IFERROR(VLOOKUP(B1094, PLANTA_BASE!A:R, 17, FALSE), "GENERAL"))</f>
        <v/>
      </c>
    </row>
    <row r="1095" ht="20" customHeight="1">
      <c r="A1095" s="5">
        <f>IF(B1095="","",IFERROR(VLOOKUP(B1095, PLANTA_BASE!A:R, 2, FALSE), "NO ENCONTRADO EN PLANTA"))</f>
        <v/>
      </c>
      <c r="B1095" s="6" t="inlineStr"/>
      <c r="C1095" s="7">
        <f>IF(B1095="","",IFERROR(VLOOKUP(B1095, PLANTA_BASE!A:R, 3, FALSE), ""))</f>
        <v/>
      </c>
      <c r="D1095" s="5">
        <f>IF(B1095="","",IFERROR(VLOOKUP(B1095, PLANTA_BASE!A:R, 5, FALSE), "NO ENCONTRADO EN PLANTA"))</f>
        <v/>
      </c>
      <c r="E1095" s="5">
        <f>IF(B1095="","",IFERROR(VLOOKUP(B1095, PLANTA_BASE!A:R, 6, FALSE), "NO ENCONTRADO EN PLANTA"))</f>
        <v/>
      </c>
      <c r="F1095" s="7">
        <f>IF(B1095="","",IFERROR(VLOOKUP(B1095, PLANTA_BASE!A:R, 8, FALSE), "DOCENTE / FACILITADOR"))</f>
        <v/>
      </c>
      <c r="G1095" s="7">
        <f>IF(B1095="","",IFERROR(VLOOKUP(B1095, PLANTA_BASE!A:R, 9, FALSE), "GENERAL"))</f>
        <v/>
      </c>
      <c r="H1095" s="5">
        <f>IF(B1095="","",IFERROR(VLOOKUP(B1095, PLANTA_BASE!A:R, 17, FALSE), "GENERAL"))</f>
        <v/>
      </c>
    </row>
    <row r="1096" ht="20" customHeight="1">
      <c r="A1096" s="2">
        <f>IF(B1096="","",IFERROR(VLOOKUP(B1096, PLANTA_BASE!A:R, 2, FALSE), "NO ENCONTRADO EN PLANTA"))</f>
        <v/>
      </c>
      <c r="B1096" s="3" t="inlineStr"/>
      <c r="C1096" s="4">
        <f>IF(B1096="","",IFERROR(VLOOKUP(B1096, PLANTA_BASE!A:R, 3, FALSE), ""))</f>
        <v/>
      </c>
      <c r="D1096" s="2">
        <f>IF(B1096="","",IFERROR(VLOOKUP(B1096, PLANTA_BASE!A:R, 5, FALSE), "NO ENCONTRADO EN PLANTA"))</f>
        <v/>
      </c>
      <c r="E1096" s="2">
        <f>IF(B1096="","",IFERROR(VLOOKUP(B1096, PLANTA_BASE!A:R, 6, FALSE), "NO ENCONTRADO EN PLANTA"))</f>
        <v/>
      </c>
      <c r="F1096" s="4">
        <f>IF(B1096="","",IFERROR(VLOOKUP(B1096, PLANTA_BASE!A:R, 8, FALSE), "DOCENTE / FACILITADOR"))</f>
        <v/>
      </c>
      <c r="G1096" s="4">
        <f>IF(B1096="","",IFERROR(VLOOKUP(B1096, PLANTA_BASE!A:R, 9, FALSE), "GENERAL"))</f>
        <v/>
      </c>
      <c r="H1096" s="2">
        <f>IF(B1096="","",IFERROR(VLOOKUP(B1096, PLANTA_BASE!A:R, 17, FALSE), "GENERAL"))</f>
        <v/>
      </c>
    </row>
    <row r="1097" ht="20" customHeight="1">
      <c r="A1097" s="5">
        <f>IF(B1097="","",IFERROR(VLOOKUP(B1097, PLANTA_BASE!A:R, 2, FALSE), "NO ENCONTRADO EN PLANTA"))</f>
        <v/>
      </c>
      <c r="B1097" s="6" t="inlineStr"/>
      <c r="C1097" s="7">
        <f>IF(B1097="","",IFERROR(VLOOKUP(B1097, PLANTA_BASE!A:R, 3, FALSE), ""))</f>
        <v/>
      </c>
      <c r="D1097" s="5">
        <f>IF(B1097="","",IFERROR(VLOOKUP(B1097, PLANTA_BASE!A:R, 5, FALSE), "NO ENCONTRADO EN PLANTA"))</f>
        <v/>
      </c>
      <c r="E1097" s="5">
        <f>IF(B1097="","",IFERROR(VLOOKUP(B1097, PLANTA_BASE!A:R, 6, FALSE), "NO ENCONTRADO EN PLANTA"))</f>
        <v/>
      </c>
      <c r="F1097" s="7">
        <f>IF(B1097="","",IFERROR(VLOOKUP(B1097, PLANTA_BASE!A:R, 8, FALSE), "DOCENTE / FACILITADOR"))</f>
        <v/>
      </c>
      <c r="G1097" s="7">
        <f>IF(B1097="","",IFERROR(VLOOKUP(B1097, PLANTA_BASE!A:R, 9, FALSE), "GENERAL"))</f>
        <v/>
      </c>
      <c r="H1097" s="5">
        <f>IF(B1097="","",IFERROR(VLOOKUP(B1097, PLANTA_BASE!A:R, 17, FALSE), "GENERAL"))</f>
        <v/>
      </c>
    </row>
    <row r="1098" ht="20" customHeight="1">
      <c r="A1098" s="2">
        <f>IF(B1098="","",IFERROR(VLOOKUP(B1098, PLANTA_BASE!A:R, 2, FALSE), "NO ENCONTRADO EN PLANTA"))</f>
        <v/>
      </c>
      <c r="B1098" s="3" t="inlineStr"/>
      <c r="C1098" s="4">
        <f>IF(B1098="","",IFERROR(VLOOKUP(B1098, PLANTA_BASE!A:R, 3, FALSE), ""))</f>
        <v/>
      </c>
      <c r="D1098" s="2">
        <f>IF(B1098="","",IFERROR(VLOOKUP(B1098, PLANTA_BASE!A:R, 5, FALSE), "NO ENCONTRADO EN PLANTA"))</f>
        <v/>
      </c>
      <c r="E1098" s="2">
        <f>IF(B1098="","",IFERROR(VLOOKUP(B1098, PLANTA_BASE!A:R, 6, FALSE), "NO ENCONTRADO EN PLANTA"))</f>
        <v/>
      </c>
      <c r="F1098" s="4">
        <f>IF(B1098="","",IFERROR(VLOOKUP(B1098, PLANTA_BASE!A:R, 8, FALSE), "DOCENTE / FACILITADOR"))</f>
        <v/>
      </c>
      <c r="G1098" s="4">
        <f>IF(B1098="","",IFERROR(VLOOKUP(B1098, PLANTA_BASE!A:R, 9, FALSE), "GENERAL"))</f>
        <v/>
      </c>
      <c r="H1098" s="2">
        <f>IF(B1098="","",IFERROR(VLOOKUP(B1098, PLANTA_BASE!A:R, 17, FALSE), "GENERAL"))</f>
        <v/>
      </c>
    </row>
    <row r="1099" ht="20" customHeight="1">
      <c r="A1099" s="5">
        <f>IF(B1099="","",IFERROR(VLOOKUP(B1099, PLANTA_BASE!A:R, 2, FALSE), "NO ENCONTRADO EN PLANTA"))</f>
        <v/>
      </c>
      <c r="B1099" s="6" t="inlineStr"/>
      <c r="C1099" s="7">
        <f>IF(B1099="","",IFERROR(VLOOKUP(B1099, PLANTA_BASE!A:R, 3, FALSE), ""))</f>
        <v/>
      </c>
      <c r="D1099" s="5">
        <f>IF(B1099="","",IFERROR(VLOOKUP(B1099, PLANTA_BASE!A:R, 5, FALSE), "NO ENCONTRADO EN PLANTA"))</f>
        <v/>
      </c>
      <c r="E1099" s="5">
        <f>IF(B1099="","",IFERROR(VLOOKUP(B1099, PLANTA_BASE!A:R, 6, FALSE), "NO ENCONTRADO EN PLANTA"))</f>
        <v/>
      </c>
      <c r="F1099" s="7">
        <f>IF(B1099="","",IFERROR(VLOOKUP(B1099, PLANTA_BASE!A:R, 8, FALSE), "DOCENTE / FACILITADOR"))</f>
        <v/>
      </c>
      <c r="G1099" s="7">
        <f>IF(B1099="","",IFERROR(VLOOKUP(B1099, PLANTA_BASE!A:R, 9, FALSE), "GENERAL"))</f>
        <v/>
      </c>
      <c r="H1099" s="5">
        <f>IF(B1099="","",IFERROR(VLOOKUP(B1099, PLANTA_BASE!A:R, 17, FALSE), "GENERAL"))</f>
        <v/>
      </c>
    </row>
    <row r="1100" ht="20" customHeight="1">
      <c r="A1100" s="2">
        <f>IF(B1100="","",IFERROR(VLOOKUP(B1100, PLANTA_BASE!A:R, 2, FALSE), "NO ENCONTRADO EN PLANTA"))</f>
        <v/>
      </c>
      <c r="B1100" s="3" t="inlineStr"/>
      <c r="C1100" s="4">
        <f>IF(B1100="","",IFERROR(VLOOKUP(B1100, PLANTA_BASE!A:R, 3, FALSE), ""))</f>
        <v/>
      </c>
      <c r="D1100" s="2">
        <f>IF(B1100="","",IFERROR(VLOOKUP(B1100, PLANTA_BASE!A:R, 5, FALSE), "NO ENCONTRADO EN PLANTA"))</f>
        <v/>
      </c>
      <c r="E1100" s="2">
        <f>IF(B1100="","",IFERROR(VLOOKUP(B1100, PLANTA_BASE!A:R, 6, FALSE), "NO ENCONTRADO EN PLANTA"))</f>
        <v/>
      </c>
      <c r="F1100" s="4">
        <f>IF(B1100="","",IFERROR(VLOOKUP(B1100, PLANTA_BASE!A:R, 8, FALSE), "DOCENTE / FACILITADOR"))</f>
        <v/>
      </c>
      <c r="G1100" s="4">
        <f>IF(B1100="","",IFERROR(VLOOKUP(B1100, PLANTA_BASE!A:R, 9, FALSE), "GENERAL"))</f>
        <v/>
      </c>
      <c r="H1100" s="2">
        <f>IF(B1100="","",IFERROR(VLOOKUP(B1100, PLANTA_BASE!A:R, 17, FALSE), "GENERAL"))</f>
        <v/>
      </c>
    </row>
    <row r="1101" ht="20" customHeight="1">
      <c r="A1101" s="5">
        <f>IF(B1101="","",IFERROR(VLOOKUP(B1101, PLANTA_BASE!A:R, 2, FALSE), "NO ENCONTRADO EN PLANTA"))</f>
        <v/>
      </c>
      <c r="B1101" s="6" t="inlineStr"/>
      <c r="C1101" s="7">
        <f>IF(B1101="","",IFERROR(VLOOKUP(B1101, PLANTA_BASE!A:R, 3, FALSE), ""))</f>
        <v/>
      </c>
      <c r="D1101" s="5">
        <f>IF(B1101="","",IFERROR(VLOOKUP(B1101, PLANTA_BASE!A:R, 5, FALSE), "NO ENCONTRADO EN PLANTA"))</f>
        <v/>
      </c>
      <c r="E1101" s="5">
        <f>IF(B1101="","",IFERROR(VLOOKUP(B1101, PLANTA_BASE!A:R, 6, FALSE), "NO ENCONTRADO EN PLANTA"))</f>
        <v/>
      </c>
      <c r="F1101" s="7">
        <f>IF(B1101="","",IFERROR(VLOOKUP(B1101, PLANTA_BASE!A:R, 8, FALSE), "DOCENTE / FACILITADOR"))</f>
        <v/>
      </c>
      <c r="G1101" s="7">
        <f>IF(B1101="","",IFERROR(VLOOKUP(B1101, PLANTA_BASE!A:R, 9, FALSE), "GENERAL"))</f>
        <v/>
      </c>
      <c r="H1101" s="5">
        <f>IF(B1101="","",IFERROR(VLOOKUP(B1101, PLANTA_BASE!A:R, 17, FALSE), "GENERAL"))</f>
        <v/>
      </c>
    </row>
    <row r="1102" ht="20" customHeight="1">
      <c r="A1102" s="2">
        <f>IF(B1102="","",IFERROR(VLOOKUP(B1102, PLANTA_BASE!A:R, 2, FALSE), "NO ENCONTRADO EN PLANTA"))</f>
        <v/>
      </c>
      <c r="B1102" s="3" t="inlineStr"/>
      <c r="C1102" s="4">
        <f>IF(B1102="","",IFERROR(VLOOKUP(B1102, PLANTA_BASE!A:R, 3, FALSE), ""))</f>
        <v/>
      </c>
      <c r="D1102" s="2">
        <f>IF(B1102="","",IFERROR(VLOOKUP(B1102, PLANTA_BASE!A:R, 5, FALSE), "NO ENCONTRADO EN PLANTA"))</f>
        <v/>
      </c>
      <c r="E1102" s="2">
        <f>IF(B1102="","",IFERROR(VLOOKUP(B1102, PLANTA_BASE!A:R, 6, FALSE), "NO ENCONTRADO EN PLANTA"))</f>
        <v/>
      </c>
      <c r="F1102" s="4">
        <f>IF(B1102="","",IFERROR(VLOOKUP(B1102, PLANTA_BASE!A:R, 8, FALSE), "DOCENTE / FACILITADOR"))</f>
        <v/>
      </c>
      <c r="G1102" s="4">
        <f>IF(B1102="","",IFERROR(VLOOKUP(B1102, PLANTA_BASE!A:R, 9, FALSE), "GENERAL"))</f>
        <v/>
      </c>
      <c r="H1102" s="2">
        <f>IF(B1102="","",IFERROR(VLOOKUP(B1102, PLANTA_BASE!A:R, 17, FALSE), "GENERAL"))</f>
        <v/>
      </c>
    </row>
    <row r="1103" ht="20" customHeight="1">
      <c r="A1103" s="5">
        <f>IF(B1103="","",IFERROR(VLOOKUP(B1103, PLANTA_BASE!A:R, 2, FALSE), "NO ENCONTRADO EN PLANTA"))</f>
        <v/>
      </c>
      <c r="B1103" s="6" t="inlineStr"/>
      <c r="C1103" s="7">
        <f>IF(B1103="","",IFERROR(VLOOKUP(B1103, PLANTA_BASE!A:R, 3, FALSE), ""))</f>
        <v/>
      </c>
      <c r="D1103" s="5">
        <f>IF(B1103="","",IFERROR(VLOOKUP(B1103, PLANTA_BASE!A:R, 5, FALSE), "NO ENCONTRADO EN PLANTA"))</f>
        <v/>
      </c>
      <c r="E1103" s="5">
        <f>IF(B1103="","",IFERROR(VLOOKUP(B1103, PLANTA_BASE!A:R, 6, FALSE), "NO ENCONTRADO EN PLANTA"))</f>
        <v/>
      </c>
      <c r="F1103" s="7">
        <f>IF(B1103="","",IFERROR(VLOOKUP(B1103, PLANTA_BASE!A:R, 8, FALSE), "DOCENTE / FACILITADOR"))</f>
        <v/>
      </c>
      <c r="G1103" s="7">
        <f>IF(B1103="","",IFERROR(VLOOKUP(B1103, PLANTA_BASE!A:R, 9, FALSE), "GENERAL"))</f>
        <v/>
      </c>
      <c r="H1103" s="5">
        <f>IF(B1103="","",IFERROR(VLOOKUP(B1103, PLANTA_BASE!A:R, 17, FALSE), "GENERAL"))</f>
        <v/>
      </c>
    </row>
    <row r="1104" ht="20" customHeight="1">
      <c r="A1104" s="2">
        <f>IF(B1104="","",IFERROR(VLOOKUP(B1104, PLANTA_BASE!A:R, 2, FALSE), "NO ENCONTRADO EN PLANTA"))</f>
        <v/>
      </c>
      <c r="B1104" s="3" t="inlineStr"/>
      <c r="C1104" s="4">
        <f>IF(B1104="","",IFERROR(VLOOKUP(B1104, PLANTA_BASE!A:R, 3, FALSE), ""))</f>
        <v/>
      </c>
      <c r="D1104" s="2">
        <f>IF(B1104="","",IFERROR(VLOOKUP(B1104, PLANTA_BASE!A:R, 5, FALSE), "NO ENCONTRADO EN PLANTA"))</f>
        <v/>
      </c>
      <c r="E1104" s="2">
        <f>IF(B1104="","",IFERROR(VLOOKUP(B1104, PLANTA_BASE!A:R, 6, FALSE), "NO ENCONTRADO EN PLANTA"))</f>
        <v/>
      </c>
      <c r="F1104" s="4">
        <f>IF(B1104="","",IFERROR(VLOOKUP(B1104, PLANTA_BASE!A:R, 8, FALSE), "DOCENTE / FACILITADOR"))</f>
        <v/>
      </c>
      <c r="G1104" s="4">
        <f>IF(B1104="","",IFERROR(VLOOKUP(B1104, PLANTA_BASE!A:R, 9, FALSE), "GENERAL"))</f>
        <v/>
      </c>
      <c r="H1104" s="2">
        <f>IF(B1104="","",IFERROR(VLOOKUP(B1104, PLANTA_BASE!A:R, 17, FALSE), "GENERAL"))</f>
        <v/>
      </c>
    </row>
    <row r="1105" ht="20" customHeight="1">
      <c r="A1105" s="5">
        <f>IF(B1105="","",IFERROR(VLOOKUP(B1105, PLANTA_BASE!A:R, 2, FALSE), "NO ENCONTRADO EN PLANTA"))</f>
        <v/>
      </c>
      <c r="B1105" s="6" t="inlineStr"/>
      <c r="C1105" s="7">
        <f>IF(B1105="","",IFERROR(VLOOKUP(B1105, PLANTA_BASE!A:R, 3, FALSE), ""))</f>
        <v/>
      </c>
      <c r="D1105" s="5">
        <f>IF(B1105="","",IFERROR(VLOOKUP(B1105, PLANTA_BASE!A:R, 5, FALSE), "NO ENCONTRADO EN PLANTA"))</f>
        <v/>
      </c>
      <c r="E1105" s="5">
        <f>IF(B1105="","",IFERROR(VLOOKUP(B1105, PLANTA_BASE!A:R, 6, FALSE), "NO ENCONTRADO EN PLANTA"))</f>
        <v/>
      </c>
      <c r="F1105" s="7">
        <f>IF(B1105="","",IFERROR(VLOOKUP(B1105, PLANTA_BASE!A:R, 8, FALSE), "DOCENTE / FACILITADOR"))</f>
        <v/>
      </c>
      <c r="G1105" s="7">
        <f>IF(B1105="","",IFERROR(VLOOKUP(B1105, PLANTA_BASE!A:R, 9, FALSE), "GENERAL"))</f>
        <v/>
      </c>
      <c r="H1105" s="5">
        <f>IF(B1105="","",IFERROR(VLOOKUP(B1105, PLANTA_BASE!A:R, 17, FALSE), "GENERAL"))</f>
        <v/>
      </c>
    </row>
    <row r="1106" ht="20" customHeight="1">
      <c r="A1106" s="2">
        <f>IF(B1106="","",IFERROR(VLOOKUP(B1106, PLANTA_BASE!A:R, 2, FALSE), "NO ENCONTRADO EN PLANTA"))</f>
        <v/>
      </c>
      <c r="B1106" s="3" t="inlineStr"/>
      <c r="C1106" s="4">
        <f>IF(B1106="","",IFERROR(VLOOKUP(B1106, PLANTA_BASE!A:R, 3, FALSE), ""))</f>
        <v/>
      </c>
      <c r="D1106" s="2">
        <f>IF(B1106="","",IFERROR(VLOOKUP(B1106, PLANTA_BASE!A:R, 5, FALSE), "NO ENCONTRADO EN PLANTA"))</f>
        <v/>
      </c>
      <c r="E1106" s="2">
        <f>IF(B1106="","",IFERROR(VLOOKUP(B1106, PLANTA_BASE!A:R, 6, FALSE), "NO ENCONTRADO EN PLANTA"))</f>
        <v/>
      </c>
      <c r="F1106" s="4">
        <f>IF(B1106="","",IFERROR(VLOOKUP(B1106, PLANTA_BASE!A:R, 8, FALSE), "DOCENTE / FACILITADOR"))</f>
        <v/>
      </c>
      <c r="G1106" s="4">
        <f>IF(B1106="","",IFERROR(VLOOKUP(B1106, PLANTA_BASE!A:R, 9, FALSE), "GENERAL"))</f>
        <v/>
      </c>
      <c r="H1106" s="2">
        <f>IF(B1106="","",IFERROR(VLOOKUP(B1106, PLANTA_BASE!A:R, 17, FALSE), "GENERAL"))</f>
        <v/>
      </c>
    </row>
    <row r="1107" ht="20" customHeight="1">
      <c r="A1107" s="5">
        <f>IF(B1107="","",IFERROR(VLOOKUP(B1107, PLANTA_BASE!A:R, 2, FALSE), "NO ENCONTRADO EN PLANTA"))</f>
        <v/>
      </c>
      <c r="B1107" s="6" t="inlineStr"/>
      <c r="C1107" s="7">
        <f>IF(B1107="","",IFERROR(VLOOKUP(B1107, PLANTA_BASE!A:R, 3, FALSE), ""))</f>
        <v/>
      </c>
      <c r="D1107" s="5">
        <f>IF(B1107="","",IFERROR(VLOOKUP(B1107, PLANTA_BASE!A:R, 5, FALSE), "NO ENCONTRADO EN PLANTA"))</f>
        <v/>
      </c>
      <c r="E1107" s="5">
        <f>IF(B1107="","",IFERROR(VLOOKUP(B1107, PLANTA_BASE!A:R, 6, FALSE), "NO ENCONTRADO EN PLANTA"))</f>
        <v/>
      </c>
      <c r="F1107" s="7">
        <f>IF(B1107="","",IFERROR(VLOOKUP(B1107, PLANTA_BASE!A:R, 8, FALSE), "DOCENTE / FACILITADOR"))</f>
        <v/>
      </c>
      <c r="G1107" s="7">
        <f>IF(B1107="","",IFERROR(VLOOKUP(B1107, PLANTA_BASE!A:R, 9, FALSE), "GENERAL"))</f>
        <v/>
      </c>
      <c r="H1107" s="5">
        <f>IF(B1107="","",IFERROR(VLOOKUP(B1107, PLANTA_BASE!A:R, 17, FALSE), "GENERAL"))</f>
        <v/>
      </c>
    </row>
    <row r="1108" ht="20" customHeight="1">
      <c r="A1108" s="2">
        <f>IF(B1108="","",IFERROR(VLOOKUP(B1108, PLANTA_BASE!A:R, 2, FALSE), "NO ENCONTRADO EN PLANTA"))</f>
        <v/>
      </c>
      <c r="B1108" s="3" t="inlineStr"/>
      <c r="C1108" s="4">
        <f>IF(B1108="","",IFERROR(VLOOKUP(B1108, PLANTA_BASE!A:R, 3, FALSE), ""))</f>
        <v/>
      </c>
      <c r="D1108" s="2">
        <f>IF(B1108="","",IFERROR(VLOOKUP(B1108, PLANTA_BASE!A:R, 5, FALSE), "NO ENCONTRADO EN PLANTA"))</f>
        <v/>
      </c>
      <c r="E1108" s="2">
        <f>IF(B1108="","",IFERROR(VLOOKUP(B1108, PLANTA_BASE!A:R, 6, FALSE), "NO ENCONTRADO EN PLANTA"))</f>
        <v/>
      </c>
      <c r="F1108" s="4">
        <f>IF(B1108="","",IFERROR(VLOOKUP(B1108, PLANTA_BASE!A:R, 8, FALSE), "DOCENTE / FACILITADOR"))</f>
        <v/>
      </c>
      <c r="G1108" s="4">
        <f>IF(B1108="","",IFERROR(VLOOKUP(B1108, PLANTA_BASE!A:R, 9, FALSE), "GENERAL"))</f>
        <v/>
      </c>
      <c r="H1108" s="2">
        <f>IF(B1108="","",IFERROR(VLOOKUP(B1108, PLANTA_BASE!A:R, 17, FALSE), "GENERAL"))</f>
        <v/>
      </c>
    </row>
    <row r="1109" ht="20" customHeight="1">
      <c r="A1109" s="5">
        <f>IF(B1109="","",IFERROR(VLOOKUP(B1109, PLANTA_BASE!A:R, 2, FALSE), "NO ENCONTRADO EN PLANTA"))</f>
        <v/>
      </c>
      <c r="B1109" s="6" t="inlineStr"/>
      <c r="C1109" s="7">
        <f>IF(B1109="","",IFERROR(VLOOKUP(B1109, PLANTA_BASE!A:R, 3, FALSE), ""))</f>
        <v/>
      </c>
      <c r="D1109" s="5">
        <f>IF(B1109="","",IFERROR(VLOOKUP(B1109, PLANTA_BASE!A:R, 5, FALSE), "NO ENCONTRADO EN PLANTA"))</f>
        <v/>
      </c>
      <c r="E1109" s="5">
        <f>IF(B1109="","",IFERROR(VLOOKUP(B1109, PLANTA_BASE!A:R, 6, FALSE), "NO ENCONTRADO EN PLANTA"))</f>
        <v/>
      </c>
      <c r="F1109" s="7">
        <f>IF(B1109="","",IFERROR(VLOOKUP(B1109, PLANTA_BASE!A:R, 8, FALSE), "DOCENTE / FACILITADOR"))</f>
        <v/>
      </c>
      <c r="G1109" s="7">
        <f>IF(B1109="","",IFERROR(VLOOKUP(B1109, PLANTA_BASE!A:R, 9, FALSE), "GENERAL"))</f>
        <v/>
      </c>
      <c r="H1109" s="5">
        <f>IF(B1109="","",IFERROR(VLOOKUP(B1109, PLANTA_BASE!A:R, 17, FALSE), "GENERAL"))</f>
        <v/>
      </c>
    </row>
    <row r="1110" ht="20" customHeight="1">
      <c r="A1110" s="2">
        <f>IF(B1110="","",IFERROR(VLOOKUP(B1110, PLANTA_BASE!A:R, 2, FALSE), "NO ENCONTRADO EN PLANTA"))</f>
        <v/>
      </c>
      <c r="B1110" s="3" t="inlineStr"/>
      <c r="C1110" s="4">
        <f>IF(B1110="","",IFERROR(VLOOKUP(B1110, PLANTA_BASE!A:R, 3, FALSE), ""))</f>
        <v/>
      </c>
      <c r="D1110" s="2">
        <f>IF(B1110="","",IFERROR(VLOOKUP(B1110, PLANTA_BASE!A:R, 5, FALSE), "NO ENCONTRADO EN PLANTA"))</f>
        <v/>
      </c>
      <c r="E1110" s="2">
        <f>IF(B1110="","",IFERROR(VLOOKUP(B1110, PLANTA_BASE!A:R, 6, FALSE), "NO ENCONTRADO EN PLANTA"))</f>
        <v/>
      </c>
      <c r="F1110" s="4">
        <f>IF(B1110="","",IFERROR(VLOOKUP(B1110, PLANTA_BASE!A:R, 8, FALSE), "DOCENTE / FACILITADOR"))</f>
        <v/>
      </c>
      <c r="G1110" s="4">
        <f>IF(B1110="","",IFERROR(VLOOKUP(B1110, PLANTA_BASE!A:R, 9, FALSE), "GENERAL"))</f>
        <v/>
      </c>
      <c r="H1110" s="2">
        <f>IF(B1110="","",IFERROR(VLOOKUP(B1110, PLANTA_BASE!A:R, 17, FALSE), "GENERAL"))</f>
        <v/>
      </c>
    </row>
    <row r="1111" ht="20" customHeight="1">
      <c r="A1111" s="5">
        <f>IF(B1111="","",IFERROR(VLOOKUP(B1111, PLANTA_BASE!A:R, 2, FALSE), "NO ENCONTRADO EN PLANTA"))</f>
        <v/>
      </c>
      <c r="B1111" s="6" t="inlineStr"/>
      <c r="C1111" s="7">
        <f>IF(B1111="","",IFERROR(VLOOKUP(B1111, PLANTA_BASE!A:R, 3, FALSE), ""))</f>
        <v/>
      </c>
      <c r="D1111" s="5">
        <f>IF(B1111="","",IFERROR(VLOOKUP(B1111, PLANTA_BASE!A:R, 5, FALSE), "NO ENCONTRADO EN PLANTA"))</f>
        <v/>
      </c>
      <c r="E1111" s="5">
        <f>IF(B1111="","",IFERROR(VLOOKUP(B1111, PLANTA_BASE!A:R, 6, FALSE), "NO ENCONTRADO EN PLANTA"))</f>
        <v/>
      </c>
      <c r="F1111" s="7">
        <f>IF(B1111="","",IFERROR(VLOOKUP(B1111, PLANTA_BASE!A:R, 8, FALSE), "DOCENTE / FACILITADOR"))</f>
        <v/>
      </c>
      <c r="G1111" s="7">
        <f>IF(B1111="","",IFERROR(VLOOKUP(B1111, PLANTA_BASE!A:R, 9, FALSE), "GENERAL"))</f>
        <v/>
      </c>
      <c r="H1111" s="5">
        <f>IF(B1111="","",IFERROR(VLOOKUP(B1111, PLANTA_BASE!A:R, 17, FALSE), "GENERAL"))</f>
        <v/>
      </c>
    </row>
    <row r="1112" ht="20" customHeight="1">
      <c r="A1112" s="2">
        <f>IF(B1112="","",IFERROR(VLOOKUP(B1112, PLANTA_BASE!A:R, 2, FALSE), "NO ENCONTRADO EN PLANTA"))</f>
        <v/>
      </c>
      <c r="B1112" s="3" t="inlineStr"/>
      <c r="C1112" s="4">
        <f>IF(B1112="","",IFERROR(VLOOKUP(B1112, PLANTA_BASE!A:R, 3, FALSE), ""))</f>
        <v/>
      </c>
      <c r="D1112" s="2">
        <f>IF(B1112="","",IFERROR(VLOOKUP(B1112, PLANTA_BASE!A:R, 5, FALSE), "NO ENCONTRADO EN PLANTA"))</f>
        <v/>
      </c>
      <c r="E1112" s="2">
        <f>IF(B1112="","",IFERROR(VLOOKUP(B1112, PLANTA_BASE!A:R, 6, FALSE), "NO ENCONTRADO EN PLANTA"))</f>
        <v/>
      </c>
      <c r="F1112" s="4">
        <f>IF(B1112="","",IFERROR(VLOOKUP(B1112, PLANTA_BASE!A:R, 8, FALSE), "DOCENTE / FACILITADOR"))</f>
        <v/>
      </c>
      <c r="G1112" s="4">
        <f>IF(B1112="","",IFERROR(VLOOKUP(B1112, PLANTA_BASE!A:R, 9, FALSE), "GENERAL"))</f>
        <v/>
      </c>
      <c r="H1112" s="2">
        <f>IF(B1112="","",IFERROR(VLOOKUP(B1112, PLANTA_BASE!A:R, 17, FALSE), "GENERAL"))</f>
        <v/>
      </c>
    </row>
    <row r="1113" ht="20" customHeight="1">
      <c r="A1113" s="5">
        <f>IF(B1113="","",IFERROR(VLOOKUP(B1113, PLANTA_BASE!A:R, 2, FALSE), "NO ENCONTRADO EN PLANTA"))</f>
        <v/>
      </c>
      <c r="B1113" s="6" t="inlineStr"/>
      <c r="C1113" s="7">
        <f>IF(B1113="","",IFERROR(VLOOKUP(B1113, PLANTA_BASE!A:R, 3, FALSE), ""))</f>
        <v/>
      </c>
      <c r="D1113" s="5">
        <f>IF(B1113="","",IFERROR(VLOOKUP(B1113, PLANTA_BASE!A:R, 5, FALSE), "NO ENCONTRADO EN PLANTA"))</f>
        <v/>
      </c>
      <c r="E1113" s="5">
        <f>IF(B1113="","",IFERROR(VLOOKUP(B1113, PLANTA_BASE!A:R, 6, FALSE), "NO ENCONTRADO EN PLANTA"))</f>
        <v/>
      </c>
      <c r="F1113" s="7">
        <f>IF(B1113="","",IFERROR(VLOOKUP(B1113, PLANTA_BASE!A:R, 8, FALSE), "DOCENTE / FACILITADOR"))</f>
        <v/>
      </c>
      <c r="G1113" s="7">
        <f>IF(B1113="","",IFERROR(VLOOKUP(B1113, PLANTA_BASE!A:R, 9, FALSE), "GENERAL"))</f>
        <v/>
      </c>
      <c r="H1113" s="5">
        <f>IF(B1113="","",IFERROR(VLOOKUP(B1113, PLANTA_BASE!A:R, 17, FALSE), "GENERAL"))</f>
        <v/>
      </c>
    </row>
    <row r="1114" ht="20" customHeight="1">
      <c r="A1114" s="2">
        <f>IF(B1114="","",IFERROR(VLOOKUP(B1114, PLANTA_BASE!A:R, 2, FALSE), "NO ENCONTRADO EN PLANTA"))</f>
        <v/>
      </c>
      <c r="B1114" s="3" t="inlineStr"/>
      <c r="C1114" s="4">
        <f>IF(B1114="","",IFERROR(VLOOKUP(B1114, PLANTA_BASE!A:R, 3, FALSE), ""))</f>
        <v/>
      </c>
      <c r="D1114" s="2">
        <f>IF(B1114="","",IFERROR(VLOOKUP(B1114, PLANTA_BASE!A:R, 5, FALSE), "NO ENCONTRADO EN PLANTA"))</f>
        <v/>
      </c>
      <c r="E1114" s="2">
        <f>IF(B1114="","",IFERROR(VLOOKUP(B1114, PLANTA_BASE!A:R, 6, FALSE), "NO ENCONTRADO EN PLANTA"))</f>
        <v/>
      </c>
      <c r="F1114" s="4">
        <f>IF(B1114="","",IFERROR(VLOOKUP(B1114, PLANTA_BASE!A:R, 8, FALSE), "DOCENTE / FACILITADOR"))</f>
        <v/>
      </c>
      <c r="G1114" s="4">
        <f>IF(B1114="","",IFERROR(VLOOKUP(B1114, PLANTA_BASE!A:R, 9, FALSE), "GENERAL"))</f>
        <v/>
      </c>
      <c r="H1114" s="2">
        <f>IF(B1114="","",IFERROR(VLOOKUP(B1114, PLANTA_BASE!A:R, 17, FALSE), "GENERAL"))</f>
        <v/>
      </c>
    </row>
    <row r="1115" ht="20" customHeight="1">
      <c r="A1115" s="5">
        <f>IF(B1115="","",IFERROR(VLOOKUP(B1115, PLANTA_BASE!A:R, 2, FALSE), "NO ENCONTRADO EN PLANTA"))</f>
        <v/>
      </c>
      <c r="B1115" s="6" t="inlineStr"/>
      <c r="C1115" s="7">
        <f>IF(B1115="","",IFERROR(VLOOKUP(B1115, PLANTA_BASE!A:R, 3, FALSE), ""))</f>
        <v/>
      </c>
      <c r="D1115" s="5">
        <f>IF(B1115="","",IFERROR(VLOOKUP(B1115, PLANTA_BASE!A:R, 5, FALSE), "NO ENCONTRADO EN PLANTA"))</f>
        <v/>
      </c>
      <c r="E1115" s="5">
        <f>IF(B1115="","",IFERROR(VLOOKUP(B1115, PLANTA_BASE!A:R, 6, FALSE), "NO ENCONTRADO EN PLANTA"))</f>
        <v/>
      </c>
      <c r="F1115" s="7">
        <f>IF(B1115="","",IFERROR(VLOOKUP(B1115, PLANTA_BASE!A:R, 8, FALSE), "DOCENTE / FACILITADOR"))</f>
        <v/>
      </c>
      <c r="G1115" s="7">
        <f>IF(B1115="","",IFERROR(VLOOKUP(B1115, PLANTA_BASE!A:R, 9, FALSE), "GENERAL"))</f>
        <v/>
      </c>
      <c r="H1115" s="5">
        <f>IF(B1115="","",IFERROR(VLOOKUP(B1115, PLANTA_BASE!A:R, 17, FALSE), "GENERAL"))</f>
        <v/>
      </c>
    </row>
    <row r="1116" ht="20" customHeight="1">
      <c r="A1116" s="2">
        <f>IF(B1116="","",IFERROR(VLOOKUP(B1116, PLANTA_BASE!A:R, 2, FALSE), "NO ENCONTRADO EN PLANTA"))</f>
        <v/>
      </c>
      <c r="B1116" s="3" t="inlineStr"/>
      <c r="C1116" s="4">
        <f>IF(B1116="","",IFERROR(VLOOKUP(B1116, PLANTA_BASE!A:R, 3, FALSE), ""))</f>
        <v/>
      </c>
      <c r="D1116" s="2">
        <f>IF(B1116="","",IFERROR(VLOOKUP(B1116, PLANTA_BASE!A:R, 5, FALSE), "NO ENCONTRADO EN PLANTA"))</f>
        <v/>
      </c>
      <c r="E1116" s="2">
        <f>IF(B1116="","",IFERROR(VLOOKUP(B1116, PLANTA_BASE!A:R, 6, FALSE), "NO ENCONTRADO EN PLANTA"))</f>
        <v/>
      </c>
      <c r="F1116" s="4">
        <f>IF(B1116="","",IFERROR(VLOOKUP(B1116, PLANTA_BASE!A:R, 8, FALSE), "DOCENTE / FACILITADOR"))</f>
        <v/>
      </c>
      <c r="G1116" s="4">
        <f>IF(B1116="","",IFERROR(VLOOKUP(B1116, PLANTA_BASE!A:R, 9, FALSE), "GENERAL"))</f>
        <v/>
      </c>
      <c r="H1116" s="2">
        <f>IF(B1116="","",IFERROR(VLOOKUP(B1116, PLANTA_BASE!A:R, 17, FALSE), "GENERAL"))</f>
        <v/>
      </c>
    </row>
    <row r="1117" ht="20" customHeight="1">
      <c r="A1117" s="5">
        <f>IF(B1117="","",IFERROR(VLOOKUP(B1117, PLANTA_BASE!A:R, 2, FALSE), "NO ENCONTRADO EN PLANTA"))</f>
        <v/>
      </c>
      <c r="B1117" s="6" t="inlineStr"/>
      <c r="C1117" s="7">
        <f>IF(B1117="","",IFERROR(VLOOKUP(B1117, PLANTA_BASE!A:R, 3, FALSE), ""))</f>
        <v/>
      </c>
      <c r="D1117" s="5">
        <f>IF(B1117="","",IFERROR(VLOOKUP(B1117, PLANTA_BASE!A:R, 5, FALSE), "NO ENCONTRADO EN PLANTA"))</f>
        <v/>
      </c>
      <c r="E1117" s="5">
        <f>IF(B1117="","",IFERROR(VLOOKUP(B1117, PLANTA_BASE!A:R, 6, FALSE), "NO ENCONTRADO EN PLANTA"))</f>
        <v/>
      </c>
      <c r="F1117" s="7">
        <f>IF(B1117="","",IFERROR(VLOOKUP(B1117, PLANTA_BASE!A:R, 8, FALSE), "DOCENTE / FACILITADOR"))</f>
        <v/>
      </c>
      <c r="G1117" s="7">
        <f>IF(B1117="","",IFERROR(VLOOKUP(B1117, PLANTA_BASE!A:R, 9, FALSE), "GENERAL"))</f>
        <v/>
      </c>
      <c r="H1117" s="5">
        <f>IF(B1117="","",IFERROR(VLOOKUP(B1117, PLANTA_BASE!A:R, 17, FALSE), "GENERAL"))</f>
        <v/>
      </c>
    </row>
    <row r="1118" ht="20" customHeight="1">
      <c r="A1118" s="2">
        <f>IF(B1118="","",IFERROR(VLOOKUP(B1118, PLANTA_BASE!A:R, 2, FALSE), "NO ENCONTRADO EN PLANTA"))</f>
        <v/>
      </c>
      <c r="B1118" s="3" t="inlineStr"/>
      <c r="C1118" s="4">
        <f>IF(B1118="","",IFERROR(VLOOKUP(B1118, PLANTA_BASE!A:R, 3, FALSE), ""))</f>
        <v/>
      </c>
      <c r="D1118" s="2">
        <f>IF(B1118="","",IFERROR(VLOOKUP(B1118, PLANTA_BASE!A:R, 5, FALSE), "NO ENCONTRADO EN PLANTA"))</f>
        <v/>
      </c>
      <c r="E1118" s="2">
        <f>IF(B1118="","",IFERROR(VLOOKUP(B1118, PLANTA_BASE!A:R, 6, FALSE), "NO ENCONTRADO EN PLANTA"))</f>
        <v/>
      </c>
      <c r="F1118" s="4">
        <f>IF(B1118="","",IFERROR(VLOOKUP(B1118, PLANTA_BASE!A:R, 8, FALSE), "DOCENTE / FACILITADOR"))</f>
        <v/>
      </c>
      <c r="G1118" s="4">
        <f>IF(B1118="","",IFERROR(VLOOKUP(B1118, PLANTA_BASE!A:R, 9, FALSE), "GENERAL"))</f>
        <v/>
      </c>
      <c r="H1118" s="2">
        <f>IF(B1118="","",IFERROR(VLOOKUP(B1118, PLANTA_BASE!A:R, 17, FALSE), "GENERAL"))</f>
        <v/>
      </c>
    </row>
    <row r="1119" ht="20" customHeight="1">
      <c r="A1119" s="5">
        <f>IF(B1119="","",IFERROR(VLOOKUP(B1119, PLANTA_BASE!A:R, 2, FALSE), "NO ENCONTRADO EN PLANTA"))</f>
        <v/>
      </c>
      <c r="B1119" s="6" t="inlineStr"/>
      <c r="C1119" s="7">
        <f>IF(B1119="","",IFERROR(VLOOKUP(B1119, PLANTA_BASE!A:R, 3, FALSE), ""))</f>
        <v/>
      </c>
      <c r="D1119" s="5">
        <f>IF(B1119="","",IFERROR(VLOOKUP(B1119, PLANTA_BASE!A:R, 5, FALSE), "NO ENCONTRADO EN PLANTA"))</f>
        <v/>
      </c>
      <c r="E1119" s="5">
        <f>IF(B1119="","",IFERROR(VLOOKUP(B1119, PLANTA_BASE!A:R, 6, FALSE), "NO ENCONTRADO EN PLANTA"))</f>
        <v/>
      </c>
      <c r="F1119" s="7">
        <f>IF(B1119="","",IFERROR(VLOOKUP(B1119, PLANTA_BASE!A:R, 8, FALSE), "DOCENTE / FACILITADOR"))</f>
        <v/>
      </c>
      <c r="G1119" s="7">
        <f>IF(B1119="","",IFERROR(VLOOKUP(B1119, PLANTA_BASE!A:R, 9, FALSE), "GENERAL"))</f>
        <v/>
      </c>
      <c r="H1119" s="5">
        <f>IF(B1119="","",IFERROR(VLOOKUP(B1119, PLANTA_BASE!A:R, 17, FALSE), "GENERAL"))</f>
        <v/>
      </c>
    </row>
    <row r="1120" ht="20" customHeight="1">
      <c r="A1120" s="2">
        <f>IF(B1120="","",IFERROR(VLOOKUP(B1120, PLANTA_BASE!A:R, 2, FALSE), "NO ENCONTRADO EN PLANTA"))</f>
        <v/>
      </c>
      <c r="B1120" s="3" t="inlineStr"/>
      <c r="C1120" s="4">
        <f>IF(B1120="","",IFERROR(VLOOKUP(B1120, PLANTA_BASE!A:R, 3, FALSE), ""))</f>
        <v/>
      </c>
      <c r="D1120" s="2">
        <f>IF(B1120="","",IFERROR(VLOOKUP(B1120, PLANTA_BASE!A:R, 5, FALSE), "NO ENCONTRADO EN PLANTA"))</f>
        <v/>
      </c>
      <c r="E1120" s="2">
        <f>IF(B1120="","",IFERROR(VLOOKUP(B1120, PLANTA_BASE!A:R, 6, FALSE), "NO ENCONTRADO EN PLANTA"))</f>
        <v/>
      </c>
      <c r="F1120" s="4">
        <f>IF(B1120="","",IFERROR(VLOOKUP(B1120, PLANTA_BASE!A:R, 8, FALSE), "DOCENTE / FACILITADOR"))</f>
        <v/>
      </c>
      <c r="G1120" s="4">
        <f>IF(B1120="","",IFERROR(VLOOKUP(B1120, PLANTA_BASE!A:R, 9, FALSE), "GENERAL"))</f>
        <v/>
      </c>
      <c r="H1120" s="2">
        <f>IF(B1120="","",IFERROR(VLOOKUP(B1120, PLANTA_BASE!A:R, 17, FALSE), "GENERAL"))</f>
        <v/>
      </c>
    </row>
    <row r="1121" ht="20" customHeight="1">
      <c r="A1121" s="5">
        <f>IF(B1121="","",IFERROR(VLOOKUP(B1121, PLANTA_BASE!A:R, 2, FALSE), "NO ENCONTRADO EN PLANTA"))</f>
        <v/>
      </c>
      <c r="B1121" s="6" t="inlineStr"/>
      <c r="C1121" s="7">
        <f>IF(B1121="","",IFERROR(VLOOKUP(B1121, PLANTA_BASE!A:R, 3, FALSE), ""))</f>
        <v/>
      </c>
      <c r="D1121" s="5">
        <f>IF(B1121="","",IFERROR(VLOOKUP(B1121, PLANTA_BASE!A:R, 5, FALSE), "NO ENCONTRADO EN PLANTA"))</f>
        <v/>
      </c>
      <c r="E1121" s="5">
        <f>IF(B1121="","",IFERROR(VLOOKUP(B1121, PLANTA_BASE!A:R, 6, FALSE), "NO ENCONTRADO EN PLANTA"))</f>
        <v/>
      </c>
      <c r="F1121" s="7">
        <f>IF(B1121="","",IFERROR(VLOOKUP(B1121, PLANTA_BASE!A:R, 8, FALSE), "DOCENTE / FACILITADOR"))</f>
        <v/>
      </c>
      <c r="G1121" s="7">
        <f>IF(B1121="","",IFERROR(VLOOKUP(B1121, PLANTA_BASE!A:R, 9, FALSE), "GENERAL"))</f>
        <v/>
      </c>
      <c r="H1121" s="5">
        <f>IF(B1121="","",IFERROR(VLOOKUP(B1121, PLANTA_BASE!A:R, 17, FALSE), "GENERAL"))</f>
        <v/>
      </c>
    </row>
    <row r="1122" ht="20" customHeight="1">
      <c r="A1122" s="2">
        <f>IF(B1122="","",IFERROR(VLOOKUP(B1122, PLANTA_BASE!A:R, 2, FALSE), "NO ENCONTRADO EN PLANTA"))</f>
        <v/>
      </c>
      <c r="B1122" s="3" t="inlineStr"/>
      <c r="C1122" s="4">
        <f>IF(B1122="","",IFERROR(VLOOKUP(B1122, PLANTA_BASE!A:R, 3, FALSE), ""))</f>
        <v/>
      </c>
      <c r="D1122" s="2">
        <f>IF(B1122="","",IFERROR(VLOOKUP(B1122, PLANTA_BASE!A:R, 5, FALSE), "NO ENCONTRADO EN PLANTA"))</f>
        <v/>
      </c>
      <c r="E1122" s="2">
        <f>IF(B1122="","",IFERROR(VLOOKUP(B1122, PLANTA_BASE!A:R, 6, FALSE), "NO ENCONTRADO EN PLANTA"))</f>
        <v/>
      </c>
      <c r="F1122" s="4">
        <f>IF(B1122="","",IFERROR(VLOOKUP(B1122, PLANTA_BASE!A:R, 8, FALSE), "DOCENTE / FACILITADOR"))</f>
        <v/>
      </c>
      <c r="G1122" s="4">
        <f>IF(B1122="","",IFERROR(VLOOKUP(B1122, PLANTA_BASE!A:R, 9, FALSE), "GENERAL"))</f>
        <v/>
      </c>
      <c r="H1122" s="2">
        <f>IF(B1122="","",IFERROR(VLOOKUP(B1122, PLANTA_BASE!A:R, 17, FALSE), "GENERAL"))</f>
        <v/>
      </c>
    </row>
    <row r="1123" ht="20" customHeight="1">
      <c r="A1123" s="5">
        <f>IF(B1123="","",IFERROR(VLOOKUP(B1123, PLANTA_BASE!A:R, 2, FALSE), "NO ENCONTRADO EN PLANTA"))</f>
        <v/>
      </c>
      <c r="B1123" s="6" t="inlineStr"/>
      <c r="C1123" s="7">
        <f>IF(B1123="","",IFERROR(VLOOKUP(B1123, PLANTA_BASE!A:R, 3, FALSE), ""))</f>
        <v/>
      </c>
      <c r="D1123" s="5">
        <f>IF(B1123="","",IFERROR(VLOOKUP(B1123, PLANTA_BASE!A:R, 5, FALSE), "NO ENCONTRADO EN PLANTA"))</f>
        <v/>
      </c>
      <c r="E1123" s="5">
        <f>IF(B1123="","",IFERROR(VLOOKUP(B1123, PLANTA_BASE!A:R, 6, FALSE), "NO ENCONTRADO EN PLANTA"))</f>
        <v/>
      </c>
      <c r="F1123" s="7">
        <f>IF(B1123="","",IFERROR(VLOOKUP(B1123, PLANTA_BASE!A:R, 8, FALSE), "DOCENTE / FACILITADOR"))</f>
        <v/>
      </c>
      <c r="G1123" s="7">
        <f>IF(B1123="","",IFERROR(VLOOKUP(B1123, PLANTA_BASE!A:R, 9, FALSE), "GENERAL"))</f>
        <v/>
      </c>
      <c r="H1123" s="5">
        <f>IF(B1123="","",IFERROR(VLOOKUP(B1123, PLANTA_BASE!A:R, 17, FALSE), "GENERAL"))</f>
        <v/>
      </c>
    </row>
    <row r="1124" ht="20" customHeight="1">
      <c r="A1124" s="2">
        <f>IF(B1124="","",IFERROR(VLOOKUP(B1124, PLANTA_BASE!A:R, 2, FALSE), "NO ENCONTRADO EN PLANTA"))</f>
        <v/>
      </c>
      <c r="B1124" s="3" t="inlineStr"/>
      <c r="C1124" s="4">
        <f>IF(B1124="","",IFERROR(VLOOKUP(B1124, PLANTA_BASE!A:R, 3, FALSE), ""))</f>
        <v/>
      </c>
      <c r="D1124" s="2">
        <f>IF(B1124="","",IFERROR(VLOOKUP(B1124, PLANTA_BASE!A:R, 5, FALSE), "NO ENCONTRADO EN PLANTA"))</f>
        <v/>
      </c>
      <c r="E1124" s="2">
        <f>IF(B1124="","",IFERROR(VLOOKUP(B1124, PLANTA_BASE!A:R, 6, FALSE), "NO ENCONTRADO EN PLANTA"))</f>
        <v/>
      </c>
      <c r="F1124" s="4">
        <f>IF(B1124="","",IFERROR(VLOOKUP(B1124, PLANTA_BASE!A:R, 8, FALSE), "DOCENTE / FACILITADOR"))</f>
        <v/>
      </c>
      <c r="G1124" s="4">
        <f>IF(B1124="","",IFERROR(VLOOKUP(B1124, PLANTA_BASE!A:R, 9, FALSE), "GENERAL"))</f>
        <v/>
      </c>
      <c r="H1124" s="2">
        <f>IF(B1124="","",IFERROR(VLOOKUP(B1124, PLANTA_BASE!A:R, 17, FALSE), "GENERAL"))</f>
        <v/>
      </c>
    </row>
    <row r="1125" ht="20" customHeight="1">
      <c r="A1125" s="5">
        <f>IF(B1125="","",IFERROR(VLOOKUP(B1125, PLANTA_BASE!A:R, 2, FALSE), "NO ENCONTRADO EN PLANTA"))</f>
        <v/>
      </c>
      <c r="B1125" s="6" t="inlineStr"/>
      <c r="C1125" s="7">
        <f>IF(B1125="","",IFERROR(VLOOKUP(B1125, PLANTA_BASE!A:R, 3, FALSE), ""))</f>
        <v/>
      </c>
      <c r="D1125" s="5">
        <f>IF(B1125="","",IFERROR(VLOOKUP(B1125, PLANTA_BASE!A:R, 5, FALSE), "NO ENCONTRADO EN PLANTA"))</f>
        <v/>
      </c>
      <c r="E1125" s="5">
        <f>IF(B1125="","",IFERROR(VLOOKUP(B1125, PLANTA_BASE!A:R, 6, FALSE), "NO ENCONTRADO EN PLANTA"))</f>
        <v/>
      </c>
      <c r="F1125" s="7">
        <f>IF(B1125="","",IFERROR(VLOOKUP(B1125, PLANTA_BASE!A:R, 8, FALSE), "DOCENTE / FACILITADOR"))</f>
        <v/>
      </c>
      <c r="G1125" s="7">
        <f>IF(B1125="","",IFERROR(VLOOKUP(B1125, PLANTA_BASE!A:R, 9, FALSE), "GENERAL"))</f>
        <v/>
      </c>
      <c r="H1125" s="5">
        <f>IF(B1125="","",IFERROR(VLOOKUP(B1125, PLANTA_BASE!A:R, 17, FALSE), "GENERAL"))</f>
        <v/>
      </c>
    </row>
    <row r="1126" ht="20" customHeight="1">
      <c r="A1126" s="2">
        <f>IF(B1126="","",IFERROR(VLOOKUP(B1126, PLANTA_BASE!A:R, 2, FALSE), "NO ENCONTRADO EN PLANTA"))</f>
        <v/>
      </c>
      <c r="B1126" s="3" t="inlineStr"/>
      <c r="C1126" s="4">
        <f>IF(B1126="","",IFERROR(VLOOKUP(B1126, PLANTA_BASE!A:R, 3, FALSE), ""))</f>
        <v/>
      </c>
      <c r="D1126" s="2">
        <f>IF(B1126="","",IFERROR(VLOOKUP(B1126, PLANTA_BASE!A:R, 5, FALSE), "NO ENCONTRADO EN PLANTA"))</f>
        <v/>
      </c>
      <c r="E1126" s="2">
        <f>IF(B1126="","",IFERROR(VLOOKUP(B1126, PLANTA_BASE!A:R, 6, FALSE), "NO ENCONTRADO EN PLANTA"))</f>
        <v/>
      </c>
      <c r="F1126" s="4">
        <f>IF(B1126="","",IFERROR(VLOOKUP(B1126, PLANTA_BASE!A:R, 8, FALSE), "DOCENTE / FACILITADOR"))</f>
        <v/>
      </c>
      <c r="G1126" s="4">
        <f>IF(B1126="","",IFERROR(VLOOKUP(B1126, PLANTA_BASE!A:R, 9, FALSE), "GENERAL"))</f>
        <v/>
      </c>
      <c r="H1126" s="2">
        <f>IF(B1126="","",IFERROR(VLOOKUP(B1126, PLANTA_BASE!A:R, 17, FALSE), "GENERAL"))</f>
        <v/>
      </c>
    </row>
    <row r="1127" ht="20" customHeight="1">
      <c r="A1127" s="5">
        <f>IF(B1127="","",IFERROR(VLOOKUP(B1127, PLANTA_BASE!A:R, 2, FALSE), "NO ENCONTRADO EN PLANTA"))</f>
        <v/>
      </c>
      <c r="B1127" s="6" t="inlineStr"/>
      <c r="C1127" s="7">
        <f>IF(B1127="","",IFERROR(VLOOKUP(B1127, PLANTA_BASE!A:R, 3, FALSE), ""))</f>
        <v/>
      </c>
      <c r="D1127" s="5">
        <f>IF(B1127="","",IFERROR(VLOOKUP(B1127, PLANTA_BASE!A:R, 5, FALSE), "NO ENCONTRADO EN PLANTA"))</f>
        <v/>
      </c>
      <c r="E1127" s="5">
        <f>IF(B1127="","",IFERROR(VLOOKUP(B1127, PLANTA_BASE!A:R, 6, FALSE), "NO ENCONTRADO EN PLANTA"))</f>
        <v/>
      </c>
      <c r="F1127" s="7">
        <f>IF(B1127="","",IFERROR(VLOOKUP(B1127, PLANTA_BASE!A:R, 8, FALSE), "DOCENTE / FACILITADOR"))</f>
        <v/>
      </c>
      <c r="G1127" s="7">
        <f>IF(B1127="","",IFERROR(VLOOKUP(B1127, PLANTA_BASE!A:R, 9, FALSE), "GENERAL"))</f>
        <v/>
      </c>
      <c r="H1127" s="5">
        <f>IF(B1127="","",IFERROR(VLOOKUP(B1127, PLANTA_BASE!A:R, 17, FALSE), "GENERAL"))</f>
        <v/>
      </c>
    </row>
    <row r="1128" ht="20" customHeight="1">
      <c r="A1128" s="2">
        <f>IF(B1128="","",IFERROR(VLOOKUP(B1128, PLANTA_BASE!A:R, 2, FALSE), "NO ENCONTRADO EN PLANTA"))</f>
        <v/>
      </c>
      <c r="B1128" s="3" t="inlineStr"/>
      <c r="C1128" s="4">
        <f>IF(B1128="","",IFERROR(VLOOKUP(B1128, PLANTA_BASE!A:R, 3, FALSE), ""))</f>
        <v/>
      </c>
      <c r="D1128" s="2">
        <f>IF(B1128="","",IFERROR(VLOOKUP(B1128, PLANTA_BASE!A:R, 5, FALSE), "NO ENCONTRADO EN PLANTA"))</f>
        <v/>
      </c>
      <c r="E1128" s="2">
        <f>IF(B1128="","",IFERROR(VLOOKUP(B1128, PLANTA_BASE!A:R, 6, FALSE), "NO ENCONTRADO EN PLANTA"))</f>
        <v/>
      </c>
      <c r="F1128" s="4">
        <f>IF(B1128="","",IFERROR(VLOOKUP(B1128, PLANTA_BASE!A:R, 8, FALSE), "DOCENTE / FACILITADOR"))</f>
        <v/>
      </c>
      <c r="G1128" s="4">
        <f>IF(B1128="","",IFERROR(VLOOKUP(B1128, PLANTA_BASE!A:R, 9, FALSE), "GENERAL"))</f>
        <v/>
      </c>
      <c r="H1128" s="2">
        <f>IF(B1128="","",IFERROR(VLOOKUP(B1128, PLANTA_BASE!A:R, 17, FALSE), "GENERAL"))</f>
        <v/>
      </c>
    </row>
    <row r="1129" ht="20" customHeight="1">
      <c r="A1129" s="5">
        <f>IF(B1129="","",IFERROR(VLOOKUP(B1129, PLANTA_BASE!A:R, 2, FALSE), "NO ENCONTRADO EN PLANTA"))</f>
        <v/>
      </c>
      <c r="B1129" s="6" t="inlineStr"/>
      <c r="C1129" s="7">
        <f>IF(B1129="","",IFERROR(VLOOKUP(B1129, PLANTA_BASE!A:R, 3, FALSE), ""))</f>
        <v/>
      </c>
      <c r="D1129" s="5">
        <f>IF(B1129="","",IFERROR(VLOOKUP(B1129, PLANTA_BASE!A:R, 5, FALSE), "NO ENCONTRADO EN PLANTA"))</f>
        <v/>
      </c>
      <c r="E1129" s="5">
        <f>IF(B1129="","",IFERROR(VLOOKUP(B1129, PLANTA_BASE!A:R, 6, FALSE), "NO ENCONTRADO EN PLANTA"))</f>
        <v/>
      </c>
      <c r="F1129" s="7">
        <f>IF(B1129="","",IFERROR(VLOOKUP(B1129, PLANTA_BASE!A:R, 8, FALSE), "DOCENTE / FACILITADOR"))</f>
        <v/>
      </c>
      <c r="G1129" s="7">
        <f>IF(B1129="","",IFERROR(VLOOKUP(B1129, PLANTA_BASE!A:R, 9, FALSE), "GENERAL"))</f>
        <v/>
      </c>
      <c r="H1129" s="5">
        <f>IF(B1129="","",IFERROR(VLOOKUP(B1129, PLANTA_BASE!A:R, 17, FALSE), "GENERAL"))</f>
        <v/>
      </c>
    </row>
    <row r="1130" ht="20" customHeight="1">
      <c r="A1130" s="2">
        <f>IF(B1130="","",IFERROR(VLOOKUP(B1130, PLANTA_BASE!A:R, 2, FALSE), "NO ENCONTRADO EN PLANTA"))</f>
        <v/>
      </c>
      <c r="B1130" s="3" t="inlineStr"/>
      <c r="C1130" s="4">
        <f>IF(B1130="","",IFERROR(VLOOKUP(B1130, PLANTA_BASE!A:R, 3, FALSE), ""))</f>
        <v/>
      </c>
      <c r="D1130" s="2">
        <f>IF(B1130="","",IFERROR(VLOOKUP(B1130, PLANTA_BASE!A:R, 5, FALSE), "NO ENCONTRADO EN PLANTA"))</f>
        <v/>
      </c>
      <c r="E1130" s="2">
        <f>IF(B1130="","",IFERROR(VLOOKUP(B1130, PLANTA_BASE!A:R, 6, FALSE), "NO ENCONTRADO EN PLANTA"))</f>
        <v/>
      </c>
      <c r="F1130" s="4">
        <f>IF(B1130="","",IFERROR(VLOOKUP(B1130, PLANTA_BASE!A:R, 8, FALSE), "DOCENTE / FACILITADOR"))</f>
        <v/>
      </c>
      <c r="G1130" s="4">
        <f>IF(B1130="","",IFERROR(VLOOKUP(B1130, PLANTA_BASE!A:R, 9, FALSE), "GENERAL"))</f>
        <v/>
      </c>
      <c r="H1130" s="2">
        <f>IF(B1130="","",IFERROR(VLOOKUP(B1130, PLANTA_BASE!A:R, 17, FALSE), "GENERAL"))</f>
        <v/>
      </c>
    </row>
    <row r="1131" ht="20" customHeight="1">
      <c r="A1131" s="5">
        <f>IF(B1131="","",IFERROR(VLOOKUP(B1131, PLANTA_BASE!A:R, 2, FALSE), "NO ENCONTRADO EN PLANTA"))</f>
        <v/>
      </c>
      <c r="B1131" s="6" t="inlineStr"/>
      <c r="C1131" s="7">
        <f>IF(B1131="","",IFERROR(VLOOKUP(B1131, PLANTA_BASE!A:R, 3, FALSE), ""))</f>
        <v/>
      </c>
      <c r="D1131" s="5">
        <f>IF(B1131="","",IFERROR(VLOOKUP(B1131, PLANTA_BASE!A:R, 5, FALSE), "NO ENCONTRADO EN PLANTA"))</f>
        <v/>
      </c>
      <c r="E1131" s="5">
        <f>IF(B1131="","",IFERROR(VLOOKUP(B1131, PLANTA_BASE!A:R, 6, FALSE), "NO ENCONTRADO EN PLANTA"))</f>
        <v/>
      </c>
      <c r="F1131" s="7">
        <f>IF(B1131="","",IFERROR(VLOOKUP(B1131, PLANTA_BASE!A:R, 8, FALSE), "DOCENTE / FACILITADOR"))</f>
        <v/>
      </c>
      <c r="G1131" s="7">
        <f>IF(B1131="","",IFERROR(VLOOKUP(B1131, PLANTA_BASE!A:R, 9, FALSE), "GENERAL"))</f>
        <v/>
      </c>
      <c r="H1131" s="5">
        <f>IF(B1131="","",IFERROR(VLOOKUP(B1131, PLANTA_BASE!A:R, 17, FALSE), "GENERAL"))</f>
        <v/>
      </c>
    </row>
    <row r="1132" ht="20" customHeight="1">
      <c r="A1132" s="2">
        <f>IF(B1132="","",IFERROR(VLOOKUP(B1132, PLANTA_BASE!A:R, 2, FALSE), "NO ENCONTRADO EN PLANTA"))</f>
        <v/>
      </c>
      <c r="B1132" s="3" t="inlineStr"/>
      <c r="C1132" s="4">
        <f>IF(B1132="","",IFERROR(VLOOKUP(B1132, PLANTA_BASE!A:R, 3, FALSE), ""))</f>
        <v/>
      </c>
      <c r="D1132" s="2">
        <f>IF(B1132="","",IFERROR(VLOOKUP(B1132, PLANTA_BASE!A:R, 5, FALSE), "NO ENCONTRADO EN PLANTA"))</f>
        <v/>
      </c>
      <c r="E1132" s="2">
        <f>IF(B1132="","",IFERROR(VLOOKUP(B1132, PLANTA_BASE!A:R, 6, FALSE), "NO ENCONTRADO EN PLANTA"))</f>
        <v/>
      </c>
      <c r="F1132" s="4">
        <f>IF(B1132="","",IFERROR(VLOOKUP(B1132, PLANTA_BASE!A:R, 8, FALSE), "DOCENTE / FACILITADOR"))</f>
        <v/>
      </c>
      <c r="G1132" s="4">
        <f>IF(B1132="","",IFERROR(VLOOKUP(B1132, PLANTA_BASE!A:R, 9, FALSE), "GENERAL"))</f>
        <v/>
      </c>
      <c r="H1132" s="2">
        <f>IF(B1132="","",IFERROR(VLOOKUP(B1132, PLANTA_BASE!A:R, 17, FALSE), "GENERAL"))</f>
        <v/>
      </c>
    </row>
    <row r="1133" ht="20" customHeight="1">
      <c r="A1133" s="5">
        <f>IF(B1133="","",IFERROR(VLOOKUP(B1133, PLANTA_BASE!A:R, 2, FALSE), "NO ENCONTRADO EN PLANTA"))</f>
        <v/>
      </c>
      <c r="B1133" s="6" t="inlineStr"/>
      <c r="C1133" s="7">
        <f>IF(B1133="","",IFERROR(VLOOKUP(B1133, PLANTA_BASE!A:R, 3, FALSE), ""))</f>
        <v/>
      </c>
      <c r="D1133" s="5">
        <f>IF(B1133="","",IFERROR(VLOOKUP(B1133, PLANTA_BASE!A:R, 5, FALSE), "NO ENCONTRADO EN PLANTA"))</f>
        <v/>
      </c>
      <c r="E1133" s="5">
        <f>IF(B1133="","",IFERROR(VLOOKUP(B1133, PLANTA_BASE!A:R, 6, FALSE), "NO ENCONTRADO EN PLANTA"))</f>
        <v/>
      </c>
      <c r="F1133" s="7">
        <f>IF(B1133="","",IFERROR(VLOOKUP(B1133, PLANTA_BASE!A:R, 8, FALSE), "DOCENTE / FACILITADOR"))</f>
        <v/>
      </c>
      <c r="G1133" s="7">
        <f>IF(B1133="","",IFERROR(VLOOKUP(B1133, PLANTA_BASE!A:R, 9, FALSE), "GENERAL"))</f>
        <v/>
      </c>
      <c r="H1133" s="5">
        <f>IF(B1133="","",IFERROR(VLOOKUP(B1133, PLANTA_BASE!A:R, 17, FALSE), "GENERAL"))</f>
        <v/>
      </c>
    </row>
    <row r="1134" ht="20" customHeight="1">
      <c r="A1134" s="2">
        <f>IF(B1134="","",IFERROR(VLOOKUP(B1134, PLANTA_BASE!A:R, 2, FALSE), "NO ENCONTRADO EN PLANTA"))</f>
        <v/>
      </c>
      <c r="B1134" s="3" t="inlineStr"/>
      <c r="C1134" s="4">
        <f>IF(B1134="","",IFERROR(VLOOKUP(B1134, PLANTA_BASE!A:R, 3, FALSE), ""))</f>
        <v/>
      </c>
      <c r="D1134" s="2">
        <f>IF(B1134="","",IFERROR(VLOOKUP(B1134, PLANTA_BASE!A:R, 5, FALSE), "NO ENCONTRADO EN PLANTA"))</f>
        <v/>
      </c>
      <c r="E1134" s="2">
        <f>IF(B1134="","",IFERROR(VLOOKUP(B1134, PLANTA_BASE!A:R, 6, FALSE), "NO ENCONTRADO EN PLANTA"))</f>
        <v/>
      </c>
      <c r="F1134" s="4">
        <f>IF(B1134="","",IFERROR(VLOOKUP(B1134, PLANTA_BASE!A:R, 8, FALSE), "DOCENTE / FACILITADOR"))</f>
        <v/>
      </c>
      <c r="G1134" s="4">
        <f>IF(B1134="","",IFERROR(VLOOKUP(B1134, PLANTA_BASE!A:R, 9, FALSE), "GENERAL"))</f>
        <v/>
      </c>
      <c r="H1134" s="2">
        <f>IF(B1134="","",IFERROR(VLOOKUP(B1134, PLANTA_BASE!A:R, 17, FALSE), "GENERAL"))</f>
        <v/>
      </c>
    </row>
    <row r="1135" ht="20" customHeight="1">
      <c r="A1135" s="5">
        <f>IF(B1135="","",IFERROR(VLOOKUP(B1135, PLANTA_BASE!A:R, 2, FALSE), "NO ENCONTRADO EN PLANTA"))</f>
        <v/>
      </c>
      <c r="B1135" s="6" t="inlineStr"/>
      <c r="C1135" s="7">
        <f>IF(B1135="","",IFERROR(VLOOKUP(B1135, PLANTA_BASE!A:R, 3, FALSE), ""))</f>
        <v/>
      </c>
      <c r="D1135" s="5">
        <f>IF(B1135="","",IFERROR(VLOOKUP(B1135, PLANTA_BASE!A:R, 5, FALSE), "NO ENCONTRADO EN PLANTA"))</f>
        <v/>
      </c>
      <c r="E1135" s="5">
        <f>IF(B1135="","",IFERROR(VLOOKUP(B1135, PLANTA_BASE!A:R, 6, FALSE), "NO ENCONTRADO EN PLANTA"))</f>
        <v/>
      </c>
      <c r="F1135" s="7">
        <f>IF(B1135="","",IFERROR(VLOOKUP(B1135, PLANTA_BASE!A:R, 8, FALSE), "DOCENTE / FACILITADOR"))</f>
        <v/>
      </c>
      <c r="G1135" s="7">
        <f>IF(B1135="","",IFERROR(VLOOKUP(B1135, PLANTA_BASE!A:R, 9, FALSE), "GENERAL"))</f>
        <v/>
      </c>
      <c r="H1135" s="5">
        <f>IF(B1135="","",IFERROR(VLOOKUP(B1135, PLANTA_BASE!A:R, 17, FALSE), "GENERAL"))</f>
        <v/>
      </c>
    </row>
    <row r="1136" ht="20" customHeight="1">
      <c r="A1136" s="2">
        <f>IF(B1136="","",IFERROR(VLOOKUP(B1136, PLANTA_BASE!A:R, 2, FALSE), "NO ENCONTRADO EN PLANTA"))</f>
        <v/>
      </c>
      <c r="B1136" s="3" t="inlineStr"/>
      <c r="C1136" s="4">
        <f>IF(B1136="","",IFERROR(VLOOKUP(B1136, PLANTA_BASE!A:R, 3, FALSE), ""))</f>
        <v/>
      </c>
      <c r="D1136" s="2">
        <f>IF(B1136="","",IFERROR(VLOOKUP(B1136, PLANTA_BASE!A:R, 5, FALSE), "NO ENCONTRADO EN PLANTA"))</f>
        <v/>
      </c>
      <c r="E1136" s="2">
        <f>IF(B1136="","",IFERROR(VLOOKUP(B1136, PLANTA_BASE!A:R, 6, FALSE), "NO ENCONTRADO EN PLANTA"))</f>
        <v/>
      </c>
      <c r="F1136" s="4">
        <f>IF(B1136="","",IFERROR(VLOOKUP(B1136, PLANTA_BASE!A:R, 8, FALSE), "DOCENTE / FACILITADOR"))</f>
        <v/>
      </c>
      <c r="G1136" s="4">
        <f>IF(B1136="","",IFERROR(VLOOKUP(B1136, PLANTA_BASE!A:R, 9, FALSE), "GENERAL"))</f>
        <v/>
      </c>
      <c r="H1136" s="2">
        <f>IF(B1136="","",IFERROR(VLOOKUP(B1136, PLANTA_BASE!A:R, 17, FALSE), "GENERAL"))</f>
        <v/>
      </c>
    </row>
    <row r="1137" ht="20" customHeight="1">
      <c r="A1137" s="5">
        <f>IF(B1137="","",IFERROR(VLOOKUP(B1137, PLANTA_BASE!A:R, 2, FALSE), "NO ENCONTRADO EN PLANTA"))</f>
        <v/>
      </c>
      <c r="B1137" s="6" t="inlineStr"/>
      <c r="C1137" s="7">
        <f>IF(B1137="","",IFERROR(VLOOKUP(B1137, PLANTA_BASE!A:R, 3, FALSE), ""))</f>
        <v/>
      </c>
      <c r="D1137" s="5">
        <f>IF(B1137="","",IFERROR(VLOOKUP(B1137, PLANTA_BASE!A:R, 5, FALSE), "NO ENCONTRADO EN PLANTA"))</f>
        <v/>
      </c>
      <c r="E1137" s="5">
        <f>IF(B1137="","",IFERROR(VLOOKUP(B1137, PLANTA_BASE!A:R, 6, FALSE), "NO ENCONTRADO EN PLANTA"))</f>
        <v/>
      </c>
      <c r="F1137" s="7">
        <f>IF(B1137="","",IFERROR(VLOOKUP(B1137, PLANTA_BASE!A:R, 8, FALSE), "DOCENTE / FACILITADOR"))</f>
        <v/>
      </c>
      <c r="G1137" s="7">
        <f>IF(B1137="","",IFERROR(VLOOKUP(B1137, PLANTA_BASE!A:R, 9, FALSE), "GENERAL"))</f>
        <v/>
      </c>
      <c r="H1137" s="5">
        <f>IF(B1137="","",IFERROR(VLOOKUP(B1137, PLANTA_BASE!A:R, 17, FALSE), "GENERAL"))</f>
        <v/>
      </c>
    </row>
    <row r="1138" ht="20" customHeight="1">
      <c r="A1138" s="2">
        <f>IF(B1138="","",IFERROR(VLOOKUP(B1138, PLANTA_BASE!A:R, 2, FALSE), "NO ENCONTRADO EN PLANTA"))</f>
        <v/>
      </c>
      <c r="B1138" s="3" t="inlineStr"/>
      <c r="C1138" s="4">
        <f>IF(B1138="","",IFERROR(VLOOKUP(B1138, PLANTA_BASE!A:R, 3, FALSE), ""))</f>
        <v/>
      </c>
      <c r="D1138" s="2">
        <f>IF(B1138="","",IFERROR(VLOOKUP(B1138, PLANTA_BASE!A:R, 5, FALSE), "NO ENCONTRADO EN PLANTA"))</f>
        <v/>
      </c>
      <c r="E1138" s="2">
        <f>IF(B1138="","",IFERROR(VLOOKUP(B1138, PLANTA_BASE!A:R, 6, FALSE), "NO ENCONTRADO EN PLANTA"))</f>
        <v/>
      </c>
      <c r="F1138" s="4">
        <f>IF(B1138="","",IFERROR(VLOOKUP(B1138, PLANTA_BASE!A:R, 8, FALSE), "DOCENTE / FACILITADOR"))</f>
        <v/>
      </c>
      <c r="G1138" s="4">
        <f>IF(B1138="","",IFERROR(VLOOKUP(B1138, PLANTA_BASE!A:R, 9, FALSE), "GENERAL"))</f>
        <v/>
      </c>
      <c r="H1138" s="2">
        <f>IF(B1138="","",IFERROR(VLOOKUP(B1138, PLANTA_BASE!A:R, 17, FALSE), "GENERAL"))</f>
        <v/>
      </c>
    </row>
    <row r="1139" ht="20" customHeight="1">
      <c r="A1139" s="5">
        <f>IF(B1139="","",IFERROR(VLOOKUP(B1139, PLANTA_BASE!A:R, 2, FALSE), "NO ENCONTRADO EN PLANTA"))</f>
        <v/>
      </c>
      <c r="B1139" s="6" t="inlineStr"/>
      <c r="C1139" s="7">
        <f>IF(B1139="","",IFERROR(VLOOKUP(B1139, PLANTA_BASE!A:R, 3, FALSE), ""))</f>
        <v/>
      </c>
      <c r="D1139" s="5">
        <f>IF(B1139="","",IFERROR(VLOOKUP(B1139, PLANTA_BASE!A:R, 5, FALSE), "NO ENCONTRADO EN PLANTA"))</f>
        <v/>
      </c>
      <c r="E1139" s="5">
        <f>IF(B1139="","",IFERROR(VLOOKUP(B1139, PLANTA_BASE!A:R, 6, FALSE), "NO ENCONTRADO EN PLANTA"))</f>
        <v/>
      </c>
      <c r="F1139" s="7">
        <f>IF(B1139="","",IFERROR(VLOOKUP(B1139, PLANTA_BASE!A:R, 8, FALSE), "DOCENTE / FACILITADOR"))</f>
        <v/>
      </c>
      <c r="G1139" s="7">
        <f>IF(B1139="","",IFERROR(VLOOKUP(B1139, PLANTA_BASE!A:R, 9, FALSE), "GENERAL"))</f>
        <v/>
      </c>
      <c r="H1139" s="5">
        <f>IF(B1139="","",IFERROR(VLOOKUP(B1139, PLANTA_BASE!A:R, 17, FALSE), "GENERAL"))</f>
        <v/>
      </c>
    </row>
    <row r="1140" ht="20" customHeight="1">
      <c r="A1140" s="2">
        <f>IF(B1140="","",IFERROR(VLOOKUP(B1140, PLANTA_BASE!A:R, 2, FALSE), "NO ENCONTRADO EN PLANTA"))</f>
        <v/>
      </c>
      <c r="B1140" s="3" t="inlineStr"/>
      <c r="C1140" s="4">
        <f>IF(B1140="","",IFERROR(VLOOKUP(B1140, PLANTA_BASE!A:R, 3, FALSE), ""))</f>
        <v/>
      </c>
      <c r="D1140" s="2">
        <f>IF(B1140="","",IFERROR(VLOOKUP(B1140, PLANTA_BASE!A:R, 5, FALSE), "NO ENCONTRADO EN PLANTA"))</f>
        <v/>
      </c>
      <c r="E1140" s="2">
        <f>IF(B1140="","",IFERROR(VLOOKUP(B1140, PLANTA_BASE!A:R, 6, FALSE), "NO ENCONTRADO EN PLANTA"))</f>
        <v/>
      </c>
      <c r="F1140" s="4">
        <f>IF(B1140="","",IFERROR(VLOOKUP(B1140, PLANTA_BASE!A:R, 8, FALSE), "DOCENTE / FACILITADOR"))</f>
        <v/>
      </c>
      <c r="G1140" s="4">
        <f>IF(B1140="","",IFERROR(VLOOKUP(B1140, PLANTA_BASE!A:R, 9, FALSE), "GENERAL"))</f>
        <v/>
      </c>
      <c r="H1140" s="2">
        <f>IF(B1140="","",IFERROR(VLOOKUP(B1140, PLANTA_BASE!A:R, 17, FALSE), "GENERAL"))</f>
        <v/>
      </c>
    </row>
    <row r="1141" ht="20" customHeight="1">
      <c r="A1141" s="5">
        <f>IF(B1141="","",IFERROR(VLOOKUP(B1141, PLANTA_BASE!A:R, 2, FALSE), "NO ENCONTRADO EN PLANTA"))</f>
        <v/>
      </c>
      <c r="B1141" s="6" t="inlineStr"/>
      <c r="C1141" s="7">
        <f>IF(B1141="","",IFERROR(VLOOKUP(B1141, PLANTA_BASE!A:R, 3, FALSE), ""))</f>
        <v/>
      </c>
      <c r="D1141" s="5">
        <f>IF(B1141="","",IFERROR(VLOOKUP(B1141, PLANTA_BASE!A:R, 5, FALSE), "NO ENCONTRADO EN PLANTA"))</f>
        <v/>
      </c>
      <c r="E1141" s="5">
        <f>IF(B1141="","",IFERROR(VLOOKUP(B1141, PLANTA_BASE!A:R, 6, FALSE), "NO ENCONTRADO EN PLANTA"))</f>
        <v/>
      </c>
      <c r="F1141" s="7">
        <f>IF(B1141="","",IFERROR(VLOOKUP(B1141, PLANTA_BASE!A:R, 8, FALSE), "DOCENTE / FACILITADOR"))</f>
        <v/>
      </c>
      <c r="G1141" s="7">
        <f>IF(B1141="","",IFERROR(VLOOKUP(B1141, PLANTA_BASE!A:R, 9, FALSE), "GENERAL"))</f>
        <v/>
      </c>
      <c r="H1141" s="5">
        <f>IF(B1141="","",IFERROR(VLOOKUP(B1141, PLANTA_BASE!A:R, 17, FALSE), "GENERAL"))</f>
        <v/>
      </c>
    </row>
    <row r="1142" ht="20" customHeight="1">
      <c r="A1142" s="2">
        <f>IF(B1142="","",IFERROR(VLOOKUP(B1142, PLANTA_BASE!A:R, 2, FALSE), "NO ENCONTRADO EN PLANTA"))</f>
        <v/>
      </c>
      <c r="B1142" s="3" t="inlineStr"/>
      <c r="C1142" s="4">
        <f>IF(B1142="","",IFERROR(VLOOKUP(B1142, PLANTA_BASE!A:R, 3, FALSE), ""))</f>
        <v/>
      </c>
      <c r="D1142" s="2">
        <f>IF(B1142="","",IFERROR(VLOOKUP(B1142, PLANTA_BASE!A:R, 5, FALSE), "NO ENCONTRADO EN PLANTA"))</f>
        <v/>
      </c>
      <c r="E1142" s="2">
        <f>IF(B1142="","",IFERROR(VLOOKUP(B1142, PLANTA_BASE!A:R, 6, FALSE), "NO ENCONTRADO EN PLANTA"))</f>
        <v/>
      </c>
      <c r="F1142" s="4">
        <f>IF(B1142="","",IFERROR(VLOOKUP(B1142, PLANTA_BASE!A:R, 8, FALSE), "DOCENTE / FACILITADOR"))</f>
        <v/>
      </c>
      <c r="G1142" s="4">
        <f>IF(B1142="","",IFERROR(VLOOKUP(B1142, PLANTA_BASE!A:R, 9, FALSE), "GENERAL"))</f>
        <v/>
      </c>
      <c r="H1142" s="2">
        <f>IF(B1142="","",IFERROR(VLOOKUP(B1142, PLANTA_BASE!A:R, 17, FALSE), "GENERAL"))</f>
        <v/>
      </c>
    </row>
    <row r="1143" ht="20" customHeight="1">
      <c r="A1143" s="5">
        <f>IF(B1143="","",IFERROR(VLOOKUP(B1143, PLANTA_BASE!A:R, 2, FALSE), "NO ENCONTRADO EN PLANTA"))</f>
        <v/>
      </c>
      <c r="B1143" s="6" t="inlineStr"/>
      <c r="C1143" s="7">
        <f>IF(B1143="","",IFERROR(VLOOKUP(B1143, PLANTA_BASE!A:R, 3, FALSE), ""))</f>
        <v/>
      </c>
      <c r="D1143" s="5">
        <f>IF(B1143="","",IFERROR(VLOOKUP(B1143, PLANTA_BASE!A:R, 5, FALSE), "NO ENCONTRADO EN PLANTA"))</f>
        <v/>
      </c>
      <c r="E1143" s="5">
        <f>IF(B1143="","",IFERROR(VLOOKUP(B1143, PLANTA_BASE!A:R, 6, FALSE), "NO ENCONTRADO EN PLANTA"))</f>
        <v/>
      </c>
      <c r="F1143" s="7">
        <f>IF(B1143="","",IFERROR(VLOOKUP(B1143, PLANTA_BASE!A:R, 8, FALSE), "DOCENTE / FACILITADOR"))</f>
        <v/>
      </c>
      <c r="G1143" s="7">
        <f>IF(B1143="","",IFERROR(VLOOKUP(B1143, PLANTA_BASE!A:R, 9, FALSE), "GENERAL"))</f>
        <v/>
      </c>
      <c r="H1143" s="5">
        <f>IF(B1143="","",IFERROR(VLOOKUP(B1143, PLANTA_BASE!A:R, 17, FALSE), "GENERAL"))</f>
        <v/>
      </c>
    </row>
    <row r="1144" ht="20" customHeight="1">
      <c r="A1144" s="2">
        <f>IF(B1144="","",IFERROR(VLOOKUP(B1144, PLANTA_BASE!A:R, 2, FALSE), "NO ENCONTRADO EN PLANTA"))</f>
        <v/>
      </c>
      <c r="B1144" s="3" t="inlineStr"/>
      <c r="C1144" s="4">
        <f>IF(B1144="","",IFERROR(VLOOKUP(B1144, PLANTA_BASE!A:R, 3, FALSE), ""))</f>
        <v/>
      </c>
      <c r="D1144" s="2">
        <f>IF(B1144="","",IFERROR(VLOOKUP(B1144, PLANTA_BASE!A:R, 5, FALSE), "NO ENCONTRADO EN PLANTA"))</f>
        <v/>
      </c>
      <c r="E1144" s="2">
        <f>IF(B1144="","",IFERROR(VLOOKUP(B1144, PLANTA_BASE!A:R, 6, FALSE), "NO ENCONTRADO EN PLANTA"))</f>
        <v/>
      </c>
      <c r="F1144" s="4">
        <f>IF(B1144="","",IFERROR(VLOOKUP(B1144, PLANTA_BASE!A:R, 8, FALSE), "DOCENTE / FACILITADOR"))</f>
        <v/>
      </c>
      <c r="G1144" s="4">
        <f>IF(B1144="","",IFERROR(VLOOKUP(B1144, PLANTA_BASE!A:R, 9, FALSE), "GENERAL"))</f>
        <v/>
      </c>
      <c r="H1144" s="2">
        <f>IF(B1144="","",IFERROR(VLOOKUP(B1144, PLANTA_BASE!A:R, 17, FALSE), "GENERAL"))</f>
        <v/>
      </c>
    </row>
    <row r="1145" ht="20" customHeight="1">
      <c r="A1145" s="5">
        <f>IF(B1145="","",IFERROR(VLOOKUP(B1145, PLANTA_BASE!A:R, 2, FALSE), "NO ENCONTRADO EN PLANTA"))</f>
        <v/>
      </c>
      <c r="B1145" s="6" t="inlineStr"/>
      <c r="C1145" s="7">
        <f>IF(B1145="","",IFERROR(VLOOKUP(B1145, PLANTA_BASE!A:R, 3, FALSE), ""))</f>
        <v/>
      </c>
      <c r="D1145" s="5">
        <f>IF(B1145="","",IFERROR(VLOOKUP(B1145, PLANTA_BASE!A:R, 5, FALSE), "NO ENCONTRADO EN PLANTA"))</f>
        <v/>
      </c>
      <c r="E1145" s="5">
        <f>IF(B1145="","",IFERROR(VLOOKUP(B1145, PLANTA_BASE!A:R, 6, FALSE), "NO ENCONTRADO EN PLANTA"))</f>
        <v/>
      </c>
      <c r="F1145" s="7">
        <f>IF(B1145="","",IFERROR(VLOOKUP(B1145, PLANTA_BASE!A:R, 8, FALSE), "DOCENTE / FACILITADOR"))</f>
        <v/>
      </c>
      <c r="G1145" s="7">
        <f>IF(B1145="","",IFERROR(VLOOKUP(B1145, PLANTA_BASE!A:R, 9, FALSE), "GENERAL"))</f>
        <v/>
      </c>
      <c r="H1145" s="5">
        <f>IF(B1145="","",IFERROR(VLOOKUP(B1145, PLANTA_BASE!A:R, 17, FALSE), "GENERAL"))</f>
        <v/>
      </c>
    </row>
    <row r="1146" ht="20" customHeight="1">
      <c r="A1146" s="2">
        <f>IF(B1146="","",IFERROR(VLOOKUP(B1146, PLANTA_BASE!A:R, 2, FALSE), "NO ENCONTRADO EN PLANTA"))</f>
        <v/>
      </c>
      <c r="B1146" s="3" t="inlineStr"/>
      <c r="C1146" s="4">
        <f>IF(B1146="","",IFERROR(VLOOKUP(B1146, PLANTA_BASE!A:R, 3, FALSE), ""))</f>
        <v/>
      </c>
      <c r="D1146" s="2">
        <f>IF(B1146="","",IFERROR(VLOOKUP(B1146, PLANTA_BASE!A:R, 5, FALSE), "NO ENCONTRADO EN PLANTA"))</f>
        <v/>
      </c>
      <c r="E1146" s="2">
        <f>IF(B1146="","",IFERROR(VLOOKUP(B1146, PLANTA_BASE!A:R, 6, FALSE), "NO ENCONTRADO EN PLANTA"))</f>
        <v/>
      </c>
      <c r="F1146" s="4">
        <f>IF(B1146="","",IFERROR(VLOOKUP(B1146, PLANTA_BASE!A:R, 8, FALSE), "DOCENTE / FACILITADOR"))</f>
        <v/>
      </c>
      <c r="G1146" s="4">
        <f>IF(B1146="","",IFERROR(VLOOKUP(B1146, PLANTA_BASE!A:R, 9, FALSE), "GENERAL"))</f>
        <v/>
      </c>
      <c r="H1146" s="2">
        <f>IF(B1146="","",IFERROR(VLOOKUP(B1146, PLANTA_BASE!A:R, 17, FALSE), "GENERAL"))</f>
        <v/>
      </c>
    </row>
    <row r="1147" ht="20" customHeight="1">
      <c r="A1147" s="5">
        <f>IF(B1147="","",IFERROR(VLOOKUP(B1147, PLANTA_BASE!A:R, 2, FALSE), "NO ENCONTRADO EN PLANTA"))</f>
        <v/>
      </c>
      <c r="B1147" s="6" t="inlineStr"/>
      <c r="C1147" s="7">
        <f>IF(B1147="","",IFERROR(VLOOKUP(B1147, PLANTA_BASE!A:R, 3, FALSE), ""))</f>
        <v/>
      </c>
      <c r="D1147" s="5">
        <f>IF(B1147="","",IFERROR(VLOOKUP(B1147, PLANTA_BASE!A:R, 5, FALSE), "NO ENCONTRADO EN PLANTA"))</f>
        <v/>
      </c>
      <c r="E1147" s="5">
        <f>IF(B1147="","",IFERROR(VLOOKUP(B1147, PLANTA_BASE!A:R, 6, FALSE), "NO ENCONTRADO EN PLANTA"))</f>
        <v/>
      </c>
      <c r="F1147" s="7">
        <f>IF(B1147="","",IFERROR(VLOOKUP(B1147, PLANTA_BASE!A:R, 8, FALSE), "DOCENTE / FACILITADOR"))</f>
        <v/>
      </c>
      <c r="G1147" s="7">
        <f>IF(B1147="","",IFERROR(VLOOKUP(B1147, PLANTA_BASE!A:R, 9, FALSE), "GENERAL"))</f>
        <v/>
      </c>
      <c r="H1147" s="5">
        <f>IF(B1147="","",IFERROR(VLOOKUP(B1147, PLANTA_BASE!A:R, 17, FALSE), "GENERAL"))</f>
        <v/>
      </c>
    </row>
    <row r="1148" ht="20" customHeight="1">
      <c r="A1148" s="2">
        <f>IF(B1148="","",IFERROR(VLOOKUP(B1148, PLANTA_BASE!A:R, 2, FALSE), "NO ENCONTRADO EN PLANTA"))</f>
        <v/>
      </c>
      <c r="B1148" s="3" t="inlineStr"/>
      <c r="C1148" s="4">
        <f>IF(B1148="","",IFERROR(VLOOKUP(B1148, PLANTA_BASE!A:R, 3, FALSE), ""))</f>
        <v/>
      </c>
      <c r="D1148" s="2">
        <f>IF(B1148="","",IFERROR(VLOOKUP(B1148, PLANTA_BASE!A:R, 5, FALSE), "NO ENCONTRADO EN PLANTA"))</f>
        <v/>
      </c>
      <c r="E1148" s="2">
        <f>IF(B1148="","",IFERROR(VLOOKUP(B1148, PLANTA_BASE!A:R, 6, FALSE), "NO ENCONTRADO EN PLANTA"))</f>
        <v/>
      </c>
      <c r="F1148" s="4">
        <f>IF(B1148="","",IFERROR(VLOOKUP(B1148, PLANTA_BASE!A:R, 8, FALSE), "DOCENTE / FACILITADOR"))</f>
        <v/>
      </c>
      <c r="G1148" s="4">
        <f>IF(B1148="","",IFERROR(VLOOKUP(B1148, PLANTA_BASE!A:R, 9, FALSE), "GENERAL"))</f>
        <v/>
      </c>
      <c r="H1148" s="2">
        <f>IF(B1148="","",IFERROR(VLOOKUP(B1148, PLANTA_BASE!A:R, 17, FALSE), "GENERAL"))</f>
        <v/>
      </c>
    </row>
    <row r="1149" ht="20" customHeight="1">
      <c r="A1149" s="5">
        <f>IF(B1149="","",IFERROR(VLOOKUP(B1149, PLANTA_BASE!A:R, 2, FALSE), "NO ENCONTRADO EN PLANTA"))</f>
        <v/>
      </c>
      <c r="B1149" s="6" t="inlineStr"/>
      <c r="C1149" s="7">
        <f>IF(B1149="","",IFERROR(VLOOKUP(B1149, PLANTA_BASE!A:R, 3, FALSE), ""))</f>
        <v/>
      </c>
      <c r="D1149" s="5">
        <f>IF(B1149="","",IFERROR(VLOOKUP(B1149, PLANTA_BASE!A:R, 5, FALSE), "NO ENCONTRADO EN PLANTA"))</f>
        <v/>
      </c>
      <c r="E1149" s="5">
        <f>IF(B1149="","",IFERROR(VLOOKUP(B1149, PLANTA_BASE!A:R, 6, FALSE), "NO ENCONTRADO EN PLANTA"))</f>
        <v/>
      </c>
      <c r="F1149" s="7">
        <f>IF(B1149="","",IFERROR(VLOOKUP(B1149, PLANTA_BASE!A:R, 8, FALSE), "DOCENTE / FACILITADOR"))</f>
        <v/>
      </c>
      <c r="G1149" s="7">
        <f>IF(B1149="","",IFERROR(VLOOKUP(B1149, PLANTA_BASE!A:R, 9, FALSE), "GENERAL"))</f>
        <v/>
      </c>
      <c r="H1149" s="5">
        <f>IF(B1149="","",IFERROR(VLOOKUP(B1149, PLANTA_BASE!A:R, 17, FALSE), "GENERAL"))</f>
        <v/>
      </c>
    </row>
    <row r="1150" ht="20" customHeight="1">
      <c r="A1150" s="2">
        <f>IF(B1150="","",IFERROR(VLOOKUP(B1150, PLANTA_BASE!A:R, 2, FALSE), "NO ENCONTRADO EN PLANTA"))</f>
        <v/>
      </c>
      <c r="B1150" s="3" t="inlineStr"/>
      <c r="C1150" s="4">
        <f>IF(B1150="","",IFERROR(VLOOKUP(B1150, PLANTA_BASE!A:R, 3, FALSE), ""))</f>
        <v/>
      </c>
      <c r="D1150" s="2">
        <f>IF(B1150="","",IFERROR(VLOOKUP(B1150, PLANTA_BASE!A:R, 5, FALSE), "NO ENCONTRADO EN PLANTA"))</f>
        <v/>
      </c>
      <c r="E1150" s="2">
        <f>IF(B1150="","",IFERROR(VLOOKUP(B1150, PLANTA_BASE!A:R, 6, FALSE), "NO ENCONTRADO EN PLANTA"))</f>
        <v/>
      </c>
      <c r="F1150" s="4">
        <f>IF(B1150="","",IFERROR(VLOOKUP(B1150, PLANTA_BASE!A:R, 8, FALSE), "DOCENTE / FACILITADOR"))</f>
        <v/>
      </c>
      <c r="G1150" s="4">
        <f>IF(B1150="","",IFERROR(VLOOKUP(B1150, PLANTA_BASE!A:R, 9, FALSE), "GENERAL"))</f>
        <v/>
      </c>
      <c r="H1150" s="2">
        <f>IF(B1150="","",IFERROR(VLOOKUP(B1150, PLANTA_BASE!A:R, 17, FALSE), "GENERAL"))</f>
        <v/>
      </c>
    </row>
    <row r="1151" ht="20" customHeight="1">
      <c r="A1151" s="5">
        <f>IF(B1151="","",IFERROR(VLOOKUP(B1151, PLANTA_BASE!A:R, 2, FALSE), "NO ENCONTRADO EN PLANTA"))</f>
        <v/>
      </c>
      <c r="B1151" s="6" t="inlineStr"/>
      <c r="C1151" s="7">
        <f>IF(B1151="","",IFERROR(VLOOKUP(B1151, PLANTA_BASE!A:R, 3, FALSE), ""))</f>
        <v/>
      </c>
      <c r="D1151" s="5">
        <f>IF(B1151="","",IFERROR(VLOOKUP(B1151, PLANTA_BASE!A:R, 5, FALSE), "NO ENCONTRADO EN PLANTA"))</f>
        <v/>
      </c>
      <c r="E1151" s="5">
        <f>IF(B1151="","",IFERROR(VLOOKUP(B1151, PLANTA_BASE!A:R, 6, FALSE), "NO ENCONTRADO EN PLANTA"))</f>
        <v/>
      </c>
      <c r="F1151" s="7">
        <f>IF(B1151="","",IFERROR(VLOOKUP(B1151, PLANTA_BASE!A:R, 8, FALSE), "DOCENTE / FACILITADOR"))</f>
        <v/>
      </c>
      <c r="G1151" s="7">
        <f>IF(B1151="","",IFERROR(VLOOKUP(B1151, PLANTA_BASE!A:R, 9, FALSE), "GENERAL"))</f>
        <v/>
      </c>
      <c r="H1151" s="5">
        <f>IF(B1151="","",IFERROR(VLOOKUP(B1151, PLANTA_BASE!A:R, 17, FALSE), "GENERAL"))</f>
        <v/>
      </c>
    </row>
    <row r="1152" ht="20" customHeight="1">
      <c r="A1152" s="2">
        <f>IF(B1152="","",IFERROR(VLOOKUP(B1152, PLANTA_BASE!A:R, 2, FALSE), "NO ENCONTRADO EN PLANTA"))</f>
        <v/>
      </c>
      <c r="B1152" s="3" t="inlineStr"/>
      <c r="C1152" s="4">
        <f>IF(B1152="","",IFERROR(VLOOKUP(B1152, PLANTA_BASE!A:R, 3, FALSE), ""))</f>
        <v/>
      </c>
      <c r="D1152" s="2">
        <f>IF(B1152="","",IFERROR(VLOOKUP(B1152, PLANTA_BASE!A:R, 5, FALSE), "NO ENCONTRADO EN PLANTA"))</f>
        <v/>
      </c>
      <c r="E1152" s="2">
        <f>IF(B1152="","",IFERROR(VLOOKUP(B1152, PLANTA_BASE!A:R, 6, FALSE), "NO ENCONTRADO EN PLANTA"))</f>
        <v/>
      </c>
      <c r="F1152" s="4">
        <f>IF(B1152="","",IFERROR(VLOOKUP(B1152, PLANTA_BASE!A:R, 8, FALSE), "DOCENTE / FACILITADOR"))</f>
        <v/>
      </c>
      <c r="G1152" s="4">
        <f>IF(B1152="","",IFERROR(VLOOKUP(B1152, PLANTA_BASE!A:R, 9, FALSE), "GENERAL"))</f>
        <v/>
      </c>
      <c r="H1152" s="2">
        <f>IF(B1152="","",IFERROR(VLOOKUP(B1152, PLANTA_BASE!A:R, 17, FALSE), "GENERAL"))</f>
        <v/>
      </c>
    </row>
    <row r="1153" ht="20" customHeight="1">
      <c r="A1153" s="5">
        <f>IF(B1153="","",IFERROR(VLOOKUP(B1153, PLANTA_BASE!A:R, 2, FALSE), "NO ENCONTRADO EN PLANTA"))</f>
        <v/>
      </c>
      <c r="B1153" s="6" t="inlineStr"/>
      <c r="C1153" s="7">
        <f>IF(B1153="","",IFERROR(VLOOKUP(B1153, PLANTA_BASE!A:R, 3, FALSE), ""))</f>
        <v/>
      </c>
      <c r="D1153" s="5">
        <f>IF(B1153="","",IFERROR(VLOOKUP(B1153, PLANTA_BASE!A:R, 5, FALSE), "NO ENCONTRADO EN PLANTA"))</f>
        <v/>
      </c>
      <c r="E1153" s="5">
        <f>IF(B1153="","",IFERROR(VLOOKUP(B1153, PLANTA_BASE!A:R, 6, FALSE), "NO ENCONTRADO EN PLANTA"))</f>
        <v/>
      </c>
      <c r="F1153" s="7">
        <f>IF(B1153="","",IFERROR(VLOOKUP(B1153, PLANTA_BASE!A:R, 8, FALSE), "DOCENTE / FACILITADOR"))</f>
        <v/>
      </c>
      <c r="G1153" s="7">
        <f>IF(B1153="","",IFERROR(VLOOKUP(B1153, PLANTA_BASE!A:R, 9, FALSE), "GENERAL"))</f>
        <v/>
      </c>
      <c r="H1153" s="5">
        <f>IF(B1153="","",IFERROR(VLOOKUP(B1153, PLANTA_BASE!A:R, 17, FALSE), "GENERAL"))</f>
        <v/>
      </c>
    </row>
    <row r="1154" ht="20" customHeight="1">
      <c r="A1154" s="2">
        <f>IF(B1154="","",IFERROR(VLOOKUP(B1154, PLANTA_BASE!A:R, 2, FALSE), "NO ENCONTRADO EN PLANTA"))</f>
        <v/>
      </c>
      <c r="B1154" s="3" t="inlineStr"/>
      <c r="C1154" s="4">
        <f>IF(B1154="","",IFERROR(VLOOKUP(B1154, PLANTA_BASE!A:R, 3, FALSE), ""))</f>
        <v/>
      </c>
      <c r="D1154" s="2">
        <f>IF(B1154="","",IFERROR(VLOOKUP(B1154, PLANTA_BASE!A:R, 5, FALSE), "NO ENCONTRADO EN PLANTA"))</f>
        <v/>
      </c>
      <c r="E1154" s="2">
        <f>IF(B1154="","",IFERROR(VLOOKUP(B1154, PLANTA_BASE!A:R, 6, FALSE), "NO ENCONTRADO EN PLANTA"))</f>
        <v/>
      </c>
      <c r="F1154" s="4">
        <f>IF(B1154="","",IFERROR(VLOOKUP(B1154, PLANTA_BASE!A:R, 8, FALSE), "DOCENTE / FACILITADOR"))</f>
        <v/>
      </c>
      <c r="G1154" s="4">
        <f>IF(B1154="","",IFERROR(VLOOKUP(B1154, PLANTA_BASE!A:R, 9, FALSE), "GENERAL"))</f>
        <v/>
      </c>
      <c r="H1154" s="2">
        <f>IF(B1154="","",IFERROR(VLOOKUP(B1154, PLANTA_BASE!A:R, 17, FALSE), "GENERAL"))</f>
        <v/>
      </c>
    </row>
    <row r="1155" ht="20" customHeight="1">
      <c r="A1155" s="5">
        <f>IF(B1155="","",IFERROR(VLOOKUP(B1155, PLANTA_BASE!A:R, 2, FALSE), "NO ENCONTRADO EN PLANTA"))</f>
        <v/>
      </c>
      <c r="B1155" s="6" t="inlineStr"/>
      <c r="C1155" s="7">
        <f>IF(B1155="","",IFERROR(VLOOKUP(B1155, PLANTA_BASE!A:R, 3, FALSE), ""))</f>
        <v/>
      </c>
      <c r="D1155" s="5">
        <f>IF(B1155="","",IFERROR(VLOOKUP(B1155, PLANTA_BASE!A:R, 5, FALSE), "NO ENCONTRADO EN PLANTA"))</f>
        <v/>
      </c>
      <c r="E1155" s="5">
        <f>IF(B1155="","",IFERROR(VLOOKUP(B1155, PLANTA_BASE!A:R, 6, FALSE), "NO ENCONTRADO EN PLANTA"))</f>
        <v/>
      </c>
      <c r="F1155" s="7">
        <f>IF(B1155="","",IFERROR(VLOOKUP(B1155, PLANTA_BASE!A:R, 8, FALSE), "DOCENTE / FACILITADOR"))</f>
        <v/>
      </c>
      <c r="G1155" s="7">
        <f>IF(B1155="","",IFERROR(VLOOKUP(B1155, PLANTA_BASE!A:R, 9, FALSE), "GENERAL"))</f>
        <v/>
      </c>
      <c r="H1155" s="5">
        <f>IF(B1155="","",IFERROR(VLOOKUP(B1155, PLANTA_BASE!A:R, 17, FALSE), "GENERAL"))</f>
        <v/>
      </c>
    </row>
    <row r="1156" ht="20" customHeight="1">
      <c r="A1156" s="2">
        <f>IF(B1156="","",IFERROR(VLOOKUP(B1156, PLANTA_BASE!A:R, 2, FALSE), "NO ENCONTRADO EN PLANTA"))</f>
        <v/>
      </c>
      <c r="B1156" s="3" t="inlineStr"/>
      <c r="C1156" s="4">
        <f>IF(B1156="","",IFERROR(VLOOKUP(B1156, PLANTA_BASE!A:R, 3, FALSE), ""))</f>
        <v/>
      </c>
      <c r="D1156" s="2">
        <f>IF(B1156="","",IFERROR(VLOOKUP(B1156, PLANTA_BASE!A:R, 5, FALSE), "NO ENCONTRADO EN PLANTA"))</f>
        <v/>
      </c>
      <c r="E1156" s="2">
        <f>IF(B1156="","",IFERROR(VLOOKUP(B1156, PLANTA_BASE!A:R, 6, FALSE), "NO ENCONTRADO EN PLANTA"))</f>
        <v/>
      </c>
      <c r="F1156" s="4">
        <f>IF(B1156="","",IFERROR(VLOOKUP(B1156, PLANTA_BASE!A:R, 8, FALSE), "DOCENTE / FACILITADOR"))</f>
        <v/>
      </c>
      <c r="G1156" s="4">
        <f>IF(B1156="","",IFERROR(VLOOKUP(B1156, PLANTA_BASE!A:R, 9, FALSE), "GENERAL"))</f>
        <v/>
      </c>
      <c r="H1156" s="2">
        <f>IF(B1156="","",IFERROR(VLOOKUP(B1156, PLANTA_BASE!A:R, 17, FALSE), "GENERAL"))</f>
        <v/>
      </c>
    </row>
    <row r="1157" ht="20" customHeight="1">
      <c r="A1157" s="5">
        <f>IF(B1157="","",IFERROR(VLOOKUP(B1157, PLANTA_BASE!A:R, 2, FALSE), "NO ENCONTRADO EN PLANTA"))</f>
        <v/>
      </c>
      <c r="B1157" s="6" t="inlineStr"/>
      <c r="C1157" s="7">
        <f>IF(B1157="","",IFERROR(VLOOKUP(B1157, PLANTA_BASE!A:R, 3, FALSE), ""))</f>
        <v/>
      </c>
      <c r="D1157" s="5">
        <f>IF(B1157="","",IFERROR(VLOOKUP(B1157, PLANTA_BASE!A:R, 5, FALSE), "NO ENCONTRADO EN PLANTA"))</f>
        <v/>
      </c>
      <c r="E1157" s="5">
        <f>IF(B1157="","",IFERROR(VLOOKUP(B1157, PLANTA_BASE!A:R, 6, FALSE), "NO ENCONTRADO EN PLANTA"))</f>
        <v/>
      </c>
      <c r="F1157" s="7">
        <f>IF(B1157="","",IFERROR(VLOOKUP(B1157, PLANTA_BASE!A:R, 8, FALSE), "DOCENTE / FACILITADOR"))</f>
        <v/>
      </c>
      <c r="G1157" s="7">
        <f>IF(B1157="","",IFERROR(VLOOKUP(B1157, PLANTA_BASE!A:R, 9, FALSE), "GENERAL"))</f>
        <v/>
      </c>
      <c r="H1157" s="5">
        <f>IF(B1157="","",IFERROR(VLOOKUP(B1157, PLANTA_BASE!A:R, 17, FALSE), "GENERAL"))</f>
        <v/>
      </c>
    </row>
    <row r="1158" ht="20" customHeight="1">
      <c r="A1158" s="2">
        <f>IF(B1158="","",IFERROR(VLOOKUP(B1158, PLANTA_BASE!A:R, 2, FALSE), "NO ENCONTRADO EN PLANTA"))</f>
        <v/>
      </c>
      <c r="B1158" s="3" t="inlineStr"/>
      <c r="C1158" s="4">
        <f>IF(B1158="","",IFERROR(VLOOKUP(B1158, PLANTA_BASE!A:R, 3, FALSE), ""))</f>
        <v/>
      </c>
      <c r="D1158" s="2">
        <f>IF(B1158="","",IFERROR(VLOOKUP(B1158, PLANTA_BASE!A:R, 5, FALSE), "NO ENCONTRADO EN PLANTA"))</f>
        <v/>
      </c>
      <c r="E1158" s="2">
        <f>IF(B1158="","",IFERROR(VLOOKUP(B1158, PLANTA_BASE!A:R, 6, FALSE), "NO ENCONTRADO EN PLANTA"))</f>
        <v/>
      </c>
      <c r="F1158" s="4">
        <f>IF(B1158="","",IFERROR(VLOOKUP(B1158, PLANTA_BASE!A:R, 8, FALSE), "DOCENTE / FACILITADOR"))</f>
        <v/>
      </c>
      <c r="G1158" s="4">
        <f>IF(B1158="","",IFERROR(VLOOKUP(B1158, PLANTA_BASE!A:R, 9, FALSE), "GENERAL"))</f>
        <v/>
      </c>
      <c r="H1158" s="2">
        <f>IF(B1158="","",IFERROR(VLOOKUP(B1158, PLANTA_BASE!A:R, 17, FALSE), "GENERAL"))</f>
        <v/>
      </c>
    </row>
    <row r="1159" ht="20" customHeight="1">
      <c r="A1159" s="5">
        <f>IF(B1159="","",IFERROR(VLOOKUP(B1159, PLANTA_BASE!A:R, 2, FALSE), "NO ENCONTRADO EN PLANTA"))</f>
        <v/>
      </c>
      <c r="B1159" s="6" t="inlineStr"/>
      <c r="C1159" s="7">
        <f>IF(B1159="","",IFERROR(VLOOKUP(B1159, PLANTA_BASE!A:R, 3, FALSE), ""))</f>
        <v/>
      </c>
      <c r="D1159" s="5">
        <f>IF(B1159="","",IFERROR(VLOOKUP(B1159, PLANTA_BASE!A:R, 5, FALSE), "NO ENCONTRADO EN PLANTA"))</f>
        <v/>
      </c>
      <c r="E1159" s="5">
        <f>IF(B1159="","",IFERROR(VLOOKUP(B1159, PLANTA_BASE!A:R, 6, FALSE), "NO ENCONTRADO EN PLANTA"))</f>
        <v/>
      </c>
      <c r="F1159" s="7">
        <f>IF(B1159="","",IFERROR(VLOOKUP(B1159, PLANTA_BASE!A:R, 8, FALSE), "DOCENTE / FACILITADOR"))</f>
        <v/>
      </c>
      <c r="G1159" s="7">
        <f>IF(B1159="","",IFERROR(VLOOKUP(B1159, PLANTA_BASE!A:R, 9, FALSE), "GENERAL"))</f>
        <v/>
      </c>
      <c r="H1159" s="5">
        <f>IF(B1159="","",IFERROR(VLOOKUP(B1159, PLANTA_BASE!A:R, 17, FALSE), "GENERAL"))</f>
        <v/>
      </c>
    </row>
    <row r="1160" ht="20" customHeight="1">
      <c r="A1160" s="2">
        <f>IF(B1160="","",IFERROR(VLOOKUP(B1160, PLANTA_BASE!A:R, 2, FALSE), "NO ENCONTRADO EN PLANTA"))</f>
        <v/>
      </c>
      <c r="B1160" s="3" t="inlineStr"/>
      <c r="C1160" s="4">
        <f>IF(B1160="","",IFERROR(VLOOKUP(B1160, PLANTA_BASE!A:R, 3, FALSE), ""))</f>
        <v/>
      </c>
      <c r="D1160" s="2">
        <f>IF(B1160="","",IFERROR(VLOOKUP(B1160, PLANTA_BASE!A:R, 5, FALSE), "NO ENCONTRADO EN PLANTA"))</f>
        <v/>
      </c>
      <c r="E1160" s="2">
        <f>IF(B1160="","",IFERROR(VLOOKUP(B1160, PLANTA_BASE!A:R, 6, FALSE), "NO ENCONTRADO EN PLANTA"))</f>
        <v/>
      </c>
      <c r="F1160" s="4">
        <f>IF(B1160="","",IFERROR(VLOOKUP(B1160, PLANTA_BASE!A:R, 8, FALSE), "DOCENTE / FACILITADOR"))</f>
        <v/>
      </c>
      <c r="G1160" s="4">
        <f>IF(B1160="","",IFERROR(VLOOKUP(B1160, PLANTA_BASE!A:R, 9, FALSE), "GENERAL"))</f>
        <v/>
      </c>
      <c r="H1160" s="2">
        <f>IF(B1160="","",IFERROR(VLOOKUP(B1160, PLANTA_BASE!A:R, 17, FALSE), "GENERAL"))</f>
        <v/>
      </c>
    </row>
    <row r="1161" ht="20" customHeight="1">
      <c r="A1161" s="5">
        <f>IF(B1161="","",IFERROR(VLOOKUP(B1161, PLANTA_BASE!A:R, 2, FALSE), "NO ENCONTRADO EN PLANTA"))</f>
        <v/>
      </c>
      <c r="B1161" s="6" t="inlineStr"/>
      <c r="C1161" s="7">
        <f>IF(B1161="","",IFERROR(VLOOKUP(B1161, PLANTA_BASE!A:R, 3, FALSE), ""))</f>
        <v/>
      </c>
      <c r="D1161" s="5">
        <f>IF(B1161="","",IFERROR(VLOOKUP(B1161, PLANTA_BASE!A:R, 5, FALSE), "NO ENCONTRADO EN PLANTA"))</f>
        <v/>
      </c>
      <c r="E1161" s="5">
        <f>IF(B1161="","",IFERROR(VLOOKUP(B1161, PLANTA_BASE!A:R, 6, FALSE), "NO ENCONTRADO EN PLANTA"))</f>
        <v/>
      </c>
      <c r="F1161" s="7">
        <f>IF(B1161="","",IFERROR(VLOOKUP(B1161, PLANTA_BASE!A:R, 8, FALSE), "DOCENTE / FACILITADOR"))</f>
        <v/>
      </c>
      <c r="G1161" s="7">
        <f>IF(B1161="","",IFERROR(VLOOKUP(B1161, PLANTA_BASE!A:R, 9, FALSE), "GENERAL"))</f>
        <v/>
      </c>
      <c r="H1161" s="5">
        <f>IF(B1161="","",IFERROR(VLOOKUP(B1161, PLANTA_BASE!A:R, 17, FALSE), "GENERAL"))</f>
        <v/>
      </c>
    </row>
    <row r="1162" ht="20" customHeight="1">
      <c r="A1162" s="2">
        <f>IF(B1162="","",IFERROR(VLOOKUP(B1162, PLANTA_BASE!A:R, 2, FALSE), "NO ENCONTRADO EN PLANTA"))</f>
        <v/>
      </c>
      <c r="B1162" s="3" t="inlineStr"/>
      <c r="C1162" s="4">
        <f>IF(B1162="","",IFERROR(VLOOKUP(B1162, PLANTA_BASE!A:R, 3, FALSE), ""))</f>
        <v/>
      </c>
      <c r="D1162" s="2">
        <f>IF(B1162="","",IFERROR(VLOOKUP(B1162, PLANTA_BASE!A:R, 5, FALSE), "NO ENCONTRADO EN PLANTA"))</f>
        <v/>
      </c>
      <c r="E1162" s="2">
        <f>IF(B1162="","",IFERROR(VLOOKUP(B1162, PLANTA_BASE!A:R, 6, FALSE), "NO ENCONTRADO EN PLANTA"))</f>
        <v/>
      </c>
      <c r="F1162" s="4">
        <f>IF(B1162="","",IFERROR(VLOOKUP(B1162, PLANTA_BASE!A:R, 8, FALSE), "DOCENTE / FACILITADOR"))</f>
        <v/>
      </c>
      <c r="G1162" s="4">
        <f>IF(B1162="","",IFERROR(VLOOKUP(B1162, PLANTA_BASE!A:R, 9, FALSE), "GENERAL"))</f>
        <v/>
      </c>
      <c r="H1162" s="2">
        <f>IF(B1162="","",IFERROR(VLOOKUP(B1162, PLANTA_BASE!A:R, 17, FALSE), "GENERAL"))</f>
        <v/>
      </c>
    </row>
    <row r="1163" ht="20" customHeight="1">
      <c r="A1163" s="5">
        <f>IF(B1163="","",IFERROR(VLOOKUP(B1163, PLANTA_BASE!A:R, 2, FALSE), "NO ENCONTRADO EN PLANTA"))</f>
        <v/>
      </c>
      <c r="B1163" s="6" t="inlineStr"/>
      <c r="C1163" s="7">
        <f>IF(B1163="","",IFERROR(VLOOKUP(B1163, PLANTA_BASE!A:R, 3, FALSE), ""))</f>
        <v/>
      </c>
      <c r="D1163" s="5">
        <f>IF(B1163="","",IFERROR(VLOOKUP(B1163, PLANTA_BASE!A:R, 5, FALSE), "NO ENCONTRADO EN PLANTA"))</f>
        <v/>
      </c>
      <c r="E1163" s="5">
        <f>IF(B1163="","",IFERROR(VLOOKUP(B1163, PLANTA_BASE!A:R, 6, FALSE), "NO ENCONTRADO EN PLANTA"))</f>
        <v/>
      </c>
      <c r="F1163" s="7">
        <f>IF(B1163="","",IFERROR(VLOOKUP(B1163, PLANTA_BASE!A:R, 8, FALSE), "DOCENTE / FACILITADOR"))</f>
        <v/>
      </c>
      <c r="G1163" s="7">
        <f>IF(B1163="","",IFERROR(VLOOKUP(B1163, PLANTA_BASE!A:R, 9, FALSE), "GENERAL"))</f>
        <v/>
      </c>
      <c r="H1163" s="5">
        <f>IF(B1163="","",IFERROR(VLOOKUP(B1163, PLANTA_BASE!A:R, 17, FALSE), "GENERAL"))</f>
        <v/>
      </c>
    </row>
    <row r="1164" ht="20" customHeight="1">
      <c r="A1164" s="2">
        <f>IF(B1164="","",IFERROR(VLOOKUP(B1164, PLANTA_BASE!A:R, 2, FALSE), "NO ENCONTRADO EN PLANTA"))</f>
        <v/>
      </c>
      <c r="B1164" s="3" t="inlineStr"/>
      <c r="C1164" s="4">
        <f>IF(B1164="","",IFERROR(VLOOKUP(B1164, PLANTA_BASE!A:R, 3, FALSE), ""))</f>
        <v/>
      </c>
      <c r="D1164" s="2">
        <f>IF(B1164="","",IFERROR(VLOOKUP(B1164, PLANTA_BASE!A:R, 5, FALSE), "NO ENCONTRADO EN PLANTA"))</f>
        <v/>
      </c>
      <c r="E1164" s="2">
        <f>IF(B1164="","",IFERROR(VLOOKUP(B1164, PLANTA_BASE!A:R, 6, FALSE), "NO ENCONTRADO EN PLANTA"))</f>
        <v/>
      </c>
      <c r="F1164" s="4">
        <f>IF(B1164="","",IFERROR(VLOOKUP(B1164, PLANTA_BASE!A:R, 8, FALSE), "DOCENTE / FACILITADOR"))</f>
        <v/>
      </c>
      <c r="G1164" s="4">
        <f>IF(B1164="","",IFERROR(VLOOKUP(B1164, PLANTA_BASE!A:R, 9, FALSE), "GENERAL"))</f>
        <v/>
      </c>
      <c r="H1164" s="2">
        <f>IF(B1164="","",IFERROR(VLOOKUP(B1164, PLANTA_BASE!A:R, 17, FALSE), "GENERAL"))</f>
        <v/>
      </c>
    </row>
    <row r="1165" ht="20" customHeight="1">
      <c r="A1165" s="5">
        <f>IF(B1165="","",IFERROR(VLOOKUP(B1165, PLANTA_BASE!A:R, 2, FALSE), "NO ENCONTRADO EN PLANTA"))</f>
        <v/>
      </c>
      <c r="B1165" s="6" t="inlineStr"/>
      <c r="C1165" s="7">
        <f>IF(B1165="","",IFERROR(VLOOKUP(B1165, PLANTA_BASE!A:R, 3, FALSE), ""))</f>
        <v/>
      </c>
      <c r="D1165" s="5">
        <f>IF(B1165="","",IFERROR(VLOOKUP(B1165, PLANTA_BASE!A:R, 5, FALSE), "NO ENCONTRADO EN PLANTA"))</f>
        <v/>
      </c>
      <c r="E1165" s="5">
        <f>IF(B1165="","",IFERROR(VLOOKUP(B1165, PLANTA_BASE!A:R, 6, FALSE), "NO ENCONTRADO EN PLANTA"))</f>
        <v/>
      </c>
      <c r="F1165" s="7">
        <f>IF(B1165="","",IFERROR(VLOOKUP(B1165, PLANTA_BASE!A:R, 8, FALSE), "DOCENTE / FACILITADOR"))</f>
        <v/>
      </c>
      <c r="G1165" s="7">
        <f>IF(B1165="","",IFERROR(VLOOKUP(B1165, PLANTA_BASE!A:R, 9, FALSE), "GENERAL"))</f>
        <v/>
      </c>
      <c r="H1165" s="5">
        <f>IF(B1165="","",IFERROR(VLOOKUP(B1165, PLANTA_BASE!A:R, 17, FALSE), "GENERAL"))</f>
        <v/>
      </c>
    </row>
    <row r="1166" ht="20" customHeight="1">
      <c r="A1166" s="2">
        <f>IF(B1166="","",IFERROR(VLOOKUP(B1166, PLANTA_BASE!A:R, 2, FALSE), "NO ENCONTRADO EN PLANTA"))</f>
        <v/>
      </c>
      <c r="B1166" s="3" t="inlineStr"/>
      <c r="C1166" s="4">
        <f>IF(B1166="","",IFERROR(VLOOKUP(B1166, PLANTA_BASE!A:R, 3, FALSE), ""))</f>
        <v/>
      </c>
      <c r="D1166" s="2">
        <f>IF(B1166="","",IFERROR(VLOOKUP(B1166, PLANTA_BASE!A:R, 5, FALSE), "NO ENCONTRADO EN PLANTA"))</f>
        <v/>
      </c>
      <c r="E1166" s="2">
        <f>IF(B1166="","",IFERROR(VLOOKUP(B1166, PLANTA_BASE!A:R, 6, FALSE), "NO ENCONTRADO EN PLANTA"))</f>
        <v/>
      </c>
      <c r="F1166" s="4">
        <f>IF(B1166="","",IFERROR(VLOOKUP(B1166, PLANTA_BASE!A:R, 8, FALSE), "DOCENTE / FACILITADOR"))</f>
        <v/>
      </c>
      <c r="G1166" s="4">
        <f>IF(B1166="","",IFERROR(VLOOKUP(B1166, PLANTA_BASE!A:R, 9, FALSE), "GENERAL"))</f>
        <v/>
      </c>
      <c r="H1166" s="2">
        <f>IF(B1166="","",IFERROR(VLOOKUP(B1166, PLANTA_BASE!A:R, 17, FALSE), "GENERAL"))</f>
        <v/>
      </c>
    </row>
    <row r="1167" ht="20" customHeight="1">
      <c r="A1167" s="5">
        <f>IF(B1167="","",IFERROR(VLOOKUP(B1167, PLANTA_BASE!A:R, 2, FALSE), "NO ENCONTRADO EN PLANTA"))</f>
        <v/>
      </c>
      <c r="B1167" s="6" t="inlineStr"/>
      <c r="C1167" s="7">
        <f>IF(B1167="","",IFERROR(VLOOKUP(B1167, PLANTA_BASE!A:R, 3, FALSE), ""))</f>
        <v/>
      </c>
      <c r="D1167" s="5">
        <f>IF(B1167="","",IFERROR(VLOOKUP(B1167, PLANTA_BASE!A:R, 5, FALSE), "NO ENCONTRADO EN PLANTA"))</f>
        <v/>
      </c>
      <c r="E1167" s="5">
        <f>IF(B1167="","",IFERROR(VLOOKUP(B1167, PLANTA_BASE!A:R, 6, FALSE), "NO ENCONTRADO EN PLANTA"))</f>
        <v/>
      </c>
      <c r="F1167" s="7">
        <f>IF(B1167="","",IFERROR(VLOOKUP(B1167, PLANTA_BASE!A:R, 8, FALSE), "DOCENTE / FACILITADOR"))</f>
        <v/>
      </c>
      <c r="G1167" s="7">
        <f>IF(B1167="","",IFERROR(VLOOKUP(B1167, PLANTA_BASE!A:R, 9, FALSE), "GENERAL"))</f>
        <v/>
      </c>
      <c r="H1167" s="5">
        <f>IF(B1167="","",IFERROR(VLOOKUP(B1167, PLANTA_BASE!A:R, 17, FALSE), "GENERAL"))</f>
        <v/>
      </c>
    </row>
    <row r="1168" ht="20" customHeight="1">
      <c r="A1168" s="2">
        <f>IF(B1168="","",IFERROR(VLOOKUP(B1168, PLANTA_BASE!A:R, 2, FALSE), "NO ENCONTRADO EN PLANTA"))</f>
        <v/>
      </c>
      <c r="B1168" s="3" t="inlineStr"/>
      <c r="C1168" s="4">
        <f>IF(B1168="","",IFERROR(VLOOKUP(B1168, PLANTA_BASE!A:R, 3, FALSE), ""))</f>
        <v/>
      </c>
      <c r="D1168" s="2">
        <f>IF(B1168="","",IFERROR(VLOOKUP(B1168, PLANTA_BASE!A:R, 5, FALSE), "NO ENCONTRADO EN PLANTA"))</f>
        <v/>
      </c>
      <c r="E1168" s="2">
        <f>IF(B1168="","",IFERROR(VLOOKUP(B1168, PLANTA_BASE!A:R, 6, FALSE), "NO ENCONTRADO EN PLANTA"))</f>
        <v/>
      </c>
      <c r="F1168" s="4">
        <f>IF(B1168="","",IFERROR(VLOOKUP(B1168, PLANTA_BASE!A:R, 8, FALSE), "DOCENTE / FACILITADOR"))</f>
        <v/>
      </c>
      <c r="G1168" s="4">
        <f>IF(B1168="","",IFERROR(VLOOKUP(B1168, PLANTA_BASE!A:R, 9, FALSE), "GENERAL"))</f>
        <v/>
      </c>
      <c r="H1168" s="2">
        <f>IF(B1168="","",IFERROR(VLOOKUP(B1168, PLANTA_BASE!A:R, 17, FALSE), "GENERAL"))</f>
        <v/>
      </c>
    </row>
    <row r="1169" ht="20" customHeight="1">
      <c r="A1169" s="5">
        <f>IF(B1169="","",IFERROR(VLOOKUP(B1169, PLANTA_BASE!A:R, 2, FALSE), "NO ENCONTRADO EN PLANTA"))</f>
        <v/>
      </c>
      <c r="B1169" s="6" t="inlineStr"/>
      <c r="C1169" s="7">
        <f>IF(B1169="","",IFERROR(VLOOKUP(B1169, PLANTA_BASE!A:R, 3, FALSE), ""))</f>
        <v/>
      </c>
      <c r="D1169" s="5">
        <f>IF(B1169="","",IFERROR(VLOOKUP(B1169, PLANTA_BASE!A:R, 5, FALSE), "NO ENCONTRADO EN PLANTA"))</f>
        <v/>
      </c>
      <c r="E1169" s="5">
        <f>IF(B1169="","",IFERROR(VLOOKUP(B1169, PLANTA_BASE!A:R, 6, FALSE), "NO ENCONTRADO EN PLANTA"))</f>
        <v/>
      </c>
      <c r="F1169" s="7">
        <f>IF(B1169="","",IFERROR(VLOOKUP(B1169, PLANTA_BASE!A:R, 8, FALSE), "DOCENTE / FACILITADOR"))</f>
        <v/>
      </c>
      <c r="G1169" s="7">
        <f>IF(B1169="","",IFERROR(VLOOKUP(B1169, PLANTA_BASE!A:R, 9, FALSE), "GENERAL"))</f>
        <v/>
      </c>
      <c r="H1169" s="5">
        <f>IF(B1169="","",IFERROR(VLOOKUP(B1169, PLANTA_BASE!A:R, 17, FALSE), "GENERAL"))</f>
        <v/>
      </c>
    </row>
    <row r="1170" ht="20" customHeight="1">
      <c r="A1170" s="2">
        <f>IF(B1170="","",IFERROR(VLOOKUP(B1170, PLANTA_BASE!A:R, 2, FALSE), "NO ENCONTRADO EN PLANTA"))</f>
        <v/>
      </c>
      <c r="B1170" s="3" t="inlineStr"/>
      <c r="C1170" s="4">
        <f>IF(B1170="","",IFERROR(VLOOKUP(B1170, PLANTA_BASE!A:R, 3, FALSE), ""))</f>
        <v/>
      </c>
      <c r="D1170" s="2">
        <f>IF(B1170="","",IFERROR(VLOOKUP(B1170, PLANTA_BASE!A:R, 5, FALSE), "NO ENCONTRADO EN PLANTA"))</f>
        <v/>
      </c>
      <c r="E1170" s="2">
        <f>IF(B1170="","",IFERROR(VLOOKUP(B1170, PLANTA_BASE!A:R, 6, FALSE), "NO ENCONTRADO EN PLANTA"))</f>
        <v/>
      </c>
      <c r="F1170" s="4">
        <f>IF(B1170="","",IFERROR(VLOOKUP(B1170, PLANTA_BASE!A:R, 8, FALSE), "DOCENTE / FACILITADOR"))</f>
        <v/>
      </c>
      <c r="G1170" s="4">
        <f>IF(B1170="","",IFERROR(VLOOKUP(B1170, PLANTA_BASE!A:R, 9, FALSE), "GENERAL"))</f>
        <v/>
      </c>
      <c r="H1170" s="2">
        <f>IF(B1170="","",IFERROR(VLOOKUP(B1170, PLANTA_BASE!A:R, 17, FALSE), "GENERAL"))</f>
        <v/>
      </c>
    </row>
    <row r="1171" ht="20" customHeight="1">
      <c r="A1171" s="5">
        <f>IF(B1171="","",IFERROR(VLOOKUP(B1171, PLANTA_BASE!A:R, 2, FALSE), "NO ENCONTRADO EN PLANTA"))</f>
        <v/>
      </c>
      <c r="B1171" s="6" t="inlineStr"/>
      <c r="C1171" s="7">
        <f>IF(B1171="","",IFERROR(VLOOKUP(B1171, PLANTA_BASE!A:R, 3, FALSE), ""))</f>
        <v/>
      </c>
      <c r="D1171" s="5">
        <f>IF(B1171="","",IFERROR(VLOOKUP(B1171, PLANTA_BASE!A:R, 5, FALSE), "NO ENCONTRADO EN PLANTA"))</f>
        <v/>
      </c>
      <c r="E1171" s="5">
        <f>IF(B1171="","",IFERROR(VLOOKUP(B1171, PLANTA_BASE!A:R, 6, FALSE), "NO ENCONTRADO EN PLANTA"))</f>
        <v/>
      </c>
      <c r="F1171" s="7">
        <f>IF(B1171="","",IFERROR(VLOOKUP(B1171, PLANTA_BASE!A:R, 8, FALSE), "DOCENTE / FACILITADOR"))</f>
        <v/>
      </c>
      <c r="G1171" s="7">
        <f>IF(B1171="","",IFERROR(VLOOKUP(B1171, PLANTA_BASE!A:R, 9, FALSE), "GENERAL"))</f>
        <v/>
      </c>
      <c r="H1171" s="5">
        <f>IF(B1171="","",IFERROR(VLOOKUP(B1171, PLANTA_BASE!A:R, 17, FALSE), "GENERAL"))</f>
        <v/>
      </c>
    </row>
    <row r="1172" ht="20" customHeight="1">
      <c r="A1172" s="2">
        <f>IF(B1172="","",IFERROR(VLOOKUP(B1172, PLANTA_BASE!A:R, 2, FALSE), "NO ENCONTRADO EN PLANTA"))</f>
        <v/>
      </c>
      <c r="B1172" s="3" t="inlineStr"/>
      <c r="C1172" s="4">
        <f>IF(B1172="","",IFERROR(VLOOKUP(B1172, PLANTA_BASE!A:R, 3, FALSE), ""))</f>
        <v/>
      </c>
      <c r="D1172" s="2">
        <f>IF(B1172="","",IFERROR(VLOOKUP(B1172, PLANTA_BASE!A:R, 5, FALSE), "NO ENCONTRADO EN PLANTA"))</f>
        <v/>
      </c>
      <c r="E1172" s="2">
        <f>IF(B1172="","",IFERROR(VLOOKUP(B1172, PLANTA_BASE!A:R, 6, FALSE), "NO ENCONTRADO EN PLANTA"))</f>
        <v/>
      </c>
      <c r="F1172" s="4">
        <f>IF(B1172="","",IFERROR(VLOOKUP(B1172, PLANTA_BASE!A:R, 8, FALSE), "DOCENTE / FACILITADOR"))</f>
        <v/>
      </c>
      <c r="G1172" s="4">
        <f>IF(B1172="","",IFERROR(VLOOKUP(B1172, PLANTA_BASE!A:R, 9, FALSE), "GENERAL"))</f>
        <v/>
      </c>
      <c r="H1172" s="2">
        <f>IF(B1172="","",IFERROR(VLOOKUP(B1172, PLANTA_BASE!A:R, 17, FALSE), "GENERAL"))</f>
        <v/>
      </c>
    </row>
    <row r="1173" ht="20" customHeight="1">
      <c r="A1173" s="5">
        <f>IF(B1173="","",IFERROR(VLOOKUP(B1173, PLANTA_BASE!A:R, 2, FALSE), "NO ENCONTRADO EN PLANTA"))</f>
        <v/>
      </c>
      <c r="B1173" s="6" t="inlineStr"/>
      <c r="C1173" s="7">
        <f>IF(B1173="","",IFERROR(VLOOKUP(B1173, PLANTA_BASE!A:R, 3, FALSE), ""))</f>
        <v/>
      </c>
      <c r="D1173" s="5">
        <f>IF(B1173="","",IFERROR(VLOOKUP(B1173, PLANTA_BASE!A:R, 5, FALSE), "NO ENCONTRADO EN PLANTA"))</f>
        <v/>
      </c>
      <c r="E1173" s="5">
        <f>IF(B1173="","",IFERROR(VLOOKUP(B1173, PLANTA_BASE!A:R, 6, FALSE), "NO ENCONTRADO EN PLANTA"))</f>
        <v/>
      </c>
      <c r="F1173" s="7">
        <f>IF(B1173="","",IFERROR(VLOOKUP(B1173, PLANTA_BASE!A:R, 8, FALSE), "DOCENTE / FACILITADOR"))</f>
        <v/>
      </c>
      <c r="G1173" s="7">
        <f>IF(B1173="","",IFERROR(VLOOKUP(B1173, PLANTA_BASE!A:R, 9, FALSE), "GENERAL"))</f>
        <v/>
      </c>
      <c r="H1173" s="5">
        <f>IF(B1173="","",IFERROR(VLOOKUP(B1173, PLANTA_BASE!A:R, 17, FALSE), "GENERAL"))</f>
        <v/>
      </c>
    </row>
    <row r="1174" ht="20" customHeight="1">
      <c r="A1174" s="2">
        <f>IF(B1174="","",IFERROR(VLOOKUP(B1174, PLANTA_BASE!A:R, 2, FALSE), "NO ENCONTRADO EN PLANTA"))</f>
        <v/>
      </c>
      <c r="B1174" s="3" t="inlineStr"/>
      <c r="C1174" s="4">
        <f>IF(B1174="","",IFERROR(VLOOKUP(B1174, PLANTA_BASE!A:R, 3, FALSE), ""))</f>
        <v/>
      </c>
      <c r="D1174" s="2">
        <f>IF(B1174="","",IFERROR(VLOOKUP(B1174, PLANTA_BASE!A:R, 5, FALSE), "NO ENCONTRADO EN PLANTA"))</f>
        <v/>
      </c>
      <c r="E1174" s="2">
        <f>IF(B1174="","",IFERROR(VLOOKUP(B1174, PLANTA_BASE!A:R, 6, FALSE), "NO ENCONTRADO EN PLANTA"))</f>
        <v/>
      </c>
      <c r="F1174" s="4">
        <f>IF(B1174="","",IFERROR(VLOOKUP(B1174, PLANTA_BASE!A:R, 8, FALSE), "DOCENTE / FACILITADOR"))</f>
        <v/>
      </c>
      <c r="G1174" s="4">
        <f>IF(B1174="","",IFERROR(VLOOKUP(B1174, PLANTA_BASE!A:R, 9, FALSE), "GENERAL"))</f>
        <v/>
      </c>
      <c r="H1174" s="2">
        <f>IF(B1174="","",IFERROR(VLOOKUP(B1174, PLANTA_BASE!A:R, 17, FALSE), "GENERAL"))</f>
        <v/>
      </c>
    </row>
    <row r="1175" ht="20" customHeight="1">
      <c r="A1175" s="5">
        <f>IF(B1175="","",IFERROR(VLOOKUP(B1175, PLANTA_BASE!A:R, 2, FALSE), "NO ENCONTRADO EN PLANTA"))</f>
        <v/>
      </c>
      <c r="B1175" s="6" t="inlineStr"/>
      <c r="C1175" s="7">
        <f>IF(B1175="","",IFERROR(VLOOKUP(B1175, PLANTA_BASE!A:R, 3, FALSE), ""))</f>
        <v/>
      </c>
      <c r="D1175" s="5">
        <f>IF(B1175="","",IFERROR(VLOOKUP(B1175, PLANTA_BASE!A:R, 5, FALSE), "NO ENCONTRADO EN PLANTA"))</f>
        <v/>
      </c>
      <c r="E1175" s="5">
        <f>IF(B1175="","",IFERROR(VLOOKUP(B1175, PLANTA_BASE!A:R, 6, FALSE), "NO ENCONTRADO EN PLANTA"))</f>
        <v/>
      </c>
      <c r="F1175" s="7">
        <f>IF(B1175="","",IFERROR(VLOOKUP(B1175, PLANTA_BASE!A:R, 8, FALSE), "DOCENTE / FACILITADOR"))</f>
        <v/>
      </c>
      <c r="G1175" s="7">
        <f>IF(B1175="","",IFERROR(VLOOKUP(B1175, PLANTA_BASE!A:R, 9, FALSE), "GENERAL"))</f>
        <v/>
      </c>
      <c r="H1175" s="5">
        <f>IF(B1175="","",IFERROR(VLOOKUP(B1175, PLANTA_BASE!A:R, 17, FALSE), "GENERAL"))</f>
        <v/>
      </c>
    </row>
    <row r="1176" ht="20" customHeight="1">
      <c r="A1176" s="2">
        <f>IF(B1176="","",IFERROR(VLOOKUP(B1176, PLANTA_BASE!A:R, 2, FALSE), "NO ENCONTRADO EN PLANTA"))</f>
        <v/>
      </c>
      <c r="B1176" s="3" t="inlineStr"/>
      <c r="C1176" s="4">
        <f>IF(B1176="","",IFERROR(VLOOKUP(B1176, PLANTA_BASE!A:R, 3, FALSE), ""))</f>
        <v/>
      </c>
      <c r="D1176" s="2">
        <f>IF(B1176="","",IFERROR(VLOOKUP(B1176, PLANTA_BASE!A:R, 5, FALSE), "NO ENCONTRADO EN PLANTA"))</f>
        <v/>
      </c>
      <c r="E1176" s="2">
        <f>IF(B1176="","",IFERROR(VLOOKUP(B1176, PLANTA_BASE!A:R, 6, FALSE), "NO ENCONTRADO EN PLANTA"))</f>
        <v/>
      </c>
      <c r="F1176" s="4">
        <f>IF(B1176="","",IFERROR(VLOOKUP(B1176, PLANTA_BASE!A:R, 8, FALSE), "DOCENTE / FACILITADOR"))</f>
        <v/>
      </c>
      <c r="G1176" s="4">
        <f>IF(B1176="","",IFERROR(VLOOKUP(B1176, PLANTA_BASE!A:R, 9, FALSE), "GENERAL"))</f>
        <v/>
      </c>
      <c r="H1176" s="2">
        <f>IF(B1176="","",IFERROR(VLOOKUP(B1176, PLANTA_BASE!A:R, 17, FALSE), "GENERAL"))</f>
        <v/>
      </c>
    </row>
    <row r="1177" ht="20" customHeight="1">
      <c r="A1177" s="5">
        <f>IF(B1177="","",IFERROR(VLOOKUP(B1177, PLANTA_BASE!A:R, 2, FALSE), "NO ENCONTRADO EN PLANTA"))</f>
        <v/>
      </c>
      <c r="B1177" s="6" t="inlineStr"/>
      <c r="C1177" s="7">
        <f>IF(B1177="","",IFERROR(VLOOKUP(B1177, PLANTA_BASE!A:R, 3, FALSE), ""))</f>
        <v/>
      </c>
      <c r="D1177" s="5">
        <f>IF(B1177="","",IFERROR(VLOOKUP(B1177, PLANTA_BASE!A:R, 5, FALSE), "NO ENCONTRADO EN PLANTA"))</f>
        <v/>
      </c>
      <c r="E1177" s="5">
        <f>IF(B1177="","",IFERROR(VLOOKUP(B1177, PLANTA_BASE!A:R, 6, FALSE), "NO ENCONTRADO EN PLANTA"))</f>
        <v/>
      </c>
      <c r="F1177" s="7">
        <f>IF(B1177="","",IFERROR(VLOOKUP(B1177, PLANTA_BASE!A:R, 8, FALSE), "DOCENTE / FACILITADOR"))</f>
        <v/>
      </c>
      <c r="G1177" s="7">
        <f>IF(B1177="","",IFERROR(VLOOKUP(B1177, PLANTA_BASE!A:R, 9, FALSE), "GENERAL"))</f>
        <v/>
      </c>
      <c r="H1177" s="5">
        <f>IF(B1177="","",IFERROR(VLOOKUP(B1177, PLANTA_BASE!A:R, 17, FALSE), "GENERAL"))</f>
        <v/>
      </c>
    </row>
    <row r="1178" ht="20" customHeight="1">
      <c r="A1178" s="2">
        <f>IF(B1178="","",IFERROR(VLOOKUP(B1178, PLANTA_BASE!A:R, 2, FALSE), "NO ENCONTRADO EN PLANTA"))</f>
        <v/>
      </c>
      <c r="B1178" s="3" t="inlineStr"/>
      <c r="C1178" s="4">
        <f>IF(B1178="","",IFERROR(VLOOKUP(B1178, PLANTA_BASE!A:R, 3, FALSE), ""))</f>
        <v/>
      </c>
      <c r="D1178" s="2">
        <f>IF(B1178="","",IFERROR(VLOOKUP(B1178, PLANTA_BASE!A:R, 5, FALSE), "NO ENCONTRADO EN PLANTA"))</f>
        <v/>
      </c>
      <c r="E1178" s="2">
        <f>IF(B1178="","",IFERROR(VLOOKUP(B1178, PLANTA_BASE!A:R, 6, FALSE), "NO ENCONTRADO EN PLANTA"))</f>
        <v/>
      </c>
      <c r="F1178" s="4">
        <f>IF(B1178="","",IFERROR(VLOOKUP(B1178, PLANTA_BASE!A:R, 8, FALSE), "DOCENTE / FACILITADOR"))</f>
        <v/>
      </c>
      <c r="G1178" s="4">
        <f>IF(B1178="","",IFERROR(VLOOKUP(B1178, PLANTA_BASE!A:R, 9, FALSE), "GENERAL"))</f>
        <v/>
      </c>
      <c r="H1178" s="2">
        <f>IF(B1178="","",IFERROR(VLOOKUP(B1178, PLANTA_BASE!A:R, 17, FALSE), "GENERAL"))</f>
        <v/>
      </c>
    </row>
    <row r="1179" ht="20" customHeight="1">
      <c r="A1179" s="5">
        <f>IF(B1179="","",IFERROR(VLOOKUP(B1179, PLANTA_BASE!A:R, 2, FALSE), "NO ENCONTRADO EN PLANTA"))</f>
        <v/>
      </c>
      <c r="B1179" s="6" t="inlineStr"/>
      <c r="C1179" s="7">
        <f>IF(B1179="","",IFERROR(VLOOKUP(B1179, PLANTA_BASE!A:R, 3, FALSE), ""))</f>
        <v/>
      </c>
      <c r="D1179" s="5">
        <f>IF(B1179="","",IFERROR(VLOOKUP(B1179, PLANTA_BASE!A:R, 5, FALSE), "NO ENCONTRADO EN PLANTA"))</f>
        <v/>
      </c>
      <c r="E1179" s="5">
        <f>IF(B1179="","",IFERROR(VLOOKUP(B1179, PLANTA_BASE!A:R, 6, FALSE), "NO ENCONTRADO EN PLANTA"))</f>
        <v/>
      </c>
      <c r="F1179" s="7">
        <f>IF(B1179="","",IFERROR(VLOOKUP(B1179, PLANTA_BASE!A:R, 8, FALSE), "DOCENTE / FACILITADOR"))</f>
        <v/>
      </c>
      <c r="G1179" s="7">
        <f>IF(B1179="","",IFERROR(VLOOKUP(B1179, PLANTA_BASE!A:R, 9, FALSE), "GENERAL"))</f>
        <v/>
      </c>
      <c r="H1179" s="5">
        <f>IF(B1179="","",IFERROR(VLOOKUP(B1179, PLANTA_BASE!A:R, 17, FALSE), "GENERAL"))</f>
        <v/>
      </c>
    </row>
    <row r="1180" ht="20" customHeight="1">
      <c r="A1180" s="2">
        <f>IF(B1180="","",IFERROR(VLOOKUP(B1180, PLANTA_BASE!A:R, 2, FALSE), "NO ENCONTRADO EN PLANTA"))</f>
        <v/>
      </c>
      <c r="B1180" s="3" t="inlineStr"/>
      <c r="C1180" s="4">
        <f>IF(B1180="","",IFERROR(VLOOKUP(B1180, PLANTA_BASE!A:R, 3, FALSE), ""))</f>
        <v/>
      </c>
      <c r="D1180" s="2">
        <f>IF(B1180="","",IFERROR(VLOOKUP(B1180, PLANTA_BASE!A:R, 5, FALSE), "NO ENCONTRADO EN PLANTA"))</f>
        <v/>
      </c>
      <c r="E1180" s="2">
        <f>IF(B1180="","",IFERROR(VLOOKUP(B1180, PLANTA_BASE!A:R, 6, FALSE), "NO ENCONTRADO EN PLANTA"))</f>
        <v/>
      </c>
      <c r="F1180" s="4">
        <f>IF(B1180="","",IFERROR(VLOOKUP(B1180, PLANTA_BASE!A:R, 8, FALSE), "DOCENTE / FACILITADOR"))</f>
        <v/>
      </c>
      <c r="G1180" s="4">
        <f>IF(B1180="","",IFERROR(VLOOKUP(B1180, PLANTA_BASE!A:R, 9, FALSE), "GENERAL"))</f>
        <v/>
      </c>
      <c r="H1180" s="2">
        <f>IF(B1180="","",IFERROR(VLOOKUP(B1180, PLANTA_BASE!A:R, 17, FALSE), "GENERAL"))</f>
        <v/>
      </c>
    </row>
    <row r="1181" ht="20" customHeight="1">
      <c r="A1181" s="5">
        <f>IF(B1181="","",IFERROR(VLOOKUP(B1181, PLANTA_BASE!A:R, 2, FALSE), "NO ENCONTRADO EN PLANTA"))</f>
        <v/>
      </c>
      <c r="B1181" s="6" t="inlineStr"/>
      <c r="C1181" s="7">
        <f>IF(B1181="","",IFERROR(VLOOKUP(B1181, PLANTA_BASE!A:R, 3, FALSE), ""))</f>
        <v/>
      </c>
      <c r="D1181" s="5">
        <f>IF(B1181="","",IFERROR(VLOOKUP(B1181, PLANTA_BASE!A:R, 5, FALSE), "NO ENCONTRADO EN PLANTA"))</f>
        <v/>
      </c>
      <c r="E1181" s="5">
        <f>IF(B1181="","",IFERROR(VLOOKUP(B1181, PLANTA_BASE!A:R, 6, FALSE), "NO ENCONTRADO EN PLANTA"))</f>
        <v/>
      </c>
      <c r="F1181" s="7">
        <f>IF(B1181="","",IFERROR(VLOOKUP(B1181, PLANTA_BASE!A:R, 8, FALSE), "DOCENTE / FACILITADOR"))</f>
        <v/>
      </c>
      <c r="G1181" s="7">
        <f>IF(B1181="","",IFERROR(VLOOKUP(B1181, PLANTA_BASE!A:R, 9, FALSE), "GENERAL"))</f>
        <v/>
      </c>
      <c r="H1181" s="5">
        <f>IF(B1181="","",IFERROR(VLOOKUP(B1181, PLANTA_BASE!A:R, 17, FALSE), "GENERAL"))</f>
        <v/>
      </c>
    </row>
    <row r="1182" ht="20" customHeight="1">
      <c r="A1182" s="2">
        <f>IF(B1182="","",IFERROR(VLOOKUP(B1182, PLANTA_BASE!A:R, 2, FALSE), "NO ENCONTRADO EN PLANTA"))</f>
        <v/>
      </c>
      <c r="B1182" s="3" t="inlineStr"/>
      <c r="C1182" s="4">
        <f>IF(B1182="","",IFERROR(VLOOKUP(B1182, PLANTA_BASE!A:R, 3, FALSE), ""))</f>
        <v/>
      </c>
      <c r="D1182" s="2">
        <f>IF(B1182="","",IFERROR(VLOOKUP(B1182, PLANTA_BASE!A:R, 5, FALSE), "NO ENCONTRADO EN PLANTA"))</f>
        <v/>
      </c>
      <c r="E1182" s="2">
        <f>IF(B1182="","",IFERROR(VLOOKUP(B1182, PLANTA_BASE!A:R, 6, FALSE), "NO ENCONTRADO EN PLANTA"))</f>
        <v/>
      </c>
      <c r="F1182" s="4">
        <f>IF(B1182="","",IFERROR(VLOOKUP(B1182, PLANTA_BASE!A:R, 8, FALSE), "DOCENTE / FACILITADOR"))</f>
        <v/>
      </c>
      <c r="G1182" s="4">
        <f>IF(B1182="","",IFERROR(VLOOKUP(B1182, PLANTA_BASE!A:R, 9, FALSE), "GENERAL"))</f>
        <v/>
      </c>
      <c r="H1182" s="2">
        <f>IF(B1182="","",IFERROR(VLOOKUP(B1182, PLANTA_BASE!A:R, 17, FALSE), "GENERAL"))</f>
        <v/>
      </c>
    </row>
    <row r="1183" ht="20" customHeight="1">
      <c r="A1183" s="5">
        <f>IF(B1183="","",IFERROR(VLOOKUP(B1183, PLANTA_BASE!A:R, 2, FALSE), "NO ENCONTRADO EN PLANTA"))</f>
        <v/>
      </c>
      <c r="B1183" s="6" t="inlineStr"/>
      <c r="C1183" s="7">
        <f>IF(B1183="","",IFERROR(VLOOKUP(B1183, PLANTA_BASE!A:R, 3, FALSE), ""))</f>
        <v/>
      </c>
      <c r="D1183" s="5">
        <f>IF(B1183="","",IFERROR(VLOOKUP(B1183, PLANTA_BASE!A:R, 5, FALSE), "NO ENCONTRADO EN PLANTA"))</f>
        <v/>
      </c>
      <c r="E1183" s="5">
        <f>IF(B1183="","",IFERROR(VLOOKUP(B1183, PLANTA_BASE!A:R, 6, FALSE), "NO ENCONTRADO EN PLANTA"))</f>
        <v/>
      </c>
      <c r="F1183" s="7">
        <f>IF(B1183="","",IFERROR(VLOOKUP(B1183, PLANTA_BASE!A:R, 8, FALSE), "DOCENTE / FACILITADOR"))</f>
        <v/>
      </c>
      <c r="G1183" s="7">
        <f>IF(B1183="","",IFERROR(VLOOKUP(B1183, PLANTA_BASE!A:R, 9, FALSE), "GENERAL"))</f>
        <v/>
      </c>
      <c r="H1183" s="5">
        <f>IF(B1183="","",IFERROR(VLOOKUP(B1183, PLANTA_BASE!A:R, 17, FALSE), "GENERAL"))</f>
        <v/>
      </c>
    </row>
    <row r="1184" ht="20" customHeight="1">
      <c r="A1184" s="2">
        <f>IF(B1184="","",IFERROR(VLOOKUP(B1184, PLANTA_BASE!A:R, 2, FALSE), "NO ENCONTRADO EN PLANTA"))</f>
        <v/>
      </c>
      <c r="B1184" s="3" t="inlineStr"/>
      <c r="C1184" s="4">
        <f>IF(B1184="","",IFERROR(VLOOKUP(B1184, PLANTA_BASE!A:R, 3, FALSE), ""))</f>
        <v/>
      </c>
      <c r="D1184" s="2">
        <f>IF(B1184="","",IFERROR(VLOOKUP(B1184, PLANTA_BASE!A:R, 5, FALSE), "NO ENCONTRADO EN PLANTA"))</f>
        <v/>
      </c>
      <c r="E1184" s="2">
        <f>IF(B1184="","",IFERROR(VLOOKUP(B1184, PLANTA_BASE!A:R, 6, FALSE), "NO ENCONTRADO EN PLANTA"))</f>
        <v/>
      </c>
      <c r="F1184" s="4">
        <f>IF(B1184="","",IFERROR(VLOOKUP(B1184, PLANTA_BASE!A:R, 8, FALSE), "DOCENTE / FACILITADOR"))</f>
        <v/>
      </c>
      <c r="G1184" s="4">
        <f>IF(B1184="","",IFERROR(VLOOKUP(B1184, PLANTA_BASE!A:R, 9, FALSE), "GENERAL"))</f>
        <v/>
      </c>
      <c r="H1184" s="2">
        <f>IF(B1184="","",IFERROR(VLOOKUP(B1184, PLANTA_BASE!A:R, 17, FALSE), "GENERAL"))</f>
        <v/>
      </c>
    </row>
    <row r="1185" ht="20" customHeight="1">
      <c r="A1185" s="5">
        <f>IF(B1185="","",IFERROR(VLOOKUP(B1185, PLANTA_BASE!A:R, 2, FALSE), "NO ENCONTRADO EN PLANTA"))</f>
        <v/>
      </c>
      <c r="B1185" s="6" t="inlineStr"/>
      <c r="C1185" s="7">
        <f>IF(B1185="","",IFERROR(VLOOKUP(B1185, PLANTA_BASE!A:R, 3, FALSE), ""))</f>
        <v/>
      </c>
      <c r="D1185" s="5">
        <f>IF(B1185="","",IFERROR(VLOOKUP(B1185, PLANTA_BASE!A:R, 5, FALSE), "NO ENCONTRADO EN PLANTA"))</f>
        <v/>
      </c>
      <c r="E1185" s="5">
        <f>IF(B1185="","",IFERROR(VLOOKUP(B1185, PLANTA_BASE!A:R, 6, FALSE), "NO ENCONTRADO EN PLANTA"))</f>
        <v/>
      </c>
      <c r="F1185" s="7">
        <f>IF(B1185="","",IFERROR(VLOOKUP(B1185, PLANTA_BASE!A:R, 8, FALSE), "DOCENTE / FACILITADOR"))</f>
        <v/>
      </c>
      <c r="G1185" s="7">
        <f>IF(B1185="","",IFERROR(VLOOKUP(B1185, PLANTA_BASE!A:R, 9, FALSE), "GENERAL"))</f>
        <v/>
      </c>
      <c r="H1185" s="5">
        <f>IF(B1185="","",IFERROR(VLOOKUP(B1185, PLANTA_BASE!A:R, 17, FALSE), "GENERAL"))</f>
        <v/>
      </c>
    </row>
    <row r="1186" ht="20" customHeight="1">
      <c r="A1186" s="2">
        <f>IF(B1186="","",IFERROR(VLOOKUP(B1186, PLANTA_BASE!A:R, 2, FALSE), "NO ENCONTRADO EN PLANTA"))</f>
        <v/>
      </c>
      <c r="B1186" s="3" t="inlineStr"/>
      <c r="C1186" s="4">
        <f>IF(B1186="","",IFERROR(VLOOKUP(B1186, PLANTA_BASE!A:R, 3, FALSE), ""))</f>
        <v/>
      </c>
      <c r="D1186" s="2">
        <f>IF(B1186="","",IFERROR(VLOOKUP(B1186, PLANTA_BASE!A:R, 5, FALSE), "NO ENCONTRADO EN PLANTA"))</f>
        <v/>
      </c>
      <c r="E1186" s="2">
        <f>IF(B1186="","",IFERROR(VLOOKUP(B1186, PLANTA_BASE!A:R, 6, FALSE), "NO ENCONTRADO EN PLANTA"))</f>
        <v/>
      </c>
      <c r="F1186" s="4">
        <f>IF(B1186="","",IFERROR(VLOOKUP(B1186, PLANTA_BASE!A:R, 8, FALSE), "DOCENTE / FACILITADOR"))</f>
        <v/>
      </c>
      <c r="G1186" s="4">
        <f>IF(B1186="","",IFERROR(VLOOKUP(B1186, PLANTA_BASE!A:R, 9, FALSE), "GENERAL"))</f>
        <v/>
      </c>
      <c r="H1186" s="2">
        <f>IF(B1186="","",IFERROR(VLOOKUP(B1186, PLANTA_BASE!A:R, 17, FALSE), "GENERAL"))</f>
        <v/>
      </c>
    </row>
    <row r="1187" ht="20" customHeight="1">
      <c r="A1187" s="5">
        <f>IF(B1187="","",IFERROR(VLOOKUP(B1187, PLANTA_BASE!A:R, 2, FALSE), "NO ENCONTRADO EN PLANTA"))</f>
        <v/>
      </c>
      <c r="B1187" s="6" t="inlineStr"/>
      <c r="C1187" s="7">
        <f>IF(B1187="","",IFERROR(VLOOKUP(B1187, PLANTA_BASE!A:R, 3, FALSE), ""))</f>
        <v/>
      </c>
      <c r="D1187" s="5">
        <f>IF(B1187="","",IFERROR(VLOOKUP(B1187, PLANTA_BASE!A:R, 5, FALSE), "NO ENCONTRADO EN PLANTA"))</f>
        <v/>
      </c>
      <c r="E1187" s="5">
        <f>IF(B1187="","",IFERROR(VLOOKUP(B1187, PLANTA_BASE!A:R, 6, FALSE), "NO ENCONTRADO EN PLANTA"))</f>
        <v/>
      </c>
      <c r="F1187" s="7">
        <f>IF(B1187="","",IFERROR(VLOOKUP(B1187, PLANTA_BASE!A:R, 8, FALSE), "DOCENTE / FACILITADOR"))</f>
        <v/>
      </c>
      <c r="G1187" s="7">
        <f>IF(B1187="","",IFERROR(VLOOKUP(B1187, PLANTA_BASE!A:R, 9, FALSE), "GENERAL"))</f>
        <v/>
      </c>
      <c r="H1187" s="5">
        <f>IF(B1187="","",IFERROR(VLOOKUP(B1187, PLANTA_BASE!A:R, 17, FALSE), "GENERAL"))</f>
        <v/>
      </c>
    </row>
    <row r="1188" ht="20" customHeight="1">
      <c r="A1188" s="2">
        <f>IF(B1188="","",IFERROR(VLOOKUP(B1188, PLANTA_BASE!A:R, 2, FALSE), "NO ENCONTRADO EN PLANTA"))</f>
        <v/>
      </c>
      <c r="B1188" s="3" t="inlineStr"/>
      <c r="C1188" s="4">
        <f>IF(B1188="","",IFERROR(VLOOKUP(B1188, PLANTA_BASE!A:R, 3, FALSE), ""))</f>
        <v/>
      </c>
      <c r="D1188" s="2">
        <f>IF(B1188="","",IFERROR(VLOOKUP(B1188, PLANTA_BASE!A:R, 5, FALSE), "NO ENCONTRADO EN PLANTA"))</f>
        <v/>
      </c>
      <c r="E1188" s="2">
        <f>IF(B1188="","",IFERROR(VLOOKUP(B1188, PLANTA_BASE!A:R, 6, FALSE), "NO ENCONTRADO EN PLANTA"))</f>
        <v/>
      </c>
      <c r="F1188" s="4">
        <f>IF(B1188="","",IFERROR(VLOOKUP(B1188, PLANTA_BASE!A:R, 8, FALSE), "DOCENTE / FACILITADOR"))</f>
        <v/>
      </c>
      <c r="G1188" s="4">
        <f>IF(B1188="","",IFERROR(VLOOKUP(B1188, PLANTA_BASE!A:R, 9, FALSE), "GENERAL"))</f>
        <v/>
      </c>
      <c r="H1188" s="2">
        <f>IF(B1188="","",IFERROR(VLOOKUP(B1188, PLANTA_BASE!A:R, 17, FALSE), "GENERAL"))</f>
        <v/>
      </c>
    </row>
    <row r="1189" ht="20" customHeight="1">
      <c r="A1189" s="5">
        <f>IF(B1189="","",IFERROR(VLOOKUP(B1189, PLANTA_BASE!A:R, 2, FALSE), "NO ENCONTRADO EN PLANTA"))</f>
        <v/>
      </c>
      <c r="B1189" s="6" t="inlineStr"/>
      <c r="C1189" s="7">
        <f>IF(B1189="","",IFERROR(VLOOKUP(B1189, PLANTA_BASE!A:R, 3, FALSE), ""))</f>
        <v/>
      </c>
      <c r="D1189" s="5">
        <f>IF(B1189="","",IFERROR(VLOOKUP(B1189, PLANTA_BASE!A:R, 5, FALSE), "NO ENCONTRADO EN PLANTA"))</f>
        <v/>
      </c>
      <c r="E1189" s="5">
        <f>IF(B1189="","",IFERROR(VLOOKUP(B1189, PLANTA_BASE!A:R, 6, FALSE), "NO ENCONTRADO EN PLANTA"))</f>
        <v/>
      </c>
      <c r="F1189" s="7">
        <f>IF(B1189="","",IFERROR(VLOOKUP(B1189, PLANTA_BASE!A:R, 8, FALSE), "DOCENTE / FACILITADOR"))</f>
        <v/>
      </c>
      <c r="G1189" s="7">
        <f>IF(B1189="","",IFERROR(VLOOKUP(B1189, PLANTA_BASE!A:R, 9, FALSE), "GENERAL"))</f>
        <v/>
      </c>
      <c r="H1189" s="5">
        <f>IF(B1189="","",IFERROR(VLOOKUP(B1189, PLANTA_BASE!A:R, 17, FALSE), "GENERAL"))</f>
        <v/>
      </c>
    </row>
    <row r="1190" ht="20" customHeight="1">
      <c r="A1190" s="2">
        <f>IF(B1190="","",IFERROR(VLOOKUP(B1190, PLANTA_BASE!A:R, 2, FALSE), "NO ENCONTRADO EN PLANTA"))</f>
        <v/>
      </c>
      <c r="B1190" s="3" t="inlineStr"/>
      <c r="C1190" s="4">
        <f>IF(B1190="","",IFERROR(VLOOKUP(B1190, PLANTA_BASE!A:R, 3, FALSE), ""))</f>
        <v/>
      </c>
      <c r="D1190" s="2">
        <f>IF(B1190="","",IFERROR(VLOOKUP(B1190, PLANTA_BASE!A:R, 5, FALSE), "NO ENCONTRADO EN PLANTA"))</f>
        <v/>
      </c>
      <c r="E1190" s="2">
        <f>IF(B1190="","",IFERROR(VLOOKUP(B1190, PLANTA_BASE!A:R, 6, FALSE), "NO ENCONTRADO EN PLANTA"))</f>
        <v/>
      </c>
      <c r="F1190" s="4">
        <f>IF(B1190="","",IFERROR(VLOOKUP(B1190, PLANTA_BASE!A:R, 8, FALSE), "DOCENTE / FACILITADOR"))</f>
        <v/>
      </c>
      <c r="G1190" s="4">
        <f>IF(B1190="","",IFERROR(VLOOKUP(B1190, PLANTA_BASE!A:R, 9, FALSE), "GENERAL"))</f>
        <v/>
      </c>
      <c r="H1190" s="2">
        <f>IF(B1190="","",IFERROR(VLOOKUP(B1190, PLANTA_BASE!A:R, 17, FALSE), "GENERAL"))</f>
        <v/>
      </c>
    </row>
    <row r="1191" ht="20" customHeight="1">
      <c r="A1191" s="5">
        <f>IF(B1191="","",IFERROR(VLOOKUP(B1191, PLANTA_BASE!A:R, 2, FALSE), "NO ENCONTRADO EN PLANTA"))</f>
        <v/>
      </c>
      <c r="B1191" s="6" t="inlineStr"/>
      <c r="C1191" s="7">
        <f>IF(B1191="","",IFERROR(VLOOKUP(B1191, PLANTA_BASE!A:R, 3, FALSE), ""))</f>
        <v/>
      </c>
      <c r="D1191" s="5">
        <f>IF(B1191="","",IFERROR(VLOOKUP(B1191, PLANTA_BASE!A:R, 5, FALSE), "NO ENCONTRADO EN PLANTA"))</f>
        <v/>
      </c>
      <c r="E1191" s="5">
        <f>IF(B1191="","",IFERROR(VLOOKUP(B1191, PLANTA_BASE!A:R, 6, FALSE), "NO ENCONTRADO EN PLANTA"))</f>
        <v/>
      </c>
      <c r="F1191" s="7">
        <f>IF(B1191="","",IFERROR(VLOOKUP(B1191, PLANTA_BASE!A:R, 8, FALSE), "DOCENTE / FACILITADOR"))</f>
        <v/>
      </c>
      <c r="G1191" s="7">
        <f>IF(B1191="","",IFERROR(VLOOKUP(B1191, PLANTA_BASE!A:R, 9, FALSE), "GENERAL"))</f>
        <v/>
      </c>
      <c r="H1191" s="5">
        <f>IF(B1191="","",IFERROR(VLOOKUP(B1191, PLANTA_BASE!A:R, 17, FALSE), "GENERAL"))</f>
        <v/>
      </c>
    </row>
    <row r="1192" ht="20" customHeight="1">
      <c r="A1192" s="2">
        <f>IF(B1192="","",IFERROR(VLOOKUP(B1192, PLANTA_BASE!A:R, 2, FALSE), "NO ENCONTRADO EN PLANTA"))</f>
        <v/>
      </c>
      <c r="B1192" s="3" t="inlineStr"/>
      <c r="C1192" s="4">
        <f>IF(B1192="","",IFERROR(VLOOKUP(B1192, PLANTA_BASE!A:R, 3, FALSE), ""))</f>
        <v/>
      </c>
      <c r="D1192" s="2">
        <f>IF(B1192="","",IFERROR(VLOOKUP(B1192, PLANTA_BASE!A:R, 5, FALSE), "NO ENCONTRADO EN PLANTA"))</f>
        <v/>
      </c>
      <c r="E1192" s="2">
        <f>IF(B1192="","",IFERROR(VLOOKUP(B1192, PLANTA_BASE!A:R, 6, FALSE), "NO ENCONTRADO EN PLANTA"))</f>
        <v/>
      </c>
      <c r="F1192" s="4">
        <f>IF(B1192="","",IFERROR(VLOOKUP(B1192, PLANTA_BASE!A:R, 8, FALSE), "DOCENTE / FACILITADOR"))</f>
        <v/>
      </c>
      <c r="G1192" s="4">
        <f>IF(B1192="","",IFERROR(VLOOKUP(B1192, PLANTA_BASE!A:R, 9, FALSE), "GENERAL"))</f>
        <v/>
      </c>
      <c r="H1192" s="2">
        <f>IF(B1192="","",IFERROR(VLOOKUP(B1192, PLANTA_BASE!A:R, 17, FALSE), "GENERAL"))</f>
        <v/>
      </c>
    </row>
    <row r="1193" ht="20" customHeight="1">
      <c r="A1193" s="5">
        <f>IF(B1193="","",IFERROR(VLOOKUP(B1193, PLANTA_BASE!A:R, 2, FALSE), "NO ENCONTRADO EN PLANTA"))</f>
        <v/>
      </c>
      <c r="B1193" s="6" t="inlineStr"/>
      <c r="C1193" s="7">
        <f>IF(B1193="","",IFERROR(VLOOKUP(B1193, PLANTA_BASE!A:R, 3, FALSE), ""))</f>
        <v/>
      </c>
      <c r="D1193" s="5">
        <f>IF(B1193="","",IFERROR(VLOOKUP(B1193, PLANTA_BASE!A:R, 5, FALSE), "NO ENCONTRADO EN PLANTA"))</f>
        <v/>
      </c>
      <c r="E1193" s="5">
        <f>IF(B1193="","",IFERROR(VLOOKUP(B1193, PLANTA_BASE!A:R, 6, FALSE), "NO ENCONTRADO EN PLANTA"))</f>
        <v/>
      </c>
      <c r="F1193" s="7">
        <f>IF(B1193="","",IFERROR(VLOOKUP(B1193, PLANTA_BASE!A:R, 8, FALSE), "DOCENTE / FACILITADOR"))</f>
        <v/>
      </c>
      <c r="G1193" s="7">
        <f>IF(B1193="","",IFERROR(VLOOKUP(B1193, PLANTA_BASE!A:R, 9, FALSE), "GENERAL"))</f>
        <v/>
      </c>
      <c r="H1193" s="5">
        <f>IF(B1193="","",IFERROR(VLOOKUP(B1193, PLANTA_BASE!A:R, 17, FALSE), "GENERAL"))</f>
        <v/>
      </c>
    </row>
    <row r="1194" ht="20" customHeight="1">
      <c r="A1194" s="2">
        <f>IF(B1194="","",IFERROR(VLOOKUP(B1194, PLANTA_BASE!A:R, 2, FALSE), "NO ENCONTRADO EN PLANTA"))</f>
        <v/>
      </c>
      <c r="B1194" s="3" t="inlineStr"/>
      <c r="C1194" s="4">
        <f>IF(B1194="","",IFERROR(VLOOKUP(B1194, PLANTA_BASE!A:R, 3, FALSE), ""))</f>
        <v/>
      </c>
      <c r="D1194" s="2">
        <f>IF(B1194="","",IFERROR(VLOOKUP(B1194, PLANTA_BASE!A:R, 5, FALSE), "NO ENCONTRADO EN PLANTA"))</f>
        <v/>
      </c>
      <c r="E1194" s="2">
        <f>IF(B1194="","",IFERROR(VLOOKUP(B1194, PLANTA_BASE!A:R, 6, FALSE), "NO ENCONTRADO EN PLANTA"))</f>
        <v/>
      </c>
      <c r="F1194" s="4">
        <f>IF(B1194="","",IFERROR(VLOOKUP(B1194, PLANTA_BASE!A:R, 8, FALSE), "DOCENTE / FACILITADOR"))</f>
        <v/>
      </c>
      <c r="G1194" s="4">
        <f>IF(B1194="","",IFERROR(VLOOKUP(B1194, PLANTA_BASE!A:R, 9, FALSE), "GENERAL"))</f>
        <v/>
      </c>
      <c r="H1194" s="2">
        <f>IF(B1194="","",IFERROR(VLOOKUP(B1194, PLANTA_BASE!A:R, 17, FALSE), "GENERAL"))</f>
        <v/>
      </c>
    </row>
    <row r="1195" ht="20" customHeight="1">
      <c r="A1195" s="5">
        <f>IF(B1195="","",IFERROR(VLOOKUP(B1195, PLANTA_BASE!A:R, 2, FALSE), "NO ENCONTRADO EN PLANTA"))</f>
        <v/>
      </c>
      <c r="B1195" s="6" t="inlineStr"/>
      <c r="C1195" s="7">
        <f>IF(B1195="","",IFERROR(VLOOKUP(B1195, PLANTA_BASE!A:R, 3, FALSE), ""))</f>
        <v/>
      </c>
      <c r="D1195" s="5">
        <f>IF(B1195="","",IFERROR(VLOOKUP(B1195, PLANTA_BASE!A:R, 5, FALSE), "NO ENCONTRADO EN PLANTA"))</f>
        <v/>
      </c>
      <c r="E1195" s="5">
        <f>IF(B1195="","",IFERROR(VLOOKUP(B1195, PLANTA_BASE!A:R, 6, FALSE), "NO ENCONTRADO EN PLANTA"))</f>
        <v/>
      </c>
      <c r="F1195" s="7">
        <f>IF(B1195="","",IFERROR(VLOOKUP(B1195, PLANTA_BASE!A:R, 8, FALSE), "DOCENTE / FACILITADOR"))</f>
        <v/>
      </c>
      <c r="G1195" s="7">
        <f>IF(B1195="","",IFERROR(VLOOKUP(B1195, PLANTA_BASE!A:R, 9, FALSE), "GENERAL"))</f>
        <v/>
      </c>
      <c r="H1195" s="5">
        <f>IF(B1195="","",IFERROR(VLOOKUP(B1195, PLANTA_BASE!A:R, 17, FALSE), "GENERAL"))</f>
        <v/>
      </c>
    </row>
    <row r="1196" ht="20" customHeight="1">
      <c r="A1196" s="2">
        <f>IF(B1196="","",IFERROR(VLOOKUP(B1196, PLANTA_BASE!A:R, 2, FALSE), "NO ENCONTRADO EN PLANTA"))</f>
        <v/>
      </c>
      <c r="B1196" s="3" t="inlineStr"/>
      <c r="C1196" s="4">
        <f>IF(B1196="","",IFERROR(VLOOKUP(B1196, PLANTA_BASE!A:R, 3, FALSE), ""))</f>
        <v/>
      </c>
      <c r="D1196" s="2">
        <f>IF(B1196="","",IFERROR(VLOOKUP(B1196, PLANTA_BASE!A:R, 5, FALSE), "NO ENCONTRADO EN PLANTA"))</f>
        <v/>
      </c>
      <c r="E1196" s="2">
        <f>IF(B1196="","",IFERROR(VLOOKUP(B1196, PLANTA_BASE!A:R, 6, FALSE), "NO ENCONTRADO EN PLANTA"))</f>
        <v/>
      </c>
      <c r="F1196" s="4">
        <f>IF(B1196="","",IFERROR(VLOOKUP(B1196, PLANTA_BASE!A:R, 8, FALSE), "DOCENTE / FACILITADOR"))</f>
        <v/>
      </c>
      <c r="G1196" s="4">
        <f>IF(B1196="","",IFERROR(VLOOKUP(B1196, PLANTA_BASE!A:R, 9, FALSE), "GENERAL"))</f>
        <v/>
      </c>
      <c r="H1196" s="2">
        <f>IF(B1196="","",IFERROR(VLOOKUP(B1196, PLANTA_BASE!A:R, 17, FALSE), "GENERAL"))</f>
        <v/>
      </c>
    </row>
    <row r="1197" ht="20" customHeight="1">
      <c r="A1197" s="5">
        <f>IF(B1197="","",IFERROR(VLOOKUP(B1197, PLANTA_BASE!A:R, 2, FALSE), "NO ENCONTRADO EN PLANTA"))</f>
        <v/>
      </c>
      <c r="B1197" s="6" t="inlineStr"/>
      <c r="C1197" s="7">
        <f>IF(B1197="","",IFERROR(VLOOKUP(B1197, PLANTA_BASE!A:R, 3, FALSE), ""))</f>
        <v/>
      </c>
      <c r="D1197" s="5">
        <f>IF(B1197="","",IFERROR(VLOOKUP(B1197, PLANTA_BASE!A:R, 5, FALSE), "NO ENCONTRADO EN PLANTA"))</f>
        <v/>
      </c>
      <c r="E1197" s="5">
        <f>IF(B1197="","",IFERROR(VLOOKUP(B1197, PLANTA_BASE!A:R, 6, FALSE), "NO ENCONTRADO EN PLANTA"))</f>
        <v/>
      </c>
      <c r="F1197" s="7">
        <f>IF(B1197="","",IFERROR(VLOOKUP(B1197, PLANTA_BASE!A:R, 8, FALSE), "DOCENTE / FACILITADOR"))</f>
        <v/>
      </c>
      <c r="G1197" s="7">
        <f>IF(B1197="","",IFERROR(VLOOKUP(B1197, PLANTA_BASE!A:R, 9, FALSE), "GENERAL"))</f>
        <v/>
      </c>
      <c r="H1197" s="5">
        <f>IF(B1197="","",IFERROR(VLOOKUP(B1197, PLANTA_BASE!A:R, 17, FALSE), "GENERAL"))</f>
        <v/>
      </c>
    </row>
    <row r="1198" ht="20" customHeight="1">
      <c r="A1198" s="2">
        <f>IF(B1198="","",IFERROR(VLOOKUP(B1198, PLANTA_BASE!A:R, 2, FALSE), "NO ENCONTRADO EN PLANTA"))</f>
        <v/>
      </c>
      <c r="B1198" s="3" t="inlineStr"/>
      <c r="C1198" s="4">
        <f>IF(B1198="","",IFERROR(VLOOKUP(B1198, PLANTA_BASE!A:R, 3, FALSE), ""))</f>
        <v/>
      </c>
      <c r="D1198" s="2">
        <f>IF(B1198="","",IFERROR(VLOOKUP(B1198, PLANTA_BASE!A:R, 5, FALSE), "NO ENCONTRADO EN PLANTA"))</f>
        <v/>
      </c>
      <c r="E1198" s="2">
        <f>IF(B1198="","",IFERROR(VLOOKUP(B1198, PLANTA_BASE!A:R, 6, FALSE), "NO ENCONTRADO EN PLANTA"))</f>
        <v/>
      </c>
      <c r="F1198" s="4">
        <f>IF(B1198="","",IFERROR(VLOOKUP(B1198, PLANTA_BASE!A:R, 8, FALSE), "DOCENTE / FACILITADOR"))</f>
        <v/>
      </c>
      <c r="G1198" s="4">
        <f>IF(B1198="","",IFERROR(VLOOKUP(B1198, PLANTA_BASE!A:R, 9, FALSE), "GENERAL"))</f>
        <v/>
      </c>
      <c r="H1198" s="2">
        <f>IF(B1198="","",IFERROR(VLOOKUP(B1198, PLANTA_BASE!A:R, 17, FALSE), "GENERAL"))</f>
        <v/>
      </c>
    </row>
    <row r="1199" ht="20" customHeight="1">
      <c r="A1199" s="5">
        <f>IF(B1199="","",IFERROR(VLOOKUP(B1199, PLANTA_BASE!A:R, 2, FALSE), "NO ENCONTRADO EN PLANTA"))</f>
        <v/>
      </c>
      <c r="B1199" s="6" t="inlineStr"/>
      <c r="C1199" s="7">
        <f>IF(B1199="","",IFERROR(VLOOKUP(B1199, PLANTA_BASE!A:R, 3, FALSE), ""))</f>
        <v/>
      </c>
      <c r="D1199" s="5">
        <f>IF(B1199="","",IFERROR(VLOOKUP(B1199, PLANTA_BASE!A:R, 5, FALSE), "NO ENCONTRADO EN PLANTA"))</f>
        <v/>
      </c>
      <c r="E1199" s="5">
        <f>IF(B1199="","",IFERROR(VLOOKUP(B1199, PLANTA_BASE!A:R, 6, FALSE), "NO ENCONTRADO EN PLANTA"))</f>
        <v/>
      </c>
      <c r="F1199" s="7">
        <f>IF(B1199="","",IFERROR(VLOOKUP(B1199, PLANTA_BASE!A:R, 8, FALSE), "DOCENTE / FACILITADOR"))</f>
        <v/>
      </c>
      <c r="G1199" s="7">
        <f>IF(B1199="","",IFERROR(VLOOKUP(B1199, PLANTA_BASE!A:R, 9, FALSE), "GENERAL"))</f>
        <v/>
      </c>
      <c r="H1199" s="5">
        <f>IF(B1199="","",IFERROR(VLOOKUP(B1199, PLANTA_BASE!A:R, 17, FALSE), "GENERAL"))</f>
        <v/>
      </c>
    </row>
    <row r="1200" ht="20" customHeight="1">
      <c r="A1200" s="2">
        <f>IF(B1200="","",IFERROR(VLOOKUP(B1200, PLANTA_BASE!A:R, 2, FALSE), "NO ENCONTRADO EN PLANTA"))</f>
        <v/>
      </c>
      <c r="B1200" s="3" t="inlineStr"/>
      <c r="C1200" s="4">
        <f>IF(B1200="","",IFERROR(VLOOKUP(B1200, PLANTA_BASE!A:R, 3, FALSE), ""))</f>
        <v/>
      </c>
      <c r="D1200" s="2">
        <f>IF(B1200="","",IFERROR(VLOOKUP(B1200, PLANTA_BASE!A:R, 5, FALSE), "NO ENCONTRADO EN PLANTA"))</f>
        <v/>
      </c>
      <c r="E1200" s="2">
        <f>IF(B1200="","",IFERROR(VLOOKUP(B1200, PLANTA_BASE!A:R, 6, FALSE), "NO ENCONTRADO EN PLANTA"))</f>
        <v/>
      </c>
      <c r="F1200" s="4">
        <f>IF(B1200="","",IFERROR(VLOOKUP(B1200, PLANTA_BASE!A:R, 8, FALSE), "DOCENTE / FACILITADOR"))</f>
        <v/>
      </c>
      <c r="G1200" s="4">
        <f>IF(B1200="","",IFERROR(VLOOKUP(B1200, PLANTA_BASE!A:R, 9, FALSE), "GENERAL"))</f>
        <v/>
      </c>
      <c r="H1200" s="2">
        <f>IF(B1200="","",IFERROR(VLOOKUP(B1200, PLANTA_BASE!A:R, 17, FALSE), "GENERAL"))</f>
        <v/>
      </c>
    </row>
    <row r="1201" ht="20" customHeight="1">
      <c r="A1201" s="5">
        <f>IF(B1201="","",IFERROR(VLOOKUP(B1201, PLANTA_BASE!A:R, 2, FALSE), "NO ENCONTRADO EN PLANTA"))</f>
        <v/>
      </c>
      <c r="B1201" s="6" t="inlineStr"/>
      <c r="C1201" s="7">
        <f>IF(B1201="","",IFERROR(VLOOKUP(B1201, PLANTA_BASE!A:R, 3, FALSE), ""))</f>
        <v/>
      </c>
      <c r="D1201" s="5">
        <f>IF(B1201="","",IFERROR(VLOOKUP(B1201, PLANTA_BASE!A:R, 5, FALSE), "NO ENCONTRADO EN PLANTA"))</f>
        <v/>
      </c>
      <c r="E1201" s="5">
        <f>IF(B1201="","",IFERROR(VLOOKUP(B1201, PLANTA_BASE!A:R, 6, FALSE), "NO ENCONTRADO EN PLANTA"))</f>
        <v/>
      </c>
      <c r="F1201" s="7">
        <f>IF(B1201="","",IFERROR(VLOOKUP(B1201, PLANTA_BASE!A:R, 8, FALSE), "DOCENTE / FACILITADOR"))</f>
        <v/>
      </c>
      <c r="G1201" s="7">
        <f>IF(B1201="","",IFERROR(VLOOKUP(B1201, PLANTA_BASE!A:R, 9, FALSE), "GENERAL"))</f>
        <v/>
      </c>
      <c r="H1201" s="5">
        <f>IF(B1201="","",IFERROR(VLOOKUP(B1201, PLANTA_BASE!A:R, 17, FALSE), "GENERAL"))</f>
        <v/>
      </c>
    </row>
    <row r="1202" ht="20" customHeight="1">
      <c r="A1202" s="2">
        <f>IF(B1202="","",IFERROR(VLOOKUP(B1202, PLANTA_BASE!A:R, 2, FALSE), "NO ENCONTRADO EN PLANTA"))</f>
        <v/>
      </c>
      <c r="B1202" s="3" t="inlineStr"/>
      <c r="C1202" s="4">
        <f>IF(B1202="","",IFERROR(VLOOKUP(B1202, PLANTA_BASE!A:R, 3, FALSE), ""))</f>
        <v/>
      </c>
      <c r="D1202" s="2">
        <f>IF(B1202="","",IFERROR(VLOOKUP(B1202, PLANTA_BASE!A:R, 5, FALSE), "NO ENCONTRADO EN PLANTA"))</f>
        <v/>
      </c>
      <c r="E1202" s="2">
        <f>IF(B1202="","",IFERROR(VLOOKUP(B1202, PLANTA_BASE!A:R, 6, FALSE), "NO ENCONTRADO EN PLANTA"))</f>
        <v/>
      </c>
      <c r="F1202" s="4">
        <f>IF(B1202="","",IFERROR(VLOOKUP(B1202, PLANTA_BASE!A:R, 8, FALSE), "DOCENTE / FACILITADOR"))</f>
        <v/>
      </c>
      <c r="G1202" s="4">
        <f>IF(B1202="","",IFERROR(VLOOKUP(B1202, PLANTA_BASE!A:R, 9, FALSE), "GENERAL"))</f>
        <v/>
      </c>
      <c r="H1202" s="2">
        <f>IF(B1202="","",IFERROR(VLOOKUP(B1202, PLANTA_BASE!A:R, 17, FALSE), "GENERAL"))</f>
        <v/>
      </c>
    </row>
    <row r="1203" ht="20" customHeight="1">
      <c r="A1203" s="5">
        <f>IF(B1203="","",IFERROR(VLOOKUP(B1203, PLANTA_BASE!A:R, 2, FALSE), "NO ENCONTRADO EN PLANTA"))</f>
        <v/>
      </c>
      <c r="B1203" s="6" t="inlineStr"/>
      <c r="C1203" s="7">
        <f>IF(B1203="","",IFERROR(VLOOKUP(B1203, PLANTA_BASE!A:R, 3, FALSE), ""))</f>
        <v/>
      </c>
      <c r="D1203" s="5">
        <f>IF(B1203="","",IFERROR(VLOOKUP(B1203, PLANTA_BASE!A:R, 5, FALSE), "NO ENCONTRADO EN PLANTA"))</f>
        <v/>
      </c>
      <c r="E1203" s="5">
        <f>IF(B1203="","",IFERROR(VLOOKUP(B1203, PLANTA_BASE!A:R, 6, FALSE), "NO ENCONTRADO EN PLANTA"))</f>
        <v/>
      </c>
      <c r="F1203" s="7">
        <f>IF(B1203="","",IFERROR(VLOOKUP(B1203, PLANTA_BASE!A:R, 8, FALSE), "DOCENTE / FACILITADOR"))</f>
        <v/>
      </c>
      <c r="G1203" s="7">
        <f>IF(B1203="","",IFERROR(VLOOKUP(B1203, PLANTA_BASE!A:R, 9, FALSE), "GENERAL"))</f>
        <v/>
      </c>
      <c r="H1203" s="5">
        <f>IF(B1203="","",IFERROR(VLOOKUP(B1203, PLANTA_BASE!A:R, 17, FALSE), "GENERAL"))</f>
        <v/>
      </c>
    </row>
    <row r="1204" ht="20" customHeight="1">
      <c r="A1204" s="2">
        <f>IF(B1204="","",IFERROR(VLOOKUP(B1204, PLANTA_BASE!A:R, 2, FALSE), "NO ENCONTRADO EN PLANTA"))</f>
        <v/>
      </c>
      <c r="B1204" s="3" t="inlineStr"/>
      <c r="C1204" s="4">
        <f>IF(B1204="","",IFERROR(VLOOKUP(B1204, PLANTA_BASE!A:R, 3, FALSE), ""))</f>
        <v/>
      </c>
      <c r="D1204" s="2">
        <f>IF(B1204="","",IFERROR(VLOOKUP(B1204, PLANTA_BASE!A:R, 5, FALSE), "NO ENCONTRADO EN PLANTA"))</f>
        <v/>
      </c>
      <c r="E1204" s="2">
        <f>IF(B1204="","",IFERROR(VLOOKUP(B1204, PLANTA_BASE!A:R, 6, FALSE), "NO ENCONTRADO EN PLANTA"))</f>
        <v/>
      </c>
      <c r="F1204" s="4">
        <f>IF(B1204="","",IFERROR(VLOOKUP(B1204, PLANTA_BASE!A:R, 8, FALSE), "DOCENTE / FACILITADOR"))</f>
        <v/>
      </c>
      <c r="G1204" s="4">
        <f>IF(B1204="","",IFERROR(VLOOKUP(B1204, PLANTA_BASE!A:R, 9, FALSE), "GENERAL"))</f>
        <v/>
      </c>
      <c r="H1204" s="2">
        <f>IF(B1204="","",IFERROR(VLOOKUP(B1204, PLANTA_BASE!A:R, 17, FALSE), "GENERAL"))</f>
        <v/>
      </c>
    </row>
    <row r="1205" ht="20" customHeight="1">
      <c r="A1205" s="5">
        <f>IF(B1205="","",IFERROR(VLOOKUP(B1205, PLANTA_BASE!A:R, 2, FALSE), "NO ENCONTRADO EN PLANTA"))</f>
        <v/>
      </c>
      <c r="B1205" s="6" t="inlineStr"/>
      <c r="C1205" s="7">
        <f>IF(B1205="","",IFERROR(VLOOKUP(B1205, PLANTA_BASE!A:R, 3, FALSE), ""))</f>
        <v/>
      </c>
      <c r="D1205" s="5">
        <f>IF(B1205="","",IFERROR(VLOOKUP(B1205, PLANTA_BASE!A:R, 5, FALSE), "NO ENCONTRADO EN PLANTA"))</f>
        <v/>
      </c>
      <c r="E1205" s="5">
        <f>IF(B1205="","",IFERROR(VLOOKUP(B1205, PLANTA_BASE!A:R, 6, FALSE), "NO ENCONTRADO EN PLANTA"))</f>
        <v/>
      </c>
      <c r="F1205" s="7">
        <f>IF(B1205="","",IFERROR(VLOOKUP(B1205, PLANTA_BASE!A:R, 8, FALSE), "DOCENTE / FACILITADOR"))</f>
        <v/>
      </c>
      <c r="G1205" s="7">
        <f>IF(B1205="","",IFERROR(VLOOKUP(B1205, PLANTA_BASE!A:R, 9, FALSE), "GENERAL"))</f>
        <v/>
      </c>
      <c r="H1205" s="5">
        <f>IF(B1205="","",IFERROR(VLOOKUP(B1205, PLANTA_BASE!A:R, 17, FALSE), "GENERAL"))</f>
        <v/>
      </c>
    </row>
    <row r="1206" ht="20" customHeight="1">
      <c r="A1206" s="2">
        <f>IF(B1206="","",IFERROR(VLOOKUP(B1206, PLANTA_BASE!A:R, 2, FALSE), "NO ENCONTRADO EN PLANTA"))</f>
        <v/>
      </c>
      <c r="B1206" s="3" t="inlineStr"/>
      <c r="C1206" s="4">
        <f>IF(B1206="","",IFERROR(VLOOKUP(B1206, PLANTA_BASE!A:R, 3, FALSE), ""))</f>
        <v/>
      </c>
      <c r="D1206" s="2">
        <f>IF(B1206="","",IFERROR(VLOOKUP(B1206, PLANTA_BASE!A:R, 5, FALSE), "NO ENCONTRADO EN PLANTA"))</f>
        <v/>
      </c>
      <c r="E1206" s="2">
        <f>IF(B1206="","",IFERROR(VLOOKUP(B1206, PLANTA_BASE!A:R, 6, FALSE), "NO ENCONTRADO EN PLANTA"))</f>
        <v/>
      </c>
      <c r="F1206" s="4">
        <f>IF(B1206="","",IFERROR(VLOOKUP(B1206, PLANTA_BASE!A:R, 8, FALSE), "DOCENTE / FACILITADOR"))</f>
        <v/>
      </c>
      <c r="G1206" s="4">
        <f>IF(B1206="","",IFERROR(VLOOKUP(B1206, PLANTA_BASE!A:R, 9, FALSE), "GENERAL"))</f>
        <v/>
      </c>
      <c r="H1206" s="2">
        <f>IF(B1206="","",IFERROR(VLOOKUP(B1206, PLANTA_BASE!A:R, 17, FALSE), "GENERAL"))</f>
        <v/>
      </c>
    </row>
    <row r="1207" ht="20" customHeight="1">
      <c r="A1207" s="5">
        <f>IF(B1207="","",IFERROR(VLOOKUP(B1207, PLANTA_BASE!A:R, 2, FALSE), "NO ENCONTRADO EN PLANTA"))</f>
        <v/>
      </c>
      <c r="B1207" s="6" t="inlineStr"/>
      <c r="C1207" s="7">
        <f>IF(B1207="","",IFERROR(VLOOKUP(B1207, PLANTA_BASE!A:R, 3, FALSE), ""))</f>
        <v/>
      </c>
      <c r="D1207" s="5">
        <f>IF(B1207="","",IFERROR(VLOOKUP(B1207, PLANTA_BASE!A:R, 5, FALSE), "NO ENCONTRADO EN PLANTA"))</f>
        <v/>
      </c>
      <c r="E1207" s="5">
        <f>IF(B1207="","",IFERROR(VLOOKUP(B1207, PLANTA_BASE!A:R, 6, FALSE), "NO ENCONTRADO EN PLANTA"))</f>
        <v/>
      </c>
      <c r="F1207" s="7">
        <f>IF(B1207="","",IFERROR(VLOOKUP(B1207, PLANTA_BASE!A:R, 8, FALSE), "DOCENTE / FACILITADOR"))</f>
        <v/>
      </c>
      <c r="G1207" s="7">
        <f>IF(B1207="","",IFERROR(VLOOKUP(B1207, PLANTA_BASE!A:R, 9, FALSE), "GENERAL"))</f>
        <v/>
      </c>
      <c r="H1207" s="5">
        <f>IF(B1207="","",IFERROR(VLOOKUP(B1207, PLANTA_BASE!A:R, 17, FALSE), "GENERAL"))</f>
        <v/>
      </c>
    </row>
    <row r="1208" ht="20" customHeight="1">
      <c r="A1208" s="2">
        <f>IF(B1208="","",IFERROR(VLOOKUP(B1208, PLANTA_BASE!A:R, 2, FALSE), "NO ENCONTRADO EN PLANTA"))</f>
        <v/>
      </c>
      <c r="B1208" s="3" t="inlineStr"/>
      <c r="C1208" s="4">
        <f>IF(B1208="","",IFERROR(VLOOKUP(B1208, PLANTA_BASE!A:R, 3, FALSE), ""))</f>
        <v/>
      </c>
      <c r="D1208" s="2">
        <f>IF(B1208="","",IFERROR(VLOOKUP(B1208, PLANTA_BASE!A:R, 5, FALSE), "NO ENCONTRADO EN PLANTA"))</f>
        <v/>
      </c>
      <c r="E1208" s="2">
        <f>IF(B1208="","",IFERROR(VLOOKUP(B1208, PLANTA_BASE!A:R, 6, FALSE), "NO ENCONTRADO EN PLANTA"))</f>
        <v/>
      </c>
      <c r="F1208" s="4">
        <f>IF(B1208="","",IFERROR(VLOOKUP(B1208, PLANTA_BASE!A:R, 8, FALSE), "DOCENTE / FACILITADOR"))</f>
        <v/>
      </c>
      <c r="G1208" s="4">
        <f>IF(B1208="","",IFERROR(VLOOKUP(B1208, PLANTA_BASE!A:R, 9, FALSE), "GENERAL"))</f>
        <v/>
      </c>
      <c r="H1208" s="2">
        <f>IF(B1208="","",IFERROR(VLOOKUP(B1208, PLANTA_BASE!A:R, 17, FALSE), "GENERAL"))</f>
        <v/>
      </c>
    </row>
    <row r="1209" ht="20" customHeight="1">
      <c r="A1209" s="5">
        <f>IF(B1209="","",IFERROR(VLOOKUP(B1209, PLANTA_BASE!A:R, 2, FALSE), "NO ENCONTRADO EN PLANTA"))</f>
        <v/>
      </c>
      <c r="B1209" s="6" t="inlineStr"/>
      <c r="C1209" s="7">
        <f>IF(B1209="","",IFERROR(VLOOKUP(B1209, PLANTA_BASE!A:R, 3, FALSE), ""))</f>
        <v/>
      </c>
      <c r="D1209" s="5">
        <f>IF(B1209="","",IFERROR(VLOOKUP(B1209, PLANTA_BASE!A:R, 5, FALSE), "NO ENCONTRADO EN PLANTA"))</f>
        <v/>
      </c>
      <c r="E1209" s="5">
        <f>IF(B1209="","",IFERROR(VLOOKUP(B1209, PLANTA_BASE!A:R, 6, FALSE), "NO ENCONTRADO EN PLANTA"))</f>
        <v/>
      </c>
      <c r="F1209" s="7">
        <f>IF(B1209="","",IFERROR(VLOOKUP(B1209, PLANTA_BASE!A:R, 8, FALSE), "DOCENTE / FACILITADOR"))</f>
        <v/>
      </c>
      <c r="G1209" s="7">
        <f>IF(B1209="","",IFERROR(VLOOKUP(B1209, PLANTA_BASE!A:R, 9, FALSE), "GENERAL"))</f>
        <v/>
      </c>
      <c r="H1209" s="5">
        <f>IF(B1209="","",IFERROR(VLOOKUP(B1209, PLANTA_BASE!A:R, 17, FALSE), "GENERAL"))</f>
        <v/>
      </c>
    </row>
    <row r="1210" ht="20" customHeight="1">
      <c r="A1210" s="2">
        <f>IF(B1210="","",IFERROR(VLOOKUP(B1210, PLANTA_BASE!A:R, 2, FALSE), "NO ENCONTRADO EN PLANTA"))</f>
        <v/>
      </c>
      <c r="B1210" s="3" t="inlineStr"/>
      <c r="C1210" s="4">
        <f>IF(B1210="","",IFERROR(VLOOKUP(B1210, PLANTA_BASE!A:R, 3, FALSE), ""))</f>
        <v/>
      </c>
      <c r="D1210" s="2">
        <f>IF(B1210="","",IFERROR(VLOOKUP(B1210, PLANTA_BASE!A:R, 5, FALSE), "NO ENCONTRADO EN PLANTA"))</f>
        <v/>
      </c>
      <c r="E1210" s="2">
        <f>IF(B1210="","",IFERROR(VLOOKUP(B1210, PLANTA_BASE!A:R, 6, FALSE), "NO ENCONTRADO EN PLANTA"))</f>
        <v/>
      </c>
      <c r="F1210" s="4">
        <f>IF(B1210="","",IFERROR(VLOOKUP(B1210, PLANTA_BASE!A:R, 8, FALSE), "DOCENTE / FACILITADOR"))</f>
        <v/>
      </c>
      <c r="G1210" s="4">
        <f>IF(B1210="","",IFERROR(VLOOKUP(B1210, PLANTA_BASE!A:R, 9, FALSE), "GENERAL"))</f>
        <v/>
      </c>
      <c r="H1210" s="2">
        <f>IF(B1210="","",IFERROR(VLOOKUP(B1210, PLANTA_BASE!A:R, 17, FALSE), "GENERAL"))</f>
        <v/>
      </c>
    </row>
    <row r="1211" ht="20" customHeight="1">
      <c r="A1211" s="5">
        <f>IF(B1211="","",IFERROR(VLOOKUP(B1211, PLANTA_BASE!A:R, 2, FALSE), "NO ENCONTRADO EN PLANTA"))</f>
        <v/>
      </c>
      <c r="B1211" s="6" t="inlineStr"/>
      <c r="C1211" s="7">
        <f>IF(B1211="","",IFERROR(VLOOKUP(B1211, PLANTA_BASE!A:R, 3, FALSE), ""))</f>
        <v/>
      </c>
      <c r="D1211" s="5">
        <f>IF(B1211="","",IFERROR(VLOOKUP(B1211, PLANTA_BASE!A:R, 5, FALSE), "NO ENCONTRADO EN PLANTA"))</f>
        <v/>
      </c>
      <c r="E1211" s="5">
        <f>IF(B1211="","",IFERROR(VLOOKUP(B1211, PLANTA_BASE!A:R, 6, FALSE), "NO ENCONTRADO EN PLANTA"))</f>
        <v/>
      </c>
      <c r="F1211" s="7">
        <f>IF(B1211="","",IFERROR(VLOOKUP(B1211, PLANTA_BASE!A:R, 8, FALSE), "DOCENTE / FACILITADOR"))</f>
        <v/>
      </c>
      <c r="G1211" s="7">
        <f>IF(B1211="","",IFERROR(VLOOKUP(B1211, PLANTA_BASE!A:R, 9, FALSE), "GENERAL"))</f>
        <v/>
      </c>
      <c r="H1211" s="5">
        <f>IF(B1211="","",IFERROR(VLOOKUP(B1211, PLANTA_BASE!A:R, 17, FALSE), "GENERAL"))</f>
        <v/>
      </c>
    </row>
    <row r="1212" ht="20" customHeight="1">
      <c r="A1212" s="2">
        <f>IF(B1212="","",IFERROR(VLOOKUP(B1212, PLANTA_BASE!A:R, 2, FALSE), "NO ENCONTRADO EN PLANTA"))</f>
        <v/>
      </c>
      <c r="B1212" s="3" t="inlineStr"/>
      <c r="C1212" s="4">
        <f>IF(B1212="","",IFERROR(VLOOKUP(B1212, PLANTA_BASE!A:R, 3, FALSE), ""))</f>
        <v/>
      </c>
      <c r="D1212" s="2">
        <f>IF(B1212="","",IFERROR(VLOOKUP(B1212, PLANTA_BASE!A:R, 5, FALSE), "NO ENCONTRADO EN PLANTA"))</f>
        <v/>
      </c>
      <c r="E1212" s="2">
        <f>IF(B1212="","",IFERROR(VLOOKUP(B1212, PLANTA_BASE!A:R, 6, FALSE), "NO ENCONTRADO EN PLANTA"))</f>
        <v/>
      </c>
      <c r="F1212" s="4">
        <f>IF(B1212="","",IFERROR(VLOOKUP(B1212, PLANTA_BASE!A:R, 8, FALSE), "DOCENTE / FACILITADOR"))</f>
        <v/>
      </c>
      <c r="G1212" s="4">
        <f>IF(B1212="","",IFERROR(VLOOKUP(B1212, PLANTA_BASE!A:R, 9, FALSE), "GENERAL"))</f>
        <v/>
      </c>
      <c r="H1212" s="2">
        <f>IF(B1212="","",IFERROR(VLOOKUP(B1212, PLANTA_BASE!A:R, 17, FALSE), "GENERAL"))</f>
        <v/>
      </c>
    </row>
    <row r="1213" ht="20" customHeight="1">
      <c r="A1213" s="5">
        <f>IF(B1213="","",IFERROR(VLOOKUP(B1213, PLANTA_BASE!A:R, 2, FALSE), "NO ENCONTRADO EN PLANTA"))</f>
        <v/>
      </c>
      <c r="B1213" s="6" t="inlineStr"/>
      <c r="C1213" s="7">
        <f>IF(B1213="","",IFERROR(VLOOKUP(B1213, PLANTA_BASE!A:R, 3, FALSE), ""))</f>
        <v/>
      </c>
      <c r="D1213" s="5">
        <f>IF(B1213="","",IFERROR(VLOOKUP(B1213, PLANTA_BASE!A:R, 5, FALSE), "NO ENCONTRADO EN PLANTA"))</f>
        <v/>
      </c>
      <c r="E1213" s="5">
        <f>IF(B1213="","",IFERROR(VLOOKUP(B1213, PLANTA_BASE!A:R, 6, FALSE), "NO ENCONTRADO EN PLANTA"))</f>
        <v/>
      </c>
      <c r="F1213" s="7">
        <f>IF(B1213="","",IFERROR(VLOOKUP(B1213, PLANTA_BASE!A:R, 8, FALSE), "DOCENTE / FACILITADOR"))</f>
        <v/>
      </c>
      <c r="G1213" s="7">
        <f>IF(B1213="","",IFERROR(VLOOKUP(B1213, PLANTA_BASE!A:R, 9, FALSE), "GENERAL"))</f>
        <v/>
      </c>
      <c r="H1213" s="5">
        <f>IF(B1213="","",IFERROR(VLOOKUP(B1213, PLANTA_BASE!A:R, 17, FALSE), "GENERAL"))</f>
        <v/>
      </c>
    </row>
    <row r="1214" ht="20" customHeight="1">
      <c r="A1214" s="2">
        <f>IF(B1214="","",IFERROR(VLOOKUP(B1214, PLANTA_BASE!A:R, 2, FALSE), "NO ENCONTRADO EN PLANTA"))</f>
        <v/>
      </c>
      <c r="B1214" s="3" t="inlineStr"/>
      <c r="C1214" s="4">
        <f>IF(B1214="","",IFERROR(VLOOKUP(B1214, PLANTA_BASE!A:R, 3, FALSE), ""))</f>
        <v/>
      </c>
      <c r="D1214" s="2">
        <f>IF(B1214="","",IFERROR(VLOOKUP(B1214, PLANTA_BASE!A:R, 5, FALSE), "NO ENCONTRADO EN PLANTA"))</f>
        <v/>
      </c>
      <c r="E1214" s="2">
        <f>IF(B1214="","",IFERROR(VLOOKUP(B1214, PLANTA_BASE!A:R, 6, FALSE), "NO ENCONTRADO EN PLANTA"))</f>
        <v/>
      </c>
      <c r="F1214" s="4">
        <f>IF(B1214="","",IFERROR(VLOOKUP(B1214, PLANTA_BASE!A:R, 8, FALSE), "DOCENTE / FACILITADOR"))</f>
        <v/>
      </c>
      <c r="G1214" s="4">
        <f>IF(B1214="","",IFERROR(VLOOKUP(B1214, PLANTA_BASE!A:R, 9, FALSE), "GENERAL"))</f>
        <v/>
      </c>
      <c r="H1214" s="2">
        <f>IF(B1214="","",IFERROR(VLOOKUP(B1214, PLANTA_BASE!A:R, 17, FALSE), "GENERAL"))</f>
        <v/>
      </c>
    </row>
    <row r="1215" ht="20" customHeight="1">
      <c r="A1215" s="5">
        <f>IF(B1215="","",IFERROR(VLOOKUP(B1215, PLANTA_BASE!A:R, 2, FALSE), "NO ENCONTRADO EN PLANTA"))</f>
        <v/>
      </c>
      <c r="B1215" s="6" t="inlineStr"/>
      <c r="C1215" s="7">
        <f>IF(B1215="","",IFERROR(VLOOKUP(B1215, PLANTA_BASE!A:R, 3, FALSE), ""))</f>
        <v/>
      </c>
      <c r="D1215" s="5">
        <f>IF(B1215="","",IFERROR(VLOOKUP(B1215, PLANTA_BASE!A:R, 5, FALSE), "NO ENCONTRADO EN PLANTA"))</f>
        <v/>
      </c>
      <c r="E1215" s="5">
        <f>IF(B1215="","",IFERROR(VLOOKUP(B1215, PLANTA_BASE!A:R, 6, FALSE), "NO ENCONTRADO EN PLANTA"))</f>
        <v/>
      </c>
      <c r="F1215" s="7">
        <f>IF(B1215="","",IFERROR(VLOOKUP(B1215, PLANTA_BASE!A:R, 8, FALSE), "DOCENTE / FACILITADOR"))</f>
        <v/>
      </c>
      <c r="G1215" s="7">
        <f>IF(B1215="","",IFERROR(VLOOKUP(B1215, PLANTA_BASE!A:R, 9, FALSE), "GENERAL"))</f>
        <v/>
      </c>
      <c r="H1215" s="5">
        <f>IF(B1215="","",IFERROR(VLOOKUP(B1215, PLANTA_BASE!A:R, 17, FALSE), "GENERAL"))</f>
        <v/>
      </c>
    </row>
    <row r="1216" ht="20" customHeight="1">
      <c r="A1216" s="2">
        <f>IF(B1216="","",IFERROR(VLOOKUP(B1216, PLANTA_BASE!A:R, 2, FALSE), "NO ENCONTRADO EN PLANTA"))</f>
        <v/>
      </c>
      <c r="B1216" s="3" t="inlineStr"/>
      <c r="C1216" s="4">
        <f>IF(B1216="","",IFERROR(VLOOKUP(B1216, PLANTA_BASE!A:R, 3, FALSE), ""))</f>
        <v/>
      </c>
      <c r="D1216" s="2">
        <f>IF(B1216="","",IFERROR(VLOOKUP(B1216, PLANTA_BASE!A:R, 5, FALSE), "NO ENCONTRADO EN PLANTA"))</f>
        <v/>
      </c>
      <c r="E1216" s="2">
        <f>IF(B1216="","",IFERROR(VLOOKUP(B1216, PLANTA_BASE!A:R, 6, FALSE), "NO ENCONTRADO EN PLANTA"))</f>
        <v/>
      </c>
      <c r="F1216" s="4">
        <f>IF(B1216="","",IFERROR(VLOOKUP(B1216, PLANTA_BASE!A:R, 8, FALSE), "DOCENTE / FACILITADOR"))</f>
        <v/>
      </c>
      <c r="G1216" s="4">
        <f>IF(B1216="","",IFERROR(VLOOKUP(B1216, PLANTA_BASE!A:R, 9, FALSE), "GENERAL"))</f>
        <v/>
      </c>
      <c r="H1216" s="2">
        <f>IF(B1216="","",IFERROR(VLOOKUP(B1216, PLANTA_BASE!A:R, 17, FALSE), "GENERAL"))</f>
        <v/>
      </c>
    </row>
    <row r="1217" ht="20" customHeight="1">
      <c r="A1217" s="5">
        <f>IF(B1217="","",IFERROR(VLOOKUP(B1217, PLANTA_BASE!A:R, 2, FALSE), "NO ENCONTRADO EN PLANTA"))</f>
        <v/>
      </c>
      <c r="B1217" s="6" t="inlineStr"/>
      <c r="C1217" s="7">
        <f>IF(B1217="","",IFERROR(VLOOKUP(B1217, PLANTA_BASE!A:R, 3, FALSE), ""))</f>
        <v/>
      </c>
      <c r="D1217" s="5">
        <f>IF(B1217="","",IFERROR(VLOOKUP(B1217, PLANTA_BASE!A:R, 5, FALSE), "NO ENCONTRADO EN PLANTA"))</f>
        <v/>
      </c>
      <c r="E1217" s="5">
        <f>IF(B1217="","",IFERROR(VLOOKUP(B1217, PLANTA_BASE!A:R, 6, FALSE), "NO ENCONTRADO EN PLANTA"))</f>
        <v/>
      </c>
      <c r="F1217" s="7">
        <f>IF(B1217="","",IFERROR(VLOOKUP(B1217, PLANTA_BASE!A:R, 8, FALSE), "DOCENTE / FACILITADOR"))</f>
        <v/>
      </c>
      <c r="G1217" s="7">
        <f>IF(B1217="","",IFERROR(VLOOKUP(B1217, PLANTA_BASE!A:R, 9, FALSE), "GENERAL"))</f>
        <v/>
      </c>
      <c r="H1217" s="5">
        <f>IF(B1217="","",IFERROR(VLOOKUP(B1217, PLANTA_BASE!A:R, 17, FALSE), "GENERAL"))</f>
        <v/>
      </c>
    </row>
    <row r="1218" ht="20" customHeight="1">
      <c r="A1218" s="2">
        <f>IF(B1218="","",IFERROR(VLOOKUP(B1218, PLANTA_BASE!A:R, 2, FALSE), "NO ENCONTRADO EN PLANTA"))</f>
        <v/>
      </c>
      <c r="B1218" s="3" t="inlineStr"/>
      <c r="C1218" s="4">
        <f>IF(B1218="","",IFERROR(VLOOKUP(B1218, PLANTA_BASE!A:R, 3, FALSE), ""))</f>
        <v/>
      </c>
      <c r="D1218" s="2">
        <f>IF(B1218="","",IFERROR(VLOOKUP(B1218, PLANTA_BASE!A:R, 5, FALSE), "NO ENCONTRADO EN PLANTA"))</f>
        <v/>
      </c>
      <c r="E1218" s="2">
        <f>IF(B1218="","",IFERROR(VLOOKUP(B1218, PLANTA_BASE!A:R, 6, FALSE), "NO ENCONTRADO EN PLANTA"))</f>
        <v/>
      </c>
      <c r="F1218" s="4">
        <f>IF(B1218="","",IFERROR(VLOOKUP(B1218, PLANTA_BASE!A:R, 8, FALSE), "DOCENTE / FACILITADOR"))</f>
        <v/>
      </c>
      <c r="G1218" s="4">
        <f>IF(B1218="","",IFERROR(VLOOKUP(B1218, PLANTA_BASE!A:R, 9, FALSE), "GENERAL"))</f>
        <v/>
      </c>
      <c r="H1218" s="2">
        <f>IF(B1218="","",IFERROR(VLOOKUP(B1218, PLANTA_BASE!A:R, 17, FALSE), "GENERAL"))</f>
        <v/>
      </c>
    </row>
    <row r="1219" ht="20" customHeight="1">
      <c r="A1219" s="5">
        <f>IF(B1219="","",IFERROR(VLOOKUP(B1219, PLANTA_BASE!A:R, 2, FALSE), "NO ENCONTRADO EN PLANTA"))</f>
        <v/>
      </c>
      <c r="B1219" s="6" t="inlineStr"/>
      <c r="C1219" s="7">
        <f>IF(B1219="","",IFERROR(VLOOKUP(B1219, PLANTA_BASE!A:R, 3, FALSE), ""))</f>
        <v/>
      </c>
      <c r="D1219" s="5">
        <f>IF(B1219="","",IFERROR(VLOOKUP(B1219, PLANTA_BASE!A:R, 5, FALSE), "NO ENCONTRADO EN PLANTA"))</f>
        <v/>
      </c>
      <c r="E1219" s="5">
        <f>IF(B1219="","",IFERROR(VLOOKUP(B1219, PLANTA_BASE!A:R, 6, FALSE), "NO ENCONTRADO EN PLANTA"))</f>
        <v/>
      </c>
      <c r="F1219" s="7">
        <f>IF(B1219="","",IFERROR(VLOOKUP(B1219, PLANTA_BASE!A:R, 8, FALSE), "DOCENTE / FACILITADOR"))</f>
        <v/>
      </c>
      <c r="G1219" s="7">
        <f>IF(B1219="","",IFERROR(VLOOKUP(B1219, PLANTA_BASE!A:R, 9, FALSE), "GENERAL"))</f>
        <v/>
      </c>
      <c r="H1219" s="5">
        <f>IF(B1219="","",IFERROR(VLOOKUP(B1219, PLANTA_BASE!A:R, 17, FALSE), "GENERAL"))</f>
        <v/>
      </c>
    </row>
    <row r="1220" ht="20" customHeight="1">
      <c r="A1220" s="2">
        <f>IF(B1220="","",IFERROR(VLOOKUP(B1220, PLANTA_BASE!A:R, 2, FALSE), "NO ENCONTRADO EN PLANTA"))</f>
        <v/>
      </c>
      <c r="B1220" s="3" t="inlineStr"/>
      <c r="C1220" s="4">
        <f>IF(B1220="","",IFERROR(VLOOKUP(B1220, PLANTA_BASE!A:R, 3, FALSE), ""))</f>
        <v/>
      </c>
      <c r="D1220" s="2">
        <f>IF(B1220="","",IFERROR(VLOOKUP(B1220, PLANTA_BASE!A:R, 5, FALSE), "NO ENCONTRADO EN PLANTA"))</f>
        <v/>
      </c>
      <c r="E1220" s="2">
        <f>IF(B1220="","",IFERROR(VLOOKUP(B1220, PLANTA_BASE!A:R, 6, FALSE), "NO ENCONTRADO EN PLANTA"))</f>
        <v/>
      </c>
      <c r="F1220" s="4">
        <f>IF(B1220="","",IFERROR(VLOOKUP(B1220, PLANTA_BASE!A:R, 8, FALSE), "DOCENTE / FACILITADOR"))</f>
        <v/>
      </c>
      <c r="G1220" s="4">
        <f>IF(B1220="","",IFERROR(VLOOKUP(B1220, PLANTA_BASE!A:R, 9, FALSE), "GENERAL"))</f>
        <v/>
      </c>
      <c r="H1220" s="2">
        <f>IF(B1220="","",IFERROR(VLOOKUP(B1220, PLANTA_BASE!A:R, 17, FALSE), "GENERAL"))</f>
        <v/>
      </c>
    </row>
    <row r="1221" ht="20" customHeight="1">
      <c r="A1221" s="5">
        <f>IF(B1221="","",IFERROR(VLOOKUP(B1221, PLANTA_BASE!A:R, 2, FALSE), "NO ENCONTRADO EN PLANTA"))</f>
        <v/>
      </c>
      <c r="B1221" s="6" t="inlineStr"/>
      <c r="C1221" s="7">
        <f>IF(B1221="","",IFERROR(VLOOKUP(B1221, PLANTA_BASE!A:R, 3, FALSE), ""))</f>
        <v/>
      </c>
      <c r="D1221" s="5">
        <f>IF(B1221="","",IFERROR(VLOOKUP(B1221, PLANTA_BASE!A:R, 5, FALSE), "NO ENCONTRADO EN PLANTA"))</f>
        <v/>
      </c>
      <c r="E1221" s="5">
        <f>IF(B1221="","",IFERROR(VLOOKUP(B1221, PLANTA_BASE!A:R, 6, FALSE), "NO ENCONTRADO EN PLANTA"))</f>
        <v/>
      </c>
      <c r="F1221" s="7">
        <f>IF(B1221="","",IFERROR(VLOOKUP(B1221, PLANTA_BASE!A:R, 8, FALSE), "DOCENTE / FACILITADOR"))</f>
        <v/>
      </c>
      <c r="G1221" s="7">
        <f>IF(B1221="","",IFERROR(VLOOKUP(B1221, PLANTA_BASE!A:R, 9, FALSE), "GENERAL"))</f>
        <v/>
      </c>
      <c r="H1221" s="5">
        <f>IF(B1221="","",IFERROR(VLOOKUP(B1221, PLANTA_BASE!A:R, 17, FALSE), "GENERAL"))</f>
        <v/>
      </c>
    </row>
    <row r="1222" ht="20" customHeight="1">
      <c r="A1222" s="2">
        <f>IF(B1222="","",IFERROR(VLOOKUP(B1222, PLANTA_BASE!A:R, 2, FALSE), "NO ENCONTRADO EN PLANTA"))</f>
        <v/>
      </c>
      <c r="B1222" s="3" t="inlineStr"/>
      <c r="C1222" s="4">
        <f>IF(B1222="","",IFERROR(VLOOKUP(B1222, PLANTA_BASE!A:R, 3, FALSE), ""))</f>
        <v/>
      </c>
      <c r="D1222" s="2">
        <f>IF(B1222="","",IFERROR(VLOOKUP(B1222, PLANTA_BASE!A:R, 5, FALSE), "NO ENCONTRADO EN PLANTA"))</f>
        <v/>
      </c>
      <c r="E1222" s="2">
        <f>IF(B1222="","",IFERROR(VLOOKUP(B1222, PLANTA_BASE!A:R, 6, FALSE), "NO ENCONTRADO EN PLANTA"))</f>
        <v/>
      </c>
      <c r="F1222" s="4">
        <f>IF(B1222="","",IFERROR(VLOOKUP(B1222, PLANTA_BASE!A:R, 8, FALSE), "DOCENTE / FACILITADOR"))</f>
        <v/>
      </c>
      <c r="G1222" s="4">
        <f>IF(B1222="","",IFERROR(VLOOKUP(B1222, PLANTA_BASE!A:R, 9, FALSE), "GENERAL"))</f>
        <v/>
      </c>
      <c r="H1222" s="2">
        <f>IF(B1222="","",IFERROR(VLOOKUP(B1222, PLANTA_BASE!A:R, 17, FALSE), "GENERAL"))</f>
        <v/>
      </c>
    </row>
    <row r="1223" ht="20" customHeight="1">
      <c r="A1223" s="5">
        <f>IF(B1223="","",IFERROR(VLOOKUP(B1223, PLANTA_BASE!A:R, 2, FALSE), "NO ENCONTRADO EN PLANTA"))</f>
        <v/>
      </c>
      <c r="B1223" s="6" t="inlineStr"/>
      <c r="C1223" s="7">
        <f>IF(B1223="","",IFERROR(VLOOKUP(B1223, PLANTA_BASE!A:R, 3, FALSE), ""))</f>
        <v/>
      </c>
      <c r="D1223" s="5">
        <f>IF(B1223="","",IFERROR(VLOOKUP(B1223, PLANTA_BASE!A:R, 5, FALSE), "NO ENCONTRADO EN PLANTA"))</f>
        <v/>
      </c>
      <c r="E1223" s="5">
        <f>IF(B1223="","",IFERROR(VLOOKUP(B1223, PLANTA_BASE!A:R, 6, FALSE), "NO ENCONTRADO EN PLANTA"))</f>
        <v/>
      </c>
      <c r="F1223" s="7">
        <f>IF(B1223="","",IFERROR(VLOOKUP(B1223, PLANTA_BASE!A:R, 8, FALSE), "DOCENTE / FACILITADOR"))</f>
        <v/>
      </c>
      <c r="G1223" s="7">
        <f>IF(B1223="","",IFERROR(VLOOKUP(B1223, PLANTA_BASE!A:R, 9, FALSE), "GENERAL"))</f>
        <v/>
      </c>
      <c r="H1223" s="5">
        <f>IF(B1223="","",IFERROR(VLOOKUP(B1223, PLANTA_BASE!A:R, 17, FALSE), "GENERAL"))</f>
        <v/>
      </c>
    </row>
    <row r="1224" ht="20" customHeight="1">
      <c r="A1224" s="2">
        <f>IF(B1224="","",IFERROR(VLOOKUP(B1224, PLANTA_BASE!A:R, 2, FALSE), "NO ENCONTRADO EN PLANTA"))</f>
        <v/>
      </c>
      <c r="B1224" s="3" t="inlineStr"/>
      <c r="C1224" s="4">
        <f>IF(B1224="","",IFERROR(VLOOKUP(B1224, PLANTA_BASE!A:R, 3, FALSE), ""))</f>
        <v/>
      </c>
      <c r="D1224" s="2">
        <f>IF(B1224="","",IFERROR(VLOOKUP(B1224, PLANTA_BASE!A:R, 5, FALSE), "NO ENCONTRADO EN PLANTA"))</f>
        <v/>
      </c>
      <c r="E1224" s="2">
        <f>IF(B1224="","",IFERROR(VLOOKUP(B1224, PLANTA_BASE!A:R, 6, FALSE), "NO ENCONTRADO EN PLANTA"))</f>
        <v/>
      </c>
      <c r="F1224" s="4">
        <f>IF(B1224="","",IFERROR(VLOOKUP(B1224, PLANTA_BASE!A:R, 8, FALSE), "DOCENTE / FACILITADOR"))</f>
        <v/>
      </c>
      <c r="G1224" s="4">
        <f>IF(B1224="","",IFERROR(VLOOKUP(B1224, PLANTA_BASE!A:R, 9, FALSE), "GENERAL"))</f>
        <v/>
      </c>
      <c r="H1224" s="2">
        <f>IF(B1224="","",IFERROR(VLOOKUP(B1224, PLANTA_BASE!A:R, 17, FALSE), "GENERAL"))</f>
        <v/>
      </c>
    </row>
    <row r="1225" ht="20" customHeight="1">
      <c r="A1225" s="5">
        <f>IF(B1225="","",IFERROR(VLOOKUP(B1225, PLANTA_BASE!A:R, 2, FALSE), "NO ENCONTRADO EN PLANTA"))</f>
        <v/>
      </c>
      <c r="B1225" s="6" t="inlineStr"/>
      <c r="C1225" s="7">
        <f>IF(B1225="","",IFERROR(VLOOKUP(B1225, PLANTA_BASE!A:R, 3, FALSE), ""))</f>
        <v/>
      </c>
      <c r="D1225" s="5">
        <f>IF(B1225="","",IFERROR(VLOOKUP(B1225, PLANTA_BASE!A:R, 5, FALSE), "NO ENCONTRADO EN PLANTA"))</f>
        <v/>
      </c>
      <c r="E1225" s="5">
        <f>IF(B1225="","",IFERROR(VLOOKUP(B1225, PLANTA_BASE!A:R, 6, FALSE), "NO ENCONTRADO EN PLANTA"))</f>
        <v/>
      </c>
      <c r="F1225" s="7">
        <f>IF(B1225="","",IFERROR(VLOOKUP(B1225, PLANTA_BASE!A:R, 8, FALSE), "DOCENTE / FACILITADOR"))</f>
        <v/>
      </c>
      <c r="G1225" s="7">
        <f>IF(B1225="","",IFERROR(VLOOKUP(B1225, PLANTA_BASE!A:R, 9, FALSE), "GENERAL"))</f>
        <v/>
      </c>
      <c r="H1225" s="5">
        <f>IF(B1225="","",IFERROR(VLOOKUP(B1225, PLANTA_BASE!A:R, 17, FALSE), "GENERAL"))</f>
        <v/>
      </c>
    </row>
    <row r="1226" ht="20" customHeight="1">
      <c r="A1226" s="2">
        <f>IF(B1226="","",IFERROR(VLOOKUP(B1226, PLANTA_BASE!A:R, 2, FALSE), "NO ENCONTRADO EN PLANTA"))</f>
        <v/>
      </c>
      <c r="B1226" s="3" t="inlineStr"/>
      <c r="C1226" s="4">
        <f>IF(B1226="","",IFERROR(VLOOKUP(B1226, PLANTA_BASE!A:R, 3, FALSE), ""))</f>
        <v/>
      </c>
      <c r="D1226" s="2">
        <f>IF(B1226="","",IFERROR(VLOOKUP(B1226, PLANTA_BASE!A:R, 5, FALSE), "NO ENCONTRADO EN PLANTA"))</f>
        <v/>
      </c>
      <c r="E1226" s="2">
        <f>IF(B1226="","",IFERROR(VLOOKUP(B1226, PLANTA_BASE!A:R, 6, FALSE), "NO ENCONTRADO EN PLANTA"))</f>
        <v/>
      </c>
      <c r="F1226" s="4">
        <f>IF(B1226="","",IFERROR(VLOOKUP(B1226, PLANTA_BASE!A:R, 8, FALSE), "DOCENTE / FACILITADOR"))</f>
        <v/>
      </c>
      <c r="G1226" s="4">
        <f>IF(B1226="","",IFERROR(VLOOKUP(B1226, PLANTA_BASE!A:R, 9, FALSE), "GENERAL"))</f>
        <v/>
      </c>
      <c r="H1226" s="2">
        <f>IF(B1226="","",IFERROR(VLOOKUP(B1226, PLANTA_BASE!A:R, 17, FALSE), "GENERAL"))</f>
        <v/>
      </c>
    </row>
    <row r="1227" ht="20" customHeight="1">
      <c r="A1227" s="5">
        <f>IF(B1227="","",IFERROR(VLOOKUP(B1227, PLANTA_BASE!A:R, 2, FALSE), "NO ENCONTRADO EN PLANTA"))</f>
        <v/>
      </c>
      <c r="B1227" s="6" t="inlineStr"/>
      <c r="C1227" s="7">
        <f>IF(B1227="","",IFERROR(VLOOKUP(B1227, PLANTA_BASE!A:R, 3, FALSE), ""))</f>
        <v/>
      </c>
      <c r="D1227" s="5">
        <f>IF(B1227="","",IFERROR(VLOOKUP(B1227, PLANTA_BASE!A:R, 5, FALSE), "NO ENCONTRADO EN PLANTA"))</f>
        <v/>
      </c>
      <c r="E1227" s="5">
        <f>IF(B1227="","",IFERROR(VLOOKUP(B1227, PLANTA_BASE!A:R, 6, FALSE), "NO ENCONTRADO EN PLANTA"))</f>
        <v/>
      </c>
      <c r="F1227" s="7">
        <f>IF(B1227="","",IFERROR(VLOOKUP(B1227, PLANTA_BASE!A:R, 8, FALSE), "DOCENTE / FACILITADOR"))</f>
        <v/>
      </c>
      <c r="G1227" s="7">
        <f>IF(B1227="","",IFERROR(VLOOKUP(B1227, PLANTA_BASE!A:R, 9, FALSE), "GENERAL"))</f>
        <v/>
      </c>
      <c r="H1227" s="5">
        <f>IF(B1227="","",IFERROR(VLOOKUP(B1227, PLANTA_BASE!A:R, 17, FALSE), "GENERAL"))</f>
        <v/>
      </c>
    </row>
    <row r="1228" ht="20" customHeight="1">
      <c r="A1228" s="2">
        <f>IF(B1228="","",IFERROR(VLOOKUP(B1228, PLANTA_BASE!A:R, 2, FALSE), "NO ENCONTRADO EN PLANTA"))</f>
        <v/>
      </c>
      <c r="B1228" s="3" t="inlineStr"/>
      <c r="C1228" s="4">
        <f>IF(B1228="","",IFERROR(VLOOKUP(B1228, PLANTA_BASE!A:R, 3, FALSE), ""))</f>
        <v/>
      </c>
      <c r="D1228" s="2">
        <f>IF(B1228="","",IFERROR(VLOOKUP(B1228, PLANTA_BASE!A:R, 5, FALSE), "NO ENCONTRADO EN PLANTA"))</f>
        <v/>
      </c>
      <c r="E1228" s="2">
        <f>IF(B1228="","",IFERROR(VLOOKUP(B1228, PLANTA_BASE!A:R, 6, FALSE), "NO ENCONTRADO EN PLANTA"))</f>
        <v/>
      </c>
      <c r="F1228" s="4">
        <f>IF(B1228="","",IFERROR(VLOOKUP(B1228, PLANTA_BASE!A:R, 8, FALSE), "DOCENTE / FACILITADOR"))</f>
        <v/>
      </c>
      <c r="G1228" s="4">
        <f>IF(B1228="","",IFERROR(VLOOKUP(B1228, PLANTA_BASE!A:R, 9, FALSE), "GENERAL"))</f>
        <v/>
      </c>
      <c r="H1228" s="2">
        <f>IF(B1228="","",IFERROR(VLOOKUP(B1228, PLANTA_BASE!A:R, 17, FALSE), "GENERAL"))</f>
        <v/>
      </c>
    </row>
    <row r="1229" ht="20" customHeight="1">
      <c r="A1229" s="5">
        <f>IF(B1229="","",IFERROR(VLOOKUP(B1229, PLANTA_BASE!A:R, 2, FALSE), "NO ENCONTRADO EN PLANTA"))</f>
        <v/>
      </c>
      <c r="B1229" s="6" t="inlineStr"/>
      <c r="C1229" s="7">
        <f>IF(B1229="","",IFERROR(VLOOKUP(B1229, PLANTA_BASE!A:R, 3, FALSE), ""))</f>
        <v/>
      </c>
      <c r="D1229" s="5">
        <f>IF(B1229="","",IFERROR(VLOOKUP(B1229, PLANTA_BASE!A:R, 5, FALSE), "NO ENCONTRADO EN PLANTA"))</f>
        <v/>
      </c>
      <c r="E1229" s="5">
        <f>IF(B1229="","",IFERROR(VLOOKUP(B1229, PLANTA_BASE!A:R, 6, FALSE), "NO ENCONTRADO EN PLANTA"))</f>
        <v/>
      </c>
      <c r="F1229" s="7">
        <f>IF(B1229="","",IFERROR(VLOOKUP(B1229, PLANTA_BASE!A:R, 8, FALSE), "DOCENTE / FACILITADOR"))</f>
        <v/>
      </c>
      <c r="G1229" s="7">
        <f>IF(B1229="","",IFERROR(VLOOKUP(B1229, PLANTA_BASE!A:R, 9, FALSE), "GENERAL"))</f>
        <v/>
      </c>
      <c r="H1229" s="5">
        <f>IF(B1229="","",IFERROR(VLOOKUP(B1229, PLANTA_BASE!A:R, 17, FALSE), "GENERAL"))</f>
        <v/>
      </c>
    </row>
    <row r="1230" ht="20" customHeight="1">
      <c r="A1230" s="2">
        <f>IF(B1230="","",IFERROR(VLOOKUP(B1230, PLANTA_BASE!A:R, 2, FALSE), "NO ENCONTRADO EN PLANTA"))</f>
        <v/>
      </c>
      <c r="B1230" s="3" t="inlineStr"/>
      <c r="C1230" s="4">
        <f>IF(B1230="","",IFERROR(VLOOKUP(B1230, PLANTA_BASE!A:R, 3, FALSE), ""))</f>
        <v/>
      </c>
      <c r="D1230" s="2">
        <f>IF(B1230="","",IFERROR(VLOOKUP(B1230, PLANTA_BASE!A:R, 5, FALSE), "NO ENCONTRADO EN PLANTA"))</f>
        <v/>
      </c>
      <c r="E1230" s="2">
        <f>IF(B1230="","",IFERROR(VLOOKUP(B1230, PLANTA_BASE!A:R, 6, FALSE), "NO ENCONTRADO EN PLANTA"))</f>
        <v/>
      </c>
      <c r="F1230" s="4">
        <f>IF(B1230="","",IFERROR(VLOOKUP(B1230, PLANTA_BASE!A:R, 8, FALSE), "DOCENTE / FACILITADOR"))</f>
        <v/>
      </c>
      <c r="G1230" s="4">
        <f>IF(B1230="","",IFERROR(VLOOKUP(B1230, PLANTA_BASE!A:R, 9, FALSE), "GENERAL"))</f>
        <v/>
      </c>
      <c r="H1230" s="2">
        <f>IF(B1230="","",IFERROR(VLOOKUP(B1230, PLANTA_BASE!A:R, 17, FALSE), "GENERAL"))</f>
        <v/>
      </c>
    </row>
    <row r="1231" ht="20" customHeight="1">
      <c r="A1231" s="5">
        <f>IF(B1231="","",IFERROR(VLOOKUP(B1231, PLANTA_BASE!A:R, 2, FALSE), "NO ENCONTRADO EN PLANTA"))</f>
        <v/>
      </c>
      <c r="B1231" s="6" t="inlineStr"/>
      <c r="C1231" s="7">
        <f>IF(B1231="","",IFERROR(VLOOKUP(B1231, PLANTA_BASE!A:R, 3, FALSE), ""))</f>
        <v/>
      </c>
      <c r="D1231" s="5">
        <f>IF(B1231="","",IFERROR(VLOOKUP(B1231, PLANTA_BASE!A:R, 5, FALSE), "NO ENCONTRADO EN PLANTA"))</f>
        <v/>
      </c>
      <c r="E1231" s="5">
        <f>IF(B1231="","",IFERROR(VLOOKUP(B1231, PLANTA_BASE!A:R, 6, FALSE), "NO ENCONTRADO EN PLANTA"))</f>
        <v/>
      </c>
      <c r="F1231" s="7">
        <f>IF(B1231="","",IFERROR(VLOOKUP(B1231, PLANTA_BASE!A:R, 8, FALSE), "DOCENTE / FACILITADOR"))</f>
        <v/>
      </c>
      <c r="G1231" s="7">
        <f>IF(B1231="","",IFERROR(VLOOKUP(B1231, PLANTA_BASE!A:R, 9, FALSE), "GENERAL"))</f>
        <v/>
      </c>
      <c r="H1231" s="5">
        <f>IF(B1231="","",IFERROR(VLOOKUP(B1231, PLANTA_BASE!A:R, 17, FALSE), "GENERAL"))</f>
        <v/>
      </c>
    </row>
    <row r="1232" ht="20" customHeight="1">
      <c r="A1232" s="2">
        <f>IF(B1232="","",IFERROR(VLOOKUP(B1232, PLANTA_BASE!A:R, 2, FALSE), "NO ENCONTRADO EN PLANTA"))</f>
        <v/>
      </c>
      <c r="B1232" s="3" t="inlineStr"/>
      <c r="C1232" s="4">
        <f>IF(B1232="","",IFERROR(VLOOKUP(B1232, PLANTA_BASE!A:R, 3, FALSE), ""))</f>
        <v/>
      </c>
      <c r="D1232" s="2">
        <f>IF(B1232="","",IFERROR(VLOOKUP(B1232, PLANTA_BASE!A:R, 5, FALSE), "NO ENCONTRADO EN PLANTA"))</f>
        <v/>
      </c>
      <c r="E1232" s="2">
        <f>IF(B1232="","",IFERROR(VLOOKUP(B1232, PLANTA_BASE!A:R, 6, FALSE), "NO ENCONTRADO EN PLANTA"))</f>
        <v/>
      </c>
      <c r="F1232" s="4">
        <f>IF(B1232="","",IFERROR(VLOOKUP(B1232, PLANTA_BASE!A:R, 8, FALSE), "DOCENTE / FACILITADOR"))</f>
        <v/>
      </c>
      <c r="G1232" s="4">
        <f>IF(B1232="","",IFERROR(VLOOKUP(B1232, PLANTA_BASE!A:R, 9, FALSE), "GENERAL"))</f>
        <v/>
      </c>
      <c r="H1232" s="2">
        <f>IF(B1232="","",IFERROR(VLOOKUP(B1232, PLANTA_BASE!A:R, 17, FALSE), "GENERAL"))</f>
        <v/>
      </c>
    </row>
    <row r="1233" ht="20" customHeight="1">
      <c r="A1233" s="5">
        <f>IF(B1233="","",IFERROR(VLOOKUP(B1233, PLANTA_BASE!A:R, 2, FALSE), "NO ENCONTRADO EN PLANTA"))</f>
        <v/>
      </c>
      <c r="B1233" s="6" t="inlineStr"/>
      <c r="C1233" s="7">
        <f>IF(B1233="","",IFERROR(VLOOKUP(B1233, PLANTA_BASE!A:R, 3, FALSE), ""))</f>
        <v/>
      </c>
      <c r="D1233" s="5">
        <f>IF(B1233="","",IFERROR(VLOOKUP(B1233, PLANTA_BASE!A:R, 5, FALSE), "NO ENCONTRADO EN PLANTA"))</f>
        <v/>
      </c>
      <c r="E1233" s="5">
        <f>IF(B1233="","",IFERROR(VLOOKUP(B1233, PLANTA_BASE!A:R, 6, FALSE), "NO ENCONTRADO EN PLANTA"))</f>
        <v/>
      </c>
      <c r="F1233" s="7">
        <f>IF(B1233="","",IFERROR(VLOOKUP(B1233, PLANTA_BASE!A:R, 8, FALSE), "DOCENTE / FACILITADOR"))</f>
        <v/>
      </c>
      <c r="G1233" s="7">
        <f>IF(B1233="","",IFERROR(VLOOKUP(B1233, PLANTA_BASE!A:R, 9, FALSE), "GENERAL"))</f>
        <v/>
      </c>
      <c r="H1233" s="5">
        <f>IF(B1233="","",IFERROR(VLOOKUP(B1233, PLANTA_BASE!A:R, 17, FALSE), "GENERAL"))</f>
        <v/>
      </c>
    </row>
    <row r="1234" ht="20" customHeight="1">
      <c r="A1234" s="2">
        <f>IF(B1234="","",IFERROR(VLOOKUP(B1234, PLANTA_BASE!A:R, 2, FALSE), "NO ENCONTRADO EN PLANTA"))</f>
        <v/>
      </c>
      <c r="B1234" s="3" t="inlineStr"/>
      <c r="C1234" s="4">
        <f>IF(B1234="","",IFERROR(VLOOKUP(B1234, PLANTA_BASE!A:R, 3, FALSE), ""))</f>
        <v/>
      </c>
      <c r="D1234" s="2">
        <f>IF(B1234="","",IFERROR(VLOOKUP(B1234, PLANTA_BASE!A:R, 5, FALSE), "NO ENCONTRADO EN PLANTA"))</f>
        <v/>
      </c>
      <c r="E1234" s="2">
        <f>IF(B1234="","",IFERROR(VLOOKUP(B1234, PLANTA_BASE!A:R, 6, FALSE), "NO ENCONTRADO EN PLANTA"))</f>
        <v/>
      </c>
      <c r="F1234" s="4">
        <f>IF(B1234="","",IFERROR(VLOOKUP(B1234, PLANTA_BASE!A:R, 8, FALSE), "DOCENTE / FACILITADOR"))</f>
        <v/>
      </c>
      <c r="G1234" s="4">
        <f>IF(B1234="","",IFERROR(VLOOKUP(B1234, PLANTA_BASE!A:R, 9, FALSE), "GENERAL"))</f>
        <v/>
      </c>
      <c r="H1234" s="2">
        <f>IF(B1234="","",IFERROR(VLOOKUP(B1234, PLANTA_BASE!A:R, 17, FALSE), "GENERAL"))</f>
        <v/>
      </c>
    </row>
    <row r="1235" ht="20" customHeight="1">
      <c r="A1235" s="5">
        <f>IF(B1235="","",IFERROR(VLOOKUP(B1235, PLANTA_BASE!A:R, 2, FALSE), "NO ENCONTRADO EN PLANTA"))</f>
        <v/>
      </c>
      <c r="B1235" s="6" t="inlineStr"/>
      <c r="C1235" s="7">
        <f>IF(B1235="","",IFERROR(VLOOKUP(B1235, PLANTA_BASE!A:R, 3, FALSE), ""))</f>
        <v/>
      </c>
      <c r="D1235" s="5">
        <f>IF(B1235="","",IFERROR(VLOOKUP(B1235, PLANTA_BASE!A:R, 5, FALSE), "NO ENCONTRADO EN PLANTA"))</f>
        <v/>
      </c>
      <c r="E1235" s="5">
        <f>IF(B1235="","",IFERROR(VLOOKUP(B1235, PLANTA_BASE!A:R, 6, FALSE), "NO ENCONTRADO EN PLANTA"))</f>
        <v/>
      </c>
      <c r="F1235" s="7">
        <f>IF(B1235="","",IFERROR(VLOOKUP(B1235, PLANTA_BASE!A:R, 8, FALSE), "DOCENTE / FACILITADOR"))</f>
        <v/>
      </c>
      <c r="G1235" s="7">
        <f>IF(B1235="","",IFERROR(VLOOKUP(B1235, PLANTA_BASE!A:R, 9, FALSE), "GENERAL"))</f>
        <v/>
      </c>
      <c r="H1235" s="5">
        <f>IF(B1235="","",IFERROR(VLOOKUP(B1235, PLANTA_BASE!A:R, 17, FALSE), "GENERAL"))</f>
        <v/>
      </c>
    </row>
    <row r="1236" ht="20" customHeight="1">
      <c r="A1236" s="2">
        <f>IF(B1236="","",IFERROR(VLOOKUP(B1236, PLANTA_BASE!A:R, 2, FALSE), "NO ENCONTRADO EN PLANTA"))</f>
        <v/>
      </c>
      <c r="B1236" s="3" t="inlineStr"/>
      <c r="C1236" s="4">
        <f>IF(B1236="","",IFERROR(VLOOKUP(B1236, PLANTA_BASE!A:R, 3, FALSE), ""))</f>
        <v/>
      </c>
      <c r="D1236" s="2">
        <f>IF(B1236="","",IFERROR(VLOOKUP(B1236, PLANTA_BASE!A:R, 5, FALSE), "NO ENCONTRADO EN PLANTA"))</f>
        <v/>
      </c>
      <c r="E1236" s="2">
        <f>IF(B1236="","",IFERROR(VLOOKUP(B1236, PLANTA_BASE!A:R, 6, FALSE), "NO ENCONTRADO EN PLANTA"))</f>
        <v/>
      </c>
      <c r="F1236" s="4">
        <f>IF(B1236="","",IFERROR(VLOOKUP(B1236, PLANTA_BASE!A:R, 8, FALSE), "DOCENTE / FACILITADOR"))</f>
        <v/>
      </c>
      <c r="G1236" s="4">
        <f>IF(B1236="","",IFERROR(VLOOKUP(B1236, PLANTA_BASE!A:R, 9, FALSE), "GENERAL"))</f>
        <v/>
      </c>
      <c r="H1236" s="2">
        <f>IF(B1236="","",IFERROR(VLOOKUP(B1236, PLANTA_BASE!A:R, 17, FALSE), "GENERAL"))</f>
        <v/>
      </c>
    </row>
    <row r="1237" ht="20" customHeight="1">
      <c r="A1237" s="5">
        <f>IF(B1237="","",IFERROR(VLOOKUP(B1237, PLANTA_BASE!A:R, 2, FALSE), "NO ENCONTRADO EN PLANTA"))</f>
        <v/>
      </c>
      <c r="B1237" s="6" t="inlineStr"/>
      <c r="C1237" s="7">
        <f>IF(B1237="","",IFERROR(VLOOKUP(B1237, PLANTA_BASE!A:R, 3, FALSE), ""))</f>
        <v/>
      </c>
      <c r="D1237" s="5">
        <f>IF(B1237="","",IFERROR(VLOOKUP(B1237, PLANTA_BASE!A:R, 5, FALSE), "NO ENCONTRADO EN PLANTA"))</f>
        <v/>
      </c>
      <c r="E1237" s="5">
        <f>IF(B1237="","",IFERROR(VLOOKUP(B1237, PLANTA_BASE!A:R, 6, FALSE), "NO ENCONTRADO EN PLANTA"))</f>
        <v/>
      </c>
      <c r="F1237" s="7">
        <f>IF(B1237="","",IFERROR(VLOOKUP(B1237, PLANTA_BASE!A:R, 8, FALSE), "DOCENTE / FACILITADOR"))</f>
        <v/>
      </c>
      <c r="G1237" s="7">
        <f>IF(B1237="","",IFERROR(VLOOKUP(B1237, PLANTA_BASE!A:R, 9, FALSE), "GENERAL"))</f>
        <v/>
      </c>
      <c r="H1237" s="5">
        <f>IF(B1237="","",IFERROR(VLOOKUP(B1237, PLANTA_BASE!A:R, 17, FALSE), "GENERAL"))</f>
        <v/>
      </c>
    </row>
    <row r="1238" ht="20" customHeight="1">
      <c r="A1238" s="2">
        <f>IF(B1238="","",IFERROR(VLOOKUP(B1238, PLANTA_BASE!A:R, 2, FALSE), "NO ENCONTRADO EN PLANTA"))</f>
        <v/>
      </c>
      <c r="B1238" s="3" t="inlineStr"/>
      <c r="C1238" s="4">
        <f>IF(B1238="","",IFERROR(VLOOKUP(B1238, PLANTA_BASE!A:R, 3, FALSE), ""))</f>
        <v/>
      </c>
      <c r="D1238" s="2">
        <f>IF(B1238="","",IFERROR(VLOOKUP(B1238, PLANTA_BASE!A:R, 5, FALSE), "NO ENCONTRADO EN PLANTA"))</f>
        <v/>
      </c>
      <c r="E1238" s="2">
        <f>IF(B1238="","",IFERROR(VLOOKUP(B1238, PLANTA_BASE!A:R, 6, FALSE), "NO ENCONTRADO EN PLANTA"))</f>
        <v/>
      </c>
      <c r="F1238" s="4">
        <f>IF(B1238="","",IFERROR(VLOOKUP(B1238, PLANTA_BASE!A:R, 8, FALSE), "DOCENTE / FACILITADOR"))</f>
        <v/>
      </c>
      <c r="G1238" s="4">
        <f>IF(B1238="","",IFERROR(VLOOKUP(B1238, PLANTA_BASE!A:R, 9, FALSE), "GENERAL"))</f>
        <v/>
      </c>
      <c r="H1238" s="2">
        <f>IF(B1238="","",IFERROR(VLOOKUP(B1238, PLANTA_BASE!A:R, 17, FALSE), "GENERAL"))</f>
        <v/>
      </c>
    </row>
    <row r="1239" ht="20" customHeight="1">
      <c r="A1239" s="5">
        <f>IF(B1239="","",IFERROR(VLOOKUP(B1239, PLANTA_BASE!A:R, 2, FALSE), "NO ENCONTRADO EN PLANTA"))</f>
        <v/>
      </c>
      <c r="B1239" s="6" t="inlineStr"/>
      <c r="C1239" s="7">
        <f>IF(B1239="","",IFERROR(VLOOKUP(B1239, PLANTA_BASE!A:R, 3, FALSE), ""))</f>
        <v/>
      </c>
      <c r="D1239" s="5">
        <f>IF(B1239="","",IFERROR(VLOOKUP(B1239, PLANTA_BASE!A:R, 5, FALSE), "NO ENCONTRADO EN PLANTA"))</f>
        <v/>
      </c>
      <c r="E1239" s="5">
        <f>IF(B1239="","",IFERROR(VLOOKUP(B1239, PLANTA_BASE!A:R, 6, FALSE), "NO ENCONTRADO EN PLANTA"))</f>
        <v/>
      </c>
      <c r="F1239" s="7">
        <f>IF(B1239="","",IFERROR(VLOOKUP(B1239, PLANTA_BASE!A:R, 8, FALSE), "DOCENTE / FACILITADOR"))</f>
        <v/>
      </c>
      <c r="G1239" s="7">
        <f>IF(B1239="","",IFERROR(VLOOKUP(B1239, PLANTA_BASE!A:R, 9, FALSE), "GENERAL"))</f>
        <v/>
      </c>
      <c r="H1239" s="5">
        <f>IF(B1239="","",IFERROR(VLOOKUP(B1239, PLANTA_BASE!A:R, 17, FALSE), "GENERAL"))</f>
        <v/>
      </c>
    </row>
    <row r="1240" ht="20" customHeight="1">
      <c r="A1240" s="2">
        <f>IF(B1240="","",IFERROR(VLOOKUP(B1240, PLANTA_BASE!A:R, 2, FALSE), "NO ENCONTRADO EN PLANTA"))</f>
        <v/>
      </c>
      <c r="B1240" s="3" t="inlineStr"/>
      <c r="C1240" s="4">
        <f>IF(B1240="","",IFERROR(VLOOKUP(B1240, PLANTA_BASE!A:R, 3, FALSE), ""))</f>
        <v/>
      </c>
      <c r="D1240" s="2">
        <f>IF(B1240="","",IFERROR(VLOOKUP(B1240, PLANTA_BASE!A:R, 5, FALSE), "NO ENCONTRADO EN PLANTA"))</f>
        <v/>
      </c>
      <c r="E1240" s="2">
        <f>IF(B1240="","",IFERROR(VLOOKUP(B1240, PLANTA_BASE!A:R, 6, FALSE), "NO ENCONTRADO EN PLANTA"))</f>
        <v/>
      </c>
      <c r="F1240" s="4">
        <f>IF(B1240="","",IFERROR(VLOOKUP(B1240, PLANTA_BASE!A:R, 8, FALSE), "DOCENTE / FACILITADOR"))</f>
        <v/>
      </c>
      <c r="G1240" s="4">
        <f>IF(B1240="","",IFERROR(VLOOKUP(B1240, PLANTA_BASE!A:R, 9, FALSE), "GENERAL"))</f>
        <v/>
      </c>
      <c r="H1240" s="2">
        <f>IF(B1240="","",IFERROR(VLOOKUP(B1240, PLANTA_BASE!A:R, 17, FALSE), "GENERAL"))</f>
        <v/>
      </c>
    </row>
    <row r="1241" ht="20" customHeight="1">
      <c r="A1241" s="5">
        <f>IF(B1241="","",IFERROR(VLOOKUP(B1241, PLANTA_BASE!A:R, 2, FALSE), "NO ENCONTRADO EN PLANTA"))</f>
        <v/>
      </c>
      <c r="B1241" s="6" t="inlineStr"/>
      <c r="C1241" s="7">
        <f>IF(B1241="","",IFERROR(VLOOKUP(B1241, PLANTA_BASE!A:R, 3, FALSE), ""))</f>
        <v/>
      </c>
      <c r="D1241" s="5">
        <f>IF(B1241="","",IFERROR(VLOOKUP(B1241, PLANTA_BASE!A:R, 5, FALSE), "NO ENCONTRADO EN PLANTA"))</f>
        <v/>
      </c>
      <c r="E1241" s="5">
        <f>IF(B1241="","",IFERROR(VLOOKUP(B1241, PLANTA_BASE!A:R, 6, FALSE), "NO ENCONTRADO EN PLANTA"))</f>
        <v/>
      </c>
      <c r="F1241" s="7">
        <f>IF(B1241="","",IFERROR(VLOOKUP(B1241, PLANTA_BASE!A:R, 8, FALSE), "DOCENTE / FACILITADOR"))</f>
        <v/>
      </c>
      <c r="G1241" s="7">
        <f>IF(B1241="","",IFERROR(VLOOKUP(B1241, PLANTA_BASE!A:R, 9, FALSE), "GENERAL"))</f>
        <v/>
      </c>
      <c r="H1241" s="5">
        <f>IF(B1241="","",IFERROR(VLOOKUP(B1241, PLANTA_BASE!A:R, 17, FALSE), "GENERAL"))</f>
        <v/>
      </c>
    </row>
    <row r="1242" ht="20" customHeight="1">
      <c r="A1242" s="2">
        <f>IF(B1242="","",IFERROR(VLOOKUP(B1242, PLANTA_BASE!A:R, 2, FALSE), "NO ENCONTRADO EN PLANTA"))</f>
        <v/>
      </c>
      <c r="B1242" s="3" t="inlineStr"/>
      <c r="C1242" s="4">
        <f>IF(B1242="","",IFERROR(VLOOKUP(B1242, PLANTA_BASE!A:R, 3, FALSE), ""))</f>
        <v/>
      </c>
      <c r="D1242" s="2">
        <f>IF(B1242="","",IFERROR(VLOOKUP(B1242, PLANTA_BASE!A:R, 5, FALSE), "NO ENCONTRADO EN PLANTA"))</f>
        <v/>
      </c>
      <c r="E1242" s="2">
        <f>IF(B1242="","",IFERROR(VLOOKUP(B1242, PLANTA_BASE!A:R, 6, FALSE), "NO ENCONTRADO EN PLANTA"))</f>
        <v/>
      </c>
      <c r="F1242" s="4">
        <f>IF(B1242="","",IFERROR(VLOOKUP(B1242, PLANTA_BASE!A:R, 8, FALSE), "DOCENTE / FACILITADOR"))</f>
        <v/>
      </c>
      <c r="G1242" s="4">
        <f>IF(B1242="","",IFERROR(VLOOKUP(B1242, PLANTA_BASE!A:R, 9, FALSE), "GENERAL"))</f>
        <v/>
      </c>
      <c r="H1242" s="2">
        <f>IF(B1242="","",IFERROR(VLOOKUP(B1242, PLANTA_BASE!A:R, 17, FALSE), "GENERAL"))</f>
        <v/>
      </c>
    </row>
    <row r="1243" ht="20" customHeight="1">
      <c r="A1243" s="5">
        <f>IF(B1243="","",IFERROR(VLOOKUP(B1243, PLANTA_BASE!A:R, 2, FALSE), "NO ENCONTRADO EN PLANTA"))</f>
        <v/>
      </c>
      <c r="B1243" s="6" t="inlineStr"/>
      <c r="C1243" s="7">
        <f>IF(B1243="","",IFERROR(VLOOKUP(B1243, PLANTA_BASE!A:R, 3, FALSE), ""))</f>
        <v/>
      </c>
      <c r="D1243" s="5">
        <f>IF(B1243="","",IFERROR(VLOOKUP(B1243, PLANTA_BASE!A:R, 5, FALSE), "NO ENCONTRADO EN PLANTA"))</f>
        <v/>
      </c>
      <c r="E1243" s="5">
        <f>IF(B1243="","",IFERROR(VLOOKUP(B1243, PLANTA_BASE!A:R, 6, FALSE), "NO ENCONTRADO EN PLANTA"))</f>
        <v/>
      </c>
      <c r="F1243" s="7">
        <f>IF(B1243="","",IFERROR(VLOOKUP(B1243, PLANTA_BASE!A:R, 8, FALSE), "DOCENTE / FACILITADOR"))</f>
        <v/>
      </c>
      <c r="G1243" s="7">
        <f>IF(B1243="","",IFERROR(VLOOKUP(B1243, PLANTA_BASE!A:R, 9, FALSE), "GENERAL"))</f>
        <v/>
      </c>
      <c r="H1243" s="5">
        <f>IF(B1243="","",IFERROR(VLOOKUP(B1243, PLANTA_BASE!A:R, 17, FALSE), "GENERAL"))</f>
        <v/>
      </c>
    </row>
    <row r="1244" ht="20" customHeight="1">
      <c r="A1244" s="2">
        <f>IF(B1244="","",IFERROR(VLOOKUP(B1244, PLANTA_BASE!A:R, 2, FALSE), "NO ENCONTRADO EN PLANTA"))</f>
        <v/>
      </c>
      <c r="B1244" s="3" t="inlineStr"/>
      <c r="C1244" s="4">
        <f>IF(B1244="","",IFERROR(VLOOKUP(B1244, PLANTA_BASE!A:R, 3, FALSE), ""))</f>
        <v/>
      </c>
      <c r="D1244" s="2">
        <f>IF(B1244="","",IFERROR(VLOOKUP(B1244, PLANTA_BASE!A:R, 5, FALSE), "NO ENCONTRADO EN PLANTA"))</f>
        <v/>
      </c>
      <c r="E1244" s="2">
        <f>IF(B1244="","",IFERROR(VLOOKUP(B1244, PLANTA_BASE!A:R, 6, FALSE), "NO ENCONTRADO EN PLANTA"))</f>
        <v/>
      </c>
      <c r="F1244" s="4">
        <f>IF(B1244="","",IFERROR(VLOOKUP(B1244, PLANTA_BASE!A:R, 8, FALSE), "DOCENTE / FACILITADOR"))</f>
        <v/>
      </c>
      <c r="G1244" s="4">
        <f>IF(B1244="","",IFERROR(VLOOKUP(B1244, PLANTA_BASE!A:R, 9, FALSE), "GENERAL"))</f>
        <v/>
      </c>
      <c r="H1244" s="2">
        <f>IF(B1244="","",IFERROR(VLOOKUP(B1244, PLANTA_BASE!A:R, 17, FALSE), "GENERAL"))</f>
        <v/>
      </c>
    </row>
    <row r="1245" ht="20" customHeight="1">
      <c r="A1245" s="5">
        <f>IF(B1245="","",IFERROR(VLOOKUP(B1245, PLANTA_BASE!A:R, 2, FALSE), "NO ENCONTRADO EN PLANTA"))</f>
        <v/>
      </c>
      <c r="B1245" s="6" t="inlineStr"/>
      <c r="C1245" s="7">
        <f>IF(B1245="","",IFERROR(VLOOKUP(B1245, PLANTA_BASE!A:R, 3, FALSE), ""))</f>
        <v/>
      </c>
      <c r="D1245" s="5">
        <f>IF(B1245="","",IFERROR(VLOOKUP(B1245, PLANTA_BASE!A:R, 5, FALSE), "NO ENCONTRADO EN PLANTA"))</f>
        <v/>
      </c>
      <c r="E1245" s="5">
        <f>IF(B1245="","",IFERROR(VLOOKUP(B1245, PLANTA_BASE!A:R, 6, FALSE), "NO ENCONTRADO EN PLANTA"))</f>
        <v/>
      </c>
      <c r="F1245" s="7">
        <f>IF(B1245="","",IFERROR(VLOOKUP(B1245, PLANTA_BASE!A:R, 8, FALSE), "DOCENTE / FACILITADOR"))</f>
        <v/>
      </c>
      <c r="G1245" s="7">
        <f>IF(B1245="","",IFERROR(VLOOKUP(B1245, PLANTA_BASE!A:R, 9, FALSE), "GENERAL"))</f>
        <v/>
      </c>
      <c r="H1245" s="5">
        <f>IF(B1245="","",IFERROR(VLOOKUP(B1245, PLANTA_BASE!A:R, 17, FALSE), "GENERAL"))</f>
        <v/>
      </c>
    </row>
    <row r="1246" ht="20" customHeight="1">
      <c r="A1246" s="2">
        <f>IF(B1246="","",IFERROR(VLOOKUP(B1246, PLANTA_BASE!A:R, 2, FALSE), "NO ENCONTRADO EN PLANTA"))</f>
        <v/>
      </c>
      <c r="B1246" s="3" t="inlineStr"/>
      <c r="C1246" s="4">
        <f>IF(B1246="","",IFERROR(VLOOKUP(B1246, PLANTA_BASE!A:R, 3, FALSE), ""))</f>
        <v/>
      </c>
      <c r="D1246" s="2">
        <f>IF(B1246="","",IFERROR(VLOOKUP(B1246, PLANTA_BASE!A:R, 5, FALSE), "NO ENCONTRADO EN PLANTA"))</f>
        <v/>
      </c>
      <c r="E1246" s="2">
        <f>IF(B1246="","",IFERROR(VLOOKUP(B1246, PLANTA_BASE!A:R, 6, FALSE), "NO ENCONTRADO EN PLANTA"))</f>
        <v/>
      </c>
      <c r="F1246" s="4">
        <f>IF(B1246="","",IFERROR(VLOOKUP(B1246, PLANTA_BASE!A:R, 8, FALSE), "DOCENTE / FACILITADOR"))</f>
        <v/>
      </c>
      <c r="G1246" s="4">
        <f>IF(B1246="","",IFERROR(VLOOKUP(B1246, PLANTA_BASE!A:R, 9, FALSE), "GENERAL"))</f>
        <v/>
      </c>
      <c r="H1246" s="2">
        <f>IF(B1246="","",IFERROR(VLOOKUP(B1246, PLANTA_BASE!A:R, 17, FALSE), "GENERAL"))</f>
        <v/>
      </c>
    </row>
    <row r="1247" ht="20" customHeight="1">
      <c r="A1247" s="5">
        <f>IF(B1247="","",IFERROR(VLOOKUP(B1247, PLANTA_BASE!A:R, 2, FALSE), "NO ENCONTRADO EN PLANTA"))</f>
        <v/>
      </c>
      <c r="B1247" s="6" t="inlineStr"/>
      <c r="C1247" s="7">
        <f>IF(B1247="","",IFERROR(VLOOKUP(B1247, PLANTA_BASE!A:R, 3, FALSE), ""))</f>
        <v/>
      </c>
      <c r="D1247" s="5">
        <f>IF(B1247="","",IFERROR(VLOOKUP(B1247, PLANTA_BASE!A:R, 5, FALSE), "NO ENCONTRADO EN PLANTA"))</f>
        <v/>
      </c>
      <c r="E1247" s="5">
        <f>IF(B1247="","",IFERROR(VLOOKUP(B1247, PLANTA_BASE!A:R, 6, FALSE), "NO ENCONTRADO EN PLANTA"))</f>
        <v/>
      </c>
      <c r="F1247" s="7">
        <f>IF(B1247="","",IFERROR(VLOOKUP(B1247, PLANTA_BASE!A:R, 8, FALSE), "DOCENTE / FACILITADOR"))</f>
        <v/>
      </c>
      <c r="G1247" s="7">
        <f>IF(B1247="","",IFERROR(VLOOKUP(B1247, PLANTA_BASE!A:R, 9, FALSE), "GENERAL"))</f>
        <v/>
      </c>
      <c r="H1247" s="5">
        <f>IF(B1247="","",IFERROR(VLOOKUP(B1247, PLANTA_BASE!A:R, 17, FALSE), "GENERAL"))</f>
        <v/>
      </c>
    </row>
    <row r="1248" ht="20" customHeight="1">
      <c r="A1248" s="2">
        <f>IF(B1248="","",IFERROR(VLOOKUP(B1248, PLANTA_BASE!A:R, 2, FALSE), "NO ENCONTRADO EN PLANTA"))</f>
        <v/>
      </c>
      <c r="B1248" s="3" t="inlineStr"/>
      <c r="C1248" s="4">
        <f>IF(B1248="","",IFERROR(VLOOKUP(B1248, PLANTA_BASE!A:R, 3, FALSE), ""))</f>
        <v/>
      </c>
      <c r="D1248" s="2">
        <f>IF(B1248="","",IFERROR(VLOOKUP(B1248, PLANTA_BASE!A:R, 5, FALSE), "NO ENCONTRADO EN PLANTA"))</f>
        <v/>
      </c>
      <c r="E1248" s="2">
        <f>IF(B1248="","",IFERROR(VLOOKUP(B1248, PLANTA_BASE!A:R, 6, FALSE), "NO ENCONTRADO EN PLANTA"))</f>
        <v/>
      </c>
      <c r="F1248" s="4">
        <f>IF(B1248="","",IFERROR(VLOOKUP(B1248, PLANTA_BASE!A:R, 8, FALSE), "DOCENTE / FACILITADOR"))</f>
        <v/>
      </c>
      <c r="G1248" s="4">
        <f>IF(B1248="","",IFERROR(VLOOKUP(B1248, PLANTA_BASE!A:R, 9, FALSE), "GENERAL"))</f>
        <v/>
      </c>
      <c r="H1248" s="2">
        <f>IF(B1248="","",IFERROR(VLOOKUP(B1248, PLANTA_BASE!A:R, 17, FALSE), "GENERAL"))</f>
        <v/>
      </c>
    </row>
    <row r="1249" ht="20" customHeight="1">
      <c r="A1249" s="5">
        <f>IF(B1249="","",IFERROR(VLOOKUP(B1249, PLANTA_BASE!A:R, 2, FALSE), "NO ENCONTRADO EN PLANTA"))</f>
        <v/>
      </c>
      <c r="B1249" s="6" t="inlineStr"/>
      <c r="C1249" s="7">
        <f>IF(B1249="","",IFERROR(VLOOKUP(B1249, PLANTA_BASE!A:R, 3, FALSE), ""))</f>
        <v/>
      </c>
      <c r="D1249" s="5">
        <f>IF(B1249="","",IFERROR(VLOOKUP(B1249, PLANTA_BASE!A:R, 5, FALSE), "NO ENCONTRADO EN PLANTA"))</f>
        <v/>
      </c>
      <c r="E1249" s="5">
        <f>IF(B1249="","",IFERROR(VLOOKUP(B1249, PLANTA_BASE!A:R, 6, FALSE), "NO ENCONTRADO EN PLANTA"))</f>
        <v/>
      </c>
      <c r="F1249" s="7">
        <f>IF(B1249="","",IFERROR(VLOOKUP(B1249, PLANTA_BASE!A:R, 8, FALSE), "DOCENTE / FACILITADOR"))</f>
        <v/>
      </c>
      <c r="G1249" s="7">
        <f>IF(B1249="","",IFERROR(VLOOKUP(B1249, PLANTA_BASE!A:R, 9, FALSE), "GENERAL"))</f>
        <v/>
      </c>
      <c r="H1249" s="5">
        <f>IF(B1249="","",IFERROR(VLOOKUP(B1249, PLANTA_BASE!A:R, 17, FALSE), "GENERAL"))</f>
        <v/>
      </c>
    </row>
    <row r="1250" ht="20" customHeight="1">
      <c r="A1250" s="2">
        <f>IF(B1250="","",IFERROR(VLOOKUP(B1250, PLANTA_BASE!A:R, 2, FALSE), "NO ENCONTRADO EN PLANTA"))</f>
        <v/>
      </c>
      <c r="B1250" s="3" t="inlineStr"/>
      <c r="C1250" s="4">
        <f>IF(B1250="","",IFERROR(VLOOKUP(B1250, PLANTA_BASE!A:R, 3, FALSE), ""))</f>
        <v/>
      </c>
      <c r="D1250" s="2">
        <f>IF(B1250="","",IFERROR(VLOOKUP(B1250, PLANTA_BASE!A:R, 5, FALSE), "NO ENCONTRADO EN PLANTA"))</f>
        <v/>
      </c>
      <c r="E1250" s="2">
        <f>IF(B1250="","",IFERROR(VLOOKUP(B1250, PLANTA_BASE!A:R, 6, FALSE), "NO ENCONTRADO EN PLANTA"))</f>
        <v/>
      </c>
      <c r="F1250" s="4">
        <f>IF(B1250="","",IFERROR(VLOOKUP(B1250, PLANTA_BASE!A:R, 8, FALSE), "DOCENTE / FACILITADOR"))</f>
        <v/>
      </c>
      <c r="G1250" s="4">
        <f>IF(B1250="","",IFERROR(VLOOKUP(B1250, PLANTA_BASE!A:R, 9, FALSE), "GENERAL"))</f>
        <v/>
      </c>
      <c r="H1250" s="2">
        <f>IF(B1250="","",IFERROR(VLOOKUP(B1250, PLANTA_BASE!A:R, 17, FALSE), "GENERAL"))</f>
        <v/>
      </c>
    </row>
    <row r="1251" ht="20" customHeight="1">
      <c r="A1251" s="5">
        <f>IF(B1251="","",IFERROR(VLOOKUP(B1251, PLANTA_BASE!A:R, 2, FALSE), "NO ENCONTRADO EN PLANTA"))</f>
        <v/>
      </c>
      <c r="B1251" s="6" t="inlineStr"/>
      <c r="C1251" s="7">
        <f>IF(B1251="","",IFERROR(VLOOKUP(B1251, PLANTA_BASE!A:R, 3, FALSE), ""))</f>
        <v/>
      </c>
      <c r="D1251" s="5">
        <f>IF(B1251="","",IFERROR(VLOOKUP(B1251, PLANTA_BASE!A:R, 5, FALSE), "NO ENCONTRADO EN PLANTA"))</f>
        <v/>
      </c>
      <c r="E1251" s="5">
        <f>IF(B1251="","",IFERROR(VLOOKUP(B1251, PLANTA_BASE!A:R, 6, FALSE), "NO ENCONTRADO EN PLANTA"))</f>
        <v/>
      </c>
      <c r="F1251" s="7">
        <f>IF(B1251="","",IFERROR(VLOOKUP(B1251, PLANTA_BASE!A:R, 8, FALSE), "DOCENTE / FACILITADOR"))</f>
        <v/>
      </c>
      <c r="G1251" s="7">
        <f>IF(B1251="","",IFERROR(VLOOKUP(B1251, PLANTA_BASE!A:R, 9, FALSE), "GENERAL"))</f>
        <v/>
      </c>
      <c r="H1251" s="5">
        <f>IF(B1251="","",IFERROR(VLOOKUP(B1251, PLANTA_BASE!A:R, 17, FALSE), "GENERAL"))</f>
        <v/>
      </c>
    </row>
    <row r="1252" ht="20" customHeight="1">
      <c r="A1252" s="2">
        <f>IF(B1252="","",IFERROR(VLOOKUP(B1252, PLANTA_BASE!A:R, 2, FALSE), "NO ENCONTRADO EN PLANTA"))</f>
        <v/>
      </c>
      <c r="B1252" s="3" t="inlineStr"/>
      <c r="C1252" s="4">
        <f>IF(B1252="","",IFERROR(VLOOKUP(B1252, PLANTA_BASE!A:R, 3, FALSE), ""))</f>
        <v/>
      </c>
      <c r="D1252" s="2">
        <f>IF(B1252="","",IFERROR(VLOOKUP(B1252, PLANTA_BASE!A:R, 5, FALSE), "NO ENCONTRADO EN PLANTA"))</f>
        <v/>
      </c>
      <c r="E1252" s="2">
        <f>IF(B1252="","",IFERROR(VLOOKUP(B1252, PLANTA_BASE!A:R, 6, FALSE), "NO ENCONTRADO EN PLANTA"))</f>
        <v/>
      </c>
      <c r="F1252" s="4">
        <f>IF(B1252="","",IFERROR(VLOOKUP(B1252, PLANTA_BASE!A:R, 8, FALSE), "DOCENTE / FACILITADOR"))</f>
        <v/>
      </c>
      <c r="G1252" s="4">
        <f>IF(B1252="","",IFERROR(VLOOKUP(B1252, PLANTA_BASE!A:R, 9, FALSE), "GENERAL"))</f>
        <v/>
      </c>
      <c r="H1252" s="2">
        <f>IF(B1252="","",IFERROR(VLOOKUP(B1252, PLANTA_BASE!A:R, 17, FALSE), "GENERAL"))</f>
        <v/>
      </c>
    </row>
    <row r="1253" ht="20" customHeight="1">
      <c r="A1253" s="5">
        <f>IF(B1253="","",IFERROR(VLOOKUP(B1253, PLANTA_BASE!A:R, 2, FALSE), "NO ENCONTRADO EN PLANTA"))</f>
        <v/>
      </c>
      <c r="B1253" s="6" t="inlineStr"/>
      <c r="C1253" s="7">
        <f>IF(B1253="","",IFERROR(VLOOKUP(B1253, PLANTA_BASE!A:R, 3, FALSE), ""))</f>
        <v/>
      </c>
      <c r="D1253" s="5">
        <f>IF(B1253="","",IFERROR(VLOOKUP(B1253, PLANTA_BASE!A:R, 5, FALSE), "NO ENCONTRADO EN PLANTA"))</f>
        <v/>
      </c>
      <c r="E1253" s="5">
        <f>IF(B1253="","",IFERROR(VLOOKUP(B1253, PLANTA_BASE!A:R, 6, FALSE), "NO ENCONTRADO EN PLANTA"))</f>
        <v/>
      </c>
      <c r="F1253" s="7">
        <f>IF(B1253="","",IFERROR(VLOOKUP(B1253, PLANTA_BASE!A:R, 8, FALSE), "DOCENTE / FACILITADOR"))</f>
        <v/>
      </c>
      <c r="G1253" s="7">
        <f>IF(B1253="","",IFERROR(VLOOKUP(B1253, PLANTA_BASE!A:R, 9, FALSE), "GENERAL"))</f>
        <v/>
      </c>
      <c r="H1253" s="5">
        <f>IF(B1253="","",IFERROR(VLOOKUP(B1253, PLANTA_BASE!A:R, 17, FALSE), "GENERAL"))</f>
        <v/>
      </c>
    </row>
    <row r="1254" ht="20" customHeight="1">
      <c r="A1254" s="2">
        <f>IF(B1254="","",IFERROR(VLOOKUP(B1254, PLANTA_BASE!A:R, 2, FALSE), "NO ENCONTRADO EN PLANTA"))</f>
        <v/>
      </c>
      <c r="B1254" s="3" t="inlineStr"/>
      <c r="C1254" s="4">
        <f>IF(B1254="","",IFERROR(VLOOKUP(B1254, PLANTA_BASE!A:R, 3, FALSE), ""))</f>
        <v/>
      </c>
      <c r="D1254" s="2">
        <f>IF(B1254="","",IFERROR(VLOOKUP(B1254, PLANTA_BASE!A:R, 5, FALSE), "NO ENCONTRADO EN PLANTA"))</f>
        <v/>
      </c>
      <c r="E1254" s="2">
        <f>IF(B1254="","",IFERROR(VLOOKUP(B1254, PLANTA_BASE!A:R, 6, FALSE), "NO ENCONTRADO EN PLANTA"))</f>
        <v/>
      </c>
      <c r="F1254" s="4">
        <f>IF(B1254="","",IFERROR(VLOOKUP(B1254, PLANTA_BASE!A:R, 8, FALSE), "DOCENTE / FACILITADOR"))</f>
        <v/>
      </c>
      <c r="G1254" s="4">
        <f>IF(B1254="","",IFERROR(VLOOKUP(B1254, PLANTA_BASE!A:R, 9, FALSE), "GENERAL"))</f>
        <v/>
      </c>
      <c r="H1254" s="2">
        <f>IF(B1254="","",IFERROR(VLOOKUP(B1254, PLANTA_BASE!A:R, 17, FALSE), "GENERAL"))</f>
        <v/>
      </c>
    </row>
    <row r="1255" ht="20" customHeight="1">
      <c r="A1255" s="5">
        <f>IF(B1255="","",IFERROR(VLOOKUP(B1255, PLANTA_BASE!A:R, 2, FALSE), "NO ENCONTRADO EN PLANTA"))</f>
        <v/>
      </c>
      <c r="B1255" s="6" t="inlineStr"/>
      <c r="C1255" s="7">
        <f>IF(B1255="","",IFERROR(VLOOKUP(B1255, PLANTA_BASE!A:R, 3, FALSE), ""))</f>
        <v/>
      </c>
      <c r="D1255" s="5">
        <f>IF(B1255="","",IFERROR(VLOOKUP(B1255, PLANTA_BASE!A:R, 5, FALSE), "NO ENCONTRADO EN PLANTA"))</f>
        <v/>
      </c>
      <c r="E1255" s="5">
        <f>IF(B1255="","",IFERROR(VLOOKUP(B1255, PLANTA_BASE!A:R, 6, FALSE), "NO ENCONTRADO EN PLANTA"))</f>
        <v/>
      </c>
      <c r="F1255" s="7">
        <f>IF(B1255="","",IFERROR(VLOOKUP(B1255, PLANTA_BASE!A:R, 8, FALSE), "DOCENTE / FACILITADOR"))</f>
        <v/>
      </c>
      <c r="G1255" s="7">
        <f>IF(B1255="","",IFERROR(VLOOKUP(B1255, PLANTA_BASE!A:R, 9, FALSE), "GENERAL"))</f>
        <v/>
      </c>
      <c r="H1255" s="5">
        <f>IF(B1255="","",IFERROR(VLOOKUP(B1255, PLANTA_BASE!A:R, 17, FALSE), "GENERAL"))</f>
        <v/>
      </c>
    </row>
    <row r="1256" ht="20" customHeight="1">
      <c r="A1256" s="2">
        <f>IF(B1256="","",IFERROR(VLOOKUP(B1256, PLANTA_BASE!A:R, 2, FALSE), "NO ENCONTRADO EN PLANTA"))</f>
        <v/>
      </c>
      <c r="B1256" s="3" t="inlineStr"/>
      <c r="C1256" s="4">
        <f>IF(B1256="","",IFERROR(VLOOKUP(B1256, PLANTA_BASE!A:R, 3, FALSE), ""))</f>
        <v/>
      </c>
      <c r="D1256" s="2">
        <f>IF(B1256="","",IFERROR(VLOOKUP(B1256, PLANTA_BASE!A:R, 5, FALSE), "NO ENCONTRADO EN PLANTA"))</f>
        <v/>
      </c>
      <c r="E1256" s="2">
        <f>IF(B1256="","",IFERROR(VLOOKUP(B1256, PLANTA_BASE!A:R, 6, FALSE), "NO ENCONTRADO EN PLANTA"))</f>
        <v/>
      </c>
      <c r="F1256" s="4">
        <f>IF(B1256="","",IFERROR(VLOOKUP(B1256, PLANTA_BASE!A:R, 8, FALSE), "DOCENTE / FACILITADOR"))</f>
        <v/>
      </c>
      <c r="G1256" s="4">
        <f>IF(B1256="","",IFERROR(VLOOKUP(B1256, PLANTA_BASE!A:R, 9, FALSE), "GENERAL"))</f>
        <v/>
      </c>
      <c r="H1256" s="2">
        <f>IF(B1256="","",IFERROR(VLOOKUP(B1256, PLANTA_BASE!A:R, 17, FALSE), "GENERAL"))</f>
        <v/>
      </c>
    </row>
    <row r="1257" ht="20" customHeight="1">
      <c r="A1257" s="5">
        <f>IF(B1257="","",IFERROR(VLOOKUP(B1257, PLANTA_BASE!A:R, 2, FALSE), "NO ENCONTRADO EN PLANTA"))</f>
        <v/>
      </c>
      <c r="B1257" s="6" t="inlineStr"/>
      <c r="C1257" s="7">
        <f>IF(B1257="","",IFERROR(VLOOKUP(B1257, PLANTA_BASE!A:R, 3, FALSE), ""))</f>
        <v/>
      </c>
      <c r="D1257" s="5">
        <f>IF(B1257="","",IFERROR(VLOOKUP(B1257, PLANTA_BASE!A:R, 5, FALSE), "NO ENCONTRADO EN PLANTA"))</f>
        <v/>
      </c>
      <c r="E1257" s="5">
        <f>IF(B1257="","",IFERROR(VLOOKUP(B1257, PLANTA_BASE!A:R, 6, FALSE), "NO ENCONTRADO EN PLANTA"))</f>
        <v/>
      </c>
      <c r="F1257" s="7">
        <f>IF(B1257="","",IFERROR(VLOOKUP(B1257, PLANTA_BASE!A:R, 8, FALSE), "DOCENTE / FACILITADOR"))</f>
        <v/>
      </c>
      <c r="G1257" s="7">
        <f>IF(B1257="","",IFERROR(VLOOKUP(B1257, PLANTA_BASE!A:R, 9, FALSE), "GENERAL"))</f>
        <v/>
      </c>
      <c r="H1257" s="5">
        <f>IF(B1257="","",IFERROR(VLOOKUP(B1257, PLANTA_BASE!A:R, 17, FALSE), "GENERAL"))</f>
        <v/>
      </c>
    </row>
    <row r="1258" ht="20" customHeight="1">
      <c r="A1258" s="2">
        <f>IF(B1258="","",IFERROR(VLOOKUP(B1258, PLANTA_BASE!A:R, 2, FALSE), "NO ENCONTRADO EN PLANTA"))</f>
        <v/>
      </c>
      <c r="B1258" s="3" t="inlineStr"/>
      <c r="C1258" s="4">
        <f>IF(B1258="","",IFERROR(VLOOKUP(B1258, PLANTA_BASE!A:R, 3, FALSE), ""))</f>
        <v/>
      </c>
      <c r="D1258" s="2">
        <f>IF(B1258="","",IFERROR(VLOOKUP(B1258, PLANTA_BASE!A:R, 5, FALSE), "NO ENCONTRADO EN PLANTA"))</f>
        <v/>
      </c>
      <c r="E1258" s="2">
        <f>IF(B1258="","",IFERROR(VLOOKUP(B1258, PLANTA_BASE!A:R, 6, FALSE), "NO ENCONTRADO EN PLANTA"))</f>
        <v/>
      </c>
      <c r="F1258" s="4">
        <f>IF(B1258="","",IFERROR(VLOOKUP(B1258, PLANTA_BASE!A:R, 8, FALSE), "DOCENTE / FACILITADOR"))</f>
        <v/>
      </c>
      <c r="G1258" s="4">
        <f>IF(B1258="","",IFERROR(VLOOKUP(B1258, PLANTA_BASE!A:R, 9, FALSE), "GENERAL"))</f>
        <v/>
      </c>
      <c r="H1258" s="2">
        <f>IF(B1258="","",IFERROR(VLOOKUP(B1258, PLANTA_BASE!A:R, 17, FALSE), "GENERAL"))</f>
        <v/>
      </c>
    </row>
    <row r="1259" ht="20" customHeight="1">
      <c r="A1259" s="5">
        <f>IF(B1259="","",IFERROR(VLOOKUP(B1259, PLANTA_BASE!A:R, 2, FALSE), "NO ENCONTRADO EN PLANTA"))</f>
        <v/>
      </c>
      <c r="B1259" s="6" t="inlineStr"/>
      <c r="C1259" s="7">
        <f>IF(B1259="","",IFERROR(VLOOKUP(B1259, PLANTA_BASE!A:R, 3, FALSE), ""))</f>
        <v/>
      </c>
      <c r="D1259" s="5">
        <f>IF(B1259="","",IFERROR(VLOOKUP(B1259, PLANTA_BASE!A:R, 5, FALSE), "NO ENCONTRADO EN PLANTA"))</f>
        <v/>
      </c>
      <c r="E1259" s="5">
        <f>IF(B1259="","",IFERROR(VLOOKUP(B1259, PLANTA_BASE!A:R, 6, FALSE), "NO ENCONTRADO EN PLANTA"))</f>
        <v/>
      </c>
      <c r="F1259" s="7">
        <f>IF(B1259="","",IFERROR(VLOOKUP(B1259, PLANTA_BASE!A:R, 8, FALSE), "DOCENTE / FACILITADOR"))</f>
        <v/>
      </c>
      <c r="G1259" s="7">
        <f>IF(B1259="","",IFERROR(VLOOKUP(B1259, PLANTA_BASE!A:R, 9, FALSE), "GENERAL"))</f>
        <v/>
      </c>
      <c r="H1259" s="5">
        <f>IF(B1259="","",IFERROR(VLOOKUP(B1259, PLANTA_BASE!A:R, 17, FALSE), "GENERAL"))</f>
        <v/>
      </c>
    </row>
    <row r="1260" ht="20" customHeight="1">
      <c r="A1260" s="2">
        <f>IF(B1260="","",IFERROR(VLOOKUP(B1260, PLANTA_BASE!A:R, 2, FALSE), "NO ENCONTRADO EN PLANTA"))</f>
        <v/>
      </c>
      <c r="B1260" s="3" t="inlineStr"/>
      <c r="C1260" s="4">
        <f>IF(B1260="","",IFERROR(VLOOKUP(B1260, PLANTA_BASE!A:R, 3, FALSE), ""))</f>
        <v/>
      </c>
      <c r="D1260" s="2">
        <f>IF(B1260="","",IFERROR(VLOOKUP(B1260, PLANTA_BASE!A:R, 5, FALSE), "NO ENCONTRADO EN PLANTA"))</f>
        <v/>
      </c>
      <c r="E1260" s="2">
        <f>IF(B1260="","",IFERROR(VLOOKUP(B1260, PLANTA_BASE!A:R, 6, FALSE), "NO ENCONTRADO EN PLANTA"))</f>
        <v/>
      </c>
      <c r="F1260" s="4">
        <f>IF(B1260="","",IFERROR(VLOOKUP(B1260, PLANTA_BASE!A:R, 8, FALSE), "DOCENTE / FACILITADOR"))</f>
        <v/>
      </c>
      <c r="G1260" s="4">
        <f>IF(B1260="","",IFERROR(VLOOKUP(B1260, PLANTA_BASE!A:R, 9, FALSE), "GENERAL"))</f>
        <v/>
      </c>
      <c r="H1260" s="2">
        <f>IF(B1260="","",IFERROR(VLOOKUP(B1260, PLANTA_BASE!A:R, 17, FALSE), "GENERAL"))</f>
        <v/>
      </c>
    </row>
    <row r="1261" ht="20" customHeight="1">
      <c r="A1261" s="5">
        <f>IF(B1261="","",IFERROR(VLOOKUP(B1261, PLANTA_BASE!A:R, 2, FALSE), "NO ENCONTRADO EN PLANTA"))</f>
        <v/>
      </c>
      <c r="B1261" s="6" t="inlineStr"/>
      <c r="C1261" s="7">
        <f>IF(B1261="","",IFERROR(VLOOKUP(B1261, PLANTA_BASE!A:R, 3, FALSE), ""))</f>
        <v/>
      </c>
      <c r="D1261" s="5">
        <f>IF(B1261="","",IFERROR(VLOOKUP(B1261, PLANTA_BASE!A:R, 5, FALSE), "NO ENCONTRADO EN PLANTA"))</f>
        <v/>
      </c>
      <c r="E1261" s="5">
        <f>IF(B1261="","",IFERROR(VLOOKUP(B1261, PLANTA_BASE!A:R, 6, FALSE), "NO ENCONTRADO EN PLANTA"))</f>
        <v/>
      </c>
      <c r="F1261" s="7">
        <f>IF(B1261="","",IFERROR(VLOOKUP(B1261, PLANTA_BASE!A:R, 8, FALSE), "DOCENTE / FACILITADOR"))</f>
        <v/>
      </c>
      <c r="G1261" s="7">
        <f>IF(B1261="","",IFERROR(VLOOKUP(B1261, PLANTA_BASE!A:R, 9, FALSE), "GENERAL"))</f>
        <v/>
      </c>
      <c r="H1261" s="5">
        <f>IF(B1261="","",IFERROR(VLOOKUP(B1261, PLANTA_BASE!A:R, 17, FALSE), "GENERAL"))</f>
        <v/>
      </c>
    </row>
    <row r="1262" ht="20" customHeight="1">
      <c r="A1262" s="2">
        <f>IF(B1262="","",IFERROR(VLOOKUP(B1262, PLANTA_BASE!A:R, 2, FALSE), "NO ENCONTRADO EN PLANTA"))</f>
        <v/>
      </c>
      <c r="B1262" s="3" t="inlineStr"/>
      <c r="C1262" s="4">
        <f>IF(B1262="","",IFERROR(VLOOKUP(B1262, PLANTA_BASE!A:R, 3, FALSE), ""))</f>
        <v/>
      </c>
      <c r="D1262" s="2">
        <f>IF(B1262="","",IFERROR(VLOOKUP(B1262, PLANTA_BASE!A:R, 5, FALSE), "NO ENCONTRADO EN PLANTA"))</f>
        <v/>
      </c>
      <c r="E1262" s="2">
        <f>IF(B1262="","",IFERROR(VLOOKUP(B1262, PLANTA_BASE!A:R, 6, FALSE), "NO ENCONTRADO EN PLANTA"))</f>
        <v/>
      </c>
      <c r="F1262" s="4">
        <f>IF(B1262="","",IFERROR(VLOOKUP(B1262, PLANTA_BASE!A:R, 8, FALSE), "DOCENTE / FACILITADOR"))</f>
        <v/>
      </c>
      <c r="G1262" s="4">
        <f>IF(B1262="","",IFERROR(VLOOKUP(B1262, PLANTA_BASE!A:R, 9, FALSE), "GENERAL"))</f>
        <v/>
      </c>
      <c r="H1262" s="2">
        <f>IF(B1262="","",IFERROR(VLOOKUP(B1262, PLANTA_BASE!A:R, 17, FALSE), "GENERAL"))</f>
        <v/>
      </c>
    </row>
    <row r="1263" ht="20" customHeight="1">
      <c r="A1263" s="5">
        <f>IF(B1263="","",IFERROR(VLOOKUP(B1263, PLANTA_BASE!A:R, 2, FALSE), "NO ENCONTRADO EN PLANTA"))</f>
        <v/>
      </c>
      <c r="B1263" s="6" t="inlineStr"/>
      <c r="C1263" s="7">
        <f>IF(B1263="","",IFERROR(VLOOKUP(B1263, PLANTA_BASE!A:R, 3, FALSE), ""))</f>
        <v/>
      </c>
      <c r="D1263" s="5">
        <f>IF(B1263="","",IFERROR(VLOOKUP(B1263, PLANTA_BASE!A:R, 5, FALSE), "NO ENCONTRADO EN PLANTA"))</f>
        <v/>
      </c>
      <c r="E1263" s="5">
        <f>IF(B1263="","",IFERROR(VLOOKUP(B1263, PLANTA_BASE!A:R, 6, FALSE), "NO ENCONTRADO EN PLANTA"))</f>
        <v/>
      </c>
      <c r="F1263" s="7">
        <f>IF(B1263="","",IFERROR(VLOOKUP(B1263, PLANTA_BASE!A:R, 8, FALSE), "DOCENTE / FACILITADOR"))</f>
        <v/>
      </c>
      <c r="G1263" s="7">
        <f>IF(B1263="","",IFERROR(VLOOKUP(B1263, PLANTA_BASE!A:R, 9, FALSE), "GENERAL"))</f>
        <v/>
      </c>
      <c r="H1263" s="5">
        <f>IF(B1263="","",IFERROR(VLOOKUP(B1263, PLANTA_BASE!A:R, 17, FALSE), "GENERAL"))</f>
        <v/>
      </c>
    </row>
    <row r="1264" ht="20" customHeight="1">
      <c r="A1264" s="2">
        <f>IF(B1264="","",IFERROR(VLOOKUP(B1264, PLANTA_BASE!A:R, 2, FALSE), "NO ENCONTRADO EN PLANTA"))</f>
        <v/>
      </c>
      <c r="B1264" s="3" t="inlineStr"/>
      <c r="C1264" s="4">
        <f>IF(B1264="","",IFERROR(VLOOKUP(B1264, PLANTA_BASE!A:R, 3, FALSE), ""))</f>
        <v/>
      </c>
      <c r="D1264" s="2">
        <f>IF(B1264="","",IFERROR(VLOOKUP(B1264, PLANTA_BASE!A:R, 5, FALSE), "NO ENCONTRADO EN PLANTA"))</f>
        <v/>
      </c>
      <c r="E1264" s="2">
        <f>IF(B1264="","",IFERROR(VLOOKUP(B1264, PLANTA_BASE!A:R, 6, FALSE), "NO ENCONTRADO EN PLANTA"))</f>
        <v/>
      </c>
      <c r="F1264" s="4">
        <f>IF(B1264="","",IFERROR(VLOOKUP(B1264, PLANTA_BASE!A:R, 8, FALSE), "DOCENTE / FACILITADOR"))</f>
        <v/>
      </c>
      <c r="G1264" s="4">
        <f>IF(B1264="","",IFERROR(VLOOKUP(B1264, PLANTA_BASE!A:R, 9, FALSE), "GENERAL"))</f>
        <v/>
      </c>
      <c r="H1264" s="2">
        <f>IF(B1264="","",IFERROR(VLOOKUP(B1264, PLANTA_BASE!A:R, 17, FALSE), "GENERAL"))</f>
        <v/>
      </c>
    </row>
    <row r="1265" ht="20" customHeight="1">
      <c r="A1265" s="5">
        <f>IF(B1265="","",IFERROR(VLOOKUP(B1265, PLANTA_BASE!A:R, 2, FALSE), "NO ENCONTRADO EN PLANTA"))</f>
        <v/>
      </c>
      <c r="B1265" s="6" t="inlineStr"/>
      <c r="C1265" s="7">
        <f>IF(B1265="","",IFERROR(VLOOKUP(B1265, PLANTA_BASE!A:R, 3, FALSE), ""))</f>
        <v/>
      </c>
      <c r="D1265" s="5">
        <f>IF(B1265="","",IFERROR(VLOOKUP(B1265, PLANTA_BASE!A:R, 5, FALSE), "NO ENCONTRADO EN PLANTA"))</f>
        <v/>
      </c>
      <c r="E1265" s="5">
        <f>IF(B1265="","",IFERROR(VLOOKUP(B1265, PLANTA_BASE!A:R, 6, FALSE), "NO ENCONTRADO EN PLANTA"))</f>
        <v/>
      </c>
      <c r="F1265" s="7">
        <f>IF(B1265="","",IFERROR(VLOOKUP(B1265, PLANTA_BASE!A:R, 8, FALSE), "DOCENTE / FACILITADOR"))</f>
        <v/>
      </c>
      <c r="G1265" s="7">
        <f>IF(B1265="","",IFERROR(VLOOKUP(B1265, PLANTA_BASE!A:R, 9, FALSE), "GENERAL"))</f>
        <v/>
      </c>
      <c r="H1265" s="5">
        <f>IF(B1265="","",IFERROR(VLOOKUP(B1265, PLANTA_BASE!A:R, 17, FALSE), "GENERAL"))</f>
        <v/>
      </c>
    </row>
    <row r="1266" ht="20" customHeight="1">
      <c r="A1266" s="2">
        <f>IF(B1266="","",IFERROR(VLOOKUP(B1266, PLANTA_BASE!A:R, 2, FALSE), "NO ENCONTRADO EN PLANTA"))</f>
        <v/>
      </c>
      <c r="B1266" s="3" t="inlineStr"/>
      <c r="C1266" s="4">
        <f>IF(B1266="","",IFERROR(VLOOKUP(B1266, PLANTA_BASE!A:R, 3, FALSE), ""))</f>
        <v/>
      </c>
      <c r="D1266" s="2">
        <f>IF(B1266="","",IFERROR(VLOOKUP(B1266, PLANTA_BASE!A:R, 5, FALSE), "NO ENCONTRADO EN PLANTA"))</f>
        <v/>
      </c>
      <c r="E1266" s="2">
        <f>IF(B1266="","",IFERROR(VLOOKUP(B1266, PLANTA_BASE!A:R, 6, FALSE), "NO ENCONTRADO EN PLANTA"))</f>
        <v/>
      </c>
      <c r="F1266" s="4">
        <f>IF(B1266="","",IFERROR(VLOOKUP(B1266, PLANTA_BASE!A:R, 8, FALSE), "DOCENTE / FACILITADOR"))</f>
        <v/>
      </c>
      <c r="G1266" s="4">
        <f>IF(B1266="","",IFERROR(VLOOKUP(B1266, PLANTA_BASE!A:R, 9, FALSE), "GENERAL"))</f>
        <v/>
      </c>
      <c r="H1266" s="2">
        <f>IF(B1266="","",IFERROR(VLOOKUP(B1266, PLANTA_BASE!A:R, 17, FALSE), "GENERAL"))</f>
        <v/>
      </c>
    </row>
    <row r="1267" ht="20" customHeight="1">
      <c r="A1267" s="5">
        <f>IF(B1267="","",IFERROR(VLOOKUP(B1267, PLANTA_BASE!A:R, 2, FALSE), "NO ENCONTRADO EN PLANTA"))</f>
        <v/>
      </c>
      <c r="B1267" s="6" t="inlineStr"/>
      <c r="C1267" s="7">
        <f>IF(B1267="","",IFERROR(VLOOKUP(B1267, PLANTA_BASE!A:R, 3, FALSE), ""))</f>
        <v/>
      </c>
      <c r="D1267" s="5">
        <f>IF(B1267="","",IFERROR(VLOOKUP(B1267, PLANTA_BASE!A:R, 5, FALSE), "NO ENCONTRADO EN PLANTA"))</f>
        <v/>
      </c>
      <c r="E1267" s="5">
        <f>IF(B1267="","",IFERROR(VLOOKUP(B1267, PLANTA_BASE!A:R, 6, FALSE), "NO ENCONTRADO EN PLANTA"))</f>
        <v/>
      </c>
      <c r="F1267" s="7">
        <f>IF(B1267="","",IFERROR(VLOOKUP(B1267, PLANTA_BASE!A:R, 8, FALSE), "DOCENTE / FACILITADOR"))</f>
        <v/>
      </c>
      <c r="G1267" s="7">
        <f>IF(B1267="","",IFERROR(VLOOKUP(B1267, PLANTA_BASE!A:R, 9, FALSE), "GENERAL"))</f>
        <v/>
      </c>
      <c r="H1267" s="5">
        <f>IF(B1267="","",IFERROR(VLOOKUP(B1267, PLANTA_BASE!A:R, 17, FALSE), "GENERAL"))</f>
        <v/>
      </c>
    </row>
    <row r="1268" ht="20" customHeight="1">
      <c r="A1268" s="2">
        <f>IF(B1268="","",IFERROR(VLOOKUP(B1268, PLANTA_BASE!A:R, 2, FALSE), "NO ENCONTRADO EN PLANTA"))</f>
        <v/>
      </c>
      <c r="B1268" s="3" t="inlineStr"/>
      <c r="C1268" s="4">
        <f>IF(B1268="","",IFERROR(VLOOKUP(B1268, PLANTA_BASE!A:R, 3, FALSE), ""))</f>
        <v/>
      </c>
      <c r="D1268" s="2">
        <f>IF(B1268="","",IFERROR(VLOOKUP(B1268, PLANTA_BASE!A:R, 5, FALSE), "NO ENCONTRADO EN PLANTA"))</f>
        <v/>
      </c>
      <c r="E1268" s="2">
        <f>IF(B1268="","",IFERROR(VLOOKUP(B1268, PLANTA_BASE!A:R, 6, FALSE), "NO ENCONTRADO EN PLANTA"))</f>
        <v/>
      </c>
      <c r="F1268" s="4">
        <f>IF(B1268="","",IFERROR(VLOOKUP(B1268, PLANTA_BASE!A:R, 8, FALSE), "DOCENTE / FACILITADOR"))</f>
        <v/>
      </c>
      <c r="G1268" s="4">
        <f>IF(B1268="","",IFERROR(VLOOKUP(B1268, PLANTA_BASE!A:R, 9, FALSE), "GENERAL"))</f>
        <v/>
      </c>
      <c r="H1268" s="2">
        <f>IF(B1268="","",IFERROR(VLOOKUP(B1268, PLANTA_BASE!A:R, 17, FALSE), "GENERAL"))</f>
        <v/>
      </c>
    </row>
    <row r="1269" ht="20" customHeight="1">
      <c r="A1269" s="5">
        <f>IF(B1269="","",IFERROR(VLOOKUP(B1269, PLANTA_BASE!A:R, 2, FALSE), "NO ENCONTRADO EN PLANTA"))</f>
        <v/>
      </c>
      <c r="B1269" s="6" t="inlineStr"/>
      <c r="C1269" s="7">
        <f>IF(B1269="","",IFERROR(VLOOKUP(B1269, PLANTA_BASE!A:R, 3, FALSE), ""))</f>
        <v/>
      </c>
      <c r="D1269" s="5">
        <f>IF(B1269="","",IFERROR(VLOOKUP(B1269, PLANTA_BASE!A:R, 5, FALSE), "NO ENCONTRADO EN PLANTA"))</f>
        <v/>
      </c>
      <c r="E1269" s="5">
        <f>IF(B1269="","",IFERROR(VLOOKUP(B1269, PLANTA_BASE!A:R, 6, FALSE), "NO ENCONTRADO EN PLANTA"))</f>
        <v/>
      </c>
      <c r="F1269" s="7">
        <f>IF(B1269="","",IFERROR(VLOOKUP(B1269, PLANTA_BASE!A:R, 8, FALSE), "DOCENTE / FACILITADOR"))</f>
        <v/>
      </c>
      <c r="G1269" s="7">
        <f>IF(B1269="","",IFERROR(VLOOKUP(B1269, PLANTA_BASE!A:R, 9, FALSE), "GENERAL"))</f>
        <v/>
      </c>
      <c r="H1269" s="5">
        <f>IF(B1269="","",IFERROR(VLOOKUP(B1269, PLANTA_BASE!A:R, 17, FALSE), "GENERAL"))</f>
        <v/>
      </c>
    </row>
    <row r="1270" ht="20" customHeight="1">
      <c r="A1270" s="2">
        <f>IF(B1270="","",IFERROR(VLOOKUP(B1270, PLANTA_BASE!A:R, 2, FALSE), "NO ENCONTRADO EN PLANTA"))</f>
        <v/>
      </c>
      <c r="B1270" s="3" t="inlineStr"/>
      <c r="C1270" s="4">
        <f>IF(B1270="","",IFERROR(VLOOKUP(B1270, PLANTA_BASE!A:R, 3, FALSE), ""))</f>
        <v/>
      </c>
      <c r="D1270" s="2">
        <f>IF(B1270="","",IFERROR(VLOOKUP(B1270, PLANTA_BASE!A:R, 5, FALSE), "NO ENCONTRADO EN PLANTA"))</f>
        <v/>
      </c>
      <c r="E1270" s="2">
        <f>IF(B1270="","",IFERROR(VLOOKUP(B1270, PLANTA_BASE!A:R, 6, FALSE), "NO ENCONTRADO EN PLANTA"))</f>
        <v/>
      </c>
      <c r="F1270" s="4">
        <f>IF(B1270="","",IFERROR(VLOOKUP(B1270, PLANTA_BASE!A:R, 8, FALSE), "DOCENTE / FACILITADOR"))</f>
        <v/>
      </c>
      <c r="G1270" s="4">
        <f>IF(B1270="","",IFERROR(VLOOKUP(B1270, PLANTA_BASE!A:R, 9, FALSE), "GENERAL"))</f>
        <v/>
      </c>
      <c r="H1270" s="2">
        <f>IF(B1270="","",IFERROR(VLOOKUP(B1270, PLANTA_BASE!A:R, 17, FALSE), "GENERAL"))</f>
        <v/>
      </c>
    </row>
    <row r="1271" ht="20" customHeight="1">
      <c r="A1271" s="5">
        <f>IF(B1271="","",IFERROR(VLOOKUP(B1271, PLANTA_BASE!A:R, 2, FALSE), "NO ENCONTRADO EN PLANTA"))</f>
        <v/>
      </c>
      <c r="B1271" s="6" t="inlineStr"/>
      <c r="C1271" s="7">
        <f>IF(B1271="","",IFERROR(VLOOKUP(B1271, PLANTA_BASE!A:R, 3, FALSE), ""))</f>
        <v/>
      </c>
      <c r="D1271" s="5">
        <f>IF(B1271="","",IFERROR(VLOOKUP(B1271, PLANTA_BASE!A:R, 5, FALSE), "NO ENCONTRADO EN PLANTA"))</f>
        <v/>
      </c>
      <c r="E1271" s="5">
        <f>IF(B1271="","",IFERROR(VLOOKUP(B1271, PLANTA_BASE!A:R, 6, FALSE), "NO ENCONTRADO EN PLANTA"))</f>
        <v/>
      </c>
      <c r="F1271" s="7">
        <f>IF(B1271="","",IFERROR(VLOOKUP(B1271, PLANTA_BASE!A:R, 8, FALSE), "DOCENTE / FACILITADOR"))</f>
        <v/>
      </c>
      <c r="G1271" s="7">
        <f>IF(B1271="","",IFERROR(VLOOKUP(B1271, PLANTA_BASE!A:R, 9, FALSE), "GENERAL"))</f>
        <v/>
      </c>
      <c r="H1271" s="5">
        <f>IF(B1271="","",IFERROR(VLOOKUP(B1271, PLANTA_BASE!A:R, 17, FALSE), "GENERAL"))</f>
        <v/>
      </c>
    </row>
    <row r="1272" ht="20" customHeight="1">
      <c r="A1272" s="2">
        <f>IF(B1272="","",IFERROR(VLOOKUP(B1272, PLANTA_BASE!A:R, 2, FALSE), "NO ENCONTRADO EN PLANTA"))</f>
        <v/>
      </c>
      <c r="B1272" s="3" t="inlineStr"/>
      <c r="C1272" s="4">
        <f>IF(B1272="","",IFERROR(VLOOKUP(B1272, PLANTA_BASE!A:R, 3, FALSE), ""))</f>
        <v/>
      </c>
      <c r="D1272" s="2">
        <f>IF(B1272="","",IFERROR(VLOOKUP(B1272, PLANTA_BASE!A:R, 5, FALSE), "NO ENCONTRADO EN PLANTA"))</f>
        <v/>
      </c>
      <c r="E1272" s="2">
        <f>IF(B1272="","",IFERROR(VLOOKUP(B1272, PLANTA_BASE!A:R, 6, FALSE), "NO ENCONTRADO EN PLANTA"))</f>
        <v/>
      </c>
      <c r="F1272" s="4">
        <f>IF(B1272="","",IFERROR(VLOOKUP(B1272, PLANTA_BASE!A:R, 8, FALSE), "DOCENTE / FACILITADOR"))</f>
        <v/>
      </c>
      <c r="G1272" s="4">
        <f>IF(B1272="","",IFERROR(VLOOKUP(B1272, PLANTA_BASE!A:R, 9, FALSE), "GENERAL"))</f>
        <v/>
      </c>
      <c r="H1272" s="2">
        <f>IF(B1272="","",IFERROR(VLOOKUP(B1272, PLANTA_BASE!A:R, 17, FALSE), "GENERAL"))</f>
        <v/>
      </c>
    </row>
    <row r="1273" ht="20" customHeight="1">
      <c r="A1273" s="5">
        <f>IF(B1273="","",IFERROR(VLOOKUP(B1273, PLANTA_BASE!A:R, 2, FALSE), "NO ENCONTRADO EN PLANTA"))</f>
        <v/>
      </c>
      <c r="B1273" s="6" t="inlineStr"/>
      <c r="C1273" s="7">
        <f>IF(B1273="","",IFERROR(VLOOKUP(B1273, PLANTA_BASE!A:R, 3, FALSE), ""))</f>
        <v/>
      </c>
      <c r="D1273" s="5">
        <f>IF(B1273="","",IFERROR(VLOOKUP(B1273, PLANTA_BASE!A:R, 5, FALSE), "NO ENCONTRADO EN PLANTA"))</f>
        <v/>
      </c>
      <c r="E1273" s="5">
        <f>IF(B1273="","",IFERROR(VLOOKUP(B1273, PLANTA_BASE!A:R, 6, FALSE), "NO ENCONTRADO EN PLANTA"))</f>
        <v/>
      </c>
      <c r="F1273" s="7">
        <f>IF(B1273="","",IFERROR(VLOOKUP(B1273, PLANTA_BASE!A:R, 8, FALSE), "DOCENTE / FACILITADOR"))</f>
        <v/>
      </c>
      <c r="G1273" s="7">
        <f>IF(B1273="","",IFERROR(VLOOKUP(B1273, PLANTA_BASE!A:R, 9, FALSE), "GENERAL"))</f>
        <v/>
      </c>
      <c r="H1273" s="5">
        <f>IF(B1273="","",IFERROR(VLOOKUP(B1273, PLANTA_BASE!A:R, 17, FALSE), "GENERAL"))</f>
        <v/>
      </c>
    </row>
    <row r="1274" ht="20" customHeight="1">
      <c r="A1274" s="2">
        <f>IF(B1274="","",IFERROR(VLOOKUP(B1274, PLANTA_BASE!A:R, 2, FALSE), "NO ENCONTRADO EN PLANTA"))</f>
        <v/>
      </c>
      <c r="B1274" s="3" t="inlineStr"/>
      <c r="C1274" s="4">
        <f>IF(B1274="","",IFERROR(VLOOKUP(B1274, PLANTA_BASE!A:R, 3, FALSE), ""))</f>
        <v/>
      </c>
      <c r="D1274" s="2">
        <f>IF(B1274="","",IFERROR(VLOOKUP(B1274, PLANTA_BASE!A:R, 5, FALSE), "NO ENCONTRADO EN PLANTA"))</f>
        <v/>
      </c>
      <c r="E1274" s="2">
        <f>IF(B1274="","",IFERROR(VLOOKUP(B1274, PLANTA_BASE!A:R, 6, FALSE), "NO ENCONTRADO EN PLANTA"))</f>
        <v/>
      </c>
      <c r="F1274" s="4">
        <f>IF(B1274="","",IFERROR(VLOOKUP(B1274, PLANTA_BASE!A:R, 8, FALSE), "DOCENTE / FACILITADOR"))</f>
        <v/>
      </c>
      <c r="G1274" s="4">
        <f>IF(B1274="","",IFERROR(VLOOKUP(B1274, PLANTA_BASE!A:R, 9, FALSE), "GENERAL"))</f>
        <v/>
      </c>
      <c r="H1274" s="2">
        <f>IF(B1274="","",IFERROR(VLOOKUP(B1274, PLANTA_BASE!A:R, 17, FALSE), "GENERAL"))</f>
        <v/>
      </c>
    </row>
    <row r="1275" ht="20" customHeight="1">
      <c r="A1275" s="5">
        <f>IF(B1275="","",IFERROR(VLOOKUP(B1275, PLANTA_BASE!A:R, 2, FALSE), "NO ENCONTRADO EN PLANTA"))</f>
        <v/>
      </c>
      <c r="B1275" s="6" t="inlineStr"/>
      <c r="C1275" s="7">
        <f>IF(B1275="","",IFERROR(VLOOKUP(B1275, PLANTA_BASE!A:R, 3, FALSE), ""))</f>
        <v/>
      </c>
      <c r="D1275" s="5">
        <f>IF(B1275="","",IFERROR(VLOOKUP(B1275, PLANTA_BASE!A:R, 5, FALSE), "NO ENCONTRADO EN PLANTA"))</f>
        <v/>
      </c>
      <c r="E1275" s="5">
        <f>IF(B1275="","",IFERROR(VLOOKUP(B1275, PLANTA_BASE!A:R, 6, FALSE), "NO ENCONTRADO EN PLANTA"))</f>
        <v/>
      </c>
      <c r="F1275" s="7">
        <f>IF(B1275="","",IFERROR(VLOOKUP(B1275, PLANTA_BASE!A:R, 8, FALSE), "DOCENTE / FACILITADOR"))</f>
        <v/>
      </c>
      <c r="G1275" s="7">
        <f>IF(B1275="","",IFERROR(VLOOKUP(B1275, PLANTA_BASE!A:R, 9, FALSE), "GENERAL"))</f>
        <v/>
      </c>
      <c r="H1275" s="5">
        <f>IF(B1275="","",IFERROR(VLOOKUP(B1275, PLANTA_BASE!A:R, 17, FALSE), "GENERAL"))</f>
        <v/>
      </c>
    </row>
    <row r="1276" ht="20" customHeight="1">
      <c r="A1276" s="2">
        <f>IF(B1276="","",IFERROR(VLOOKUP(B1276, PLANTA_BASE!A:R, 2, FALSE), "NO ENCONTRADO EN PLANTA"))</f>
        <v/>
      </c>
      <c r="B1276" s="3" t="inlineStr"/>
      <c r="C1276" s="4">
        <f>IF(B1276="","",IFERROR(VLOOKUP(B1276, PLANTA_BASE!A:R, 3, FALSE), ""))</f>
        <v/>
      </c>
      <c r="D1276" s="2">
        <f>IF(B1276="","",IFERROR(VLOOKUP(B1276, PLANTA_BASE!A:R, 5, FALSE), "NO ENCONTRADO EN PLANTA"))</f>
        <v/>
      </c>
      <c r="E1276" s="2">
        <f>IF(B1276="","",IFERROR(VLOOKUP(B1276, PLANTA_BASE!A:R, 6, FALSE), "NO ENCONTRADO EN PLANTA"))</f>
        <v/>
      </c>
      <c r="F1276" s="4">
        <f>IF(B1276="","",IFERROR(VLOOKUP(B1276, PLANTA_BASE!A:R, 8, FALSE), "DOCENTE / FACILITADOR"))</f>
        <v/>
      </c>
      <c r="G1276" s="4">
        <f>IF(B1276="","",IFERROR(VLOOKUP(B1276, PLANTA_BASE!A:R, 9, FALSE), "GENERAL"))</f>
        <v/>
      </c>
      <c r="H1276" s="2">
        <f>IF(B1276="","",IFERROR(VLOOKUP(B1276, PLANTA_BASE!A:R, 17, FALSE), "GENERAL"))</f>
        <v/>
      </c>
    </row>
    <row r="1277" ht="20" customHeight="1">
      <c r="A1277" s="5">
        <f>IF(B1277="","",IFERROR(VLOOKUP(B1277, PLANTA_BASE!A:R, 2, FALSE), "NO ENCONTRADO EN PLANTA"))</f>
        <v/>
      </c>
      <c r="B1277" s="6" t="inlineStr"/>
      <c r="C1277" s="7">
        <f>IF(B1277="","",IFERROR(VLOOKUP(B1277, PLANTA_BASE!A:R, 3, FALSE), ""))</f>
        <v/>
      </c>
      <c r="D1277" s="5">
        <f>IF(B1277="","",IFERROR(VLOOKUP(B1277, PLANTA_BASE!A:R, 5, FALSE), "NO ENCONTRADO EN PLANTA"))</f>
        <v/>
      </c>
      <c r="E1277" s="5">
        <f>IF(B1277="","",IFERROR(VLOOKUP(B1277, PLANTA_BASE!A:R, 6, FALSE), "NO ENCONTRADO EN PLANTA"))</f>
        <v/>
      </c>
      <c r="F1277" s="7">
        <f>IF(B1277="","",IFERROR(VLOOKUP(B1277, PLANTA_BASE!A:R, 8, FALSE), "DOCENTE / FACILITADOR"))</f>
        <v/>
      </c>
      <c r="G1277" s="7">
        <f>IF(B1277="","",IFERROR(VLOOKUP(B1277, PLANTA_BASE!A:R, 9, FALSE), "GENERAL"))</f>
        <v/>
      </c>
      <c r="H1277" s="5">
        <f>IF(B1277="","",IFERROR(VLOOKUP(B1277, PLANTA_BASE!A:R, 17, FALSE), "GENERAL"))</f>
        <v/>
      </c>
    </row>
    <row r="1278" ht="20" customHeight="1">
      <c r="A1278" s="2">
        <f>IF(B1278="","",IFERROR(VLOOKUP(B1278, PLANTA_BASE!A:R, 2, FALSE), "NO ENCONTRADO EN PLANTA"))</f>
        <v/>
      </c>
      <c r="B1278" s="3" t="inlineStr"/>
      <c r="C1278" s="4">
        <f>IF(B1278="","",IFERROR(VLOOKUP(B1278, PLANTA_BASE!A:R, 3, FALSE), ""))</f>
        <v/>
      </c>
      <c r="D1278" s="2">
        <f>IF(B1278="","",IFERROR(VLOOKUP(B1278, PLANTA_BASE!A:R, 5, FALSE), "NO ENCONTRADO EN PLANTA"))</f>
        <v/>
      </c>
      <c r="E1278" s="2">
        <f>IF(B1278="","",IFERROR(VLOOKUP(B1278, PLANTA_BASE!A:R, 6, FALSE), "NO ENCONTRADO EN PLANTA"))</f>
        <v/>
      </c>
      <c r="F1278" s="4">
        <f>IF(B1278="","",IFERROR(VLOOKUP(B1278, PLANTA_BASE!A:R, 8, FALSE), "DOCENTE / FACILITADOR"))</f>
        <v/>
      </c>
      <c r="G1278" s="4">
        <f>IF(B1278="","",IFERROR(VLOOKUP(B1278, PLANTA_BASE!A:R, 9, FALSE), "GENERAL"))</f>
        <v/>
      </c>
      <c r="H1278" s="2">
        <f>IF(B1278="","",IFERROR(VLOOKUP(B1278, PLANTA_BASE!A:R, 17, FALSE), "GENERAL"))</f>
        <v/>
      </c>
    </row>
    <row r="1279" ht="20" customHeight="1">
      <c r="A1279" s="5">
        <f>IF(B1279="","",IFERROR(VLOOKUP(B1279, PLANTA_BASE!A:R, 2, FALSE), "NO ENCONTRADO EN PLANTA"))</f>
        <v/>
      </c>
      <c r="B1279" s="6" t="inlineStr"/>
      <c r="C1279" s="7">
        <f>IF(B1279="","",IFERROR(VLOOKUP(B1279, PLANTA_BASE!A:R, 3, FALSE), ""))</f>
        <v/>
      </c>
      <c r="D1279" s="5">
        <f>IF(B1279="","",IFERROR(VLOOKUP(B1279, PLANTA_BASE!A:R, 5, FALSE), "NO ENCONTRADO EN PLANTA"))</f>
        <v/>
      </c>
      <c r="E1279" s="5">
        <f>IF(B1279="","",IFERROR(VLOOKUP(B1279, PLANTA_BASE!A:R, 6, FALSE), "NO ENCONTRADO EN PLANTA"))</f>
        <v/>
      </c>
      <c r="F1279" s="7">
        <f>IF(B1279="","",IFERROR(VLOOKUP(B1279, PLANTA_BASE!A:R, 8, FALSE), "DOCENTE / FACILITADOR"))</f>
        <v/>
      </c>
      <c r="G1279" s="7">
        <f>IF(B1279="","",IFERROR(VLOOKUP(B1279, PLANTA_BASE!A:R, 9, FALSE), "GENERAL"))</f>
        <v/>
      </c>
      <c r="H1279" s="5">
        <f>IF(B1279="","",IFERROR(VLOOKUP(B1279, PLANTA_BASE!A:R, 17, FALSE), "GENERAL"))</f>
        <v/>
      </c>
    </row>
    <row r="1280" ht="20" customHeight="1">
      <c r="A1280" s="2">
        <f>IF(B1280="","",IFERROR(VLOOKUP(B1280, PLANTA_BASE!A:R, 2, FALSE), "NO ENCONTRADO EN PLANTA"))</f>
        <v/>
      </c>
      <c r="B1280" s="3" t="inlineStr"/>
      <c r="C1280" s="4">
        <f>IF(B1280="","",IFERROR(VLOOKUP(B1280, PLANTA_BASE!A:R, 3, FALSE), ""))</f>
        <v/>
      </c>
      <c r="D1280" s="2">
        <f>IF(B1280="","",IFERROR(VLOOKUP(B1280, PLANTA_BASE!A:R, 5, FALSE), "NO ENCONTRADO EN PLANTA"))</f>
        <v/>
      </c>
      <c r="E1280" s="2">
        <f>IF(B1280="","",IFERROR(VLOOKUP(B1280, PLANTA_BASE!A:R, 6, FALSE), "NO ENCONTRADO EN PLANTA"))</f>
        <v/>
      </c>
      <c r="F1280" s="4">
        <f>IF(B1280="","",IFERROR(VLOOKUP(B1280, PLANTA_BASE!A:R, 8, FALSE), "DOCENTE / FACILITADOR"))</f>
        <v/>
      </c>
      <c r="G1280" s="4">
        <f>IF(B1280="","",IFERROR(VLOOKUP(B1280, PLANTA_BASE!A:R, 9, FALSE), "GENERAL"))</f>
        <v/>
      </c>
      <c r="H1280" s="2">
        <f>IF(B1280="","",IFERROR(VLOOKUP(B1280, PLANTA_BASE!A:R, 17, FALSE), "GENERAL"))</f>
        <v/>
      </c>
    </row>
    <row r="1281" ht="20" customHeight="1">
      <c r="A1281" s="5">
        <f>IF(B1281="","",IFERROR(VLOOKUP(B1281, PLANTA_BASE!A:R, 2, FALSE), "NO ENCONTRADO EN PLANTA"))</f>
        <v/>
      </c>
      <c r="B1281" s="6" t="inlineStr"/>
      <c r="C1281" s="7">
        <f>IF(B1281="","",IFERROR(VLOOKUP(B1281, PLANTA_BASE!A:R, 3, FALSE), ""))</f>
        <v/>
      </c>
      <c r="D1281" s="5">
        <f>IF(B1281="","",IFERROR(VLOOKUP(B1281, PLANTA_BASE!A:R, 5, FALSE), "NO ENCONTRADO EN PLANTA"))</f>
        <v/>
      </c>
      <c r="E1281" s="5">
        <f>IF(B1281="","",IFERROR(VLOOKUP(B1281, PLANTA_BASE!A:R, 6, FALSE), "NO ENCONTRADO EN PLANTA"))</f>
        <v/>
      </c>
      <c r="F1281" s="7">
        <f>IF(B1281="","",IFERROR(VLOOKUP(B1281, PLANTA_BASE!A:R, 8, FALSE), "DOCENTE / FACILITADOR"))</f>
        <v/>
      </c>
      <c r="G1281" s="7">
        <f>IF(B1281="","",IFERROR(VLOOKUP(B1281, PLANTA_BASE!A:R, 9, FALSE), "GENERAL"))</f>
        <v/>
      </c>
      <c r="H1281" s="5">
        <f>IF(B1281="","",IFERROR(VLOOKUP(B1281, PLANTA_BASE!A:R, 17, FALSE), "GENERAL"))</f>
        <v/>
      </c>
    </row>
    <row r="1282" ht="20" customHeight="1">
      <c r="A1282" s="2">
        <f>IF(B1282="","",IFERROR(VLOOKUP(B1282, PLANTA_BASE!A:R, 2, FALSE), "NO ENCONTRADO EN PLANTA"))</f>
        <v/>
      </c>
      <c r="B1282" s="3" t="inlineStr"/>
      <c r="C1282" s="4">
        <f>IF(B1282="","",IFERROR(VLOOKUP(B1282, PLANTA_BASE!A:R, 3, FALSE), ""))</f>
        <v/>
      </c>
      <c r="D1282" s="2">
        <f>IF(B1282="","",IFERROR(VLOOKUP(B1282, PLANTA_BASE!A:R, 5, FALSE), "NO ENCONTRADO EN PLANTA"))</f>
        <v/>
      </c>
      <c r="E1282" s="2">
        <f>IF(B1282="","",IFERROR(VLOOKUP(B1282, PLANTA_BASE!A:R, 6, FALSE), "NO ENCONTRADO EN PLANTA"))</f>
        <v/>
      </c>
      <c r="F1282" s="4">
        <f>IF(B1282="","",IFERROR(VLOOKUP(B1282, PLANTA_BASE!A:R, 8, FALSE), "DOCENTE / FACILITADOR"))</f>
        <v/>
      </c>
      <c r="G1282" s="4">
        <f>IF(B1282="","",IFERROR(VLOOKUP(B1282, PLANTA_BASE!A:R, 9, FALSE), "GENERAL"))</f>
        <v/>
      </c>
      <c r="H1282" s="2">
        <f>IF(B1282="","",IFERROR(VLOOKUP(B1282, PLANTA_BASE!A:R, 17, FALSE), "GENERAL"))</f>
        <v/>
      </c>
    </row>
    <row r="1283" ht="20" customHeight="1">
      <c r="A1283" s="5">
        <f>IF(B1283="","",IFERROR(VLOOKUP(B1283, PLANTA_BASE!A:R, 2, FALSE), "NO ENCONTRADO EN PLANTA"))</f>
        <v/>
      </c>
      <c r="B1283" s="6" t="inlineStr"/>
      <c r="C1283" s="7">
        <f>IF(B1283="","",IFERROR(VLOOKUP(B1283, PLANTA_BASE!A:R, 3, FALSE), ""))</f>
        <v/>
      </c>
      <c r="D1283" s="5">
        <f>IF(B1283="","",IFERROR(VLOOKUP(B1283, PLANTA_BASE!A:R, 5, FALSE), "NO ENCONTRADO EN PLANTA"))</f>
        <v/>
      </c>
      <c r="E1283" s="5">
        <f>IF(B1283="","",IFERROR(VLOOKUP(B1283, PLANTA_BASE!A:R, 6, FALSE), "NO ENCONTRADO EN PLANTA"))</f>
        <v/>
      </c>
      <c r="F1283" s="7">
        <f>IF(B1283="","",IFERROR(VLOOKUP(B1283, PLANTA_BASE!A:R, 8, FALSE), "DOCENTE / FACILITADOR"))</f>
        <v/>
      </c>
      <c r="G1283" s="7">
        <f>IF(B1283="","",IFERROR(VLOOKUP(B1283, PLANTA_BASE!A:R, 9, FALSE), "GENERAL"))</f>
        <v/>
      </c>
      <c r="H1283" s="5">
        <f>IF(B1283="","",IFERROR(VLOOKUP(B1283, PLANTA_BASE!A:R, 17, FALSE), "GENERAL"))</f>
        <v/>
      </c>
    </row>
    <row r="1284" ht="20" customHeight="1">
      <c r="A1284" s="2">
        <f>IF(B1284="","",IFERROR(VLOOKUP(B1284, PLANTA_BASE!A:R, 2, FALSE), "NO ENCONTRADO EN PLANTA"))</f>
        <v/>
      </c>
      <c r="B1284" s="3" t="inlineStr"/>
      <c r="C1284" s="4">
        <f>IF(B1284="","",IFERROR(VLOOKUP(B1284, PLANTA_BASE!A:R, 3, FALSE), ""))</f>
        <v/>
      </c>
      <c r="D1284" s="2">
        <f>IF(B1284="","",IFERROR(VLOOKUP(B1284, PLANTA_BASE!A:R, 5, FALSE), "NO ENCONTRADO EN PLANTA"))</f>
        <v/>
      </c>
      <c r="E1284" s="2">
        <f>IF(B1284="","",IFERROR(VLOOKUP(B1284, PLANTA_BASE!A:R, 6, FALSE), "NO ENCONTRADO EN PLANTA"))</f>
        <v/>
      </c>
      <c r="F1284" s="4">
        <f>IF(B1284="","",IFERROR(VLOOKUP(B1284, PLANTA_BASE!A:R, 8, FALSE), "DOCENTE / FACILITADOR"))</f>
        <v/>
      </c>
      <c r="G1284" s="4">
        <f>IF(B1284="","",IFERROR(VLOOKUP(B1284, PLANTA_BASE!A:R, 9, FALSE), "GENERAL"))</f>
        <v/>
      </c>
      <c r="H1284" s="2">
        <f>IF(B1284="","",IFERROR(VLOOKUP(B1284, PLANTA_BASE!A:R, 17, FALSE), "GENERAL"))</f>
        <v/>
      </c>
    </row>
    <row r="1285" ht="20" customHeight="1">
      <c r="A1285" s="5">
        <f>IF(B1285="","",IFERROR(VLOOKUP(B1285, PLANTA_BASE!A:R, 2, FALSE), "NO ENCONTRADO EN PLANTA"))</f>
        <v/>
      </c>
      <c r="B1285" s="6" t="inlineStr"/>
      <c r="C1285" s="7">
        <f>IF(B1285="","",IFERROR(VLOOKUP(B1285, PLANTA_BASE!A:R, 3, FALSE), ""))</f>
        <v/>
      </c>
      <c r="D1285" s="5">
        <f>IF(B1285="","",IFERROR(VLOOKUP(B1285, PLANTA_BASE!A:R, 5, FALSE), "NO ENCONTRADO EN PLANTA"))</f>
        <v/>
      </c>
      <c r="E1285" s="5">
        <f>IF(B1285="","",IFERROR(VLOOKUP(B1285, PLANTA_BASE!A:R, 6, FALSE), "NO ENCONTRADO EN PLANTA"))</f>
        <v/>
      </c>
      <c r="F1285" s="7">
        <f>IF(B1285="","",IFERROR(VLOOKUP(B1285, PLANTA_BASE!A:R, 8, FALSE), "DOCENTE / FACILITADOR"))</f>
        <v/>
      </c>
      <c r="G1285" s="7">
        <f>IF(B1285="","",IFERROR(VLOOKUP(B1285, PLANTA_BASE!A:R, 9, FALSE), "GENERAL"))</f>
        <v/>
      </c>
      <c r="H1285" s="5">
        <f>IF(B1285="","",IFERROR(VLOOKUP(B1285, PLANTA_BASE!A:R, 17, FALSE), "GENERAL"))</f>
        <v/>
      </c>
    </row>
    <row r="1286" ht="20" customHeight="1">
      <c r="A1286" s="2">
        <f>IF(B1286="","",IFERROR(VLOOKUP(B1286, PLANTA_BASE!A:R, 2, FALSE), "NO ENCONTRADO EN PLANTA"))</f>
        <v/>
      </c>
      <c r="B1286" s="3" t="inlineStr"/>
      <c r="C1286" s="4">
        <f>IF(B1286="","",IFERROR(VLOOKUP(B1286, PLANTA_BASE!A:R, 3, FALSE), ""))</f>
        <v/>
      </c>
      <c r="D1286" s="2">
        <f>IF(B1286="","",IFERROR(VLOOKUP(B1286, PLANTA_BASE!A:R, 5, FALSE), "NO ENCONTRADO EN PLANTA"))</f>
        <v/>
      </c>
      <c r="E1286" s="2">
        <f>IF(B1286="","",IFERROR(VLOOKUP(B1286, PLANTA_BASE!A:R, 6, FALSE), "NO ENCONTRADO EN PLANTA"))</f>
        <v/>
      </c>
      <c r="F1286" s="4">
        <f>IF(B1286="","",IFERROR(VLOOKUP(B1286, PLANTA_BASE!A:R, 8, FALSE), "DOCENTE / FACILITADOR"))</f>
        <v/>
      </c>
      <c r="G1286" s="4">
        <f>IF(B1286="","",IFERROR(VLOOKUP(B1286, PLANTA_BASE!A:R, 9, FALSE), "GENERAL"))</f>
        <v/>
      </c>
      <c r="H1286" s="2">
        <f>IF(B1286="","",IFERROR(VLOOKUP(B1286, PLANTA_BASE!A:R, 17, FALSE), "GENERAL"))</f>
        <v/>
      </c>
    </row>
    <row r="1287" ht="20" customHeight="1">
      <c r="A1287" s="5">
        <f>IF(B1287="","",IFERROR(VLOOKUP(B1287, PLANTA_BASE!A:R, 2, FALSE), "NO ENCONTRADO EN PLANTA"))</f>
        <v/>
      </c>
      <c r="B1287" s="6" t="inlineStr"/>
      <c r="C1287" s="7">
        <f>IF(B1287="","",IFERROR(VLOOKUP(B1287, PLANTA_BASE!A:R, 3, FALSE), ""))</f>
        <v/>
      </c>
      <c r="D1287" s="5">
        <f>IF(B1287="","",IFERROR(VLOOKUP(B1287, PLANTA_BASE!A:R, 5, FALSE), "NO ENCONTRADO EN PLANTA"))</f>
        <v/>
      </c>
      <c r="E1287" s="5">
        <f>IF(B1287="","",IFERROR(VLOOKUP(B1287, PLANTA_BASE!A:R, 6, FALSE), "NO ENCONTRADO EN PLANTA"))</f>
        <v/>
      </c>
      <c r="F1287" s="7">
        <f>IF(B1287="","",IFERROR(VLOOKUP(B1287, PLANTA_BASE!A:R, 8, FALSE), "DOCENTE / FACILITADOR"))</f>
        <v/>
      </c>
      <c r="G1287" s="7">
        <f>IF(B1287="","",IFERROR(VLOOKUP(B1287, PLANTA_BASE!A:R, 9, FALSE), "GENERAL"))</f>
        <v/>
      </c>
      <c r="H1287" s="5">
        <f>IF(B1287="","",IFERROR(VLOOKUP(B1287, PLANTA_BASE!A:R, 17, FALSE), "GENERAL"))</f>
        <v/>
      </c>
    </row>
    <row r="1288" ht="20" customHeight="1">
      <c r="A1288" s="2">
        <f>IF(B1288="","",IFERROR(VLOOKUP(B1288, PLANTA_BASE!A:R, 2, FALSE), "NO ENCONTRADO EN PLANTA"))</f>
        <v/>
      </c>
      <c r="B1288" s="3" t="inlineStr"/>
      <c r="C1288" s="4">
        <f>IF(B1288="","",IFERROR(VLOOKUP(B1288, PLANTA_BASE!A:R, 3, FALSE), ""))</f>
        <v/>
      </c>
      <c r="D1288" s="2">
        <f>IF(B1288="","",IFERROR(VLOOKUP(B1288, PLANTA_BASE!A:R, 5, FALSE), "NO ENCONTRADO EN PLANTA"))</f>
        <v/>
      </c>
      <c r="E1288" s="2">
        <f>IF(B1288="","",IFERROR(VLOOKUP(B1288, PLANTA_BASE!A:R, 6, FALSE), "NO ENCONTRADO EN PLANTA"))</f>
        <v/>
      </c>
      <c r="F1288" s="4">
        <f>IF(B1288="","",IFERROR(VLOOKUP(B1288, PLANTA_BASE!A:R, 8, FALSE), "DOCENTE / FACILITADOR"))</f>
        <v/>
      </c>
      <c r="G1288" s="4">
        <f>IF(B1288="","",IFERROR(VLOOKUP(B1288, PLANTA_BASE!A:R, 9, FALSE), "GENERAL"))</f>
        <v/>
      </c>
      <c r="H1288" s="2">
        <f>IF(B1288="","",IFERROR(VLOOKUP(B1288, PLANTA_BASE!A:R, 17, FALSE), "GENERAL"))</f>
        <v/>
      </c>
    </row>
    <row r="1289" ht="20" customHeight="1">
      <c r="A1289" s="5">
        <f>IF(B1289="","",IFERROR(VLOOKUP(B1289, PLANTA_BASE!A:R, 2, FALSE), "NO ENCONTRADO EN PLANTA"))</f>
        <v/>
      </c>
      <c r="B1289" s="6" t="inlineStr"/>
      <c r="C1289" s="7">
        <f>IF(B1289="","",IFERROR(VLOOKUP(B1289, PLANTA_BASE!A:R, 3, FALSE), ""))</f>
        <v/>
      </c>
      <c r="D1289" s="5">
        <f>IF(B1289="","",IFERROR(VLOOKUP(B1289, PLANTA_BASE!A:R, 5, FALSE), "NO ENCONTRADO EN PLANTA"))</f>
        <v/>
      </c>
      <c r="E1289" s="5">
        <f>IF(B1289="","",IFERROR(VLOOKUP(B1289, PLANTA_BASE!A:R, 6, FALSE), "NO ENCONTRADO EN PLANTA"))</f>
        <v/>
      </c>
      <c r="F1289" s="7">
        <f>IF(B1289="","",IFERROR(VLOOKUP(B1289, PLANTA_BASE!A:R, 8, FALSE), "DOCENTE / FACILITADOR"))</f>
        <v/>
      </c>
      <c r="G1289" s="7">
        <f>IF(B1289="","",IFERROR(VLOOKUP(B1289, PLANTA_BASE!A:R, 9, FALSE), "GENERAL"))</f>
        <v/>
      </c>
      <c r="H1289" s="5">
        <f>IF(B1289="","",IFERROR(VLOOKUP(B1289, PLANTA_BASE!A:R, 17, FALSE), "GENERAL"))</f>
        <v/>
      </c>
    </row>
    <row r="1290" ht="20" customHeight="1">
      <c r="A1290" s="2">
        <f>IF(B1290="","",IFERROR(VLOOKUP(B1290, PLANTA_BASE!A:R, 2, FALSE), "NO ENCONTRADO EN PLANTA"))</f>
        <v/>
      </c>
      <c r="B1290" s="3" t="inlineStr"/>
      <c r="C1290" s="4">
        <f>IF(B1290="","",IFERROR(VLOOKUP(B1290, PLANTA_BASE!A:R, 3, FALSE), ""))</f>
        <v/>
      </c>
      <c r="D1290" s="2">
        <f>IF(B1290="","",IFERROR(VLOOKUP(B1290, PLANTA_BASE!A:R, 5, FALSE), "NO ENCONTRADO EN PLANTA"))</f>
        <v/>
      </c>
      <c r="E1290" s="2">
        <f>IF(B1290="","",IFERROR(VLOOKUP(B1290, PLANTA_BASE!A:R, 6, FALSE), "NO ENCONTRADO EN PLANTA"))</f>
        <v/>
      </c>
      <c r="F1290" s="4">
        <f>IF(B1290="","",IFERROR(VLOOKUP(B1290, PLANTA_BASE!A:R, 8, FALSE), "DOCENTE / FACILITADOR"))</f>
        <v/>
      </c>
      <c r="G1290" s="4">
        <f>IF(B1290="","",IFERROR(VLOOKUP(B1290, PLANTA_BASE!A:R, 9, FALSE), "GENERAL"))</f>
        <v/>
      </c>
      <c r="H1290" s="2">
        <f>IF(B1290="","",IFERROR(VLOOKUP(B1290, PLANTA_BASE!A:R, 17, FALSE), "GENERAL"))</f>
        <v/>
      </c>
    </row>
    <row r="1291" ht="20" customHeight="1">
      <c r="A1291" s="5">
        <f>IF(B1291="","",IFERROR(VLOOKUP(B1291, PLANTA_BASE!A:R, 2, FALSE), "NO ENCONTRADO EN PLANTA"))</f>
        <v/>
      </c>
      <c r="B1291" s="6" t="inlineStr"/>
      <c r="C1291" s="7">
        <f>IF(B1291="","",IFERROR(VLOOKUP(B1291, PLANTA_BASE!A:R, 3, FALSE), ""))</f>
        <v/>
      </c>
      <c r="D1291" s="5">
        <f>IF(B1291="","",IFERROR(VLOOKUP(B1291, PLANTA_BASE!A:R, 5, FALSE), "NO ENCONTRADO EN PLANTA"))</f>
        <v/>
      </c>
      <c r="E1291" s="5">
        <f>IF(B1291="","",IFERROR(VLOOKUP(B1291, PLANTA_BASE!A:R, 6, FALSE), "NO ENCONTRADO EN PLANTA"))</f>
        <v/>
      </c>
      <c r="F1291" s="7">
        <f>IF(B1291="","",IFERROR(VLOOKUP(B1291, PLANTA_BASE!A:R, 8, FALSE), "DOCENTE / FACILITADOR"))</f>
        <v/>
      </c>
      <c r="G1291" s="7">
        <f>IF(B1291="","",IFERROR(VLOOKUP(B1291, PLANTA_BASE!A:R, 9, FALSE), "GENERAL"))</f>
        <v/>
      </c>
      <c r="H1291" s="5">
        <f>IF(B1291="","",IFERROR(VLOOKUP(B1291, PLANTA_BASE!A:R, 17, FALSE), "GENERAL"))</f>
        <v/>
      </c>
    </row>
    <row r="1292" ht="20" customHeight="1">
      <c r="A1292" s="2">
        <f>IF(B1292="","",IFERROR(VLOOKUP(B1292, PLANTA_BASE!A:R, 2, FALSE), "NO ENCONTRADO EN PLANTA"))</f>
        <v/>
      </c>
      <c r="B1292" s="3" t="inlineStr"/>
      <c r="C1292" s="4">
        <f>IF(B1292="","",IFERROR(VLOOKUP(B1292, PLANTA_BASE!A:R, 3, FALSE), ""))</f>
        <v/>
      </c>
      <c r="D1292" s="2">
        <f>IF(B1292="","",IFERROR(VLOOKUP(B1292, PLANTA_BASE!A:R, 5, FALSE), "NO ENCONTRADO EN PLANTA"))</f>
        <v/>
      </c>
      <c r="E1292" s="2">
        <f>IF(B1292="","",IFERROR(VLOOKUP(B1292, PLANTA_BASE!A:R, 6, FALSE), "NO ENCONTRADO EN PLANTA"))</f>
        <v/>
      </c>
      <c r="F1292" s="4">
        <f>IF(B1292="","",IFERROR(VLOOKUP(B1292, PLANTA_BASE!A:R, 8, FALSE), "DOCENTE / FACILITADOR"))</f>
        <v/>
      </c>
      <c r="G1292" s="4">
        <f>IF(B1292="","",IFERROR(VLOOKUP(B1292, PLANTA_BASE!A:R, 9, FALSE), "GENERAL"))</f>
        <v/>
      </c>
      <c r="H1292" s="2">
        <f>IF(B1292="","",IFERROR(VLOOKUP(B1292, PLANTA_BASE!A:R, 17, FALSE), "GENERAL"))</f>
        <v/>
      </c>
    </row>
    <row r="1293" ht="20" customHeight="1">
      <c r="A1293" s="5">
        <f>IF(B1293="","",IFERROR(VLOOKUP(B1293, PLANTA_BASE!A:R, 2, FALSE), "NO ENCONTRADO EN PLANTA"))</f>
        <v/>
      </c>
      <c r="B1293" s="6" t="inlineStr"/>
      <c r="C1293" s="7">
        <f>IF(B1293="","",IFERROR(VLOOKUP(B1293, PLANTA_BASE!A:R, 3, FALSE), ""))</f>
        <v/>
      </c>
      <c r="D1293" s="5">
        <f>IF(B1293="","",IFERROR(VLOOKUP(B1293, PLANTA_BASE!A:R, 5, FALSE), "NO ENCONTRADO EN PLANTA"))</f>
        <v/>
      </c>
      <c r="E1293" s="5">
        <f>IF(B1293="","",IFERROR(VLOOKUP(B1293, PLANTA_BASE!A:R, 6, FALSE), "NO ENCONTRADO EN PLANTA"))</f>
        <v/>
      </c>
      <c r="F1293" s="7">
        <f>IF(B1293="","",IFERROR(VLOOKUP(B1293, PLANTA_BASE!A:R, 8, FALSE), "DOCENTE / FACILITADOR"))</f>
        <v/>
      </c>
      <c r="G1293" s="7">
        <f>IF(B1293="","",IFERROR(VLOOKUP(B1293, PLANTA_BASE!A:R, 9, FALSE), "GENERAL"))</f>
        <v/>
      </c>
      <c r="H1293" s="5">
        <f>IF(B1293="","",IFERROR(VLOOKUP(B1293, PLANTA_BASE!A:R, 17, FALSE), "GENERAL"))</f>
        <v/>
      </c>
    </row>
    <row r="1294" ht="20" customHeight="1">
      <c r="A1294" s="2">
        <f>IF(B1294="","",IFERROR(VLOOKUP(B1294, PLANTA_BASE!A:R, 2, FALSE), "NO ENCONTRADO EN PLANTA"))</f>
        <v/>
      </c>
      <c r="B1294" s="3" t="inlineStr"/>
      <c r="C1294" s="4">
        <f>IF(B1294="","",IFERROR(VLOOKUP(B1294, PLANTA_BASE!A:R, 3, FALSE), ""))</f>
        <v/>
      </c>
      <c r="D1294" s="2">
        <f>IF(B1294="","",IFERROR(VLOOKUP(B1294, PLANTA_BASE!A:R, 5, FALSE), "NO ENCONTRADO EN PLANTA"))</f>
        <v/>
      </c>
      <c r="E1294" s="2">
        <f>IF(B1294="","",IFERROR(VLOOKUP(B1294, PLANTA_BASE!A:R, 6, FALSE), "NO ENCONTRADO EN PLANTA"))</f>
        <v/>
      </c>
      <c r="F1294" s="4">
        <f>IF(B1294="","",IFERROR(VLOOKUP(B1294, PLANTA_BASE!A:R, 8, FALSE), "DOCENTE / FACILITADOR"))</f>
        <v/>
      </c>
      <c r="G1294" s="4">
        <f>IF(B1294="","",IFERROR(VLOOKUP(B1294, PLANTA_BASE!A:R, 9, FALSE), "GENERAL"))</f>
        <v/>
      </c>
      <c r="H1294" s="2">
        <f>IF(B1294="","",IFERROR(VLOOKUP(B1294, PLANTA_BASE!A:R, 17, FALSE), "GENERAL"))</f>
        <v/>
      </c>
    </row>
    <row r="1295" ht="20" customHeight="1">
      <c r="A1295" s="5">
        <f>IF(B1295="","",IFERROR(VLOOKUP(B1295, PLANTA_BASE!A:R, 2, FALSE), "NO ENCONTRADO EN PLANTA"))</f>
        <v/>
      </c>
      <c r="B1295" s="6" t="inlineStr"/>
      <c r="C1295" s="7">
        <f>IF(B1295="","",IFERROR(VLOOKUP(B1295, PLANTA_BASE!A:R, 3, FALSE), ""))</f>
        <v/>
      </c>
      <c r="D1295" s="5">
        <f>IF(B1295="","",IFERROR(VLOOKUP(B1295, PLANTA_BASE!A:R, 5, FALSE), "NO ENCONTRADO EN PLANTA"))</f>
        <v/>
      </c>
      <c r="E1295" s="5">
        <f>IF(B1295="","",IFERROR(VLOOKUP(B1295, PLANTA_BASE!A:R, 6, FALSE), "NO ENCONTRADO EN PLANTA"))</f>
        <v/>
      </c>
      <c r="F1295" s="7">
        <f>IF(B1295="","",IFERROR(VLOOKUP(B1295, PLANTA_BASE!A:R, 8, FALSE), "DOCENTE / FACILITADOR"))</f>
        <v/>
      </c>
      <c r="G1295" s="7">
        <f>IF(B1295="","",IFERROR(VLOOKUP(B1295, PLANTA_BASE!A:R, 9, FALSE), "GENERAL"))</f>
        <v/>
      </c>
      <c r="H1295" s="5">
        <f>IF(B1295="","",IFERROR(VLOOKUP(B1295, PLANTA_BASE!A:R, 17, FALSE), "GENERAL"))</f>
        <v/>
      </c>
    </row>
    <row r="1296" ht="20" customHeight="1">
      <c r="A1296" s="2">
        <f>IF(B1296="","",IFERROR(VLOOKUP(B1296, PLANTA_BASE!A:R, 2, FALSE), "NO ENCONTRADO EN PLANTA"))</f>
        <v/>
      </c>
      <c r="B1296" s="3" t="inlineStr"/>
      <c r="C1296" s="4">
        <f>IF(B1296="","",IFERROR(VLOOKUP(B1296, PLANTA_BASE!A:R, 3, FALSE), ""))</f>
        <v/>
      </c>
      <c r="D1296" s="2">
        <f>IF(B1296="","",IFERROR(VLOOKUP(B1296, PLANTA_BASE!A:R, 5, FALSE), "NO ENCONTRADO EN PLANTA"))</f>
        <v/>
      </c>
      <c r="E1296" s="2">
        <f>IF(B1296="","",IFERROR(VLOOKUP(B1296, PLANTA_BASE!A:R, 6, FALSE), "NO ENCONTRADO EN PLANTA"))</f>
        <v/>
      </c>
      <c r="F1296" s="4">
        <f>IF(B1296="","",IFERROR(VLOOKUP(B1296, PLANTA_BASE!A:R, 8, FALSE), "DOCENTE / FACILITADOR"))</f>
        <v/>
      </c>
      <c r="G1296" s="4">
        <f>IF(B1296="","",IFERROR(VLOOKUP(B1296, PLANTA_BASE!A:R, 9, FALSE), "GENERAL"))</f>
        <v/>
      </c>
      <c r="H1296" s="2">
        <f>IF(B1296="","",IFERROR(VLOOKUP(B1296, PLANTA_BASE!A:R, 17, FALSE), "GENERAL"))</f>
        <v/>
      </c>
    </row>
    <row r="1297" ht="20" customHeight="1">
      <c r="A1297" s="5">
        <f>IF(B1297="","",IFERROR(VLOOKUP(B1297, PLANTA_BASE!A:R, 2, FALSE), "NO ENCONTRADO EN PLANTA"))</f>
        <v/>
      </c>
      <c r="B1297" s="6" t="inlineStr"/>
      <c r="C1297" s="7">
        <f>IF(B1297="","",IFERROR(VLOOKUP(B1297, PLANTA_BASE!A:R, 3, FALSE), ""))</f>
        <v/>
      </c>
      <c r="D1297" s="5">
        <f>IF(B1297="","",IFERROR(VLOOKUP(B1297, PLANTA_BASE!A:R, 5, FALSE), "NO ENCONTRADO EN PLANTA"))</f>
        <v/>
      </c>
      <c r="E1297" s="5">
        <f>IF(B1297="","",IFERROR(VLOOKUP(B1297, PLANTA_BASE!A:R, 6, FALSE), "NO ENCONTRADO EN PLANTA"))</f>
        <v/>
      </c>
      <c r="F1297" s="7">
        <f>IF(B1297="","",IFERROR(VLOOKUP(B1297, PLANTA_BASE!A:R, 8, FALSE), "DOCENTE / FACILITADOR"))</f>
        <v/>
      </c>
      <c r="G1297" s="7">
        <f>IF(B1297="","",IFERROR(VLOOKUP(B1297, PLANTA_BASE!A:R, 9, FALSE), "GENERAL"))</f>
        <v/>
      </c>
      <c r="H1297" s="5">
        <f>IF(B1297="","",IFERROR(VLOOKUP(B1297, PLANTA_BASE!A:R, 17, FALSE), "GENERAL"))</f>
        <v/>
      </c>
    </row>
    <row r="1298" ht="20" customHeight="1">
      <c r="A1298" s="2">
        <f>IF(B1298="","",IFERROR(VLOOKUP(B1298, PLANTA_BASE!A:R, 2, FALSE), "NO ENCONTRADO EN PLANTA"))</f>
        <v/>
      </c>
      <c r="B1298" s="3" t="inlineStr"/>
      <c r="C1298" s="4">
        <f>IF(B1298="","",IFERROR(VLOOKUP(B1298, PLANTA_BASE!A:R, 3, FALSE), ""))</f>
        <v/>
      </c>
      <c r="D1298" s="2">
        <f>IF(B1298="","",IFERROR(VLOOKUP(B1298, PLANTA_BASE!A:R, 5, FALSE), "NO ENCONTRADO EN PLANTA"))</f>
        <v/>
      </c>
      <c r="E1298" s="2">
        <f>IF(B1298="","",IFERROR(VLOOKUP(B1298, PLANTA_BASE!A:R, 6, FALSE), "NO ENCONTRADO EN PLANTA"))</f>
        <v/>
      </c>
      <c r="F1298" s="4">
        <f>IF(B1298="","",IFERROR(VLOOKUP(B1298, PLANTA_BASE!A:R, 8, FALSE), "DOCENTE / FACILITADOR"))</f>
        <v/>
      </c>
      <c r="G1298" s="4">
        <f>IF(B1298="","",IFERROR(VLOOKUP(B1298, PLANTA_BASE!A:R, 9, FALSE), "GENERAL"))</f>
        <v/>
      </c>
      <c r="H1298" s="2">
        <f>IF(B1298="","",IFERROR(VLOOKUP(B1298, PLANTA_BASE!A:R, 17, FALSE), "GENERAL"))</f>
        <v/>
      </c>
    </row>
    <row r="1299" ht="20" customHeight="1">
      <c r="A1299" s="5">
        <f>IF(B1299="","",IFERROR(VLOOKUP(B1299, PLANTA_BASE!A:R, 2, FALSE), "NO ENCONTRADO EN PLANTA"))</f>
        <v/>
      </c>
      <c r="B1299" s="6" t="inlineStr"/>
      <c r="C1299" s="7">
        <f>IF(B1299="","",IFERROR(VLOOKUP(B1299, PLANTA_BASE!A:R, 3, FALSE), ""))</f>
        <v/>
      </c>
      <c r="D1299" s="5">
        <f>IF(B1299="","",IFERROR(VLOOKUP(B1299, PLANTA_BASE!A:R, 5, FALSE), "NO ENCONTRADO EN PLANTA"))</f>
        <v/>
      </c>
      <c r="E1299" s="5">
        <f>IF(B1299="","",IFERROR(VLOOKUP(B1299, PLANTA_BASE!A:R, 6, FALSE), "NO ENCONTRADO EN PLANTA"))</f>
        <v/>
      </c>
      <c r="F1299" s="7">
        <f>IF(B1299="","",IFERROR(VLOOKUP(B1299, PLANTA_BASE!A:R, 8, FALSE), "DOCENTE / FACILITADOR"))</f>
        <v/>
      </c>
      <c r="G1299" s="7">
        <f>IF(B1299="","",IFERROR(VLOOKUP(B1299, PLANTA_BASE!A:R, 9, FALSE), "GENERAL"))</f>
        <v/>
      </c>
      <c r="H1299" s="5">
        <f>IF(B1299="","",IFERROR(VLOOKUP(B1299, PLANTA_BASE!A:R, 17, FALSE), "GENERAL"))</f>
        <v/>
      </c>
    </row>
    <row r="1300" ht="20" customHeight="1">
      <c r="A1300" s="2">
        <f>IF(B1300="","",IFERROR(VLOOKUP(B1300, PLANTA_BASE!A:R, 2, FALSE), "NO ENCONTRADO EN PLANTA"))</f>
        <v/>
      </c>
      <c r="B1300" s="3" t="inlineStr"/>
      <c r="C1300" s="4">
        <f>IF(B1300="","",IFERROR(VLOOKUP(B1300, PLANTA_BASE!A:R, 3, FALSE), ""))</f>
        <v/>
      </c>
      <c r="D1300" s="2">
        <f>IF(B1300="","",IFERROR(VLOOKUP(B1300, PLANTA_BASE!A:R, 5, FALSE), "NO ENCONTRADO EN PLANTA"))</f>
        <v/>
      </c>
      <c r="E1300" s="2">
        <f>IF(B1300="","",IFERROR(VLOOKUP(B1300, PLANTA_BASE!A:R, 6, FALSE), "NO ENCONTRADO EN PLANTA"))</f>
        <v/>
      </c>
      <c r="F1300" s="4">
        <f>IF(B1300="","",IFERROR(VLOOKUP(B1300, PLANTA_BASE!A:R, 8, FALSE), "DOCENTE / FACILITADOR"))</f>
        <v/>
      </c>
      <c r="G1300" s="4">
        <f>IF(B1300="","",IFERROR(VLOOKUP(B1300, PLANTA_BASE!A:R, 9, FALSE), "GENERAL"))</f>
        <v/>
      </c>
      <c r="H1300" s="2">
        <f>IF(B1300="","",IFERROR(VLOOKUP(B1300, PLANTA_BASE!A:R, 17, FALSE), "GENERAL"))</f>
        <v/>
      </c>
    </row>
    <row r="1301" ht="20" customHeight="1">
      <c r="A1301" s="5">
        <f>IF(B1301="","",IFERROR(VLOOKUP(B1301, PLANTA_BASE!A:R, 2, FALSE), "NO ENCONTRADO EN PLANTA"))</f>
        <v/>
      </c>
      <c r="B1301" s="6" t="inlineStr"/>
      <c r="C1301" s="7">
        <f>IF(B1301="","",IFERROR(VLOOKUP(B1301, PLANTA_BASE!A:R, 3, FALSE), ""))</f>
        <v/>
      </c>
      <c r="D1301" s="5">
        <f>IF(B1301="","",IFERROR(VLOOKUP(B1301, PLANTA_BASE!A:R, 5, FALSE), "NO ENCONTRADO EN PLANTA"))</f>
        <v/>
      </c>
      <c r="E1301" s="5">
        <f>IF(B1301="","",IFERROR(VLOOKUP(B1301, PLANTA_BASE!A:R, 6, FALSE), "NO ENCONTRADO EN PLANTA"))</f>
        <v/>
      </c>
      <c r="F1301" s="7">
        <f>IF(B1301="","",IFERROR(VLOOKUP(B1301, PLANTA_BASE!A:R, 8, FALSE), "DOCENTE / FACILITADOR"))</f>
        <v/>
      </c>
      <c r="G1301" s="7">
        <f>IF(B1301="","",IFERROR(VLOOKUP(B1301, PLANTA_BASE!A:R, 9, FALSE), "GENERAL"))</f>
        <v/>
      </c>
      <c r="H1301" s="5">
        <f>IF(B1301="","",IFERROR(VLOOKUP(B1301, PLANTA_BASE!A:R, 17, FALSE), "GENERAL"))</f>
        <v/>
      </c>
    </row>
    <row r="1302" ht="20" customHeight="1">
      <c r="A1302" s="2">
        <f>IF(B1302="","",IFERROR(VLOOKUP(B1302, PLANTA_BASE!A:R, 2, FALSE), "NO ENCONTRADO EN PLANTA"))</f>
        <v/>
      </c>
      <c r="B1302" s="3" t="inlineStr"/>
      <c r="C1302" s="4">
        <f>IF(B1302="","",IFERROR(VLOOKUP(B1302, PLANTA_BASE!A:R, 3, FALSE), ""))</f>
        <v/>
      </c>
      <c r="D1302" s="2">
        <f>IF(B1302="","",IFERROR(VLOOKUP(B1302, PLANTA_BASE!A:R, 5, FALSE), "NO ENCONTRADO EN PLANTA"))</f>
        <v/>
      </c>
      <c r="E1302" s="2">
        <f>IF(B1302="","",IFERROR(VLOOKUP(B1302, PLANTA_BASE!A:R, 6, FALSE), "NO ENCONTRADO EN PLANTA"))</f>
        <v/>
      </c>
      <c r="F1302" s="4">
        <f>IF(B1302="","",IFERROR(VLOOKUP(B1302, PLANTA_BASE!A:R, 8, FALSE), "DOCENTE / FACILITADOR"))</f>
        <v/>
      </c>
      <c r="G1302" s="4">
        <f>IF(B1302="","",IFERROR(VLOOKUP(B1302, PLANTA_BASE!A:R, 9, FALSE), "GENERAL"))</f>
        <v/>
      </c>
      <c r="H1302" s="2">
        <f>IF(B1302="","",IFERROR(VLOOKUP(B1302, PLANTA_BASE!A:R, 17, FALSE), "GENERAL"))</f>
        <v/>
      </c>
    </row>
    <row r="1303" ht="20" customHeight="1">
      <c r="A1303" s="5">
        <f>IF(B1303="","",IFERROR(VLOOKUP(B1303, PLANTA_BASE!A:R, 2, FALSE), "NO ENCONTRADO EN PLANTA"))</f>
        <v/>
      </c>
      <c r="B1303" s="6" t="inlineStr"/>
      <c r="C1303" s="7">
        <f>IF(B1303="","",IFERROR(VLOOKUP(B1303, PLANTA_BASE!A:R, 3, FALSE), ""))</f>
        <v/>
      </c>
      <c r="D1303" s="5">
        <f>IF(B1303="","",IFERROR(VLOOKUP(B1303, PLANTA_BASE!A:R, 5, FALSE), "NO ENCONTRADO EN PLANTA"))</f>
        <v/>
      </c>
      <c r="E1303" s="5">
        <f>IF(B1303="","",IFERROR(VLOOKUP(B1303, PLANTA_BASE!A:R, 6, FALSE), "NO ENCONTRADO EN PLANTA"))</f>
        <v/>
      </c>
      <c r="F1303" s="7">
        <f>IF(B1303="","",IFERROR(VLOOKUP(B1303, PLANTA_BASE!A:R, 8, FALSE), "DOCENTE / FACILITADOR"))</f>
        <v/>
      </c>
      <c r="G1303" s="7">
        <f>IF(B1303="","",IFERROR(VLOOKUP(B1303, PLANTA_BASE!A:R, 9, FALSE), "GENERAL"))</f>
        <v/>
      </c>
      <c r="H1303" s="5">
        <f>IF(B1303="","",IFERROR(VLOOKUP(B1303, PLANTA_BASE!A:R, 17, FALSE), "GENERAL"))</f>
        <v/>
      </c>
    </row>
    <row r="1304" ht="20" customHeight="1">
      <c r="A1304" s="2">
        <f>IF(B1304="","",IFERROR(VLOOKUP(B1304, PLANTA_BASE!A:R, 2, FALSE), "NO ENCONTRADO EN PLANTA"))</f>
        <v/>
      </c>
      <c r="B1304" s="3" t="inlineStr"/>
      <c r="C1304" s="4">
        <f>IF(B1304="","",IFERROR(VLOOKUP(B1304, PLANTA_BASE!A:R, 3, FALSE), ""))</f>
        <v/>
      </c>
      <c r="D1304" s="2">
        <f>IF(B1304="","",IFERROR(VLOOKUP(B1304, PLANTA_BASE!A:R, 5, FALSE), "NO ENCONTRADO EN PLANTA"))</f>
        <v/>
      </c>
      <c r="E1304" s="2">
        <f>IF(B1304="","",IFERROR(VLOOKUP(B1304, PLANTA_BASE!A:R, 6, FALSE), "NO ENCONTRADO EN PLANTA"))</f>
        <v/>
      </c>
      <c r="F1304" s="4">
        <f>IF(B1304="","",IFERROR(VLOOKUP(B1304, PLANTA_BASE!A:R, 8, FALSE), "DOCENTE / FACILITADOR"))</f>
        <v/>
      </c>
      <c r="G1304" s="4">
        <f>IF(B1304="","",IFERROR(VLOOKUP(B1304, PLANTA_BASE!A:R, 9, FALSE), "GENERAL"))</f>
        <v/>
      </c>
      <c r="H1304" s="2">
        <f>IF(B1304="","",IFERROR(VLOOKUP(B1304, PLANTA_BASE!A:R, 17, FALSE), "GENERAL"))</f>
        <v/>
      </c>
    </row>
    <row r="1305" ht="20" customHeight="1">
      <c r="A1305" s="5">
        <f>IF(B1305="","",IFERROR(VLOOKUP(B1305, PLANTA_BASE!A:R, 2, FALSE), "NO ENCONTRADO EN PLANTA"))</f>
        <v/>
      </c>
      <c r="B1305" s="6" t="inlineStr"/>
      <c r="C1305" s="7">
        <f>IF(B1305="","",IFERROR(VLOOKUP(B1305, PLANTA_BASE!A:R, 3, FALSE), ""))</f>
        <v/>
      </c>
      <c r="D1305" s="5">
        <f>IF(B1305="","",IFERROR(VLOOKUP(B1305, PLANTA_BASE!A:R, 5, FALSE), "NO ENCONTRADO EN PLANTA"))</f>
        <v/>
      </c>
      <c r="E1305" s="5">
        <f>IF(B1305="","",IFERROR(VLOOKUP(B1305, PLANTA_BASE!A:R, 6, FALSE), "NO ENCONTRADO EN PLANTA"))</f>
        <v/>
      </c>
      <c r="F1305" s="7">
        <f>IF(B1305="","",IFERROR(VLOOKUP(B1305, PLANTA_BASE!A:R, 8, FALSE), "DOCENTE / FACILITADOR"))</f>
        <v/>
      </c>
      <c r="G1305" s="7">
        <f>IF(B1305="","",IFERROR(VLOOKUP(B1305, PLANTA_BASE!A:R, 9, FALSE), "GENERAL"))</f>
        <v/>
      </c>
      <c r="H1305" s="5">
        <f>IF(B1305="","",IFERROR(VLOOKUP(B1305, PLANTA_BASE!A:R, 17, FALSE), "GENERAL"))</f>
        <v/>
      </c>
    </row>
    <row r="1306" ht="20" customHeight="1">
      <c r="A1306" s="2">
        <f>IF(B1306="","",IFERROR(VLOOKUP(B1306, PLANTA_BASE!A:R, 2, FALSE), "NO ENCONTRADO EN PLANTA"))</f>
        <v/>
      </c>
      <c r="B1306" s="3" t="inlineStr"/>
      <c r="C1306" s="4">
        <f>IF(B1306="","",IFERROR(VLOOKUP(B1306, PLANTA_BASE!A:R, 3, FALSE), ""))</f>
        <v/>
      </c>
      <c r="D1306" s="2">
        <f>IF(B1306="","",IFERROR(VLOOKUP(B1306, PLANTA_BASE!A:R, 5, FALSE), "NO ENCONTRADO EN PLANTA"))</f>
        <v/>
      </c>
      <c r="E1306" s="2">
        <f>IF(B1306="","",IFERROR(VLOOKUP(B1306, PLANTA_BASE!A:R, 6, FALSE), "NO ENCONTRADO EN PLANTA"))</f>
        <v/>
      </c>
      <c r="F1306" s="4">
        <f>IF(B1306="","",IFERROR(VLOOKUP(B1306, PLANTA_BASE!A:R, 8, FALSE), "DOCENTE / FACILITADOR"))</f>
        <v/>
      </c>
      <c r="G1306" s="4">
        <f>IF(B1306="","",IFERROR(VLOOKUP(B1306, PLANTA_BASE!A:R, 9, FALSE), "GENERAL"))</f>
        <v/>
      </c>
      <c r="H1306" s="2">
        <f>IF(B1306="","",IFERROR(VLOOKUP(B1306, PLANTA_BASE!A:R, 17, FALSE), "GENERAL"))</f>
        <v/>
      </c>
    </row>
    <row r="1307" ht="20" customHeight="1">
      <c r="A1307" s="5">
        <f>IF(B1307="","",IFERROR(VLOOKUP(B1307, PLANTA_BASE!A:R, 2, FALSE), "NO ENCONTRADO EN PLANTA"))</f>
        <v/>
      </c>
      <c r="B1307" s="6" t="inlineStr"/>
      <c r="C1307" s="7">
        <f>IF(B1307="","",IFERROR(VLOOKUP(B1307, PLANTA_BASE!A:R, 3, FALSE), ""))</f>
        <v/>
      </c>
      <c r="D1307" s="5">
        <f>IF(B1307="","",IFERROR(VLOOKUP(B1307, PLANTA_BASE!A:R, 5, FALSE), "NO ENCONTRADO EN PLANTA"))</f>
        <v/>
      </c>
      <c r="E1307" s="5">
        <f>IF(B1307="","",IFERROR(VLOOKUP(B1307, PLANTA_BASE!A:R, 6, FALSE), "NO ENCONTRADO EN PLANTA"))</f>
        <v/>
      </c>
      <c r="F1307" s="7">
        <f>IF(B1307="","",IFERROR(VLOOKUP(B1307, PLANTA_BASE!A:R, 8, FALSE), "DOCENTE / FACILITADOR"))</f>
        <v/>
      </c>
      <c r="G1307" s="7">
        <f>IF(B1307="","",IFERROR(VLOOKUP(B1307, PLANTA_BASE!A:R, 9, FALSE), "GENERAL"))</f>
        <v/>
      </c>
      <c r="H1307" s="5">
        <f>IF(B1307="","",IFERROR(VLOOKUP(B1307, PLANTA_BASE!A:R, 17, FALSE), "GENERAL"))</f>
        <v/>
      </c>
    </row>
    <row r="1308" ht="20" customHeight="1">
      <c r="A1308" s="2">
        <f>IF(B1308="","",IFERROR(VLOOKUP(B1308, PLANTA_BASE!A:R, 2, FALSE), "NO ENCONTRADO EN PLANTA"))</f>
        <v/>
      </c>
      <c r="B1308" s="3" t="inlineStr"/>
      <c r="C1308" s="4">
        <f>IF(B1308="","",IFERROR(VLOOKUP(B1308, PLANTA_BASE!A:R, 3, FALSE), ""))</f>
        <v/>
      </c>
      <c r="D1308" s="2">
        <f>IF(B1308="","",IFERROR(VLOOKUP(B1308, PLANTA_BASE!A:R, 5, FALSE), "NO ENCONTRADO EN PLANTA"))</f>
        <v/>
      </c>
      <c r="E1308" s="2">
        <f>IF(B1308="","",IFERROR(VLOOKUP(B1308, PLANTA_BASE!A:R, 6, FALSE), "NO ENCONTRADO EN PLANTA"))</f>
        <v/>
      </c>
      <c r="F1308" s="4">
        <f>IF(B1308="","",IFERROR(VLOOKUP(B1308, PLANTA_BASE!A:R, 8, FALSE), "DOCENTE / FACILITADOR"))</f>
        <v/>
      </c>
      <c r="G1308" s="4">
        <f>IF(B1308="","",IFERROR(VLOOKUP(B1308, PLANTA_BASE!A:R, 9, FALSE), "GENERAL"))</f>
        <v/>
      </c>
      <c r="H1308" s="2">
        <f>IF(B1308="","",IFERROR(VLOOKUP(B1308, PLANTA_BASE!A:R, 17, FALSE), "GENERAL"))</f>
        <v/>
      </c>
    </row>
    <row r="1309" ht="20" customHeight="1">
      <c r="A1309" s="5">
        <f>IF(B1309="","",IFERROR(VLOOKUP(B1309, PLANTA_BASE!A:R, 2, FALSE), "NO ENCONTRADO EN PLANTA"))</f>
        <v/>
      </c>
      <c r="B1309" s="6" t="inlineStr"/>
      <c r="C1309" s="7">
        <f>IF(B1309="","",IFERROR(VLOOKUP(B1309, PLANTA_BASE!A:R, 3, FALSE), ""))</f>
        <v/>
      </c>
      <c r="D1309" s="5">
        <f>IF(B1309="","",IFERROR(VLOOKUP(B1309, PLANTA_BASE!A:R, 5, FALSE), "NO ENCONTRADO EN PLANTA"))</f>
        <v/>
      </c>
      <c r="E1309" s="5">
        <f>IF(B1309="","",IFERROR(VLOOKUP(B1309, PLANTA_BASE!A:R, 6, FALSE), "NO ENCONTRADO EN PLANTA"))</f>
        <v/>
      </c>
      <c r="F1309" s="7">
        <f>IF(B1309="","",IFERROR(VLOOKUP(B1309, PLANTA_BASE!A:R, 8, FALSE), "DOCENTE / FACILITADOR"))</f>
        <v/>
      </c>
      <c r="G1309" s="7">
        <f>IF(B1309="","",IFERROR(VLOOKUP(B1309, PLANTA_BASE!A:R, 9, FALSE), "GENERAL"))</f>
        <v/>
      </c>
      <c r="H1309" s="5">
        <f>IF(B1309="","",IFERROR(VLOOKUP(B1309, PLANTA_BASE!A:R, 17, FALSE), "GENERAL"))</f>
        <v/>
      </c>
    </row>
    <row r="1310" ht="20" customHeight="1">
      <c r="A1310" s="2">
        <f>IF(B1310="","",IFERROR(VLOOKUP(B1310, PLANTA_BASE!A:R, 2, FALSE), "NO ENCONTRADO EN PLANTA"))</f>
        <v/>
      </c>
      <c r="B1310" s="3" t="inlineStr"/>
      <c r="C1310" s="4">
        <f>IF(B1310="","",IFERROR(VLOOKUP(B1310, PLANTA_BASE!A:R, 3, FALSE), ""))</f>
        <v/>
      </c>
      <c r="D1310" s="2">
        <f>IF(B1310="","",IFERROR(VLOOKUP(B1310, PLANTA_BASE!A:R, 5, FALSE), "NO ENCONTRADO EN PLANTA"))</f>
        <v/>
      </c>
      <c r="E1310" s="2">
        <f>IF(B1310="","",IFERROR(VLOOKUP(B1310, PLANTA_BASE!A:R, 6, FALSE), "NO ENCONTRADO EN PLANTA"))</f>
        <v/>
      </c>
      <c r="F1310" s="4">
        <f>IF(B1310="","",IFERROR(VLOOKUP(B1310, PLANTA_BASE!A:R, 8, FALSE), "DOCENTE / FACILITADOR"))</f>
        <v/>
      </c>
      <c r="G1310" s="4">
        <f>IF(B1310="","",IFERROR(VLOOKUP(B1310, PLANTA_BASE!A:R, 9, FALSE), "GENERAL"))</f>
        <v/>
      </c>
      <c r="H1310" s="2">
        <f>IF(B1310="","",IFERROR(VLOOKUP(B1310, PLANTA_BASE!A:R, 17, FALSE), "GENERAL"))</f>
        <v/>
      </c>
    </row>
    <row r="1311" ht="20" customHeight="1">
      <c r="A1311" s="5">
        <f>IF(B1311="","",IFERROR(VLOOKUP(B1311, PLANTA_BASE!A:R, 2, FALSE), "NO ENCONTRADO EN PLANTA"))</f>
        <v/>
      </c>
      <c r="B1311" s="6" t="inlineStr"/>
      <c r="C1311" s="7">
        <f>IF(B1311="","",IFERROR(VLOOKUP(B1311, PLANTA_BASE!A:R, 3, FALSE), ""))</f>
        <v/>
      </c>
      <c r="D1311" s="5">
        <f>IF(B1311="","",IFERROR(VLOOKUP(B1311, PLANTA_BASE!A:R, 5, FALSE), "NO ENCONTRADO EN PLANTA"))</f>
        <v/>
      </c>
      <c r="E1311" s="5">
        <f>IF(B1311="","",IFERROR(VLOOKUP(B1311, PLANTA_BASE!A:R, 6, FALSE), "NO ENCONTRADO EN PLANTA"))</f>
        <v/>
      </c>
      <c r="F1311" s="7">
        <f>IF(B1311="","",IFERROR(VLOOKUP(B1311, PLANTA_BASE!A:R, 8, FALSE), "DOCENTE / FACILITADOR"))</f>
        <v/>
      </c>
      <c r="G1311" s="7">
        <f>IF(B1311="","",IFERROR(VLOOKUP(B1311, PLANTA_BASE!A:R, 9, FALSE), "GENERAL"))</f>
        <v/>
      </c>
      <c r="H1311" s="5">
        <f>IF(B1311="","",IFERROR(VLOOKUP(B1311, PLANTA_BASE!A:R, 17, FALSE), "GENERAL"))</f>
        <v/>
      </c>
    </row>
    <row r="1312" ht="20" customHeight="1">
      <c r="A1312" s="2">
        <f>IF(B1312="","",IFERROR(VLOOKUP(B1312, PLANTA_BASE!A:R, 2, FALSE), "NO ENCONTRADO EN PLANTA"))</f>
        <v/>
      </c>
      <c r="B1312" s="3" t="inlineStr"/>
      <c r="C1312" s="4">
        <f>IF(B1312="","",IFERROR(VLOOKUP(B1312, PLANTA_BASE!A:R, 3, FALSE), ""))</f>
        <v/>
      </c>
      <c r="D1312" s="2">
        <f>IF(B1312="","",IFERROR(VLOOKUP(B1312, PLANTA_BASE!A:R, 5, FALSE), "NO ENCONTRADO EN PLANTA"))</f>
        <v/>
      </c>
      <c r="E1312" s="2">
        <f>IF(B1312="","",IFERROR(VLOOKUP(B1312, PLANTA_BASE!A:R, 6, FALSE), "NO ENCONTRADO EN PLANTA"))</f>
        <v/>
      </c>
      <c r="F1312" s="4">
        <f>IF(B1312="","",IFERROR(VLOOKUP(B1312, PLANTA_BASE!A:R, 8, FALSE), "DOCENTE / FACILITADOR"))</f>
        <v/>
      </c>
      <c r="G1312" s="4">
        <f>IF(B1312="","",IFERROR(VLOOKUP(B1312, PLANTA_BASE!A:R, 9, FALSE), "GENERAL"))</f>
        <v/>
      </c>
      <c r="H1312" s="2">
        <f>IF(B1312="","",IFERROR(VLOOKUP(B1312, PLANTA_BASE!A:R, 17, FALSE), "GENERAL"))</f>
        <v/>
      </c>
    </row>
    <row r="1313" ht="20" customHeight="1">
      <c r="A1313" s="5">
        <f>IF(B1313="","",IFERROR(VLOOKUP(B1313, PLANTA_BASE!A:R, 2, FALSE), "NO ENCONTRADO EN PLANTA"))</f>
        <v/>
      </c>
      <c r="B1313" s="6" t="inlineStr"/>
      <c r="C1313" s="7">
        <f>IF(B1313="","",IFERROR(VLOOKUP(B1313, PLANTA_BASE!A:R, 3, FALSE), ""))</f>
        <v/>
      </c>
      <c r="D1313" s="5">
        <f>IF(B1313="","",IFERROR(VLOOKUP(B1313, PLANTA_BASE!A:R, 5, FALSE), "NO ENCONTRADO EN PLANTA"))</f>
        <v/>
      </c>
      <c r="E1313" s="5">
        <f>IF(B1313="","",IFERROR(VLOOKUP(B1313, PLANTA_BASE!A:R, 6, FALSE), "NO ENCONTRADO EN PLANTA"))</f>
        <v/>
      </c>
      <c r="F1313" s="7">
        <f>IF(B1313="","",IFERROR(VLOOKUP(B1313, PLANTA_BASE!A:R, 8, FALSE), "DOCENTE / FACILITADOR"))</f>
        <v/>
      </c>
      <c r="G1313" s="7">
        <f>IF(B1313="","",IFERROR(VLOOKUP(B1313, PLANTA_BASE!A:R, 9, FALSE), "GENERAL"))</f>
        <v/>
      </c>
      <c r="H1313" s="5">
        <f>IF(B1313="","",IFERROR(VLOOKUP(B1313, PLANTA_BASE!A:R, 17, FALSE), "GENERAL"))</f>
        <v/>
      </c>
    </row>
    <row r="1314" ht="20" customHeight="1">
      <c r="A1314" s="2">
        <f>IF(B1314="","",IFERROR(VLOOKUP(B1314, PLANTA_BASE!A:R, 2, FALSE), "NO ENCONTRADO EN PLANTA"))</f>
        <v/>
      </c>
      <c r="B1314" s="3" t="inlineStr"/>
      <c r="C1314" s="4">
        <f>IF(B1314="","",IFERROR(VLOOKUP(B1314, PLANTA_BASE!A:R, 3, FALSE), ""))</f>
        <v/>
      </c>
      <c r="D1314" s="2">
        <f>IF(B1314="","",IFERROR(VLOOKUP(B1314, PLANTA_BASE!A:R, 5, FALSE), "NO ENCONTRADO EN PLANTA"))</f>
        <v/>
      </c>
      <c r="E1314" s="2">
        <f>IF(B1314="","",IFERROR(VLOOKUP(B1314, PLANTA_BASE!A:R, 6, FALSE), "NO ENCONTRADO EN PLANTA"))</f>
        <v/>
      </c>
      <c r="F1314" s="4">
        <f>IF(B1314="","",IFERROR(VLOOKUP(B1314, PLANTA_BASE!A:R, 8, FALSE), "DOCENTE / FACILITADOR"))</f>
        <v/>
      </c>
      <c r="G1314" s="4">
        <f>IF(B1314="","",IFERROR(VLOOKUP(B1314, PLANTA_BASE!A:R, 9, FALSE), "GENERAL"))</f>
        <v/>
      </c>
      <c r="H1314" s="2">
        <f>IF(B1314="","",IFERROR(VLOOKUP(B1314, PLANTA_BASE!A:R, 17, FALSE), "GENERAL"))</f>
        <v/>
      </c>
    </row>
    <row r="1315" ht="20" customHeight="1">
      <c r="A1315" s="5">
        <f>IF(B1315="","",IFERROR(VLOOKUP(B1315, PLANTA_BASE!A:R, 2, FALSE), "NO ENCONTRADO EN PLANTA"))</f>
        <v/>
      </c>
      <c r="B1315" s="6" t="inlineStr"/>
      <c r="C1315" s="7">
        <f>IF(B1315="","",IFERROR(VLOOKUP(B1315, PLANTA_BASE!A:R, 3, FALSE), ""))</f>
        <v/>
      </c>
      <c r="D1315" s="5">
        <f>IF(B1315="","",IFERROR(VLOOKUP(B1315, PLANTA_BASE!A:R, 5, FALSE), "NO ENCONTRADO EN PLANTA"))</f>
        <v/>
      </c>
      <c r="E1315" s="5">
        <f>IF(B1315="","",IFERROR(VLOOKUP(B1315, PLANTA_BASE!A:R, 6, FALSE), "NO ENCONTRADO EN PLANTA"))</f>
        <v/>
      </c>
      <c r="F1315" s="7">
        <f>IF(B1315="","",IFERROR(VLOOKUP(B1315, PLANTA_BASE!A:R, 8, FALSE), "DOCENTE / FACILITADOR"))</f>
        <v/>
      </c>
      <c r="G1315" s="7">
        <f>IF(B1315="","",IFERROR(VLOOKUP(B1315, PLANTA_BASE!A:R, 9, FALSE), "GENERAL"))</f>
        <v/>
      </c>
      <c r="H1315" s="5">
        <f>IF(B1315="","",IFERROR(VLOOKUP(B1315, PLANTA_BASE!A:R, 17, FALSE), "GENERAL"))</f>
        <v/>
      </c>
    </row>
    <row r="1316" ht="20" customHeight="1">
      <c r="A1316" s="2">
        <f>IF(B1316="","",IFERROR(VLOOKUP(B1316, PLANTA_BASE!A:R, 2, FALSE), "NO ENCONTRADO EN PLANTA"))</f>
        <v/>
      </c>
      <c r="B1316" s="3" t="inlineStr"/>
      <c r="C1316" s="4">
        <f>IF(B1316="","",IFERROR(VLOOKUP(B1316, PLANTA_BASE!A:R, 3, FALSE), ""))</f>
        <v/>
      </c>
      <c r="D1316" s="2">
        <f>IF(B1316="","",IFERROR(VLOOKUP(B1316, PLANTA_BASE!A:R, 5, FALSE), "NO ENCONTRADO EN PLANTA"))</f>
        <v/>
      </c>
      <c r="E1316" s="2">
        <f>IF(B1316="","",IFERROR(VLOOKUP(B1316, PLANTA_BASE!A:R, 6, FALSE), "NO ENCONTRADO EN PLANTA"))</f>
        <v/>
      </c>
      <c r="F1316" s="4">
        <f>IF(B1316="","",IFERROR(VLOOKUP(B1316, PLANTA_BASE!A:R, 8, FALSE), "DOCENTE / FACILITADOR"))</f>
        <v/>
      </c>
      <c r="G1316" s="4">
        <f>IF(B1316="","",IFERROR(VLOOKUP(B1316, PLANTA_BASE!A:R, 9, FALSE), "GENERAL"))</f>
        <v/>
      </c>
      <c r="H1316" s="2">
        <f>IF(B1316="","",IFERROR(VLOOKUP(B1316, PLANTA_BASE!A:R, 17, FALSE), "GENERAL"))</f>
        <v/>
      </c>
    </row>
    <row r="1317" ht="20" customHeight="1">
      <c r="A1317" s="5">
        <f>IF(B1317="","",IFERROR(VLOOKUP(B1317, PLANTA_BASE!A:R, 2, FALSE), "NO ENCONTRADO EN PLANTA"))</f>
        <v/>
      </c>
      <c r="B1317" s="6" t="inlineStr"/>
      <c r="C1317" s="7">
        <f>IF(B1317="","",IFERROR(VLOOKUP(B1317, PLANTA_BASE!A:R, 3, FALSE), ""))</f>
        <v/>
      </c>
      <c r="D1317" s="5">
        <f>IF(B1317="","",IFERROR(VLOOKUP(B1317, PLANTA_BASE!A:R, 5, FALSE), "NO ENCONTRADO EN PLANTA"))</f>
        <v/>
      </c>
      <c r="E1317" s="5">
        <f>IF(B1317="","",IFERROR(VLOOKUP(B1317, PLANTA_BASE!A:R, 6, FALSE), "NO ENCONTRADO EN PLANTA"))</f>
        <v/>
      </c>
      <c r="F1317" s="7">
        <f>IF(B1317="","",IFERROR(VLOOKUP(B1317, PLANTA_BASE!A:R, 8, FALSE), "DOCENTE / FACILITADOR"))</f>
        <v/>
      </c>
      <c r="G1317" s="7">
        <f>IF(B1317="","",IFERROR(VLOOKUP(B1317, PLANTA_BASE!A:R, 9, FALSE), "GENERAL"))</f>
        <v/>
      </c>
      <c r="H1317" s="5">
        <f>IF(B1317="","",IFERROR(VLOOKUP(B1317, PLANTA_BASE!A:R, 17, FALSE), "GENERAL"))</f>
        <v/>
      </c>
    </row>
    <row r="1318" ht="20" customHeight="1">
      <c r="A1318" s="2">
        <f>IF(B1318="","",IFERROR(VLOOKUP(B1318, PLANTA_BASE!A:R, 2, FALSE), "NO ENCONTRADO EN PLANTA"))</f>
        <v/>
      </c>
      <c r="B1318" s="3" t="inlineStr"/>
      <c r="C1318" s="4">
        <f>IF(B1318="","",IFERROR(VLOOKUP(B1318, PLANTA_BASE!A:R, 3, FALSE), ""))</f>
        <v/>
      </c>
      <c r="D1318" s="2">
        <f>IF(B1318="","",IFERROR(VLOOKUP(B1318, PLANTA_BASE!A:R, 5, FALSE), "NO ENCONTRADO EN PLANTA"))</f>
        <v/>
      </c>
      <c r="E1318" s="2">
        <f>IF(B1318="","",IFERROR(VLOOKUP(B1318, PLANTA_BASE!A:R, 6, FALSE), "NO ENCONTRADO EN PLANTA"))</f>
        <v/>
      </c>
      <c r="F1318" s="4">
        <f>IF(B1318="","",IFERROR(VLOOKUP(B1318, PLANTA_BASE!A:R, 8, FALSE), "DOCENTE / FACILITADOR"))</f>
        <v/>
      </c>
      <c r="G1318" s="4">
        <f>IF(B1318="","",IFERROR(VLOOKUP(B1318, PLANTA_BASE!A:R, 9, FALSE), "GENERAL"))</f>
        <v/>
      </c>
      <c r="H1318" s="2">
        <f>IF(B1318="","",IFERROR(VLOOKUP(B1318, PLANTA_BASE!A:R, 17, FALSE), "GENERAL"))</f>
        <v/>
      </c>
    </row>
    <row r="1319" ht="20" customHeight="1">
      <c r="A1319" s="5">
        <f>IF(B1319="","",IFERROR(VLOOKUP(B1319, PLANTA_BASE!A:R, 2, FALSE), "NO ENCONTRADO EN PLANTA"))</f>
        <v/>
      </c>
      <c r="B1319" s="6" t="inlineStr"/>
      <c r="C1319" s="7">
        <f>IF(B1319="","",IFERROR(VLOOKUP(B1319, PLANTA_BASE!A:R, 3, FALSE), ""))</f>
        <v/>
      </c>
      <c r="D1319" s="5">
        <f>IF(B1319="","",IFERROR(VLOOKUP(B1319, PLANTA_BASE!A:R, 5, FALSE), "NO ENCONTRADO EN PLANTA"))</f>
        <v/>
      </c>
      <c r="E1319" s="5">
        <f>IF(B1319="","",IFERROR(VLOOKUP(B1319, PLANTA_BASE!A:R, 6, FALSE), "NO ENCONTRADO EN PLANTA"))</f>
        <v/>
      </c>
      <c r="F1319" s="7">
        <f>IF(B1319="","",IFERROR(VLOOKUP(B1319, PLANTA_BASE!A:R, 8, FALSE), "DOCENTE / FACILITADOR"))</f>
        <v/>
      </c>
      <c r="G1319" s="7">
        <f>IF(B1319="","",IFERROR(VLOOKUP(B1319, PLANTA_BASE!A:R, 9, FALSE), "GENERAL"))</f>
        <v/>
      </c>
      <c r="H1319" s="5">
        <f>IF(B1319="","",IFERROR(VLOOKUP(B1319, PLANTA_BASE!A:R, 17, FALSE), "GENERAL"))</f>
        <v/>
      </c>
    </row>
    <row r="1320" ht="20" customHeight="1">
      <c r="A1320" s="2">
        <f>IF(B1320="","",IFERROR(VLOOKUP(B1320, PLANTA_BASE!A:R, 2, FALSE), "NO ENCONTRADO EN PLANTA"))</f>
        <v/>
      </c>
      <c r="B1320" s="3" t="inlineStr"/>
      <c r="C1320" s="4">
        <f>IF(B1320="","",IFERROR(VLOOKUP(B1320, PLANTA_BASE!A:R, 3, FALSE), ""))</f>
        <v/>
      </c>
      <c r="D1320" s="2">
        <f>IF(B1320="","",IFERROR(VLOOKUP(B1320, PLANTA_BASE!A:R, 5, FALSE), "NO ENCONTRADO EN PLANTA"))</f>
        <v/>
      </c>
      <c r="E1320" s="2">
        <f>IF(B1320="","",IFERROR(VLOOKUP(B1320, PLANTA_BASE!A:R, 6, FALSE), "NO ENCONTRADO EN PLANTA"))</f>
        <v/>
      </c>
      <c r="F1320" s="4">
        <f>IF(B1320="","",IFERROR(VLOOKUP(B1320, PLANTA_BASE!A:R, 8, FALSE), "DOCENTE / FACILITADOR"))</f>
        <v/>
      </c>
      <c r="G1320" s="4">
        <f>IF(B1320="","",IFERROR(VLOOKUP(B1320, PLANTA_BASE!A:R, 9, FALSE), "GENERAL"))</f>
        <v/>
      </c>
      <c r="H1320" s="2">
        <f>IF(B1320="","",IFERROR(VLOOKUP(B1320, PLANTA_BASE!A:R, 17, FALSE), "GENERAL"))</f>
        <v/>
      </c>
    </row>
    <row r="1321" ht="20" customHeight="1">
      <c r="A1321" s="5">
        <f>IF(B1321="","",IFERROR(VLOOKUP(B1321, PLANTA_BASE!A:R, 2, FALSE), "NO ENCONTRADO EN PLANTA"))</f>
        <v/>
      </c>
      <c r="B1321" s="6" t="inlineStr"/>
      <c r="C1321" s="7">
        <f>IF(B1321="","",IFERROR(VLOOKUP(B1321, PLANTA_BASE!A:R, 3, FALSE), ""))</f>
        <v/>
      </c>
      <c r="D1321" s="5">
        <f>IF(B1321="","",IFERROR(VLOOKUP(B1321, PLANTA_BASE!A:R, 5, FALSE), "NO ENCONTRADO EN PLANTA"))</f>
        <v/>
      </c>
      <c r="E1321" s="5">
        <f>IF(B1321="","",IFERROR(VLOOKUP(B1321, PLANTA_BASE!A:R, 6, FALSE), "NO ENCONTRADO EN PLANTA"))</f>
        <v/>
      </c>
      <c r="F1321" s="7">
        <f>IF(B1321="","",IFERROR(VLOOKUP(B1321, PLANTA_BASE!A:R, 8, FALSE), "DOCENTE / FACILITADOR"))</f>
        <v/>
      </c>
      <c r="G1321" s="7">
        <f>IF(B1321="","",IFERROR(VLOOKUP(B1321, PLANTA_BASE!A:R, 9, FALSE), "GENERAL"))</f>
        <v/>
      </c>
      <c r="H1321" s="5">
        <f>IF(B1321="","",IFERROR(VLOOKUP(B1321, PLANTA_BASE!A:R, 17, FALSE), "GENERAL"))</f>
        <v/>
      </c>
    </row>
    <row r="1322" ht="20" customHeight="1">
      <c r="A1322" s="2">
        <f>IF(B1322="","",IFERROR(VLOOKUP(B1322, PLANTA_BASE!A:R, 2, FALSE), "NO ENCONTRADO EN PLANTA"))</f>
        <v/>
      </c>
      <c r="B1322" s="3" t="inlineStr"/>
      <c r="C1322" s="4">
        <f>IF(B1322="","",IFERROR(VLOOKUP(B1322, PLANTA_BASE!A:R, 3, FALSE), ""))</f>
        <v/>
      </c>
      <c r="D1322" s="2">
        <f>IF(B1322="","",IFERROR(VLOOKUP(B1322, PLANTA_BASE!A:R, 5, FALSE), "NO ENCONTRADO EN PLANTA"))</f>
        <v/>
      </c>
      <c r="E1322" s="2">
        <f>IF(B1322="","",IFERROR(VLOOKUP(B1322, PLANTA_BASE!A:R, 6, FALSE), "NO ENCONTRADO EN PLANTA"))</f>
        <v/>
      </c>
      <c r="F1322" s="4">
        <f>IF(B1322="","",IFERROR(VLOOKUP(B1322, PLANTA_BASE!A:R, 8, FALSE), "DOCENTE / FACILITADOR"))</f>
        <v/>
      </c>
      <c r="G1322" s="4">
        <f>IF(B1322="","",IFERROR(VLOOKUP(B1322, PLANTA_BASE!A:R, 9, FALSE), "GENERAL"))</f>
        <v/>
      </c>
      <c r="H1322" s="2">
        <f>IF(B1322="","",IFERROR(VLOOKUP(B1322, PLANTA_BASE!A:R, 17, FALSE), "GENERAL"))</f>
        <v/>
      </c>
    </row>
    <row r="1323" ht="20" customHeight="1">
      <c r="A1323" s="5">
        <f>IF(B1323="","",IFERROR(VLOOKUP(B1323, PLANTA_BASE!A:R, 2, FALSE), "NO ENCONTRADO EN PLANTA"))</f>
        <v/>
      </c>
      <c r="B1323" s="6" t="inlineStr"/>
      <c r="C1323" s="7">
        <f>IF(B1323="","",IFERROR(VLOOKUP(B1323, PLANTA_BASE!A:R, 3, FALSE), ""))</f>
        <v/>
      </c>
      <c r="D1323" s="5">
        <f>IF(B1323="","",IFERROR(VLOOKUP(B1323, PLANTA_BASE!A:R, 5, FALSE), "NO ENCONTRADO EN PLANTA"))</f>
        <v/>
      </c>
      <c r="E1323" s="5">
        <f>IF(B1323="","",IFERROR(VLOOKUP(B1323, PLANTA_BASE!A:R, 6, FALSE), "NO ENCONTRADO EN PLANTA"))</f>
        <v/>
      </c>
      <c r="F1323" s="7">
        <f>IF(B1323="","",IFERROR(VLOOKUP(B1323, PLANTA_BASE!A:R, 8, FALSE), "DOCENTE / FACILITADOR"))</f>
        <v/>
      </c>
      <c r="G1323" s="7">
        <f>IF(B1323="","",IFERROR(VLOOKUP(B1323, PLANTA_BASE!A:R, 9, FALSE), "GENERAL"))</f>
        <v/>
      </c>
      <c r="H1323" s="5">
        <f>IF(B1323="","",IFERROR(VLOOKUP(B1323, PLANTA_BASE!A:R, 17, FALSE), "GENERAL"))</f>
        <v/>
      </c>
    </row>
    <row r="1324" ht="20" customHeight="1">
      <c r="A1324" s="2">
        <f>IF(B1324="","",IFERROR(VLOOKUP(B1324, PLANTA_BASE!A:R, 2, FALSE), "NO ENCONTRADO EN PLANTA"))</f>
        <v/>
      </c>
      <c r="B1324" s="3" t="inlineStr"/>
      <c r="C1324" s="4">
        <f>IF(B1324="","",IFERROR(VLOOKUP(B1324, PLANTA_BASE!A:R, 3, FALSE), ""))</f>
        <v/>
      </c>
      <c r="D1324" s="2">
        <f>IF(B1324="","",IFERROR(VLOOKUP(B1324, PLANTA_BASE!A:R, 5, FALSE), "NO ENCONTRADO EN PLANTA"))</f>
        <v/>
      </c>
      <c r="E1324" s="2">
        <f>IF(B1324="","",IFERROR(VLOOKUP(B1324, PLANTA_BASE!A:R, 6, FALSE), "NO ENCONTRADO EN PLANTA"))</f>
        <v/>
      </c>
      <c r="F1324" s="4">
        <f>IF(B1324="","",IFERROR(VLOOKUP(B1324, PLANTA_BASE!A:R, 8, FALSE), "DOCENTE / FACILITADOR"))</f>
        <v/>
      </c>
      <c r="G1324" s="4">
        <f>IF(B1324="","",IFERROR(VLOOKUP(B1324, PLANTA_BASE!A:R, 9, FALSE), "GENERAL"))</f>
        <v/>
      </c>
      <c r="H1324" s="2">
        <f>IF(B1324="","",IFERROR(VLOOKUP(B1324, PLANTA_BASE!A:R, 17, FALSE), "GENERAL"))</f>
        <v/>
      </c>
    </row>
    <row r="1325" ht="20" customHeight="1">
      <c r="A1325" s="5">
        <f>IF(B1325="","",IFERROR(VLOOKUP(B1325, PLANTA_BASE!A:R, 2, FALSE), "NO ENCONTRADO EN PLANTA"))</f>
        <v/>
      </c>
      <c r="B1325" s="6" t="inlineStr"/>
      <c r="C1325" s="7">
        <f>IF(B1325="","",IFERROR(VLOOKUP(B1325, PLANTA_BASE!A:R, 3, FALSE), ""))</f>
        <v/>
      </c>
      <c r="D1325" s="5">
        <f>IF(B1325="","",IFERROR(VLOOKUP(B1325, PLANTA_BASE!A:R, 5, FALSE), "NO ENCONTRADO EN PLANTA"))</f>
        <v/>
      </c>
      <c r="E1325" s="5">
        <f>IF(B1325="","",IFERROR(VLOOKUP(B1325, PLANTA_BASE!A:R, 6, FALSE), "NO ENCONTRADO EN PLANTA"))</f>
        <v/>
      </c>
      <c r="F1325" s="7">
        <f>IF(B1325="","",IFERROR(VLOOKUP(B1325, PLANTA_BASE!A:R, 8, FALSE), "DOCENTE / FACILITADOR"))</f>
        <v/>
      </c>
      <c r="G1325" s="7">
        <f>IF(B1325="","",IFERROR(VLOOKUP(B1325, PLANTA_BASE!A:R, 9, FALSE), "GENERAL"))</f>
        <v/>
      </c>
      <c r="H1325" s="5">
        <f>IF(B1325="","",IFERROR(VLOOKUP(B1325, PLANTA_BASE!A:R, 17, FALSE), "GENERAL"))</f>
        <v/>
      </c>
    </row>
    <row r="1326" ht="20" customHeight="1">
      <c r="A1326" s="2">
        <f>IF(B1326="","",IFERROR(VLOOKUP(B1326, PLANTA_BASE!A:R, 2, FALSE), "NO ENCONTRADO EN PLANTA"))</f>
        <v/>
      </c>
      <c r="B1326" s="3" t="inlineStr"/>
      <c r="C1326" s="4">
        <f>IF(B1326="","",IFERROR(VLOOKUP(B1326, PLANTA_BASE!A:R, 3, FALSE), ""))</f>
        <v/>
      </c>
      <c r="D1326" s="2">
        <f>IF(B1326="","",IFERROR(VLOOKUP(B1326, PLANTA_BASE!A:R, 5, FALSE), "NO ENCONTRADO EN PLANTA"))</f>
        <v/>
      </c>
      <c r="E1326" s="2">
        <f>IF(B1326="","",IFERROR(VLOOKUP(B1326, PLANTA_BASE!A:R, 6, FALSE), "NO ENCONTRADO EN PLANTA"))</f>
        <v/>
      </c>
      <c r="F1326" s="4">
        <f>IF(B1326="","",IFERROR(VLOOKUP(B1326, PLANTA_BASE!A:R, 8, FALSE), "DOCENTE / FACILITADOR"))</f>
        <v/>
      </c>
      <c r="G1326" s="4">
        <f>IF(B1326="","",IFERROR(VLOOKUP(B1326, PLANTA_BASE!A:R, 9, FALSE), "GENERAL"))</f>
        <v/>
      </c>
      <c r="H1326" s="2">
        <f>IF(B1326="","",IFERROR(VLOOKUP(B1326, PLANTA_BASE!A:R, 17, FALSE), "GENERAL"))</f>
        <v/>
      </c>
    </row>
    <row r="1327" ht="20" customHeight="1">
      <c r="A1327" s="5">
        <f>IF(B1327="","",IFERROR(VLOOKUP(B1327, PLANTA_BASE!A:R, 2, FALSE), "NO ENCONTRADO EN PLANTA"))</f>
        <v/>
      </c>
      <c r="B1327" s="6" t="inlineStr"/>
      <c r="C1327" s="7">
        <f>IF(B1327="","",IFERROR(VLOOKUP(B1327, PLANTA_BASE!A:R, 3, FALSE), ""))</f>
        <v/>
      </c>
      <c r="D1327" s="5">
        <f>IF(B1327="","",IFERROR(VLOOKUP(B1327, PLANTA_BASE!A:R, 5, FALSE), "NO ENCONTRADO EN PLANTA"))</f>
        <v/>
      </c>
      <c r="E1327" s="5">
        <f>IF(B1327="","",IFERROR(VLOOKUP(B1327, PLANTA_BASE!A:R, 6, FALSE), "NO ENCONTRADO EN PLANTA"))</f>
        <v/>
      </c>
      <c r="F1327" s="7">
        <f>IF(B1327="","",IFERROR(VLOOKUP(B1327, PLANTA_BASE!A:R, 8, FALSE), "DOCENTE / FACILITADOR"))</f>
        <v/>
      </c>
      <c r="G1327" s="7">
        <f>IF(B1327="","",IFERROR(VLOOKUP(B1327, PLANTA_BASE!A:R, 9, FALSE), "GENERAL"))</f>
        <v/>
      </c>
      <c r="H1327" s="5">
        <f>IF(B1327="","",IFERROR(VLOOKUP(B1327, PLANTA_BASE!A:R, 17, FALSE), "GENERAL"))</f>
        <v/>
      </c>
    </row>
    <row r="1328" ht="20" customHeight="1">
      <c r="A1328" s="2">
        <f>IF(B1328="","",IFERROR(VLOOKUP(B1328, PLANTA_BASE!A:R, 2, FALSE), "NO ENCONTRADO EN PLANTA"))</f>
        <v/>
      </c>
      <c r="B1328" s="3" t="inlineStr"/>
      <c r="C1328" s="4">
        <f>IF(B1328="","",IFERROR(VLOOKUP(B1328, PLANTA_BASE!A:R, 3, FALSE), ""))</f>
        <v/>
      </c>
      <c r="D1328" s="2">
        <f>IF(B1328="","",IFERROR(VLOOKUP(B1328, PLANTA_BASE!A:R, 5, FALSE), "NO ENCONTRADO EN PLANTA"))</f>
        <v/>
      </c>
      <c r="E1328" s="2">
        <f>IF(B1328="","",IFERROR(VLOOKUP(B1328, PLANTA_BASE!A:R, 6, FALSE), "NO ENCONTRADO EN PLANTA"))</f>
        <v/>
      </c>
      <c r="F1328" s="4">
        <f>IF(B1328="","",IFERROR(VLOOKUP(B1328, PLANTA_BASE!A:R, 8, FALSE), "DOCENTE / FACILITADOR"))</f>
        <v/>
      </c>
      <c r="G1328" s="4">
        <f>IF(B1328="","",IFERROR(VLOOKUP(B1328, PLANTA_BASE!A:R, 9, FALSE), "GENERAL"))</f>
        <v/>
      </c>
      <c r="H1328" s="2">
        <f>IF(B1328="","",IFERROR(VLOOKUP(B1328, PLANTA_BASE!A:R, 17, FALSE), "GENERAL"))</f>
        <v/>
      </c>
    </row>
    <row r="1329" ht="20" customHeight="1">
      <c r="A1329" s="5">
        <f>IF(B1329="","",IFERROR(VLOOKUP(B1329, PLANTA_BASE!A:R, 2, FALSE), "NO ENCONTRADO EN PLANTA"))</f>
        <v/>
      </c>
      <c r="B1329" s="6" t="inlineStr"/>
      <c r="C1329" s="7">
        <f>IF(B1329="","",IFERROR(VLOOKUP(B1329, PLANTA_BASE!A:R, 3, FALSE), ""))</f>
        <v/>
      </c>
      <c r="D1329" s="5">
        <f>IF(B1329="","",IFERROR(VLOOKUP(B1329, PLANTA_BASE!A:R, 5, FALSE), "NO ENCONTRADO EN PLANTA"))</f>
        <v/>
      </c>
      <c r="E1329" s="5">
        <f>IF(B1329="","",IFERROR(VLOOKUP(B1329, PLANTA_BASE!A:R, 6, FALSE), "NO ENCONTRADO EN PLANTA"))</f>
        <v/>
      </c>
      <c r="F1329" s="7">
        <f>IF(B1329="","",IFERROR(VLOOKUP(B1329, PLANTA_BASE!A:R, 8, FALSE), "DOCENTE / FACILITADOR"))</f>
        <v/>
      </c>
      <c r="G1329" s="7">
        <f>IF(B1329="","",IFERROR(VLOOKUP(B1329, PLANTA_BASE!A:R, 9, FALSE), "GENERAL"))</f>
        <v/>
      </c>
      <c r="H1329" s="5">
        <f>IF(B1329="","",IFERROR(VLOOKUP(B1329, PLANTA_BASE!A:R, 17, FALSE), "GENERAL"))</f>
        <v/>
      </c>
    </row>
    <row r="1330" ht="20" customHeight="1">
      <c r="A1330" s="2">
        <f>IF(B1330="","",IFERROR(VLOOKUP(B1330, PLANTA_BASE!A:R, 2, FALSE), "NO ENCONTRADO EN PLANTA"))</f>
        <v/>
      </c>
      <c r="B1330" s="3" t="inlineStr"/>
      <c r="C1330" s="4">
        <f>IF(B1330="","",IFERROR(VLOOKUP(B1330, PLANTA_BASE!A:R, 3, FALSE), ""))</f>
        <v/>
      </c>
      <c r="D1330" s="2">
        <f>IF(B1330="","",IFERROR(VLOOKUP(B1330, PLANTA_BASE!A:R, 5, FALSE), "NO ENCONTRADO EN PLANTA"))</f>
        <v/>
      </c>
      <c r="E1330" s="2">
        <f>IF(B1330="","",IFERROR(VLOOKUP(B1330, PLANTA_BASE!A:R, 6, FALSE), "NO ENCONTRADO EN PLANTA"))</f>
        <v/>
      </c>
      <c r="F1330" s="4">
        <f>IF(B1330="","",IFERROR(VLOOKUP(B1330, PLANTA_BASE!A:R, 8, FALSE), "DOCENTE / FACILITADOR"))</f>
        <v/>
      </c>
      <c r="G1330" s="4">
        <f>IF(B1330="","",IFERROR(VLOOKUP(B1330, PLANTA_BASE!A:R, 9, FALSE), "GENERAL"))</f>
        <v/>
      </c>
      <c r="H1330" s="2">
        <f>IF(B1330="","",IFERROR(VLOOKUP(B1330, PLANTA_BASE!A:R, 17, FALSE), "GENERAL"))</f>
        <v/>
      </c>
    </row>
    <row r="1331" ht="20" customHeight="1">
      <c r="A1331" s="5">
        <f>IF(B1331="","",IFERROR(VLOOKUP(B1331, PLANTA_BASE!A:R, 2, FALSE), "NO ENCONTRADO EN PLANTA"))</f>
        <v/>
      </c>
      <c r="B1331" s="6" t="inlineStr"/>
      <c r="C1331" s="7">
        <f>IF(B1331="","",IFERROR(VLOOKUP(B1331, PLANTA_BASE!A:R, 3, FALSE), ""))</f>
        <v/>
      </c>
      <c r="D1331" s="5">
        <f>IF(B1331="","",IFERROR(VLOOKUP(B1331, PLANTA_BASE!A:R, 5, FALSE), "NO ENCONTRADO EN PLANTA"))</f>
        <v/>
      </c>
      <c r="E1331" s="5">
        <f>IF(B1331="","",IFERROR(VLOOKUP(B1331, PLANTA_BASE!A:R, 6, FALSE), "NO ENCONTRADO EN PLANTA"))</f>
        <v/>
      </c>
      <c r="F1331" s="7">
        <f>IF(B1331="","",IFERROR(VLOOKUP(B1331, PLANTA_BASE!A:R, 8, FALSE), "DOCENTE / FACILITADOR"))</f>
        <v/>
      </c>
      <c r="G1331" s="7">
        <f>IF(B1331="","",IFERROR(VLOOKUP(B1331, PLANTA_BASE!A:R, 9, FALSE), "GENERAL"))</f>
        <v/>
      </c>
      <c r="H1331" s="5">
        <f>IF(B1331="","",IFERROR(VLOOKUP(B1331, PLANTA_BASE!A:R, 17, FALSE), "GENERAL"))</f>
        <v/>
      </c>
    </row>
    <row r="1332" ht="20" customHeight="1">
      <c r="A1332" s="2">
        <f>IF(B1332="","",IFERROR(VLOOKUP(B1332, PLANTA_BASE!A:R, 2, FALSE), "NO ENCONTRADO EN PLANTA"))</f>
        <v/>
      </c>
      <c r="B1332" s="3" t="inlineStr"/>
      <c r="C1332" s="4">
        <f>IF(B1332="","",IFERROR(VLOOKUP(B1332, PLANTA_BASE!A:R, 3, FALSE), ""))</f>
        <v/>
      </c>
      <c r="D1332" s="2">
        <f>IF(B1332="","",IFERROR(VLOOKUP(B1332, PLANTA_BASE!A:R, 5, FALSE), "NO ENCONTRADO EN PLANTA"))</f>
        <v/>
      </c>
      <c r="E1332" s="2">
        <f>IF(B1332="","",IFERROR(VLOOKUP(B1332, PLANTA_BASE!A:R, 6, FALSE), "NO ENCONTRADO EN PLANTA"))</f>
        <v/>
      </c>
      <c r="F1332" s="4">
        <f>IF(B1332="","",IFERROR(VLOOKUP(B1332, PLANTA_BASE!A:R, 8, FALSE), "DOCENTE / FACILITADOR"))</f>
        <v/>
      </c>
      <c r="G1332" s="4">
        <f>IF(B1332="","",IFERROR(VLOOKUP(B1332, PLANTA_BASE!A:R, 9, FALSE), "GENERAL"))</f>
        <v/>
      </c>
      <c r="H1332" s="2">
        <f>IF(B1332="","",IFERROR(VLOOKUP(B1332, PLANTA_BASE!A:R, 17, FALSE), "GENERAL"))</f>
        <v/>
      </c>
    </row>
    <row r="1333" ht="20" customHeight="1">
      <c r="A1333" s="5">
        <f>IF(B1333="","",IFERROR(VLOOKUP(B1333, PLANTA_BASE!A:R, 2, FALSE), "NO ENCONTRADO EN PLANTA"))</f>
        <v/>
      </c>
      <c r="B1333" s="6" t="inlineStr"/>
      <c r="C1333" s="7">
        <f>IF(B1333="","",IFERROR(VLOOKUP(B1333, PLANTA_BASE!A:R, 3, FALSE), ""))</f>
        <v/>
      </c>
      <c r="D1333" s="5">
        <f>IF(B1333="","",IFERROR(VLOOKUP(B1333, PLANTA_BASE!A:R, 5, FALSE), "NO ENCONTRADO EN PLANTA"))</f>
        <v/>
      </c>
      <c r="E1333" s="5">
        <f>IF(B1333="","",IFERROR(VLOOKUP(B1333, PLANTA_BASE!A:R, 6, FALSE), "NO ENCONTRADO EN PLANTA"))</f>
        <v/>
      </c>
      <c r="F1333" s="7">
        <f>IF(B1333="","",IFERROR(VLOOKUP(B1333, PLANTA_BASE!A:R, 8, FALSE), "DOCENTE / FACILITADOR"))</f>
        <v/>
      </c>
      <c r="G1333" s="7">
        <f>IF(B1333="","",IFERROR(VLOOKUP(B1333, PLANTA_BASE!A:R, 9, FALSE), "GENERAL"))</f>
        <v/>
      </c>
      <c r="H1333" s="5">
        <f>IF(B1333="","",IFERROR(VLOOKUP(B1333, PLANTA_BASE!A:R, 17, FALSE), "GENERAL"))</f>
        <v/>
      </c>
    </row>
    <row r="1334" ht="20" customHeight="1">
      <c r="A1334" s="2">
        <f>IF(B1334="","",IFERROR(VLOOKUP(B1334, PLANTA_BASE!A:R, 2, FALSE), "NO ENCONTRADO EN PLANTA"))</f>
        <v/>
      </c>
      <c r="B1334" s="3" t="inlineStr"/>
      <c r="C1334" s="4">
        <f>IF(B1334="","",IFERROR(VLOOKUP(B1334, PLANTA_BASE!A:R, 3, FALSE), ""))</f>
        <v/>
      </c>
      <c r="D1334" s="2">
        <f>IF(B1334="","",IFERROR(VLOOKUP(B1334, PLANTA_BASE!A:R, 5, FALSE), "NO ENCONTRADO EN PLANTA"))</f>
        <v/>
      </c>
      <c r="E1334" s="2">
        <f>IF(B1334="","",IFERROR(VLOOKUP(B1334, PLANTA_BASE!A:R, 6, FALSE), "NO ENCONTRADO EN PLANTA"))</f>
        <v/>
      </c>
      <c r="F1334" s="4">
        <f>IF(B1334="","",IFERROR(VLOOKUP(B1334, PLANTA_BASE!A:R, 8, FALSE), "DOCENTE / FACILITADOR"))</f>
        <v/>
      </c>
      <c r="G1334" s="4">
        <f>IF(B1334="","",IFERROR(VLOOKUP(B1334, PLANTA_BASE!A:R, 9, FALSE), "GENERAL"))</f>
        <v/>
      </c>
      <c r="H1334" s="2">
        <f>IF(B1334="","",IFERROR(VLOOKUP(B1334, PLANTA_BASE!A:R, 17, FALSE), "GENERAL"))</f>
        <v/>
      </c>
    </row>
    <row r="1335" ht="20" customHeight="1">
      <c r="A1335" s="5">
        <f>IF(B1335="","",IFERROR(VLOOKUP(B1335, PLANTA_BASE!A:R, 2, FALSE), "NO ENCONTRADO EN PLANTA"))</f>
        <v/>
      </c>
      <c r="B1335" s="6" t="inlineStr"/>
      <c r="C1335" s="7">
        <f>IF(B1335="","",IFERROR(VLOOKUP(B1335, PLANTA_BASE!A:R, 3, FALSE), ""))</f>
        <v/>
      </c>
      <c r="D1335" s="5">
        <f>IF(B1335="","",IFERROR(VLOOKUP(B1335, PLANTA_BASE!A:R, 5, FALSE), "NO ENCONTRADO EN PLANTA"))</f>
        <v/>
      </c>
      <c r="E1335" s="5">
        <f>IF(B1335="","",IFERROR(VLOOKUP(B1335, PLANTA_BASE!A:R, 6, FALSE), "NO ENCONTRADO EN PLANTA"))</f>
        <v/>
      </c>
      <c r="F1335" s="7">
        <f>IF(B1335="","",IFERROR(VLOOKUP(B1335, PLANTA_BASE!A:R, 8, FALSE), "DOCENTE / FACILITADOR"))</f>
        <v/>
      </c>
      <c r="G1335" s="7">
        <f>IF(B1335="","",IFERROR(VLOOKUP(B1335, PLANTA_BASE!A:R, 9, FALSE), "GENERAL"))</f>
        <v/>
      </c>
      <c r="H1335" s="5">
        <f>IF(B1335="","",IFERROR(VLOOKUP(B1335, PLANTA_BASE!A:R, 17, FALSE), "GENERAL"))</f>
        <v/>
      </c>
    </row>
    <row r="1336" ht="20" customHeight="1">
      <c r="A1336" s="2">
        <f>IF(B1336="","",IFERROR(VLOOKUP(B1336, PLANTA_BASE!A:R, 2, FALSE), "NO ENCONTRADO EN PLANTA"))</f>
        <v/>
      </c>
      <c r="B1336" s="3" t="inlineStr"/>
      <c r="C1336" s="4">
        <f>IF(B1336="","",IFERROR(VLOOKUP(B1336, PLANTA_BASE!A:R, 3, FALSE), ""))</f>
        <v/>
      </c>
      <c r="D1336" s="2">
        <f>IF(B1336="","",IFERROR(VLOOKUP(B1336, PLANTA_BASE!A:R, 5, FALSE), "NO ENCONTRADO EN PLANTA"))</f>
        <v/>
      </c>
      <c r="E1336" s="2">
        <f>IF(B1336="","",IFERROR(VLOOKUP(B1336, PLANTA_BASE!A:R, 6, FALSE), "NO ENCONTRADO EN PLANTA"))</f>
        <v/>
      </c>
      <c r="F1336" s="4">
        <f>IF(B1336="","",IFERROR(VLOOKUP(B1336, PLANTA_BASE!A:R, 8, FALSE), "DOCENTE / FACILITADOR"))</f>
        <v/>
      </c>
      <c r="G1336" s="4">
        <f>IF(B1336="","",IFERROR(VLOOKUP(B1336, PLANTA_BASE!A:R, 9, FALSE), "GENERAL"))</f>
        <v/>
      </c>
      <c r="H1336" s="2">
        <f>IF(B1336="","",IFERROR(VLOOKUP(B1336, PLANTA_BASE!A:R, 17, FALSE), "GENERAL"))</f>
        <v/>
      </c>
    </row>
    <row r="1337" ht="20" customHeight="1">
      <c r="A1337" s="5">
        <f>IF(B1337="","",IFERROR(VLOOKUP(B1337, PLANTA_BASE!A:R, 2, FALSE), "NO ENCONTRADO EN PLANTA"))</f>
        <v/>
      </c>
      <c r="B1337" s="6" t="inlineStr"/>
      <c r="C1337" s="7">
        <f>IF(B1337="","",IFERROR(VLOOKUP(B1337, PLANTA_BASE!A:R, 3, FALSE), ""))</f>
        <v/>
      </c>
      <c r="D1337" s="5">
        <f>IF(B1337="","",IFERROR(VLOOKUP(B1337, PLANTA_BASE!A:R, 5, FALSE), "NO ENCONTRADO EN PLANTA"))</f>
        <v/>
      </c>
      <c r="E1337" s="5">
        <f>IF(B1337="","",IFERROR(VLOOKUP(B1337, PLANTA_BASE!A:R, 6, FALSE), "NO ENCONTRADO EN PLANTA"))</f>
        <v/>
      </c>
      <c r="F1337" s="7">
        <f>IF(B1337="","",IFERROR(VLOOKUP(B1337, PLANTA_BASE!A:R, 8, FALSE), "DOCENTE / FACILITADOR"))</f>
        <v/>
      </c>
      <c r="G1337" s="7">
        <f>IF(B1337="","",IFERROR(VLOOKUP(B1337, PLANTA_BASE!A:R, 9, FALSE), "GENERAL"))</f>
        <v/>
      </c>
      <c r="H1337" s="5">
        <f>IF(B1337="","",IFERROR(VLOOKUP(B1337, PLANTA_BASE!A:R, 17, FALSE), "GENERAL"))</f>
        <v/>
      </c>
    </row>
    <row r="1338" ht="20" customHeight="1">
      <c r="A1338" s="2">
        <f>IF(B1338="","",IFERROR(VLOOKUP(B1338, PLANTA_BASE!A:R, 2, FALSE), "NO ENCONTRADO EN PLANTA"))</f>
        <v/>
      </c>
      <c r="B1338" s="3" t="inlineStr"/>
      <c r="C1338" s="4">
        <f>IF(B1338="","",IFERROR(VLOOKUP(B1338, PLANTA_BASE!A:R, 3, FALSE), ""))</f>
        <v/>
      </c>
      <c r="D1338" s="2">
        <f>IF(B1338="","",IFERROR(VLOOKUP(B1338, PLANTA_BASE!A:R, 5, FALSE), "NO ENCONTRADO EN PLANTA"))</f>
        <v/>
      </c>
      <c r="E1338" s="2">
        <f>IF(B1338="","",IFERROR(VLOOKUP(B1338, PLANTA_BASE!A:R, 6, FALSE), "NO ENCONTRADO EN PLANTA"))</f>
        <v/>
      </c>
      <c r="F1338" s="4">
        <f>IF(B1338="","",IFERROR(VLOOKUP(B1338, PLANTA_BASE!A:R, 8, FALSE), "DOCENTE / FACILITADOR"))</f>
        <v/>
      </c>
      <c r="G1338" s="4">
        <f>IF(B1338="","",IFERROR(VLOOKUP(B1338, PLANTA_BASE!A:R, 9, FALSE), "GENERAL"))</f>
        <v/>
      </c>
      <c r="H1338" s="2">
        <f>IF(B1338="","",IFERROR(VLOOKUP(B1338, PLANTA_BASE!A:R, 17, FALSE), "GENERAL"))</f>
        <v/>
      </c>
    </row>
    <row r="1339" ht="20" customHeight="1">
      <c r="A1339" s="5">
        <f>IF(B1339="","",IFERROR(VLOOKUP(B1339, PLANTA_BASE!A:R, 2, FALSE), "NO ENCONTRADO EN PLANTA"))</f>
        <v/>
      </c>
      <c r="B1339" s="6" t="inlineStr"/>
      <c r="C1339" s="7">
        <f>IF(B1339="","",IFERROR(VLOOKUP(B1339, PLANTA_BASE!A:R, 3, FALSE), ""))</f>
        <v/>
      </c>
      <c r="D1339" s="5">
        <f>IF(B1339="","",IFERROR(VLOOKUP(B1339, PLANTA_BASE!A:R, 5, FALSE), "NO ENCONTRADO EN PLANTA"))</f>
        <v/>
      </c>
      <c r="E1339" s="5">
        <f>IF(B1339="","",IFERROR(VLOOKUP(B1339, PLANTA_BASE!A:R, 6, FALSE), "NO ENCONTRADO EN PLANTA"))</f>
        <v/>
      </c>
      <c r="F1339" s="7">
        <f>IF(B1339="","",IFERROR(VLOOKUP(B1339, PLANTA_BASE!A:R, 8, FALSE), "DOCENTE / FACILITADOR"))</f>
        <v/>
      </c>
      <c r="G1339" s="7">
        <f>IF(B1339="","",IFERROR(VLOOKUP(B1339, PLANTA_BASE!A:R, 9, FALSE), "GENERAL"))</f>
        <v/>
      </c>
      <c r="H1339" s="5">
        <f>IF(B1339="","",IFERROR(VLOOKUP(B1339, PLANTA_BASE!A:R, 17, FALSE), "GENERAL"))</f>
        <v/>
      </c>
    </row>
    <row r="1340" ht="20" customHeight="1">
      <c r="A1340" s="2">
        <f>IF(B1340="","",IFERROR(VLOOKUP(B1340, PLANTA_BASE!A:R, 2, FALSE), "NO ENCONTRADO EN PLANTA"))</f>
        <v/>
      </c>
      <c r="B1340" s="3" t="inlineStr"/>
      <c r="C1340" s="4">
        <f>IF(B1340="","",IFERROR(VLOOKUP(B1340, PLANTA_BASE!A:R, 3, FALSE), ""))</f>
        <v/>
      </c>
      <c r="D1340" s="2">
        <f>IF(B1340="","",IFERROR(VLOOKUP(B1340, PLANTA_BASE!A:R, 5, FALSE), "NO ENCONTRADO EN PLANTA"))</f>
        <v/>
      </c>
      <c r="E1340" s="2">
        <f>IF(B1340="","",IFERROR(VLOOKUP(B1340, PLANTA_BASE!A:R, 6, FALSE), "NO ENCONTRADO EN PLANTA"))</f>
        <v/>
      </c>
      <c r="F1340" s="4">
        <f>IF(B1340="","",IFERROR(VLOOKUP(B1340, PLANTA_BASE!A:R, 8, FALSE), "DOCENTE / FACILITADOR"))</f>
        <v/>
      </c>
      <c r="G1340" s="4">
        <f>IF(B1340="","",IFERROR(VLOOKUP(B1340, PLANTA_BASE!A:R, 9, FALSE), "GENERAL"))</f>
        <v/>
      </c>
      <c r="H1340" s="2">
        <f>IF(B1340="","",IFERROR(VLOOKUP(B1340, PLANTA_BASE!A:R, 17, FALSE), "GENERAL"))</f>
        <v/>
      </c>
    </row>
    <row r="1341" ht="20" customHeight="1">
      <c r="A1341" s="5">
        <f>IF(B1341="","",IFERROR(VLOOKUP(B1341, PLANTA_BASE!A:R, 2, FALSE), "NO ENCONTRADO EN PLANTA"))</f>
        <v/>
      </c>
      <c r="B1341" s="6" t="inlineStr"/>
      <c r="C1341" s="7">
        <f>IF(B1341="","",IFERROR(VLOOKUP(B1341, PLANTA_BASE!A:R, 3, FALSE), ""))</f>
        <v/>
      </c>
      <c r="D1341" s="5">
        <f>IF(B1341="","",IFERROR(VLOOKUP(B1341, PLANTA_BASE!A:R, 5, FALSE), "NO ENCONTRADO EN PLANTA"))</f>
        <v/>
      </c>
      <c r="E1341" s="5">
        <f>IF(B1341="","",IFERROR(VLOOKUP(B1341, PLANTA_BASE!A:R, 6, FALSE), "NO ENCONTRADO EN PLANTA"))</f>
        <v/>
      </c>
      <c r="F1341" s="7">
        <f>IF(B1341="","",IFERROR(VLOOKUP(B1341, PLANTA_BASE!A:R, 8, FALSE), "DOCENTE / FACILITADOR"))</f>
        <v/>
      </c>
      <c r="G1341" s="7">
        <f>IF(B1341="","",IFERROR(VLOOKUP(B1341, PLANTA_BASE!A:R, 9, FALSE), "GENERAL"))</f>
        <v/>
      </c>
      <c r="H1341" s="5">
        <f>IF(B1341="","",IFERROR(VLOOKUP(B1341, PLANTA_BASE!A:R, 17, FALSE), "GENERAL"))</f>
        <v/>
      </c>
    </row>
    <row r="1342" ht="20" customHeight="1">
      <c r="A1342" s="2">
        <f>IF(B1342="","",IFERROR(VLOOKUP(B1342, PLANTA_BASE!A:R, 2, FALSE), "NO ENCONTRADO EN PLANTA"))</f>
        <v/>
      </c>
      <c r="B1342" s="3" t="inlineStr"/>
      <c r="C1342" s="4">
        <f>IF(B1342="","",IFERROR(VLOOKUP(B1342, PLANTA_BASE!A:R, 3, FALSE), ""))</f>
        <v/>
      </c>
      <c r="D1342" s="2">
        <f>IF(B1342="","",IFERROR(VLOOKUP(B1342, PLANTA_BASE!A:R, 5, FALSE), "NO ENCONTRADO EN PLANTA"))</f>
        <v/>
      </c>
      <c r="E1342" s="2">
        <f>IF(B1342="","",IFERROR(VLOOKUP(B1342, PLANTA_BASE!A:R, 6, FALSE), "NO ENCONTRADO EN PLANTA"))</f>
        <v/>
      </c>
      <c r="F1342" s="4">
        <f>IF(B1342="","",IFERROR(VLOOKUP(B1342, PLANTA_BASE!A:R, 8, FALSE), "DOCENTE / FACILITADOR"))</f>
        <v/>
      </c>
      <c r="G1342" s="4">
        <f>IF(B1342="","",IFERROR(VLOOKUP(B1342, PLANTA_BASE!A:R, 9, FALSE), "GENERAL"))</f>
        <v/>
      </c>
      <c r="H1342" s="2">
        <f>IF(B1342="","",IFERROR(VLOOKUP(B1342, PLANTA_BASE!A:R, 17, FALSE), "GENERAL"))</f>
        <v/>
      </c>
    </row>
    <row r="1343" ht="20" customHeight="1">
      <c r="A1343" s="5">
        <f>IF(B1343="","",IFERROR(VLOOKUP(B1343, PLANTA_BASE!A:R, 2, FALSE), "NO ENCONTRADO EN PLANTA"))</f>
        <v/>
      </c>
      <c r="B1343" s="6" t="inlineStr"/>
      <c r="C1343" s="7">
        <f>IF(B1343="","",IFERROR(VLOOKUP(B1343, PLANTA_BASE!A:R, 3, FALSE), ""))</f>
        <v/>
      </c>
      <c r="D1343" s="5">
        <f>IF(B1343="","",IFERROR(VLOOKUP(B1343, PLANTA_BASE!A:R, 5, FALSE), "NO ENCONTRADO EN PLANTA"))</f>
        <v/>
      </c>
      <c r="E1343" s="5">
        <f>IF(B1343="","",IFERROR(VLOOKUP(B1343, PLANTA_BASE!A:R, 6, FALSE), "NO ENCONTRADO EN PLANTA"))</f>
        <v/>
      </c>
      <c r="F1343" s="7">
        <f>IF(B1343="","",IFERROR(VLOOKUP(B1343, PLANTA_BASE!A:R, 8, FALSE), "DOCENTE / FACILITADOR"))</f>
        <v/>
      </c>
      <c r="G1343" s="7">
        <f>IF(B1343="","",IFERROR(VLOOKUP(B1343, PLANTA_BASE!A:R, 9, FALSE), "GENERAL"))</f>
        <v/>
      </c>
      <c r="H1343" s="5">
        <f>IF(B1343="","",IFERROR(VLOOKUP(B1343, PLANTA_BASE!A:R, 17, FALSE), "GENERAL"))</f>
        <v/>
      </c>
    </row>
    <row r="1344" ht="20" customHeight="1">
      <c r="A1344" s="2">
        <f>IF(B1344="","",IFERROR(VLOOKUP(B1344, PLANTA_BASE!A:R, 2, FALSE), "NO ENCONTRADO EN PLANTA"))</f>
        <v/>
      </c>
      <c r="B1344" s="3" t="inlineStr"/>
      <c r="C1344" s="4">
        <f>IF(B1344="","",IFERROR(VLOOKUP(B1344, PLANTA_BASE!A:R, 3, FALSE), ""))</f>
        <v/>
      </c>
      <c r="D1344" s="2">
        <f>IF(B1344="","",IFERROR(VLOOKUP(B1344, PLANTA_BASE!A:R, 5, FALSE), "NO ENCONTRADO EN PLANTA"))</f>
        <v/>
      </c>
      <c r="E1344" s="2">
        <f>IF(B1344="","",IFERROR(VLOOKUP(B1344, PLANTA_BASE!A:R, 6, FALSE), "NO ENCONTRADO EN PLANTA"))</f>
        <v/>
      </c>
      <c r="F1344" s="4">
        <f>IF(B1344="","",IFERROR(VLOOKUP(B1344, PLANTA_BASE!A:R, 8, FALSE), "DOCENTE / FACILITADOR"))</f>
        <v/>
      </c>
      <c r="G1344" s="4">
        <f>IF(B1344="","",IFERROR(VLOOKUP(B1344, PLANTA_BASE!A:R, 9, FALSE), "GENERAL"))</f>
        <v/>
      </c>
      <c r="H1344" s="2">
        <f>IF(B1344="","",IFERROR(VLOOKUP(B1344, PLANTA_BASE!A:R, 17, FALSE), "GENERAL"))</f>
        <v/>
      </c>
    </row>
    <row r="1345" ht="20" customHeight="1">
      <c r="A1345" s="5">
        <f>IF(B1345="","",IFERROR(VLOOKUP(B1345, PLANTA_BASE!A:R, 2, FALSE), "NO ENCONTRADO EN PLANTA"))</f>
        <v/>
      </c>
      <c r="B1345" s="6" t="inlineStr"/>
      <c r="C1345" s="7">
        <f>IF(B1345="","",IFERROR(VLOOKUP(B1345, PLANTA_BASE!A:R, 3, FALSE), ""))</f>
        <v/>
      </c>
      <c r="D1345" s="5">
        <f>IF(B1345="","",IFERROR(VLOOKUP(B1345, PLANTA_BASE!A:R, 5, FALSE), "NO ENCONTRADO EN PLANTA"))</f>
        <v/>
      </c>
      <c r="E1345" s="5">
        <f>IF(B1345="","",IFERROR(VLOOKUP(B1345, PLANTA_BASE!A:R, 6, FALSE), "NO ENCONTRADO EN PLANTA"))</f>
        <v/>
      </c>
      <c r="F1345" s="7">
        <f>IF(B1345="","",IFERROR(VLOOKUP(B1345, PLANTA_BASE!A:R, 8, FALSE), "DOCENTE / FACILITADOR"))</f>
        <v/>
      </c>
      <c r="G1345" s="7">
        <f>IF(B1345="","",IFERROR(VLOOKUP(B1345, PLANTA_BASE!A:R, 9, FALSE), "GENERAL"))</f>
        <v/>
      </c>
      <c r="H1345" s="5">
        <f>IF(B1345="","",IFERROR(VLOOKUP(B1345, PLANTA_BASE!A:R, 17, FALSE), "GENERAL"))</f>
        <v/>
      </c>
    </row>
    <row r="1346" ht="20" customHeight="1">
      <c r="A1346" s="2">
        <f>IF(B1346="","",IFERROR(VLOOKUP(B1346, PLANTA_BASE!A:R, 2, FALSE), "NO ENCONTRADO EN PLANTA"))</f>
        <v/>
      </c>
      <c r="B1346" s="3" t="inlineStr"/>
      <c r="C1346" s="4">
        <f>IF(B1346="","",IFERROR(VLOOKUP(B1346, PLANTA_BASE!A:R, 3, FALSE), ""))</f>
        <v/>
      </c>
      <c r="D1346" s="2">
        <f>IF(B1346="","",IFERROR(VLOOKUP(B1346, PLANTA_BASE!A:R, 5, FALSE), "NO ENCONTRADO EN PLANTA"))</f>
        <v/>
      </c>
      <c r="E1346" s="2">
        <f>IF(B1346="","",IFERROR(VLOOKUP(B1346, PLANTA_BASE!A:R, 6, FALSE), "NO ENCONTRADO EN PLANTA"))</f>
        <v/>
      </c>
      <c r="F1346" s="4">
        <f>IF(B1346="","",IFERROR(VLOOKUP(B1346, PLANTA_BASE!A:R, 8, FALSE), "DOCENTE / FACILITADOR"))</f>
        <v/>
      </c>
      <c r="G1346" s="4">
        <f>IF(B1346="","",IFERROR(VLOOKUP(B1346, PLANTA_BASE!A:R, 9, FALSE), "GENERAL"))</f>
        <v/>
      </c>
      <c r="H1346" s="2">
        <f>IF(B1346="","",IFERROR(VLOOKUP(B1346, PLANTA_BASE!A:R, 17, FALSE), "GENERAL"))</f>
        <v/>
      </c>
    </row>
    <row r="1347" ht="20" customHeight="1">
      <c r="A1347" s="5">
        <f>IF(B1347="","",IFERROR(VLOOKUP(B1347, PLANTA_BASE!A:R, 2, FALSE), "NO ENCONTRADO EN PLANTA"))</f>
        <v/>
      </c>
      <c r="B1347" s="6" t="inlineStr"/>
      <c r="C1347" s="7">
        <f>IF(B1347="","",IFERROR(VLOOKUP(B1347, PLANTA_BASE!A:R, 3, FALSE), ""))</f>
        <v/>
      </c>
      <c r="D1347" s="5">
        <f>IF(B1347="","",IFERROR(VLOOKUP(B1347, PLANTA_BASE!A:R, 5, FALSE), "NO ENCONTRADO EN PLANTA"))</f>
        <v/>
      </c>
      <c r="E1347" s="5">
        <f>IF(B1347="","",IFERROR(VLOOKUP(B1347, PLANTA_BASE!A:R, 6, FALSE), "NO ENCONTRADO EN PLANTA"))</f>
        <v/>
      </c>
      <c r="F1347" s="7">
        <f>IF(B1347="","",IFERROR(VLOOKUP(B1347, PLANTA_BASE!A:R, 8, FALSE), "DOCENTE / FACILITADOR"))</f>
        <v/>
      </c>
      <c r="G1347" s="7">
        <f>IF(B1347="","",IFERROR(VLOOKUP(B1347, PLANTA_BASE!A:R, 9, FALSE), "GENERAL"))</f>
        <v/>
      </c>
      <c r="H1347" s="5">
        <f>IF(B1347="","",IFERROR(VLOOKUP(B1347, PLANTA_BASE!A:R, 17, FALSE), "GENERAL"))</f>
        <v/>
      </c>
    </row>
    <row r="1348" ht="20" customHeight="1">
      <c r="A1348" s="2">
        <f>IF(B1348="","",IFERROR(VLOOKUP(B1348, PLANTA_BASE!A:R, 2, FALSE), "NO ENCONTRADO EN PLANTA"))</f>
        <v/>
      </c>
      <c r="B1348" s="3" t="inlineStr"/>
      <c r="C1348" s="4">
        <f>IF(B1348="","",IFERROR(VLOOKUP(B1348, PLANTA_BASE!A:R, 3, FALSE), ""))</f>
        <v/>
      </c>
      <c r="D1348" s="2">
        <f>IF(B1348="","",IFERROR(VLOOKUP(B1348, PLANTA_BASE!A:R, 5, FALSE), "NO ENCONTRADO EN PLANTA"))</f>
        <v/>
      </c>
      <c r="E1348" s="2">
        <f>IF(B1348="","",IFERROR(VLOOKUP(B1348, PLANTA_BASE!A:R, 6, FALSE), "NO ENCONTRADO EN PLANTA"))</f>
        <v/>
      </c>
      <c r="F1348" s="4">
        <f>IF(B1348="","",IFERROR(VLOOKUP(B1348, PLANTA_BASE!A:R, 8, FALSE), "DOCENTE / FACILITADOR"))</f>
        <v/>
      </c>
      <c r="G1348" s="4">
        <f>IF(B1348="","",IFERROR(VLOOKUP(B1348, PLANTA_BASE!A:R, 9, FALSE), "GENERAL"))</f>
        <v/>
      </c>
      <c r="H1348" s="2">
        <f>IF(B1348="","",IFERROR(VLOOKUP(B1348, PLANTA_BASE!A:R, 17, FALSE), "GENERAL"))</f>
        <v/>
      </c>
    </row>
    <row r="1349" ht="20" customHeight="1">
      <c r="A1349" s="5">
        <f>IF(B1349="","",IFERROR(VLOOKUP(B1349, PLANTA_BASE!A:R, 2, FALSE), "NO ENCONTRADO EN PLANTA"))</f>
        <v/>
      </c>
      <c r="B1349" s="6" t="inlineStr"/>
      <c r="C1349" s="7">
        <f>IF(B1349="","",IFERROR(VLOOKUP(B1349, PLANTA_BASE!A:R, 3, FALSE), ""))</f>
        <v/>
      </c>
      <c r="D1349" s="5">
        <f>IF(B1349="","",IFERROR(VLOOKUP(B1349, PLANTA_BASE!A:R, 5, FALSE), "NO ENCONTRADO EN PLANTA"))</f>
        <v/>
      </c>
      <c r="E1349" s="5">
        <f>IF(B1349="","",IFERROR(VLOOKUP(B1349, PLANTA_BASE!A:R, 6, FALSE), "NO ENCONTRADO EN PLANTA"))</f>
        <v/>
      </c>
      <c r="F1349" s="7">
        <f>IF(B1349="","",IFERROR(VLOOKUP(B1349, PLANTA_BASE!A:R, 8, FALSE), "DOCENTE / FACILITADOR"))</f>
        <v/>
      </c>
      <c r="G1349" s="7">
        <f>IF(B1349="","",IFERROR(VLOOKUP(B1349, PLANTA_BASE!A:R, 9, FALSE), "GENERAL"))</f>
        <v/>
      </c>
      <c r="H1349" s="5">
        <f>IF(B1349="","",IFERROR(VLOOKUP(B1349, PLANTA_BASE!A:R, 17, FALSE), "GENERAL"))</f>
        <v/>
      </c>
    </row>
    <row r="1350" ht="20" customHeight="1">
      <c r="A1350" s="2">
        <f>IF(B1350="","",IFERROR(VLOOKUP(B1350, PLANTA_BASE!A:R, 2, FALSE), "NO ENCONTRADO EN PLANTA"))</f>
        <v/>
      </c>
      <c r="B1350" s="3" t="inlineStr"/>
      <c r="C1350" s="4">
        <f>IF(B1350="","",IFERROR(VLOOKUP(B1350, PLANTA_BASE!A:R, 3, FALSE), ""))</f>
        <v/>
      </c>
      <c r="D1350" s="2">
        <f>IF(B1350="","",IFERROR(VLOOKUP(B1350, PLANTA_BASE!A:R, 5, FALSE), "NO ENCONTRADO EN PLANTA"))</f>
        <v/>
      </c>
      <c r="E1350" s="2">
        <f>IF(B1350="","",IFERROR(VLOOKUP(B1350, PLANTA_BASE!A:R, 6, FALSE), "NO ENCONTRADO EN PLANTA"))</f>
        <v/>
      </c>
      <c r="F1350" s="4">
        <f>IF(B1350="","",IFERROR(VLOOKUP(B1350, PLANTA_BASE!A:R, 8, FALSE), "DOCENTE / FACILITADOR"))</f>
        <v/>
      </c>
      <c r="G1350" s="4">
        <f>IF(B1350="","",IFERROR(VLOOKUP(B1350, PLANTA_BASE!A:R, 9, FALSE), "GENERAL"))</f>
        <v/>
      </c>
      <c r="H1350" s="2">
        <f>IF(B1350="","",IFERROR(VLOOKUP(B1350, PLANTA_BASE!A:R, 17, FALSE), "GENERAL"))</f>
        <v/>
      </c>
    </row>
    <row r="1351" ht="20" customHeight="1">
      <c r="A1351" s="5">
        <f>IF(B1351="","",IFERROR(VLOOKUP(B1351, PLANTA_BASE!A:R, 2, FALSE), "NO ENCONTRADO EN PLANTA"))</f>
        <v/>
      </c>
      <c r="B1351" s="6" t="inlineStr"/>
      <c r="C1351" s="7">
        <f>IF(B1351="","",IFERROR(VLOOKUP(B1351, PLANTA_BASE!A:R, 3, FALSE), ""))</f>
        <v/>
      </c>
      <c r="D1351" s="5">
        <f>IF(B1351="","",IFERROR(VLOOKUP(B1351, PLANTA_BASE!A:R, 5, FALSE), "NO ENCONTRADO EN PLANTA"))</f>
        <v/>
      </c>
      <c r="E1351" s="5">
        <f>IF(B1351="","",IFERROR(VLOOKUP(B1351, PLANTA_BASE!A:R, 6, FALSE), "NO ENCONTRADO EN PLANTA"))</f>
        <v/>
      </c>
      <c r="F1351" s="7">
        <f>IF(B1351="","",IFERROR(VLOOKUP(B1351, PLANTA_BASE!A:R, 8, FALSE), "DOCENTE / FACILITADOR"))</f>
        <v/>
      </c>
      <c r="G1351" s="7">
        <f>IF(B1351="","",IFERROR(VLOOKUP(B1351, PLANTA_BASE!A:R, 9, FALSE), "GENERAL"))</f>
        <v/>
      </c>
      <c r="H1351" s="5">
        <f>IF(B1351="","",IFERROR(VLOOKUP(B1351, PLANTA_BASE!A:R, 17, FALSE), "GENERAL"))</f>
        <v/>
      </c>
    </row>
    <row r="1352" ht="20" customHeight="1">
      <c r="A1352" s="2">
        <f>IF(B1352="","",IFERROR(VLOOKUP(B1352, PLANTA_BASE!A:R, 2, FALSE), "NO ENCONTRADO EN PLANTA"))</f>
        <v/>
      </c>
      <c r="B1352" s="3" t="inlineStr"/>
      <c r="C1352" s="4">
        <f>IF(B1352="","",IFERROR(VLOOKUP(B1352, PLANTA_BASE!A:R, 3, FALSE), ""))</f>
        <v/>
      </c>
      <c r="D1352" s="2">
        <f>IF(B1352="","",IFERROR(VLOOKUP(B1352, PLANTA_BASE!A:R, 5, FALSE), "NO ENCONTRADO EN PLANTA"))</f>
        <v/>
      </c>
      <c r="E1352" s="2">
        <f>IF(B1352="","",IFERROR(VLOOKUP(B1352, PLANTA_BASE!A:R, 6, FALSE), "NO ENCONTRADO EN PLANTA"))</f>
        <v/>
      </c>
      <c r="F1352" s="4">
        <f>IF(B1352="","",IFERROR(VLOOKUP(B1352, PLANTA_BASE!A:R, 8, FALSE), "DOCENTE / FACILITADOR"))</f>
        <v/>
      </c>
      <c r="G1352" s="4">
        <f>IF(B1352="","",IFERROR(VLOOKUP(B1352, PLANTA_BASE!A:R, 9, FALSE), "GENERAL"))</f>
        <v/>
      </c>
      <c r="H1352" s="2">
        <f>IF(B1352="","",IFERROR(VLOOKUP(B1352, PLANTA_BASE!A:R, 17, FALSE), "GENERAL"))</f>
        <v/>
      </c>
    </row>
    <row r="1353" ht="20" customHeight="1">
      <c r="A1353" s="5">
        <f>IF(B1353="","",IFERROR(VLOOKUP(B1353, PLANTA_BASE!A:R, 2, FALSE), "NO ENCONTRADO EN PLANTA"))</f>
        <v/>
      </c>
      <c r="B1353" s="6" t="inlineStr"/>
      <c r="C1353" s="7">
        <f>IF(B1353="","",IFERROR(VLOOKUP(B1353, PLANTA_BASE!A:R, 3, FALSE), ""))</f>
        <v/>
      </c>
      <c r="D1353" s="5">
        <f>IF(B1353="","",IFERROR(VLOOKUP(B1353, PLANTA_BASE!A:R, 5, FALSE), "NO ENCONTRADO EN PLANTA"))</f>
        <v/>
      </c>
      <c r="E1353" s="5">
        <f>IF(B1353="","",IFERROR(VLOOKUP(B1353, PLANTA_BASE!A:R, 6, FALSE), "NO ENCONTRADO EN PLANTA"))</f>
        <v/>
      </c>
      <c r="F1353" s="7">
        <f>IF(B1353="","",IFERROR(VLOOKUP(B1353, PLANTA_BASE!A:R, 8, FALSE), "DOCENTE / FACILITADOR"))</f>
        <v/>
      </c>
      <c r="G1353" s="7">
        <f>IF(B1353="","",IFERROR(VLOOKUP(B1353, PLANTA_BASE!A:R, 9, FALSE), "GENERAL"))</f>
        <v/>
      </c>
      <c r="H1353" s="5">
        <f>IF(B1353="","",IFERROR(VLOOKUP(B1353, PLANTA_BASE!A:R, 17, FALSE), "GENERAL"))</f>
        <v/>
      </c>
    </row>
    <row r="1354" ht="20" customHeight="1">
      <c r="A1354" s="2">
        <f>IF(B1354="","",IFERROR(VLOOKUP(B1354, PLANTA_BASE!A:R, 2, FALSE), "NO ENCONTRADO EN PLANTA"))</f>
        <v/>
      </c>
      <c r="B1354" s="3" t="inlineStr"/>
      <c r="C1354" s="4">
        <f>IF(B1354="","",IFERROR(VLOOKUP(B1354, PLANTA_BASE!A:R, 3, FALSE), ""))</f>
        <v/>
      </c>
      <c r="D1354" s="2">
        <f>IF(B1354="","",IFERROR(VLOOKUP(B1354, PLANTA_BASE!A:R, 5, FALSE), "NO ENCONTRADO EN PLANTA"))</f>
        <v/>
      </c>
      <c r="E1354" s="2">
        <f>IF(B1354="","",IFERROR(VLOOKUP(B1354, PLANTA_BASE!A:R, 6, FALSE), "NO ENCONTRADO EN PLANTA"))</f>
        <v/>
      </c>
      <c r="F1354" s="4">
        <f>IF(B1354="","",IFERROR(VLOOKUP(B1354, PLANTA_BASE!A:R, 8, FALSE), "DOCENTE / FACILITADOR"))</f>
        <v/>
      </c>
      <c r="G1354" s="4">
        <f>IF(B1354="","",IFERROR(VLOOKUP(B1354, PLANTA_BASE!A:R, 9, FALSE), "GENERAL"))</f>
        <v/>
      </c>
      <c r="H1354" s="2">
        <f>IF(B1354="","",IFERROR(VLOOKUP(B1354, PLANTA_BASE!A:R, 17, FALSE), "GENERAL"))</f>
        <v/>
      </c>
    </row>
    <row r="1355" ht="20" customHeight="1">
      <c r="A1355" s="5">
        <f>IF(B1355="","",IFERROR(VLOOKUP(B1355, PLANTA_BASE!A:R, 2, FALSE), "NO ENCONTRADO EN PLANTA"))</f>
        <v/>
      </c>
      <c r="B1355" s="6" t="inlineStr"/>
      <c r="C1355" s="7">
        <f>IF(B1355="","",IFERROR(VLOOKUP(B1355, PLANTA_BASE!A:R, 3, FALSE), ""))</f>
        <v/>
      </c>
      <c r="D1355" s="5">
        <f>IF(B1355="","",IFERROR(VLOOKUP(B1355, PLANTA_BASE!A:R, 5, FALSE), "NO ENCONTRADO EN PLANTA"))</f>
        <v/>
      </c>
      <c r="E1355" s="5">
        <f>IF(B1355="","",IFERROR(VLOOKUP(B1355, PLANTA_BASE!A:R, 6, FALSE), "NO ENCONTRADO EN PLANTA"))</f>
        <v/>
      </c>
      <c r="F1355" s="7">
        <f>IF(B1355="","",IFERROR(VLOOKUP(B1355, PLANTA_BASE!A:R, 8, FALSE), "DOCENTE / FACILITADOR"))</f>
        <v/>
      </c>
      <c r="G1355" s="7">
        <f>IF(B1355="","",IFERROR(VLOOKUP(B1355, PLANTA_BASE!A:R, 9, FALSE), "GENERAL"))</f>
        <v/>
      </c>
      <c r="H1355" s="5">
        <f>IF(B1355="","",IFERROR(VLOOKUP(B1355, PLANTA_BASE!A:R, 17, FALSE), "GENERAL"))</f>
        <v/>
      </c>
    </row>
    <row r="1356" ht="20" customHeight="1">
      <c r="A1356" s="2">
        <f>IF(B1356="","",IFERROR(VLOOKUP(B1356, PLANTA_BASE!A:R, 2, FALSE), "NO ENCONTRADO EN PLANTA"))</f>
        <v/>
      </c>
      <c r="B1356" s="3" t="inlineStr"/>
      <c r="C1356" s="4">
        <f>IF(B1356="","",IFERROR(VLOOKUP(B1356, PLANTA_BASE!A:R, 3, FALSE), ""))</f>
        <v/>
      </c>
      <c r="D1356" s="2">
        <f>IF(B1356="","",IFERROR(VLOOKUP(B1356, PLANTA_BASE!A:R, 5, FALSE), "NO ENCONTRADO EN PLANTA"))</f>
        <v/>
      </c>
      <c r="E1356" s="2">
        <f>IF(B1356="","",IFERROR(VLOOKUP(B1356, PLANTA_BASE!A:R, 6, FALSE), "NO ENCONTRADO EN PLANTA"))</f>
        <v/>
      </c>
      <c r="F1356" s="4">
        <f>IF(B1356="","",IFERROR(VLOOKUP(B1356, PLANTA_BASE!A:R, 8, FALSE), "DOCENTE / FACILITADOR"))</f>
        <v/>
      </c>
      <c r="G1356" s="4">
        <f>IF(B1356="","",IFERROR(VLOOKUP(B1356, PLANTA_BASE!A:R, 9, FALSE), "GENERAL"))</f>
        <v/>
      </c>
      <c r="H1356" s="2">
        <f>IF(B1356="","",IFERROR(VLOOKUP(B1356, PLANTA_BASE!A:R, 17, FALSE), "GENERAL"))</f>
        <v/>
      </c>
    </row>
    <row r="1357" ht="20" customHeight="1">
      <c r="A1357" s="5">
        <f>IF(B1357="","",IFERROR(VLOOKUP(B1357, PLANTA_BASE!A:R, 2, FALSE), "NO ENCONTRADO EN PLANTA"))</f>
        <v/>
      </c>
      <c r="B1357" s="6" t="inlineStr"/>
      <c r="C1357" s="7">
        <f>IF(B1357="","",IFERROR(VLOOKUP(B1357, PLANTA_BASE!A:R, 3, FALSE), ""))</f>
        <v/>
      </c>
      <c r="D1357" s="5">
        <f>IF(B1357="","",IFERROR(VLOOKUP(B1357, PLANTA_BASE!A:R, 5, FALSE), "NO ENCONTRADO EN PLANTA"))</f>
        <v/>
      </c>
      <c r="E1357" s="5">
        <f>IF(B1357="","",IFERROR(VLOOKUP(B1357, PLANTA_BASE!A:R, 6, FALSE), "NO ENCONTRADO EN PLANTA"))</f>
        <v/>
      </c>
      <c r="F1357" s="7">
        <f>IF(B1357="","",IFERROR(VLOOKUP(B1357, PLANTA_BASE!A:R, 8, FALSE), "DOCENTE / FACILITADOR"))</f>
        <v/>
      </c>
      <c r="G1357" s="7">
        <f>IF(B1357="","",IFERROR(VLOOKUP(B1357, PLANTA_BASE!A:R, 9, FALSE), "GENERAL"))</f>
        <v/>
      </c>
      <c r="H1357" s="5">
        <f>IF(B1357="","",IFERROR(VLOOKUP(B1357, PLANTA_BASE!A:R, 17, FALSE), "GENERAL"))</f>
        <v/>
      </c>
    </row>
    <row r="1358" ht="20" customHeight="1">
      <c r="A1358" s="2">
        <f>IF(B1358="","",IFERROR(VLOOKUP(B1358, PLANTA_BASE!A:R, 2, FALSE), "NO ENCONTRADO EN PLANTA"))</f>
        <v/>
      </c>
      <c r="B1358" s="3" t="inlineStr"/>
      <c r="C1358" s="4">
        <f>IF(B1358="","",IFERROR(VLOOKUP(B1358, PLANTA_BASE!A:R, 3, FALSE), ""))</f>
        <v/>
      </c>
      <c r="D1358" s="2">
        <f>IF(B1358="","",IFERROR(VLOOKUP(B1358, PLANTA_BASE!A:R, 5, FALSE), "NO ENCONTRADO EN PLANTA"))</f>
        <v/>
      </c>
      <c r="E1358" s="2">
        <f>IF(B1358="","",IFERROR(VLOOKUP(B1358, PLANTA_BASE!A:R, 6, FALSE), "NO ENCONTRADO EN PLANTA"))</f>
        <v/>
      </c>
      <c r="F1358" s="4">
        <f>IF(B1358="","",IFERROR(VLOOKUP(B1358, PLANTA_BASE!A:R, 8, FALSE), "DOCENTE / FACILITADOR"))</f>
        <v/>
      </c>
      <c r="G1358" s="4">
        <f>IF(B1358="","",IFERROR(VLOOKUP(B1358, PLANTA_BASE!A:R, 9, FALSE), "GENERAL"))</f>
        <v/>
      </c>
      <c r="H1358" s="2">
        <f>IF(B1358="","",IFERROR(VLOOKUP(B1358, PLANTA_BASE!A:R, 17, FALSE), "GENERAL"))</f>
        <v/>
      </c>
    </row>
    <row r="1359" ht="20" customHeight="1">
      <c r="A1359" s="5">
        <f>IF(B1359="","",IFERROR(VLOOKUP(B1359, PLANTA_BASE!A:R, 2, FALSE), "NO ENCONTRADO EN PLANTA"))</f>
        <v/>
      </c>
      <c r="B1359" s="6" t="inlineStr"/>
      <c r="C1359" s="7">
        <f>IF(B1359="","",IFERROR(VLOOKUP(B1359, PLANTA_BASE!A:R, 3, FALSE), ""))</f>
        <v/>
      </c>
      <c r="D1359" s="5">
        <f>IF(B1359="","",IFERROR(VLOOKUP(B1359, PLANTA_BASE!A:R, 5, FALSE), "NO ENCONTRADO EN PLANTA"))</f>
        <v/>
      </c>
      <c r="E1359" s="5">
        <f>IF(B1359="","",IFERROR(VLOOKUP(B1359, PLANTA_BASE!A:R, 6, FALSE), "NO ENCONTRADO EN PLANTA"))</f>
        <v/>
      </c>
      <c r="F1359" s="7">
        <f>IF(B1359="","",IFERROR(VLOOKUP(B1359, PLANTA_BASE!A:R, 8, FALSE), "DOCENTE / FACILITADOR"))</f>
        <v/>
      </c>
      <c r="G1359" s="7">
        <f>IF(B1359="","",IFERROR(VLOOKUP(B1359, PLANTA_BASE!A:R, 9, FALSE), "GENERAL"))</f>
        <v/>
      </c>
      <c r="H1359" s="5">
        <f>IF(B1359="","",IFERROR(VLOOKUP(B1359, PLANTA_BASE!A:R, 17, FALSE), "GENERAL"))</f>
        <v/>
      </c>
    </row>
    <row r="1360" ht="20" customHeight="1">
      <c r="A1360" s="2">
        <f>IF(B1360="","",IFERROR(VLOOKUP(B1360, PLANTA_BASE!A:R, 2, FALSE), "NO ENCONTRADO EN PLANTA"))</f>
        <v/>
      </c>
      <c r="B1360" s="3" t="inlineStr"/>
      <c r="C1360" s="4">
        <f>IF(B1360="","",IFERROR(VLOOKUP(B1360, PLANTA_BASE!A:R, 3, FALSE), ""))</f>
        <v/>
      </c>
      <c r="D1360" s="2">
        <f>IF(B1360="","",IFERROR(VLOOKUP(B1360, PLANTA_BASE!A:R, 5, FALSE), "NO ENCONTRADO EN PLANTA"))</f>
        <v/>
      </c>
      <c r="E1360" s="2">
        <f>IF(B1360="","",IFERROR(VLOOKUP(B1360, PLANTA_BASE!A:R, 6, FALSE), "NO ENCONTRADO EN PLANTA"))</f>
        <v/>
      </c>
      <c r="F1360" s="4">
        <f>IF(B1360="","",IFERROR(VLOOKUP(B1360, PLANTA_BASE!A:R, 8, FALSE), "DOCENTE / FACILITADOR"))</f>
        <v/>
      </c>
      <c r="G1360" s="4">
        <f>IF(B1360="","",IFERROR(VLOOKUP(B1360, PLANTA_BASE!A:R, 9, FALSE), "GENERAL"))</f>
        <v/>
      </c>
      <c r="H1360" s="2">
        <f>IF(B1360="","",IFERROR(VLOOKUP(B1360, PLANTA_BASE!A:R, 17, FALSE), "GENERAL"))</f>
        <v/>
      </c>
    </row>
    <row r="1361" ht="20" customHeight="1">
      <c r="A1361" s="5">
        <f>IF(B1361="","",IFERROR(VLOOKUP(B1361, PLANTA_BASE!A:R, 2, FALSE), "NO ENCONTRADO EN PLANTA"))</f>
        <v/>
      </c>
      <c r="B1361" s="6" t="inlineStr"/>
      <c r="C1361" s="7">
        <f>IF(B1361="","",IFERROR(VLOOKUP(B1361, PLANTA_BASE!A:R, 3, FALSE), ""))</f>
        <v/>
      </c>
      <c r="D1361" s="5">
        <f>IF(B1361="","",IFERROR(VLOOKUP(B1361, PLANTA_BASE!A:R, 5, FALSE), "NO ENCONTRADO EN PLANTA"))</f>
        <v/>
      </c>
      <c r="E1361" s="5">
        <f>IF(B1361="","",IFERROR(VLOOKUP(B1361, PLANTA_BASE!A:R, 6, FALSE), "NO ENCONTRADO EN PLANTA"))</f>
        <v/>
      </c>
      <c r="F1361" s="7">
        <f>IF(B1361="","",IFERROR(VLOOKUP(B1361, PLANTA_BASE!A:R, 8, FALSE), "DOCENTE / FACILITADOR"))</f>
        <v/>
      </c>
      <c r="G1361" s="7">
        <f>IF(B1361="","",IFERROR(VLOOKUP(B1361, PLANTA_BASE!A:R, 9, FALSE), "GENERAL"))</f>
        <v/>
      </c>
      <c r="H1361" s="5">
        <f>IF(B1361="","",IFERROR(VLOOKUP(B1361, PLANTA_BASE!A:R, 17, FALSE), "GENERAL"))</f>
        <v/>
      </c>
    </row>
    <row r="1362" ht="20" customHeight="1">
      <c r="A1362" s="2">
        <f>IF(B1362="","",IFERROR(VLOOKUP(B1362, PLANTA_BASE!A:R, 2, FALSE), "NO ENCONTRADO EN PLANTA"))</f>
        <v/>
      </c>
      <c r="B1362" s="3" t="inlineStr"/>
      <c r="C1362" s="4">
        <f>IF(B1362="","",IFERROR(VLOOKUP(B1362, PLANTA_BASE!A:R, 3, FALSE), ""))</f>
        <v/>
      </c>
      <c r="D1362" s="2">
        <f>IF(B1362="","",IFERROR(VLOOKUP(B1362, PLANTA_BASE!A:R, 5, FALSE), "NO ENCONTRADO EN PLANTA"))</f>
        <v/>
      </c>
      <c r="E1362" s="2">
        <f>IF(B1362="","",IFERROR(VLOOKUP(B1362, PLANTA_BASE!A:R, 6, FALSE), "NO ENCONTRADO EN PLANTA"))</f>
        <v/>
      </c>
      <c r="F1362" s="4">
        <f>IF(B1362="","",IFERROR(VLOOKUP(B1362, PLANTA_BASE!A:R, 8, FALSE), "DOCENTE / FACILITADOR"))</f>
        <v/>
      </c>
      <c r="G1362" s="4">
        <f>IF(B1362="","",IFERROR(VLOOKUP(B1362, PLANTA_BASE!A:R, 9, FALSE), "GENERAL"))</f>
        <v/>
      </c>
      <c r="H1362" s="2">
        <f>IF(B1362="","",IFERROR(VLOOKUP(B1362, PLANTA_BASE!A:R, 17, FALSE), "GENERAL"))</f>
        <v/>
      </c>
    </row>
    <row r="1363" ht="20" customHeight="1">
      <c r="A1363" s="5">
        <f>IF(B1363="","",IFERROR(VLOOKUP(B1363, PLANTA_BASE!A:R, 2, FALSE), "NO ENCONTRADO EN PLANTA"))</f>
        <v/>
      </c>
      <c r="B1363" s="6" t="inlineStr"/>
      <c r="C1363" s="7">
        <f>IF(B1363="","",IFERROR(VLOOKUP(B1363, PLANTA_BASE!A:R, 3, FALSE), ""))</f>
        <v/>
      </c>
      <c r="D1363" s="5">
        <f>IF(B1363="","",IFERROR(VLOOKUP(B1363, PLANTA_BASE!A:R, 5, FALSE), "NO ENCONTRADO EN PLANTA"))</f>
        <v/>
      </c>
      <c r="E1363" s="5">
        <f>IF(B1363="","",IFERROR(VLOOKUP(B1363, PLANTA_BASE!A:R, 6, FALSE), "NO ENCONTRADO EN PLANTA"))</f>
        <v/>
      </c>
      <c r="F1363" s="7">
        <f>IF(B1363="","",IFERROR(VLOOKUP(B1363, PLANTA_BASE!A:R, 8, FALSE), "DOCENTE / FACILITADOR"))</f>
        <v/>
      </c>
      <c r="G1363" s="7">
        <f>IF(B1363="","",IFERROR(VLOOKUP(B1363, PLANTA_BASE!A:R, 9, FALSE), "GENERAL"))</f>
        <v/>
      </c>
      <c r="H1363" s="5">
        <f>IF(B1363="","",IFERROR(VLOOKUP(B1363, PLANTA_BASE!A:R, 17, FALSE), "GENERAL"))</f>
        <v/>
      </c>
    </row>
    <row r="1364" ht="20" customHeight="1">
      <c r="A1364" s="2">
        <f>IF(B1364="","",IFERROR(VLOOKUP(B1364, PLANTA_BASE!A:R, 2, FALSE), "NO ENCONTRADO EN PLANTA"))</f>
        <v/>
      </c>
      <c r="B1364" s="3" t="inlineStr"/>
      <c r="C1364" s="4">
        <f>IF(B1364="","",IFERROR(VLOOKUP(B1364, PLANTA_BASE!A:R, 3, FALSE), ""))</f>
        <v/>
      </c>
      <c r="D1364" s="2">
        <f>IF(B1364="","",IFERROR(VLOOKUP(B1364, PLANTA_BASE!A:R, 5, FALSE), "NO ENCONTRADO EN PLANTA"))</f>
        <v/>
      </c>
      <c r="E1364" s="2">
        <f>IF(B1364="","",IFERROR(VLOOKUP(B1364, PLANTA_BASE!A:R, 6, FALSE), "NO ENCONTRADO EN PLANTA"))</f>
        <v/>
      </c>
      <c r="F1364" s="4">
        <f>IF(B1364="","",IFERROR(VLOOKUP(B1364, PLANTA_BASE!A:R, 8, FALSE), "DOCENTE / FACILITADOR"))</f>
        <v/>
      </c>
      <c r="G1364" s="4">
        <f>IF(B1364="","",IFERROR(VLOOKUP(B1364, PLANTA_BASE!A:R, 9, FALSE), "GENERAL"))</f>
        <v/>
      </c>
      <c r="H1364" s="2">
        <f>IF(B1364="","",IFERROR(VLOOKUP(B1364, PLANTA_BASE!A:R, 17, FALSE), "GENERAL"))</f>
        <v/>
      </c>
    </row>
    <row r="1365" ht="20" customHeight="1">
      <c r="A1365" s="5">
        <f>IF(B1365="","",IFERROR(VLOOKUP(B1365, PLANTA_BASE!A:R, 2, FALSE), "NO ENCONTRADO EN PLANTA"))</f>
        <v/>
      </c>
      <c r="B1365" s="6" t="inlineStr"/>
      <c r="C1365" s="7">
        <f>IF(B1365="","",IFERROR(VLOOKUP(B1365, PLANTA_BASE!A:R, 3, FALSE), ""))</f>
        <v/>
      </c>
      <c r="D1365" s="5">
        <f>IF(B1365="","",IFERROR(VLOOKUP(B1365, PLANTA_BASE!A:R, 5, FALSE), "NO ENCONTRADO EN PLANTA"))</f>
        <v/>
      </c>
      <c r="E1365" s="5">
        <f>IF(B1365="","",IFERROR(VLOOKUP(B1365, PLANTA_BASE!A:R, 6, FALSE), "NO ENCONTRADO EN PLANTA"))</f>
        <v/>
      </c>
      <c r="F1365" s="7">
        <f>IF(B1365="","",IFERROR(VLOOKUP(B1365, PLANTA_BASE!A:R, 8, FALSE), "DOCENTE / FACILITADOR"))</f>
        <v/>
      </c>
      <c r="G1365" s="7">
        <f>IF(B1365="","",IFERROR(VLOOKUP(B1365, PLANTA_BASE!A:R, 9, FALSE), "GENERAL"))</f>
        <v/>
      </c>
      <c r="H1365" s="5">
        <f>IF(B1365="","",IFERROR(VLOOKUP(B1365, PLANTA_BASE!A:R, 17, FALSE), "GENERAL"))</f>
        <v/>
      </c>
    </row>
    <row r="1366" ht="20" customHeight="1">
      <c r="A1366" s="2">
        <f>IF(B1366="","",IFERROR(VLOOKUP(B1366, PLANTA_BASE!A:R, 2, FALSE), "NO ENCONTRADO EN PLANTA"))</f>
        <v/>
      </c>
      <c r="B1366" s="3" t="inlineStr"/>
      <c r="C1366" s="4">
        <f>IF(B1366="","",IFERROR(VLOOKUP(B1366, PLANTA_BASE!A:R, 3, FALSE), ""))</f>
        <v/>
      </c>
      <c r="D1366" s="2">
        <f>IF(B1366="","",IFERROR(VLOOKUP(B1366, PLANTA_BASE!A:R, 5, FALSE), "NO ENCONTRADO EN PLANTA"))</f>
        <v/>
      </c>
      <c r="E1366" s="2">
        <f>IF(B1366="","",IFERROR(VLOOKUP(B1366, PLANTA_BASE!A:R, 6, FALSE), "NO ENCONTRADO EN PLANTA"))</f>
        <v/>
      </c>
      <c r="F1366" s="4">
        <f>IF(B1366="","",IFERROR(VLOOKUP(B1366, PLANTA_BASE!A:R, 8, FALSE), "DOCENTE / FACILITADOR"))</f>
        <v/>
      </c>
      <c r="G1366" s="4">
        <f>IF(B1366="","",IFERROR(VLOOKUP(B1366, PLANTA_BASE!A:R, 9, FALSE), "GENERAL"))</f>
        <v/>
      </c>
      <c r="H1366" s="2">
        <f>IF(B1366="","",IFERROR(VLOOKUP(B1366, PLANTA_BASE!A:R, 17, FALSE), "GENERAL"))</f>
        <v/>
      </c>
    </row>
    <row r="1367" ht="20" customHeight="1">
      <c r="A1367" s="5">
        <f>IF(B1367="","",IFERROR(VLOOKUP(B1367, PLANTA_BASE!A:R, 2, FALSE), "NO ENCONTRADO EN PLANTA"))</f>
        <v/>
      </c>
      <c r="B1367" s="6" t="inlineStr"/>
      <c r="C1367" s="7">
        <f>IF(B1367="","",IFERROR(VLOOKUP(B1367, PLANTA_BASE!A:R, 3, FALSE), ""))</f>
        <v/>
      </c>
      <c r="D1367" s="5">
        <f>IF(B1367="","",IFERROR(VLOOKUP(B1367, PLANTA_BASE!A:R, 5, FALSE), "NO ENCONTRADO EN PLANTA"))</f>
        <v/>
      </c>
      <c r="E1367" s="5">
        <f>IF(B1367="","",IFERROR(VLOOKUP(B1367, PLANTA_BASE!A:R, 6, FALSE), "NO ENCONTRADO EN PLANTA"))</f>
        <v/>
      </c>
      <c r="F1367" s="7">
        <f>IF(B1367="","",IFERROR(VLOOKUP(B1367, PLANTA_BASE!A:R, 8, FALSE), "DOCENTE / FACILITADOR"))</f>
        <v/>
      </c>
      <c r="G1367" s="7">
        <f>IF(B1367="","",IFERROR(VLOOKUP(B1367, PLANTA_BASE!A:R, 9, FALSE), "GENERAL"))</f>
        <v/>
      </c>
      <c r="H1367" s="5">
        <f>IF(B1367="","",IFERROR(VLOOKUP(B1367, PLANTA_BASE!A:R, 17, FALSE), "GENERAL"))</f>
        <v/>
      </c>
    </row>
    <row r="1368" ht="20" customHeight="1">
      <c r="A1368" s="2">
        <f>IF(B1368="","",IFERROR(VLOOKUP(B1368, PLANTA_BASE!A:R, 2, FALSE), "NO ENCONTRADO EN PLANTA"))</f>
        <v/>
      </c>
      <c r="B1368" s="3" t="inlineStr"/>
      <c r="C1368" s="4">
        <f>IF(B1368="","",IFERROR(VLOOKUP(B1368, PLANTA_BASE!A:R, 3, FALSE), ""))</f>
        <v/>
      </c>
      <c r="D1368" s="2">
        <f>IF(B1368="","",IFERROR(VLOOKUP(B1368, PLANTA_BASE!A:R, 5, FALSE), "NO ENCONTRADO EN PLANTA"))</f>
        <v/>
      </c>
      <c r="E1368" s="2">
        <f>IF(B1368="","",IFERROR(VLOOKUP(B1368, PLANTA_BASE!A:R, 6, FALSE), "NO ENCONTRADO EN PLANTA"))</f>
        <v/>
      </c>
      <c r="F1368" s="4">
        <f>IF(B1368="","",IFERROR(VLOOKUP(B1368, PLANTA_BASE!A:R, 8, FALSE), "DOCENTE / FACILITADOR"))</f>
        <v/>
      </c>
      <c r="G1368" s="4">
        <f>IF(B1368="","",IFERROR(VLOOKUP(B1368, PLANTA_BASE!A:R, 9, FALSE), "GENERAL"))</f>
        <v/>
      </c>
      <c r="H1368" s="2">
        <f>IF(B1368="","",IFERROR(VLOOKUP(B1368, PLANTA_BASE!A:R, 17, FALSE), "GENERAL"))</f>
        <v/>
      </c>
    </row>
    <row r="1369" ht="20" customHeight="1">
      <c r="A1369" s="5">
        <f>IF(B1369="","",IFERROR(VLOOKUP(B1369, PLANTA_BASE!A:R, 2, FALSE), "NO ENCONTRADO EN PLANTA"))</f>
        <v/>
      </c>
      <c r="B1369" s="6" t="inlineStr"/>
      <c r="C1369" s="7">
        <f>IF(B1369="","",IFERROR(VLOOKUP(B1369, PLANTA_BASE!A:R, 3, FALSE), ""))</f>
        <v/>
      </c>
      <c r="D1369" s="5">
        <f>IF(B1369="","",IFERROR(VLOOKUP(B1369, PLANTA_BASE!A:R, 5, FALSE), "NO ENCONTRADO EN PLANTA"))</f>
        <v/>
      </c>
      <c r="E1369" s="5">
        <f>IF(B1369="","",IFERROR(VLOOKUP(B1369, PLANTA_BASE!A:R, 6, FALSE), "NO ENCONTRADO EN PLANTA"))</f>
        <v/>
      </c>
      <c r="F1369" s="7">
        <f>IF(B1369="","",IFERROR(VLOOKUP(B1369, PLANTA_BASE!A:R, 8, FALSE), "DOCENTE / FACILITADOR"))</f>
        <v/>
      </c>
      <c r="G1369" s="7">
        <f>IF(B1369="","",IFERROR(VLOOKUP(B1369, PLANTA_BASE!A:R, 9, FALSE), "GENERAL"))</f>
        <v/>
      </c>
      <c r="H1369" s="5">
        <f>IF(B1369="","",IFERROR(VLOOKUP(B1369, PLANTA_BASE!A:R, 17, FALSE), "GENERAL"))</f>
        <v/>
      </c>
    </row>
    <row r="1370" ht="20" customHeight="1">
      <c r="A1370" s="2">
        <f>IF(B1370="","",IFERROR(VLOOKUP(B1370, PLANTA_BASE!A:R, 2, FALSE), "NO ENCONTRADO EN PLANTA"))</f>
        <v/>
      </c>
      <c r="B1370" s="3" t="inlineStr"/>
      <c r="C1370" s="4">
        <f>IF(B1370="","",IFERROR(VLOOKUP(B1370, PLANTA_BASE!A:R, 3, FALSE), ""))</f>
        <v/>
      </c>
      <c r="D1370" s="2">
        <f>IF(B1370="","",IFERROR(VLOOKUP(B1370, PLANTA_BASE!A:R, 5, FALSE), "NO ENCONTRADO EN PLANTA"))</f>
        <v/>
      </c>
      <c r="E1370" s="2">
        <f>IF(B1370="","",IFERROR(VLOOKUP(B1370, PLANTA_BASE!A:R, 6, FALSE), "NO ENCONTRADO EN PLANTA"))</f>
        <v/>
      </c>
      <c r="F1370" s="4">
        <f>IF(B1370="","",IFERROR(VLOOKUP(B1370, PLANTA_BASE!A:R, 8, FALSE), "DOCENTE / FACILITADOR"))</f>
        <v/>
      </c>
      <c r="G1370" s="4">
        <f>IF(B1370="","",IFERROR(VLOOKUP(B1370, PLANTA_BASE!A:R, 9, FALSE), "GENERAL"))</f>
        <v/>
      </c>
      <c r="H1370" s="2">
        <f>IF(B1370="","",IFERROR(VLOOKUP(B1370, PLANTA_BASE!A:R, 17, FALSE), "GENERAL"))</f>
        <v/>
      </c>
    </row>
    <row r="1371" ht="20" customHeight="1">
      <c r="A1371" s="5">
        <f>IF(B1371="","",IFERROR(VLOOKUP(B1371, PLANTA_BASE!A:R, 2, FALSE), "NO ENCONTRADO EN PLANTA"))</f>
        <v/>
      </c>
      <c r="B1371" s="6" t="inlineStr"/>
      <c r="C1371" s="7">
        <f>IF(B1371="","",IFERROR(VLOOKUP(B1371, PLANTA_BASE!A:R, 3, FALSE), ""))</f>
        <v/>
      </c>
      <c r="D1371" s="5">
        <f>IF(B1371="","",IFERROR(VLOOKUP(B1371, PLANTA_BASE!A:R, 5, FALSE), "NO ENCONTRADO EN PLANTA"))</f>
        <v/>
      </c>
      <c r="E1371" s="5">
        <f>IF(B1371="","",IFERROR(VLOOKUP(B1371, PLANTA_BASE!A:R, 6, FALSE), "NO ENCONTRADO EN PLANTA"))</f>
        <v/>
      </c>
      <c r="F1371" s="7">
        <f>IF(B1371="","",IFERROR(VLOOKUP(B1371, PLANTA_BASE!A:R, 8, FALSE), "DOCENTE / FACILITADOR"))</f>
        <v/>
      </c>
      <c r="G1371" s="7">
        <f>IF(B1371="","",IFERROR(VLOOKUP(B1371, PLANTA_BASE!A:R, 9, FALSE), "GENERAL"))</f>
        <v/>
      </c>
      <c r="H1371" s="5">
        <f>IF(B1371="","",IFERROR(VLOOKUP(B1371, PLANTA_BASE!A:R, 17, FALSE), "GENERAL"))</f>
        <v/>
      </c>
    </row>
    <row r="1372" ht="20" customHeight="1">
      <c r="A1372" s="2">
        <f>IF(B1372="","",IFERROR(VLOOKUP(B1372, PLANTA_BASE!A:R, 2, FALSE), "NO ENCONTRADO EN PLANTA"))</f>
        <v/>
      </c>
      <c r="B1372" s="3" t="inlineStr"/>
      <c r="C1372" s="4">
        <f>IF(B1372="","",IFERROR(VLOOKUP(B1372, PLANTA_BASE!A:R, 3, FALSE), ""))</f>
        <v/>
      </c>
      <c r="D1372" s="2">
        <f>IF(B1372="","",IFERROR(VLOOKUP(B1372, PLANTA_BASE!A:R, 5, FALSE), "NO ENCONTRADO EN PLANTA"))</f>
        <v/>
      </c>
      <c r="E1372" s="2">
        <f>IF(B1372="","",IFERROR(VLOOKUP(B1372, PLANTA_BASE!A:R, 6, FALSE), "NO ENCONTRADO EN PLANTA"))</f>
        <v/>
      </c>
      <c r="F1372" s="4">
        <f>IF(B1372="","",IFERROR(VLOOKUP(B1372, PLANTA_BASE!A:R, 8, FALSE), "DOCENTE / FACILITADOR"))</f>
        <v/>
      </c>
      <c r="G1372" s="4">
        <f>IF(B1372="","",IFERROR(VLOOKUP(B1372, PLANTA_BASE!A:R, 9, FALSE), "GENERAL"))</f>
        <v/>
      </c>
      <c r="H1372" s="2">
        <f>IF(B1372="","",IFERROR(VLOOKUP(B1372, PLANTA_BASE!A:R, 17, FALSE), "GENERAL"))</f>
        <v/>
      </c>
    </row>
    <row r="1373" ht="20" customHeight="1">
      <c r="A1373" s="5">
        <f>IF(B1373="","",IFERROR(VLOOKUP(B1373, PLANTA_BASE!A:R, 2, FALSE), "NO ENCONTRADO EN PLANTA"))</f>
        <v/>
      </c>
      <c r="B1373" s="6" t="inlineStr"/>
      <c r="C1373" s="7">
        <f>IF(B1373="","",IFERROR(VLOOKUP(B1373, PLANTA_BASE!A:R, 3, FALSE), ""))</f>
        <v/>
      </c>
      <c r="D1373" s="5">
        <f>IF(B1373="","",IFERROR(VLOOKUP(B1373, PLANTA_BASE!A:R, 5, FALSE), "NO ENCONTRADO EN PLANTA"))</f>
        <v/>
      </c>
      <c r="E1373" s="5">
        <f>IF(B1373="","",IFERROR(VLOOKUP(B1373, PLANTA_BASE!A:R, 6, FALSE), "NO ENCONTRADO EN PLANTA"))</f>
        <v/>
      </c>
      <c r="F1373" s="7">
        <f>IF(B1373="","",IFERROR(VLOOKUP(B1373, PLANTA_BASE!A:R, 8, FALSE), "DOCENTE / FACILITADOR"))</f>
        <v/>
      </c>
      <c r="G1373" s="7">
        <f>IF(B1373="","",IFERROR(VLOOKUP(B1373, PLANTA_BASE!A:R, 9, FALSE), "GENERAL"))</f>
        <v/>
      </c>
      <c r="H1373" s="5">
        <f>IF(B1373="","",IFERROR(VLOOKUP(B1373, PLANTA_BASE!A:R, 17, FALSE), "GENERAL"))</f>
        <v/>
      </c>
    </row>
    <row r="1374" ht="20" customHeight="1">
      <c r="A1374" s="2">
        <f>IF(B1374="","",IFERROR(VLOOKUP(B1374, PLANTA_BASE!A:R, 2, FALSE), "NO ENCONTRADO EN PLANTA"))</f>
        <v/>
      </c>
      <c r="B1374" s="3" t="inlineStr"/>
      <c r="C1374" s="4">
        <f>IF(B1374="","",IFERROR(VLOOKUP(B1374, PLANTA_BASE!A:R, 3, FALSE), ""))</f>
        <v/>
      </c>
      <c r="D1374" s="2">
        <f>IF(B1374="","",IFERROR(VLOOKUP(B1374, PLANTA_BASE!A:R, 5, FALSE), "NO ENCONTRADO EN PLANTA"))</f>
        <v/>
      </c>
      <c r="E1374" s="2">
        <f>IF(B1374="","",IFERROR(VLOOKUP(B1374, PLANTA_BASE!A:R, 6, FALSE), "NO ENCONTRADO EN PLANTA"))</f>
        <v/>
      </c>
      <c r="F1374" s="4">
        <f>IF(B1374="","",IFERROR(VLOOKUP(B1374, PLANTA_BASE!A:R, 8, FALSE), "DOCENTE / FACILITADOR"))</f>
        <v/>
      </c>
      <c r="G1374" s="4">
        <f>IF(B1374="","",IFERROR(VLOOKUP(B1374, PLANTA_BASE!A:R, 9, FALSE), "GENERAL"))</f>
        <v/>
      </c>
      <c r="H1374" s="2">
        <f>IF(B1374="","",IFERROR(VLOOKUP(B1374, PLANTA_BASE!A:R, 17, FALSE), "GENERAL"))</f>
        <v/>
      </c>
    </row>
    <row r="1375" ht="20" customHeight="1">
      <c r="A1375" s="5">
        <f>IF(B1375="","",IFERROR(VLOOKUP(B1375, PLANTA_BASE!A:R, 2, FALSE), "NO ENCONTRADO EN PLANTA"))</f>
        <v/>
      </c>
      <c r="B1375" s="6" t="inlineStr"/>
      <c r="C1375" s="7">
        <f>IF(B1375="","",IFERROR(VLOOKUP(B1375, PLANTA_BASE!A:R, 3, FALSE), ""))</f>
        <v/>
      </c>
      <c r="D1375" s="5">
        <f>IF(B1375="","",IFERROR(VLOOKUP(B1375, PLANTA_BASE!A:R, 5, FALSE), "NO ENCONTRADO EN PLANTA"))</f>
        <v/>
      </c>
      <c r="E1375" s="5">
        <f>IF(B1375="","",IFERROR(VLOOKUP(B1375, PLANTA_BASE!A:R, 6, FALSE), "NO ENCONTRADO EN PLANTA"))</f>
        <v/>
      </c>
      <c r="F1375" s="7">
        <f>IF(B1375="","",IFERROR(VLOOKUP(B1375, PLANTA_BASE!A:R, 8, FALSE), "DOCENTE / FACILITADOR"))</f>
        <v/>
      </c>
      <c r="G1375" s="7">
        <f>IF(B1375="","",IFERROR(VLOOKUP(B1375, PLANTA_BASE!A:R, 9, FALSE), "GENERAL"))</f>
        <v/>
      </c>
      <c r="H1375" s="5">
        <f>IF(B1375="","",IFERROR(VLOOKUP(B1375, PLANTA_BASE!A:R, 17, FALSE), "GENERAL"))</f>
        <v/>
      </c>
    </row>
    <row r="1376" ht="20" customHeight="1">
      <c r="A1376" s="2">
        <f>IF(B1376="","",IFERROR(VLOOKUP(B1376, PLANTA_BASE!A:R, 2, FALSE), "NO ENCONTRADO EN PLANTA"))</f>
        <v/>
      </c>
      <c r="B1376" s="3" t="inlineStr"/>
      <c r="C1376" s="4">
        <f>IF(B1376="","",IFERROR(VLOOKUP(B1376, PLANTA_BASE!A:R, 3, FALSE), ""))</f>
        <v/>
      </c>
      <c r="D1376" s="2">
        <f>IF(B1376="","",IFERROR(VLOOKUP(B1376, PLANTA_BASE!A:R, 5, FALSE), "NO ENCONTRADO EN PLANTA"))</f>
        <v/>
      </c>
      <c r="E1376" s="2">
        <f>IF(B1376="","",IFERROR(VLOOKUP(B1376, PLANTA_BASE!A:R, 6, FALSE), "NO ENCONTRADO EN PLANTA"))</f>
        <v/>
      </c>
      <c r="F1376" s="4">
        <f>IF(B1376="","",IFERROR(VLOOKUP(B1376, PLANTA_BASE!A:R, 8, FALSE), "DOCENTE / FACILITADOR"))</f>
        <v/>
      </c>
      <c r="G1376" s="4">
        <f>IF(B1376="","",IFERROR(VLOOKUP(B1376, PLANTA_BASE!A:R, 9, FALSE), "GENERAL"))</f>
        <v/>
      </c>
      <c r="H1376" s="2">
        <f>IF(B1376="","",IFERROR(VLOOKUP(B1376, PLANTA_BASE!A:R, 17, FALSE), "GENERAL"))</f>
        <v/>
      </c>
    </row>
    <row r="1377" ht="20" customHeight="1">
      <c r="A1377" s="5">
        <f>IF(B1377="","",IFERROR(VLOOKUP(B1377, PLANTA_BASE!A:R, 2, FALSE), "NO ENCONTRADO EN PLANTA"))</f>
        <v/>
      </c>
      <c r="B1377" s="6" t="inlineStr"/>
      <c r="C1377" s="7">
        <f>IF(B1377="","",IFERROR(VLOOKUP(B1377, PLANTA_BASE!A:R, 3, FALSE), ""))</f>
        <v/>
      </c>
      <c r="D1377" s="5">
        <f>IF(B1377="","",IFERROR(VLOOKUP(B1377, PLANTA_BASE!A:R, 5, FALSE), "NO ENCONTRADO EN PLANTA"))</f>
        <v/>
      </c>
      <c r="E1377" s="5">
        <f>IF(B1377="","",IFERROR(VLOOKUP(B1377, PLANTA_BASE!A:R, 6, FALSE), "NO ENCONTRADO EN PLANTA"))</f>
        <v/>
      </c>
      <c r="F1377" s="7">
        <f>IF(B1377="","",IFERROR(VLOOKUP(B1377, PLANTA_BASE!A:R, 8, FALSE), "DOCENTE / FACILITADOR"))</f>
        <v/>
      </c>
      <c r="G1377" s="7">
        <f>IF(B1377="","",IFERROR(VLOOKUP(B1377, PLANTA_BASE!A:R, 9, FALSE), "GENERAL"))</f>
        <v/>
      </c>
      <c r="H1377" s="5">
        <f>IF(B1377="","",IFERROR(VLOOKUP(B1377, PLANTA_BASE!A:R, 17, FALSE), "GENERAL"))</f>
        <v/>
      </c>
    </row>
    <row r="1378" ht="20" customHeight="1">
      <c r="A1378" s="2">
        <f>IF(B1378="","",IFERROR(VLOOKUP(B1378, PLANTA_BASE!A:R, 2, FALSE), "NO ENCONTRADO EN PLANTA"))</f>
        <v/>
      </c>
      <c r="B1378" s="3" t="inlineStr"/>
      <c r="C1378" s="4">
        <f>IF(B1378="","",IFERROR(VLOOKUP(B1378, PLANTA_BASE!A:R, 3, FALSE), ""))</f>
        <v/>
      </c>
      <c r="D1378" s="2">
        <f>IF(B1378="","",IFERROR(VLOOKUP(B1378, PLANTA_BASE!A:R, 5, FALSE), "NO ENCONTRADO EN PLANTA"))</f>
        <v/>
      </c>
      <c r="E1378" s="2">
        <f>IF(B1378="","",IFERROR(VLOOKUP(B1378, PLANTA_BASE!A:R, 6, FALSE), "NO ENCONTRADO EN PLANTA"))</f>
        <v/>
      </c>
      <c r="F1378" s="4">
        <f>IF(B1378="","",IFERROR(VLOOKUP(B1378, PLANTA_BASE!A:R, 8, FALSE), "DOCENTE / FACILITADOR"))</f>
        <v/>
      </c>
      <c r="G1378" s="4">
        <f>IF(B1378="","",IFERROR(VLOOKUP(B1378, PLANTA_BASE!A:R, 9, FALSE), "GENERAL"))</f>
        <v/>
      </c>
      <c r="H1378" s="2">
        <f>IF(B1378="","",IFERROR(VLOOKUP(B1378, PLANTA_BASE!A:R, 17, FALSE), "GENERAL"))</f>
        <v/>
      </c>
    </row>
    <row r="1379" ht="20" customHeight="1">
      <c r="A1379" s="5">
        <f>IF(B1379="","",IFERROR(VLOOKUP(B1379, PLANTA_BASE!A:R, 2, FALSE), "NO ENCONTRADO EN PLANTA"))</f>
        <v/>
      </c>
      <c r="B1379" s="6" t="inlineStr"/>
      <c r="C1379" s="7">
        <f>IF(B1379="","",IFERROR(VLOOKUP(B1379, PLANTA_BASE!A:R, 3, FALSE), ""))</f>
        <v/>
      </c>
      <c r="D1379" s="5">
        <f>IF(B1379="","",IFERROR(VLOOKUP(B1379, PLANTA_BASE!A:R, 5, FALSE), "NO ENCONTRADO EN PLANTA"))</f>
        <v/>
      </c>
      <c r="E1379" s="5">
        <f>IF(B1379="","",IFERROR(VLOOKUP(B1379, PLANTA_BASE!A:R, 6, FALSE), "NO ENCONTRADO EN PLANTA"))</f>
        <v/>
      </c>
      <c r="F1379" s="7">
        <f>IF(B1379="","",IFERROR(VLOOKUP(B1379, PLANTA_BASE!A:R, 8, FALSE), "DOCENTE / FACILITADOR"))</f>
        <v/>
      </c>
      <c r="G1379" s="7">
        <f>IF(B1379="","",IFERROR(VLOOKUP(B1379, PLANTA_BASE!A:R, 9, FALSE), "GENERAL"))</f>
        <v/>
      </c>
      <c r="H1379" s="5">
        <f>IF(B1379="","",IFERROR(VLOOKUP(B1379, PLANTA_BASE!A:R, 17, FALSE), "GENERAL"))</f>
        <v/>
      </c>
    </row>
    <row r="1380" ht="20" customHeight="1">
      <c r="A1380" s="2">
        <f>IF(B1380="","",IFERROR(VLOOKUP(B1380, PLANTA_BASE!A:R, 2, FALSE), "NO ENCONTRADO EN PLANTA"))</f>
        <v/>
      </c>
      <c r="B1380" s="3" t="inlineStr"/>
      <c r="C1380" s="4">
        <f>IF(B1380="","",IFERROR(VLOOKUP(B1380, PLANTA_BASE!A:R, 3, FALSE), ""))</f>
        <v/>
      </c>
      <c r="D1380" s="2">
        <f>IF(B1380="","",IFERROR(VLOOKUP(B1380, PLANTA_BASE!A:R, 5, FALSE), "NO ENCONTRADO EN PLANTA"))</f>
        <v/>
      </c>
      <c r="E1380" s="2">
        <f>IF(B1380="","",IFERROR(VLOOKUP(B1380, PLANTA_BASE!A:R, 6, FALSE), "NO ENCONTRADO EN PLANTA"))</f>
        <v/>
      </c>
      <c r="F1380" s="4">
        <f>IF(B1380="","",IFERROR(VLOOKUP(B1380, PLANTA_BASE!A:R, 8, FALSE), "DOCENTE / FACILITADOR"))</f>
        <v/>
      </c>
      <c r="G1380" s="4">
        <f>IF(B1380="","",IFERROR(VLOOKUP(B1380, PLANTA_BASE!A:R, 9, FALSE), "GENERAL"))</f>
        <v/>
      </c>
      <c r="H1380" s="2">
        <f>IF(B1380="","",IFERROR(VLOOKUP(B1380, PLANTA_BASE!A:R, 17, FALSE), "GENERAL"))</f>
        <v/>
      </c>
    </row>
    <row r="1381" ht="20" customHeight="1">
      <c r="A1381" s="5">
        <f>IF(B1381="","",IFERROR(VLOOKUP(B1381, PLANTA_BASE!A:R, 2, FALSE), "NO ENCONTRADO EN PLANTA"))</f>
        <v/>
      </c>
      <c r="B1381" s="6" t="inlineStr"/>
      <c r="C1381" s="7">
        <f>IF(B1381="","",IFERROR(VLOOKUP(B1381, PLANTA_BASE!A:R, 3, FALSE), ""))</f>
        <v/>
      </c>
      <c r="D1381" s="5">
        <f>IF(B1381="","",IFERROR(VLOOKUP(B1381, PLANTA_BASE!A:R, 5, FALSE), "NO ENCONTRADO EN PLANTA"))</f>
        <v/>
      </c>
      <c r="E1381" s="5">
        <f>IF(B1381="","",IFERROR(VLOOKUP(B1381, PLANTA_BASE!A:R, 6, FALSE), "NO ENCONTRADO EN PLANTA"))</f>
        <v/>
      </c>
      <c r="F1381" s="7">
        <f>IF(B1381="","",IFERROR(VLOOKUP(B1381, PLANTA_BASE!A:R, 8, FALSE), "DOCENTE / FACILITADOR"))</f>
        <v/>
      </c>
      <c r="G1381" s="7">
        <f>IF(B1381="","",IFERROR(VLOOKUP(B1381, PLANTA_BASE!A:R, 9, FALSE), "GENERAL"))</f>
        <v/>
      </c>
      <c r="H1381" s="5">
        <f>IF(B1381="","",IFERROR(VLOOKUP(B1381, PLANTA_BASE!A:R, 17, FALSE), "GENERAL"))</f>
        <v/>
      </c>
    </row>
    <row r="1382" ht="20" customHeight="1">
      <c r="A1382" s="2">
        <f>IF(B1382="","",IFERROR(VLOOKUP(B1382, PLANTA_BASE!A:R, 2, FALSE), "NO ENCONTRADO EN PLANTA"))</f>
        <v/>
      </c>
      <c r="B1382" s="3" t="inlineStr"/>
      <c r="C1382" s="4">
        <f>IF(B1382="","",IFERROR(VLOOKUP(B1382, PLANTA_BASE!A:R, 3, FALSE), ""))</f>
        <v/>
      </c>
      <c r="D1382" s="2">
        <f>IF(B1382="","",IFERROR(VLOOKUP(B1382, PLANTA_BASE!A:R, 5, FALSE), "NO ENCONTRADO EN PLANTA"))</f>
        <v/>
      </c>
      <c r="E1382" s="2">
        <f>IF(B1382="","",IFERROR(VLOOKUP(B1382, PLANTA_BASE!A:R, 6, FALSE), "NO ENCONTRADO EN PLANTA"))</f>
        <v/>
      </c>
      <c r="F1382" s="4">
        <f>IF(B1382="","",IFERROR(VLOOKUP(B1382, PLANTA_BASE!A:R, 8, FALSE), "DOCENTE / FACILITADOR"))</f>
        <v/>
      </c>
      <c r="G1382" s="4">
        <f>IF(B1382="","",IFERROR(VLOOKUP(B1382, PLANTA_BASE!A:R, 9, FALSE), "GENERAL"))</f>
        <v/>
      </c>
      <c r="H1382" s="2">
        <f>IF(B1382="","",IFERROR(VLOOKUP(B1382, PLANTA_BASE!A:R, 17, FALSE), "GENERAL"))</f>
        <v/>
      </c>
    </row>
    <row r="1383" ht="20" customHeight="1">
      <c r="A1383" s="5">
        <f>IF(B1383="","",IFERROR(VLOOKUP(B1383, PLANTA_BASE!A:R, 2, FALSE), "NO ENCONTRADO EN PLANTA"))</f>
        <v/>
      </c>
      <c r="B1383" s="6" t="inlineStr"/>
      <c r="C1383" s="7">
        <f>IF(B1383="","",IFERROR(VLOOKUP(B1383, PLANTA_BASE!A:R, 3, FALSE), ""))</f>
        <v/>
      </c>
      <c r="D1383" s="5">
        <f>IF(B1383="","",IFERROR(VLOOKUP(B1383, PLANTA_BASE!A:R, 5, FALSE), "NO ENCONTRADO EN PLANTA"))</f>
        <v/>
      </c>
      <c r="E1383" s="5">
        <f>IF(B1383="","",IFERROR(VLOOKUP(B1383, PLANTA_BASE!A:R, 6, FALSE), "NO ENCONTRADO EN PLANTA"))</f>
        <v/>
      </c>
      <c r="F1383" s="7">
        <f>IF(B1383="","",IFERROR(VLOOKUP(B1383, PLANTA_BASE!A:R, 8, FALSE), "DOCENTE / FACILITADOR"))</f>
        <v/>
      </c>
      <c r="G1383" s="7">
        <f>IF(B1383="","",IFERROR(VLOOKUP(B1383, PLANTA_BASE!A:R, 9, FALSE), "GENERAL"))</f>
        <v/>
      </c>
      <c r="H1383" s="5">
        <f>IF(B1383="","",IFERROR(VLOOKUP(B1383, PLANTA_BASE!A:R, 17, FALSE), "GENERAL"))</f>
        <v/>
      </c>
    </row>
    <row r="1384" ht="20" customHeight="1">
      <c r="A1384" s="2">
        <f>IF(B1384="","",IFERROR(VLOOKUP(B1384, PLANTA_BASE!A:R, 2, FALSE), "NO ENCONTRADO EN PLANTA"))</f>
        <v/>
      </c>
      <c r="B1384" s="3" t="inlineStr"/>
      <c r="C1384" s="4">
        <f>IF(B1384="","",IFERROR(VLOOKUP(B1384, PLANTA_BASE!A:R, 3, FALSE), ""))</f>
        <v/>
      </c>
      <c r="D1384" s="2">
        <f>IF(B1384="","",IFERROR(VLOOKUP(B1384, PLANTA_BASE!A:R, 5, FALSE), "NO ENCONTRADO EN PLANTA"))</f>
        <v/>
      </c>
      <c r="E1384" s="2">
        <f>IF(B1384="","",IFERROR(VLOOKUP(B1384, PLANTA_BASE!A:R, 6, FALSE), "NO ENCONTRADO EN PLANTA"))</f>
        <v/>
      </c>
      <c r="F1384" s="4">
        <f>IF(B1384="","",IFERROR(VLOOKUP(B1384, PLANTA_BASE!A:R, 8, FALSE), "DOCENTE / FACILITADOR"))</f>
        <v/>
      </c>
      <c r="G1384" s="4">
        <f>IF(B1384="","",IFERROR(VLOOKUP(B1384, PLANTA_BASE!A:R, 9, FALSE), "GENERAL"))</f>
        <v/>
      </c>
      <c r="H1384" s="2">
        <f>IF(B1384="","",IFERROR(VLOOKUP(B1384, PLANTA_BASE!A:R, 17, FALSE), "GENERAL"))</f>
        <v/>
      </c>
    </row>
    <row r="1385" ht="20" customHeight="1">
      <c r="A1385" s="5">
        <f>IF(B1385="","",IFERROR(VLOOKUP(B1385, PLANTA_BASE!A:R, 2, FALSE), "NO ENCONTRADO EN PLANTA"))</f>
        <v/>
      </c>
      <c r="B1385" s="6" t="inlineStr"/>
      <c r="C1385" s="7">
        <f>IF(B1385="","",IFERROR(VLOOKUP(B1385, PLANTA_BASE!A:R, 3, FALSE), ""))</f>
        <v/>
      </c>
      <c r="D1385" s="5">
        <f>IF(B1385="","",IFERROR(VLOOKUP(B1385, PLANTA_BASE!A:R, 5, FALSE), "NO ENCONTRADO EN PLANTA"))</f>
        <v/>
      </c>
      <c r="E1385" s="5">
        <f>IF(B1385="","",IFERROR(VLOOKUP(B1385, PLANTA_BASE!A:R, 6, FALSE), "NO ENCONTRADO EN PLANTA"))</f>
        <v/>
      </c>
      <c r="F1385" s="7">
        <f>IF(B1385="","",IFERROR(VLOOKUP(B1385, PLANTA_BASE!A:R, 8, FALSE), "DOCENTE / FACILITADOR"))</f>
        <v/>
      </c>
      <c r="G1385" s="7">
        <f>IF(B1385="","",IFERROR(VLOOKUP(B1385, PLANTA_BASE!A:R, 9, FALSE), "GENERAL"))</f>
        <v/>
      </c>
      <c r="H1385" s="5">
        <f>IF(B1385="","",IFERROR(VLOOKUP(B1385, PLANTA_BASE!A:R, 17, FALSE), "GENERAL"))</f>
        <v/>
      </c>
    </row>
    <row r="1386" ht="20" customHeight="1">
      <c r="A1386" s="2">
        <f>IF(B1386="","",IFERROR(VLOOKUP(B1386, PLANTA_BASE!A:R, 2, FALSE), "NO ENCONTRADO EN PLANTA"))</f>
        <v/>
      </c>
      <c r="B1386" s="3" t="inlineStr"/>
      <c r="C1386" s="4">
        <f>IF(B1386="","",IFERROR(VLOOKUP(B1386, PLANTA_BASE!A:R, 3, FALSE), ""))</f>
        <v/>
      </c>
      <c r="D1386" s="2">
        <f>IF(B1386="","",IFERROR(VLOOKUP(B1386, PLANTA_BASE!A:R, 5, FALSE), "NO ENCONTRADO EN PLANTA"))</f>
        <v/>
      </c>
      <c r="E1386" s="2">
        <f>IF(B1386="","",IFERROR(VLOOKUP(B1386, PLANTA_BASE!A:R, 6, FALSE), "NO ENCONTRADO EN PLANTA"))</f>
        <v/>
      </c>
      <c r="F1386" s="4">
        <f>IF(B1386="","",IFERROR(VLOOKUP(B1386, PLANTA_BASE!A:R, 8, FALSE), "DOCENTE / FACILITADOR"))</f>
        <v/>
      </c>
      <c r="G1386" s="4">
        <f>IF(B1386="","",IFERROR(VLOOKUP(B1386, PLANTA_BASE!A:R, 9, FALSE), "GENERAL"))</f>
        <v/>
      </c>
      <c r="H1386" s="2">
        <f>IF(B1386="","",IFERROR(VLOOKUP(B1386, PLANTA_BASE!A:R, 17, FALSE), "GENERAL"))</f>
        <v/>
      </c>
    </row>
    <row r="1387" ht="20" customHeight="1">
      <c r="A1387" s="5">
        <f>IF(B1387="","",IFERROR(VLOOKUP(B1387, PLANTA_BASE!A:R, 2, FALSE), "NO ENCONTRADO EN PLANTA"))</f>
        <v/>
      </c>
      <c r="B1387" s="6" t="inlineStr"/>
      <c r="C1387" s="7">
        <f>IF(B1387="","",IFERROR(VLOOKUP(B1387, PLANTA_BASE!A:R, 3, FALSE), ""))</f>
        <v/>
      </c>
      <c r="D1387" s="5">
        <f>IF(B1387="","",IFERROR(VLOOKUP(B1387, PLANTA_BASE!A:R, 5, FALSE), "NO ENCONTRADO EN PLANTA"))</f>
        <v/>
      </c>
      <c r="E1387" s="5">
        <f>IF(B1387="","",IFERROR(VLOOKUP(B1387, PLANTA_BASE!A:R, 6, FALSE), "NO ENCONTRADO EN PLANTA"))</f>
        <v/>
      </c>
      <c r="F1387" s="7">
        <f>IF(B1387="","",IFERROR(VLOOKUP(B1387, PLANTA_BASE!A:R, 8, FALSE), "DOCENTE / FACILITADOR"))</f>
        <v/>
      </c>
      <c r="G1387" s="7">
        <f>IF(B1387="","",IFERROR(VLOOKUP(B1387, PLANTA_BASE!A:R, 9, FALSE), "GENERAL"))</f>
        <v/>
      </c>
      <c r="H1387" s="5">
        <f>IF(B1387="","",IFERROR(VLOOKUP(B1387, PLANTA_BASE!A:R, 17, FALSE), "GENERAL"))</f>
        <v/>
      </c>
    </row>
    <row r="1388" ht="20" customHeight="1">
      <c r="A1388" s="2">
        <f>IF(B1388="","",IFERROR(VLOOKUP(B1388, PLANTA_BASE!A:R, 2, FALSE), "NO ENCONTRADO EN PLANTA"))</f>
        <v/>
      </c>
      <c r="B1388" s="3" t="inlineStr"/>
      <c r="C1388" s="4">
        <f>IF(B1388="","",IFERROR(VLOOKUP(B1388, PLANTA_BASE!A:R, 3, FALSE), ""))</f>
        <v/>
      </c>
      <c r="D1388" s="2">
        <f>IF(B1388="","",IFERROR(VLOOKUP(B1388, PLANTA_BASE!A:R, 5, FALSE), "NO ENCONTRADO EN PLANTA"))</f>
        <v/>
      </c>
      <c r="E1388" s="2">
        <f>IF(B1388="","",IFERROR(VLOOKUP(B1388, PLANTA_BASE!A:R, 6, FALSE), "NO ENCONTRADO EN PLANTA"))</f>
        <v/>
      </c>
      <c r="F1388" s="4">
        <f>IF(B1388="","",IFERROR(VLOOKUP(B1388, PLANTA_BASE!A:R, 8, FALSE), "DOCENTE / FACILITADOR"))</f>
        <v/>
      </c>
      <c r="G1388" s="4">
        <f>IF(B1388="","",IFERROR(VLOOKUP(B1388, PLANTA_BASE!A:R, 9, FALSE), "GENERAL"))</f>
        <v/>
      </c>
      <c r="H1388" s="2">
        <f>IF(B1388="","",IFERROR(VLOOKUP(B1388, PLANTA_BASE!A:R, 17, FALSE), "GENERAL"))</f>
        <v/>
      </c>
    </row>
    <row r="1389" ht="20" customHeight="1">
      <c r="A1389" s="5">
        <f>IF(B1389="","",IFERROR(VLOOKUP(B1389, PLANTA_BASE!A:R, 2, FALSE), "NO ENCONTRADO EN PLANTA"))</f>
        <v/>
      </c>
      <c r="B1389" s="6" t="inlineStr"/>
      <c r="C1389" s="7">
        <f>IF(B1389="","",IFERROR(VLOOKUP(B1389, PLANTA_BASE!A:R, 3, FALSE), ""))</f>
        <v/>
      </c>
      <c r="D1389" s="5">
        <f>IF(B1389="","",IFERROR(VLOOKUP(B1389, PLANTA_BASE!A:R, 5, FALSE), "NO ENCONTRADO EN PLANTA"))</f>
        <v/>
      </c>
      <c r="E1389" s="5">
        <f>IF(B1389="","",IFERROR(VLOOKUP(B1389, PLANTA_BASE!A:R, 6, FALSE), "NO ENCONTRADO EN PLANTA"))</f>
        <v/>
      </c>
      <c r="F1389" s="7">
        <f>IF(B1389="","",IFERROR(VLOOKUP(B1389, PLANTA_BASE!A:R, 8, FALSE), "DOCENTE / FACILITADOR"))</f>
        <v/>
      </c>
      <c r="G1389" s="7">
        <f>IF(B1389="","",IFERROR(VLOOKUP(B1389, PLANTA_BASE!A:R, 9, FALSE), "GENERAL"))</f>
        <v/>
      </c>
      <c r="H1389" s="5">
        <f>IF(B1389="","",IFERROR(VLOOKUP(B1389, PLANTA_BASE!A:R, 17, FALSE), "GENERAL"))</f>
        <v/>
      </c>
    </row>
    <row r="1390" ht="20" customHeight="1">
      <c r="A1390" s="2">
        <f>IF(B1390="","",IFERROR(VLOOKUP(B1390, PLANTA_BASE!A:R, 2, FALSE), "NO ENCONTRADO EN PLANTA"))</f>
        <v/>
      </c>
      <c r="B1390" s="3" t="inlineStr"/>
      <c r="C1390" s="4">
        <f>IF(B1390="","",IFERROR(VLOOKUP(B1390, PLANTA_BASE!A:R, 3, FALSE), ""))</f>
        <v/>
      </c>
      <c r="D1390" s="2">
        <f>IF(B1390="","",IFERROR(VLOOKUP(B1390, PLANTA_BASE!A:R, 5, FALSE), "NO ENCONTRADO EN PLANTA"))</f>
        <v/>
      </c>
      <c r="E1390" s="2">
        <f>IF(B1390="","",IFERROR(VLOOKUP(B1390, PLANTA_BASE!A:R, 6, FALSE), "NO ENCONTRADO EN PLANTA"))</f>
        <v/>
      </c>
      <c r="F1390" s="4">
        <f>IF(B1390="","",IFERROR(VLOOKUP(B1390, PLANTA_BASE!A:R, 8, FALSE), "DOCENTE / FACILITADOR"))</f>
        <v/>
      </c>
      <c r="G1390" s="4">
        <f>IF(B1390="","",IFERROR(VLOOKUP(B1390, PLANTA_BASE!A:R, 9, FALSE), "GENERAL"))</f>
        <v/>
      </c>
      <c r="H1390" s="2">
        <f>IF(B1390="","",IFERROR(VLOOKUP(B1390, PLANTA_BASE!A:R, 17, FALSE), "GENERAL"))</f>
        <v/>
      </c>
    </row>
    <row r="1391" ht="20" customHeight="1">
      <c r="A1391" s="5">
        <f>IF(B1391="","",IFERROR(VLOOKUP(B1391, PLANTA_BASE!A:R, 2, FALSE), "NO ENCONTRADO EN PLANTA"))</f>
        <v/>
      </c>
      <c r="B1391" s="6" t="inlineStr"/>
      <c r="C1391" s="7">
        <f>IF(B1391="","",IFERROR(VLOOKUP(B1391, PLANTA_BASE!A:R, 3, FALSE), ""))</f>
        <v/>
      </c>
      <c r="D1391" s="5">
        <f>IF(B1391="","",IFERROR(VLOOKUP(B1391, PLANTA_BASE!A:R, 5, FALSE), "NO ENCONTRADO EN PLANTA"))</f>
        <v/>
      </c>
      <c r="E1391" s="5">
        <f>IF(B1391="","",IFERROR(VLOOKUP(B1391, PLANTA_BASE!A:R, 6, FALSE), "NO ENCONTRADO EN PLANTA"))</f>
        <v/>
      </c>
      <c r="F1391" s="7">
        <f>IF(B1391="","",IFERROR(VLOOKUP(B1391, PLANTA_BASE!A:R, 8, FALSE), "DOCENTE / FACILITADOR"))</f>
        <v/>
      </c>
      <c r="G1391" s="7">
        <f>IF(B1391="","",IFERROR(VLOOKUP(B1391, PLANTA_BASE!A:R, 9, FALSE), "GENERAL"))</f>
        <v/>
      </c>
      <c r="H1391" s="5">
        <f>IF(B1391="","",IFERROR(VLOOKUP(B1391, PLANTA_BASE!A:R, 17, FALSE), "GENERAL"))</f>
        <v/>
      </c>
    </row>
    <row r="1392" ht="20" customHeight="1">
      <c r="A1392" s="2">
        <f>IF(B1392="","",IFERROR(VLOOKUP(B1392, PLANTA_BASE!A:R, 2, FALSE), "NO ENCONTRADO EN PLANTA"))</f>
        <v/>
      </c>
      <c r="B1392" s="3" t="inlineStr"/>
      <c r="C1392" s="4">
        <f>IF(B1392="","",IFERROR(VLOOKUP(B1392, PLANTA_BASE!A:R, 3, FALSE), ""))</f>
        <v/>
      </c>
      <c r="D1392" s="2">
        <f>IF(B1392="","",IFERROR(VLOOKUP(B1392, PLANTA_BASE!A:R, 5, FALSE), "NO ENCONTRADO EN PLANTA"))</f>
        <v/>
      </c>
      <c r="E1392" s="2">
        <f>IF(B1392="","",IFERROR(VLOOKUP(B1392, PLANTA_BASE!A:R, 6, FALSE), "NO ENCONTRADO EN PLANTA"))</f>
        <v/>
      </c>
      <c r="F1392" s="4">
        <f>IF(B1392="","",IFERROR(VLOOKUP(B1392, PLANTA_BASE!A:R, 8, FALSE), "DOCENTE / FACILITADOR"))</f>
        <v/>
      </c>
      <c r="G1392" s="4">
        <f>IF(B1392="","",IFERROR(VLOOKUP(B1392, PLANTA_BASE!A:R, 9, FALSE), "GENERAL"))</f>
        <v/>
      </c>
      <c r="H1392" s="2">
        <f>IF(B1392="","",IFERROR(VLOOKUP(B1392, PLANTA_BASE!A:R, 17, FALSE), "GENERAL"))</f>
        <v/>
      </c>
    </row>
    <row r="1393" ht="20" customHeight="1">
      <c r="A1393" s="5">
        <f>IF(B1393="","",IFERROR(VLOOKUP(B1393, PLANTA_BASE!A:R, 2, FALSE), "NO ENCONTRADO EN PLANTA"))</f>
        <v/>
      </c>
      <c r="B1393" s="6" t="inlineStr"/>
      <c r="C1393" s="7">
        <f>IF(B1393="","",IFERROR(VLOOKUP(B1393, PLANTA_BASE!A:R, 3, FALSE), ""))</f>
        <v/>
      </c>
      <c r="D1393" s="5">
        <f>IF(B1393="","",IFERROR(VLOOKUP(B1393, PLANTA_BASE!A:R, 5, FALSE), "NO ENCONTRADO EN PLANTA"))</f>
        <v/>
      </c>
      <c r="E1393" s="5">
        <f>IF(B1393="","",IFERROR(VLOOKUP(B1393, PLANTA_BASE!A:R, 6, FALSE), "NO ENCONTRADO EN PLANTA"))</f>
        <v/>
      </c>
      <c r="F1393" s="7">
        <f>IF(B1393="","",IFERROR(VLOOKUP(B1393, PLANTA_BASE!A:R, 8, FALSE), "DOCENTE / FACILITADOR"))</f>
        <v/>
      </c>
      <c r="G1393" s="7">
        <f>IF(B1393="","",IFERROR(VLOOKUP(B1393, PLANTA_BASE!A:R, 9, FALSE), "GENERAL"))</f>
        <v/>
      </c>
      <c r="H1393" s="5">
        <f>IF(B1393="","",IFERROR(VLOOKUP(B1393, PLANTA_BASE!A:R, 17, FALSE), "GENERAL"))</f>
        <v/>
      </c>
    </row>
    <row r="1394" ht="20" customHeight="1">
      <c r="A1394" s="2">
        <f>IF(B1394="","",IFERROR(VLOOKUP(B1394, PLANTA_BASE!A:R, 2, FALSE), "NO ENCONTRADO EN PLANTA"))</f>
        <v/>
      </c>
      <c r="B1394" s="3" t="inlineStr"/>
      <c r="C1394" s="4">
        <f>IF(B1394="","",IFERROR(VLOOKUP(B1394, PLANTA_BASE!A:R, 3, FALSE), ""))</f>
        <v/>
      </c>
      <c r="D1394" s="2">
        <f>IF(B1394="","",IFERROR(VLOOKUP(B1394, PLANTA_BASE!A:R, 5, FALSE), "NO ENCONTRADO EN PLANTA"))</f>
        <v/>
      </c>
      <c r="E1394" s="2">
        <f>IF(B1394="","",IFERROR(VLOOKUP(B1394, PLANTA_BASE!A:R, 6, FALSE), "NO ENCONTRADO EN PLANTA"))</f>
        <v/>
      </c>
      <c r="F1394" s="4">
        <f>IF(B1394="","",IFERROR(VLOOKUP(B1394, PLANTA_BASE!A:R, 8, FALSE), "DOCENTE / FACILITADOR"))</f>
        <v/>
      </c>
      <c r="G1394" s="4">
        <f>IF(B1394="","",IFERROR(VLOOKUP(B1394, PLANTA_BASE!A:R, 9, FALSE), "GENERAL"))</f>
        <v/>
      </c>
      <c r="H1394" s="2">
        <f>IF(B1394="","",IFERROR(VLOOKUP(B1394, PLANTA_BASE!A:R, 17, FALSE), "GENERAL"))</f>
        <v/>
      </c>
    </row>
    <row r="1395" ht="20" customHeight="1">
      <c r="A1395" s="5">
        <f>IF(B1395="","",IFERROR(VLOOKUP(B1395, PLANTA_BASE!A:R, 2, FALSE), "NO ENCONTRADO EN PLANTA"))</f>
        <v/>
      </c>
      <c r="B1395" s="6" t="inlineStr"/>
      <c r="C1395" s="7">
        <f>IF(B1395="","",IFERROR(VLOOKUP(B1395, PLANTA_BASE!A:R, 3, FALSE), ""))</f>
        <v/>
      </c>
      <c r="D1395" s="5">
        <f>IF(B1395="","",IFERROR(VLOOKUP(B1395, PLANTA_BASE!A:R, 5, FALSE), "NO ENCONTRADO EN PLANTA"))</f>
        <v/>
      </c>
      <c r="E1395" s="5">
        <f>IF(B1395="","",IFERROR(VLOOKUP(B1395, PLANTA_BASE!A:R, 6, FALSE), "NO ENCONTRADO EN PLANTA"))</f>
        <v/>
      </c>
      <c r="F1395" s="7">
        <f>IF(B1395="","",IFERROR(VLOOKUP(B1395, PLANTA_BASE!A:R, 8, FALSE), "DOCENTE / FACILITADOR"))</f>
        <v/>
      </c>
      <c r="G1395" s="7">
        <f>IF(B1395="","",IFERROR(VLOOKUP(B1395, PLANTA_BASE!A:R, 9, FALSE), "GENERAL"))</f>
        <v/>
      </c>
      <c r="H1395" s="5">
        <f>IF(B1395="","",IFERROR(VLOOKUP(B1395, PLANTA_BASE!A:R, 17, FALSE), "GENERAL"))</f>
        <v/>
      </c>
    </row>
    <row r="1396" ht="20" customHeight="1">
      <c r="A1396" s="2">
        <f>IF(B1396="","",IFERROR(VLOOKUP(B1396, PLANTA_BASE!A:R, 2, FALSE), "NO ENCONTRADO EN PLANTA"))</f>
        <v/>
      </c>
      <c r="B1396" s="3" t="inlineStr"/>
      <c r="C1396" s="4">
        <f>IF(B1396="","",IFERROR(VLOOKUP(B1396, PLANTA_BASE!A:R, 3, FALSE), ""))</f>
        <v/>
      </c>
      <c r="D1396" s="2">
        <f>IF(B1396="","",IFERROR(VLOOKUP(B1396, PLANTA_BASE!A:R, 5, FALSE), "NO ENCONTRADO EN PLANTA"))</f>
        <v/>
      </c>
      <c r="E1396" s="2">
        <f>IF(B1396="","",IFERROR(VLOOKUP(B1396, PLANTA_BASE!A:R, 6, FALSE), "NO ENCONTRADO EN PLANTA"))</f>
        <v/>
      </c>
      <c r="F1396" s="4">
        <f>IF(B1396="","",IFERROR(VLOOKUP(B1396, PLANTA_BASE!A:R, 8, FALSE), "DOCENTE / FACILITADOR"))</f>
        <v/>
      </c>
      <c r="G1396" s="4">
        <f>IF(B1396="","",IFERROR(VLOOKUP(B1396, PLANTA_BASE!A:R, 9, FALSE), "GENERAL"))</f>
        <v/>
      </c>
      <c r="H1396" s="2">
        <f>IF(B1396="","",IFERROR(VLOOKUP(B1396, PLANTA_BASE!A:R, 17, FALSE), "GENERAL"))</f>
        <v/>
      </c>
    </row>
    <row r="1397" ht="20" customHeight="1">
      <c r="A1397" s="5">
        <f>IF(B1397="","",IFERROR(VLOOKUP(B1397, PLANTA_BASE!A:R, 2, FALSE), "NO ENCONTRADO EN PLANTA"))</f>
        <v/>
      </c>
      <c r="B1397" s="6" t="inlineStr"/>
      <c r="C1397" s="7">
        <f>IF(B1397="","",IFERROR(VLOOKUP(B1397, PLANTA_BASE!A:R, 3, FALSE), ""))</f>
        <v/>
      </c>
      <c r="D1397" s="5">
        <f>IF(B1397="","",IFERROR(VLOOKUP(B1397, PLANTA_BASE!A:R, 5, FALSE), "NO ENCONTRADO EN PLANTA"))</f>
        <v/>
      </c>
      <c r="E1397" s="5">
        <f>IF(B1397="","",IFERROR(VLOOKUP(B1397, PLANTA_BASE!A:R, 6, FALSE), "NO ENCONTRADO EN PLANTA"))</f>
        <v/>
      </c>
      <c r="F1397" s="7">
        <f>IF(B1397="","",IFERROR(VLOOKUP(B1397, PLANTA_BASE!A:R, 8, FALSE), "DOCENTE / FACILITADOR"))</f>
        <v/>
      </c>
      <c r="G1397" s="7">
        <f>IF(B1397="","",IFERROR(VLOOKUP(B1397, PLANTA_BASE!A:R, 9, FALSE), "GENERAL"))</f>
        <v/>
      </c>
      <c r="H1397" s="5">
        <f>IF(B1397="","",IFERROR(VLOOKUP(B1397, PLANTA_BASE!A:R, 17, FALSE), "GENERAL"))</f>
        <v/>
      </c>
    </row>
    <row r="1398" ht="20" customHeight="1">
      <c r="A1398" s="2">
        <f>IF(B1398="","",IFERROR(VLOOKUP(B1398, PLANTA_BASE!A:R, 2, FALSE), "NO ENCONTRADO EN PLANTA"))</f>
        <v/>
      </c>
      <c r="B1398" s="3" t="inlineStr"/>
      <c r="C1398" s="4">
        <f>IF(B1398="","",IFERROR(VLOOKUP(B1398, PLANTA_BASE!A:R, 3, FALSE), ""))</f>
        <v/>
      </c>
      <c r="D1398" s="2">
        <f>IF(B1398="","",IFERROR(VLOOKUP(B1398, PLANTA_BASE!A:R, 5, FALSE), "NO ENCONTRADO EN PLANTA"))</f>
        <v/>
      </c>
      <c r="E1398" s="2">
        <f>IF(B1398="","",IFERROR(VLOOKUP(B1398, PLANTA_BASE!A:R, 6, FALSE), "NO ENCONTRADO EN PLANTA"))</f>
        <v/>
      </c>
      <c r="F1398" s="4">
        <f>IF(B1398="","",IFERROR(VLOOKUP(B1398, PLANTA_BASE!A:R, 8, FALSE), "DOCENTE / FACILITADOR"))</f>
        <v/>
      </c>
      <c r="G1398" s="4">
        <f>IF(B1398="","",IFERROR(VLOOKUP(B1398, PLANTA_BASE!A:R, 9, FALSE), "GENERAL"))</f>
        <v/>
      </c>
      <c r="H1398" s="2">
        <f>IF(B1398="","",IFERROR(VLOOKUP(B1398, PLANTA_BASE!A:R, 17, FALSE), "GENERAL"))</f>
        <v/>
      </c>
    </row>
    <row r="1399" ht="20" customHeight="1">
      <c r="A1399" s="5">
        <f>IF(B1399="","",IFERROR(VLOOKUP(B1399, PLANTA_BASE!A:R, 2, FALSE), "NO ENCONTRADO EN PLANTA"))</f>
        <v/>
      </c>
      <c r="B1399" s="6" t="inlineStr"/>
      <c r="C1399" s="7">
        <f>IF(B1399="","",IFERROR(VLOOKUP(B1399, PLANTA_BASE!A:R, 3, FALSE), ""))</f>
        <v/>
      </c>
      <c r="D1399" s="5">
        <f>IF(B1399="","",IFERROR(VLOOKUP(B1399, PLANTA_BASE!A:R, 5, FALSE), "NO ENCONTRADO EN PLANTA"))</f>
        <v/>
      </c>
      <c r="E1399" s="5">
        <f>IF(B1399="","",IFERROR(VLOOKUP(B1399, PLANTA_BASE!A:R, 6, FALSE), "NO ENCONTRADO EN PLANTA"))</f>
        <v/>
      </c>
      <c r="F1399" s="7">
        <f>IF(B1399="","",IFERROR(VLOOKUP(B1399, PLANTA_BASE!A:R, 8, FALSE), "DOCENTE / FACILITADOR"))</f>
        <v/>
      </c>
      <c r="G1399" s="7">
        <f>IF(B1399="","",IFERROR(VLOOKUP(B1399, PLANTA_BASE!A:R, 9, FALSE), "GENERAL"))</f>
        <v/>
      </c>
      <c r="H1399" s="5">
        <f>IF(B1399="","",IFERROR(VLOOKUP(B1399, PLANTA_BASE!A:R, 17, FALSE), "GENERAL"))</f>
        <v/>
      </c>
    </row>
    <row r="1400" ht="20" customHeight="1">
      <c r="A1400" s="2">
        <f>IF(B1400="","",IFERROR(VLOOKUP(B1400, PLANTA_BASE!A:R, 2, FALSE), "NO ENCONTRADO EN PLANTA"))</f>
        <v/>
      </c>
      <c r="B1400" s="3" t="inlineStr"/>
      <c r="C1400" s="4">
        <f>IF(B1400="","",IFERROR(VLOOKUP(B1400, PLANTA_BASE!A:R, 3, FALSE), ""))</f>
        <v/>
      </c>
      <c r="D1400" s="2">
        <f>IF(B1400="","",IFERROR(VLOOKUP(B1400, PLANTA_BASE!A:R, 5, FALSE), "NO ENCONTRADO EN PLANTA"))</f>
        <v/>
      </c>
      <c r="E1400" s="2">
        <f>IF(B1400="","",IFERROR(VLOOKUP(B1400, PLANTA_BASE!A:R, 6, FALSE), "NO ENCONTRADO EN PLANTA"))</f>
        <v/>
      </c>
      <c r="F1400" s="4">
        <f>IF(B1400="","",IFERROR(VLOOKUP(B1400, PLANTA_BASE!A:R, 8, FALSE), "DOCENTE / FACILITADOR"))</f>
        <v/>
      </c>
      <c r="G1400" s="4">
        <f>IF(B1400="","",IFERROR(VLOOKUP(B1400, PLANTA_BASE!A:R, 9, FALSE), "GENERAL"))</f>
        <v/>
      </c>
      <c r="H1400" s="2">
        <f>IF(B1400="","",IFERROR(VLOOKUP(B1400, PLANTA_BASE!A:R, 17, FALSE), "GENERAL"))</f>
        <v/>
      </c>
    </row>
    <row r="1401" ht="20" customHeight="1">
      <c r="A1401" s="5">
        <f>IF(B1401="","",IFERROR(VLOOKUP(B1401, PLANTA_BASE!A:R, 2, FALSE), "NO ENCONTRADO EN PLANTA"))</f>
        <v/>
      </c>
      <c r="B1401" s="6" t="inlineStr"/>
      <c r="C1401" s="7">
        <f>IF(B1401="","",IFERROR(VLOOKUP(B1401, PLANTA_BASE!A:R, 3, FALSE), ""))</f>
        <v/>
      </c>
      <c r="D1401" s="5">
        <f>IF(B1401="","",IFERROR(VLOOKUP(B1401, PLANTA_BASE!A:R, 5, FALSE), "NO ENCONTRADO EN PLANTA"))</f>
        <v/>
      </c>
      <c r="E1401" s="5">
        <f>IF(B1401="","",IFERROR(VLOOKUP(B1401, PLANTA_BASE!A:R, 6, FALSE), "NO ENCONTRADO EN PLANTA"))</f>
        <v/>
      </c>
      <c r="F1401" s="7">
        <f>IF(B1401="","",IFERROR(VLOOKUP(B1401, PLANTA_BASE!A:R, 8, FALSE), "DOCENTE / FACILITADOR"))</f>
        <v/>
      </c>
      <c r="G1401" s="7">
        <f>IF(B1401="","",IFERROR(VLOOKUP(B1401, PLANTA_BASE!A:R, 9, FALSE), "GENERAL"))</f>
        <v/>
      </c>
      <c r="H1401" s="5">
        <f>IF(B1401="","",IFERROR(VLOOKUP(B1401, PLANTA_BASE!A:R, 17, FALSE), "GENERAL"))</f>
        <v/>
      </c>
    </row>
    <row r="1402" ht="20" customHeight="1">
      <c r="A1402" s="2">
        <f>IF(B1402="","",IFERROR(VLOOKUP(B1402, PLANTA_BASE!A:R, 2, FALSE), "NO ENCONTRADO EN PLANTA"))</f>
        <v/>
      </c>
      <c r="B1402" s="3" t="inlineStr"/>
      <c r="C1402" s="4">
        <f>IF(B1402="","",IFERROR(VLOOKUP(B1402, PLANTA_BASE!A:R, 3, FALSE), ""))</f>
        <v/>
      </c>
      <c r="D1402" s="2">
        <f>IF(B1402="","",IFERROR(VLOOKUP(B1402, PLANTA_BASE!A:R, 5, FALSE), "NO ENCONTRADO EN PLANTA"))</f>
        <v/>
      </c>
      <c r="E1402" s="2">
        <f>IF(B1402="","",IFERROR(VLOOKUP(B1402, PLANTA_BASE!A:R, 6, FALSE), "NO ENCONTRADO EN PLANTA"))</f>
        <v/>
      </c>
      <c r="F1402" s="4">
        <f>IF(B1402="","",IFERROR(VLOOKUP(B1402, PLANTA_BASE!A:R, 8, FALSE), "DOCENTE / FACILITADOR"))</f>
        <v/>
      </c>
      <c r="G1402" s="4">
        <f>IF(B1402="","",IFERROR(VLOOKUP(B1402, PLANTA_BASE!A:R, 9, FALSE), "GENERAL"))</f>
        <v/>
      </c>
      <c r="H1402" s="2">
        <f>IF(B1402="","",IFERROR(VLOOKUP(B1402, PLANTA_BASE!A:R, 17, FALSE), "GENERAL"))</f>
        <v/>
      </c>
    </row>
    <row r="1403" ht="20" customHeight="1">
      <c r="A1403" s="5">
        <f>IF(B1403="","",IFERROR(VLOOKUP(B1403, PLANTA_BASE!A:R, 2, FALSE), "NO ENCONTRADO EN PLANTA"))</f>
        <v/>
      </c>
      <c r="B1403" s="6" t="inlineStr"/>
      <c r="C1403" s="7">
        <f>IF(B1403="","",IFERROR(VLOOKUP(B1403, PLANTA_BASE!A:R, 3, FALSE), ""))</f>
        <v/>
      </c>
      <c r="D1403" s="5">
        <f>IF(B1403="","",IFERROR(VLOOKUP(B1403, PLANTA_BASE!A:R, 5, FALSE), "NO ENCONTRADO EN PLANTA"))</f>
        <v/>
      </c>
      <c r="E1403" s="5">
        <f>IF(B1403="","",IFERROR(VLOOKUP(B1403, PLANTA_BASE!A:R, 6, FALSE), "NO ENCONTRADO EN PLANTA"))</f>
        <v/>
      </c>
      <c r="F1403" s="7">
        <f>IF(B1403="","",IFERROR(VLOOKUP(B1403, PLANTA_BASE!A:R, 8, FALSE), "DOCENTE / FACILITADOR"))</f>
        <v/>
      </c>
      <c r="G1403" s="7">
        <f>IF(B1403="","",IFERROR(VLOOKUP(B1403, PLANTA_BASE!A:R, 9, FALSE), "GENERAL"))</f>
        <v/>
      </c>
      <c r="H1403" s="5">
        <f>IF(B1403="","",IFERROR(VLOOKUP(B1403, PLANTA_BASE!A:R, 17, FALSE), "GENERAL"))</f>
        <v/>
      </c>
    </row>
    <row r="1404" ht="20" customHeight="1">
      <c r="A1404" s="2">
        <f>IF(B1404="","",IFERROR(VLOOKUP(B1404, PLANTA_BASE!A:R, 2, FALSE), "NO ENCONTRADO EN PLANTA"))</f>
        <v/>
      </c>
      <c r="B1404" s="3" t="inlineStr"/>
      <c r="C1404" s="4">
        <f>IF(B1404="","",IFERROR(VLOOKUP(B1404, PLANTA_BASE!A:R, 3, FALSE), ""))</f>
        <v/>
      </c>
      <c r="D1404" s="2">
        <f>IF(B1404="","",IFERROR(VLOOKUP(B1404, PLANTA_BASE!A:R, 5, FALSE), "NO ENCONTRADO EN PLANTA"))</f>
        <v/>
      </c>
      <c r="E1404" s="2">
        <f>IF(B1404="","",IFERROR(VLOOKUP(B1404, PLANTA_BASE!A:R, 6, FALSE), "NO ENCONTRADO EN PLANTA"))</f>
        <v/>
      </c>
      <c r="F1404" s="4">
        <f>IF(B1404="","",IFERROR(VLOOKUP(B1404, PLANTA_BASE!A:R, 8, FALSE), "DOCENTE / FACILITADOR"))</f>
        <v/>
      </c>
      <c r="G1404" s="4">
        <f>IF(B1404="","",IFERROR(VLOOKUP(B1404, PLANTA_BASE!A:R, 9, FALSE), "GENERAL"))</f>
        <v/>
      </c>
      <c r="H1404" s="2">
        <f>IF(B1404="","",IFERROR(VLOOKUP(B1404, PLANTA_BASE!A:R, 17, FALSE), "GENERAL"))</f>
        <v/>
      </c>
    </row>
    <row r="1405" ht="20" customHeight="1">
      <c r="A1405" s="5">
        <f>IF(B1405="","",IFERROR(VLOOKUP(B1405, PLANTA_BASE!A:R, 2, FALSE), "NO ENCONTRADO EN PLANTA"))</f>
        <v/>
      </c>
      <c r="B1405" s="6" t="inlineStr"/>
      <c r="C1405" s="7">
        <f>IF(B1405="","",IFERROR(VLOOKUP(B1405, PLANTA_BASE!A:R, 3, FALSE), ""))</f>
        <v/>
      </c>
      <c r="D1405" s="5">
        <f>IF(B1405="","",IFERROR(VLOOKUP(B1405, PLANTA_BASE!A:R, 5, FALSE), "NO ENCONTRADO EN PLANTA"))</f>
        <v/>
      </c>
      <c r="E1405" s="5">
        <f>IF(B1405="","",IFERROR(VLOOKUP(B1405, PLANTA_BASE!A:R, 6, FALSE), "NO ENCONTRADO EN PLANTA"))</f>
        <v/>
      </c>
      <c r="F1405" s="7">
        <f>IF(B1405="","",IFERROR(VLOOKUP(B1405, PLANTA_BASE!A:R, 8, FALSE), "DOCENTE / FACILITADOR"))</f>
        <v/>
      </c>
      <c r="G1405" s="7">
        <f>IF(B1405="","",IFERROR(VLOOKUP(B1405, PLANTA_BASE!A:R, 9, FALSE), "GENERAL"))</f>
        <v/>
      </c>
      <c r="H1405" s="5">
        <f>IF(B1405="","",IFERROR(VLOOKUP(B1405, PLANTA_BASE!A:R, 17, FALSE), "GENERAL"))</f>
        <v/>
      </c>
    </row>
    <row r="1406" ht="20" customHeight="1">
      <c r="A1406" s="2">
        <f>IF(B1406="","",IFERROR(VLOOKUP(B1406, PLANTA_BASE!A:R, 2, FALSE), "NO ENCONTRADO EN PLANTA"))</f>
        <v/>
      </c>
      <c r="B1406" s="3" t="inlineStr"/>
      <c r="C1406" s="4">
        <f>IF(B1406="","",IFERROR(VLOOKUP(B1406, PLANTA_BASE!A:R, 3, FALSE), ""))</f>
        <v/>
      </c>
      <c r="D1406" s="2">
        <f>IF(B1406="","",IFERROR(VLOOKUP(B1406, PLANTA_BASE!A:R, 5, FALSE), "NO ENCONTRADO EN PLANTA"))</f>
        <v/>
      </c>
      <c r="E1406" s="2">
        <f>IF(B1406="","",IFERROR(VLOOKUP(B1406, PLANTA_BASE!A:R, 6, FALSE), "NO ENCONTRADO EN PLANTA"))</f>
        <v/>
      </c>
      <c r="F1406" s="4">
        <f>IF(B1406="","",IFERROR(VLOOKUP(B1406, PLANTA_BASE!A:R, 8, FALSE), "DOCENTE / FACILITADOR"))</f>
        <v/>
      </c>
      <c r="G1406" s="4">
        <f>IF(B1406="","",IFERROR(VLOOKUP(B1406, PLANTA_BASE!A:R, 9, FALSE), "GENERAL"))</f>
        <v/>
      </c>
      <c r="H1406" s="2">
        <f>IF(B1406="","",IFERROR(VLOOKUP(B1406, PLANTA_BASE!A:R, 17, FALSE), "GENERAL"))</f>
        <v/>
      </c>
    </row>
    <row r="1407" ht="20" customHeight="1">
      <c r="A1407" s="5">
        <f>IF(B1407="","",IFERROR(VLOOKUP(B1407, PLANTA_BASE!A:R, 2, FALSE), "NO ENCONTRADO EN PLANTA"))</f>
        <v/>
      </c>
      <c r="B1407" s="6" t="inlineStr"/>
      <c r="C1407" s="7">
        <f>IF(B1407="","",IFERROR(VLOOKUP(B1407, PLANTA_BASE!A:R, 3, FALSE), ""))</f>
        <v/>
      </c>
      <c r="D1407" s="5">
        <f>IF(B1407="","",IFERROR(VLOOKUP(B1407, PLANTA_BASE!A:R, 5, FALSE), "NO ENCONTRADO EN PLANTA"))</f>
        <v/>
      </c>
      <c r="E1407" s="5">
        <f>IF(B1407="","",IFERROR(VLOOKUP(B1407, PLANTA_BASE!A:R, 6, FALSE), "NO ENCONTRADO EN PLANTA"))</f>
        <v/>
      </c>
      <c r="F1407" s="7">
        <f>IF(B1407="","",IFERROR(VLOOKUP(B1407, PLANTA_BASE!A:R, 8, FALSE), "DOCENTE / FACILITADOR"))</f>
        <v/>
      </c>
      <c r="G1407" s="7">
        <f>IF(B1407="","",IFERROR(VLOOKUP(B1407, PLANTA_BASE!A:R, 9, FALSE), "GENERAL"))</f>
        <v/>
      </c>
      <c r="H1407" s="5">
        <f>IF(B1407="","",IFERROR(VLOOKUP(B1407, PLANTA_BASE!A:R, 17, FALSE), "GENERAL"))</f>
        <v/>
      </c>
    </row>
    <row r="1408" ht="20" customHeight="1">
      <c r="A1408" s="2">
        <f>IF(B1408="","",IFERROR(VLOOKUP(B1408, PLANTA_BASE!A:R, 2, FALSE), "NO ENCONTRADO EN PLANTA"))</f>
        <v/>
      </c>
      <c r="B1408" s="3" t="inlineStr"/>
      <c r="C1408" s="4">
        <f>IF(B1408="","",IFERROR(VLOOKUP(B1408, PLANTA_BASE!A:R, 3, FALSE), ""))</f>
        <v/>
      </c>
      <c r="D1408" s="2">
        <f>IF(B1408="","",IFERROR(VLOOKUP(B1408, PLANTA_BASE!A:R, 5, FALSE), "NO ENCONTRADO EN PLANTA"))</f>
        <v/>
      </c>
      <c r="E1408" s="2">
        <f>IF(B1408="","",IFERROR(VLOOKUP(B1408, PLANTA_BASE!A:R, 6, FALSE), "NO ENCONTRADO EN PLANTA"))</f>
        <v/>
      </c>
      <c r="F1408" s="4">
        <f>IF(B1408="","",IFERROR(VLOOKUP(B1408, PLANTA_BASE!A:R, 8, FALSE), "DOCENTE / FACILITADOR"))</f>
        <v/>
      </c>
      <c r="G1408" s="4">
        <f>IF(B1408="","",IFERROR(VLOOKUP(B1408, PLANTA_BASE!A:R, 9, FALSE), "GENERAL"))</f>
        <v/>
      </c>
      <c r="H1408" s="2">
        <f>IF(B1408="","",IFERROR(VLOOKUP(B1408, PLANTA_BASE!A:R, 17, FALSE), "GENERAL"))</f>
        <v/>
      </c>
    </row>
    <row r="1409" ht="20" customHeight="1">
      <c r="A1409" s="5">
        <f>IF(B1409="","",IFERROR(VLOOKUP(B1409, PLANTA_BASE!A:R, 2, FALSE), "NO ENCONTRADO EN PLANTA"))</f>
        <v/>
      </c>
      <c r="B1409" s="6" t="inlineStr"/>
      <c r="C1409" s="7">
        <f>IF(B1409="","",IFERROR(VLOOKUP(B1409, PLANTA_BASE!A:R, 3, FALSE), ""))</f>
        <v/>
      </c>
      <c r="D1409" s="5">
        <f>IF(B1409="","",IFERROR(VLOOKUP(B1409, PLANTA_BASE!A:R, 5, FALSE), "NO ENCONTRADO EN PLANTA"))</f>
        <v/>
      </c>
      <c r="E1409" s="5">
        <f>IF(B1409="","",IFERROR(VLOOKUP(B1409, PLANTA_BASE!A:R, 6, FALSE), "NO ENCONTRADO EN PLANTA"))</f>
        <v/>
      </c>
      <c r="F1409" s="7">
        <f>IF(B1409="","",IFERROR(VLOOKUP(B1409, PLANTA_BASE!A:R, 8, FALSE), "DOCENTE / FACILITADOR"))</f>
        <v/>
      </c>
      <c r="G1409" s="7">
        <f>IF(B1409="","",IFERROR(VLOOKUP(B1409, PLANTA_BASE!A:R, 9, FALSE), "GENERAL"))</f>
        <v/>
      </c>
      <c r="H1409" s="5">
        <f>IF(B1409="","",IFERROR(VLOOKUP(B1409, PLANTA_BASE!A:R, 17, FALSE), "GENERAL"))</f>
        <v/>
      </c>
    </row>
    <row r="1410" ht="20" customHeight="1">
      <c r="A1410" s="2">
        <f>IF(B1410="","",IFERROR(VLOOKUP(B1410, PLANTA_BASE!A:R, 2, FALSE), "NO ENCONTRADO EN PLANTA"))</f>
        <v/>
      </c>
      <c r="B1410" s="3" t="inlineStr"/>
      <c r="C1410" s="4">
        <f>IF(B1410="","",IFERROR(VLOOKUP(B1410, PLANTA_BASE!A:R, 3, FALSE), ""))</f>
        <v/>
      </c>
      <c r="D1410" s="2">
        <f>IF(B1410="","",IFERROR(VLOOKUP(B1410, PLANTA_BASE!A:R, 5, FALSE), "NO ENCONTRADO EN PLANTA"))</f>
        <v/>
      </c>
      <c r="E1410" s="2">
        <f>IF(B1410="","",IFERROR(VLOOKUP(B1410, PLANTA_BASE!A:R, 6, FALSE), "NO ENCONTRADO EN PLANTA"))</f>
        <v/>
      </c>
      <c r="F1410" s="4">
        <f>IF(B1410="","",IFERROR(VLOOKUP(B1410, PLANTA_BASE!A:R, 8, FALSE), "DOCENTE / FACILITADOR"))</f>
        <v/>
      </c>
      <c r="G1410" s="4">
        <f>IF(B1410="","",IFERROR(VLOOKUP(B1410, PLANTA_BASE!A:R, 9, FALSE), "GENERAL"))</f>
        <v/>
      </c>
      <c r="H1410" s="2">
        <f>IF(B1410="","",IFERROR(VLOOKUP(B1410, PLANTA_BASE!A:R, 17, FALSE), "GENERAL"))</f>
        <v/>
      </c>
    </row>
    <row r="1411" ht="20" customHeight="1">
      <c r="A1411" s="5">
        <f>IF(B1411="","",IFERROR(VLOOKUP(B1411, PLANTA_BASE!A:R, 2, FALSE), "NO ENCONTRADO EN PLANTA"))</f>
        <v/>
      </c>
      <c r="B1411" s="6" t="inlineStr"/>
      <c r="C1411" s="7">
        <f>IF(B1411="","",IFERROR(VLOOKUP(B1411, PLANTA_BASE!A:R, 3, FALSE), ""))</f>
        <v/>
      </c>
      <c r="D1411" s="5">
        <f>IF(B1411="","",IFERROR(VLOOKUP(B1411, PLANTA_BASE!A:R, 5, FALSE), "NO ENCONTRADO EN PLANTA"))</f>
        <v/>
      </c>
      <c r="E1411" s="5">
        <f>IF(B1411="","",IFERROR(VLOOKUP(B1411, PLANTA_BASE!A:R, 6, FALSE), "NO ENCONTRADO EN PLANTA"))</f>
        <v/>
      </c>
      <c r="F1411" s="7">
        <f>IF(B1411="","",IFERROR(VLOOKUP(B1411, PLANTA_BASE!A:R, 8, FALSE), "DOCENTE / FACILITADOR"))</f>
        <v/>
      </c>
      <c r="G1411" s="7">
        <f>IF(B1411="","",IFERROR(VLOOKUP(B1411, PLANTA_BASE!A:R, 9, FALSE), "GENERAL"))</f>
        <v/>
      </c>
      <c r="H1411" s="5">
        <f>IF(B1411="","",IFERROR(VLOOKUP(B1411, PLANTA_BASE!A:R, 17, FALSE), "GENERAL"))</f>
        <v/>
      </c>
    </row>
    <row r="1412" ht="20" customHeight="1">
      <c r="A1412" s="2">
        <f>IF(B1412="","",IFERROR(VLOOKUP(B1412, PLANTA_BASE!A:R, 2, FALSE), "NO ENCONTRADO EN PLANTA"))</f>
        <v/>
      </c>
      <c r="B1412" s="3" t="inlineStr"/>
      <c r="C1412" s="4">
        <f>IF(B1412="","",IFERROR(VLOOKUP(B1412, PLANTA_BASE!A:R, 3, FALSE), ""))</f>
        <v/>
      </c>
      <c r="D1412" s="2">
        <f>IF(B1412="","",IFERROR(VLOOKUP(B1412, PLANTA_BASE!A:R, 5, FALSE), "NO ENCONTRADO EN PLANTA"))</f>
        <v/>
      </c>
      <c r="E1412" s="2">
        <f>IF(B1412="","",IFERROR(VLOOKUP(B1412, PLANTA_BASE!A:R, 6, FALSE), "NO ENCONTRADO EN PLANTA"))</f>
        <v/>
      </c>
      <c r="F1412" s="4">
        <f>IF(B1412="","",IFERROR(VLOOKUP(B1412, PLANTA_BASE!A:R, 8, FALSE), "DOCENTE / FACILITADOR"))</f>
        <v/>
      </c>
      <c r="G1412" s="4">
        <f>IF(B1412="","",IFERROR(VLOOKUP(B1412, PLANTA_BASE!A:R, 9, FALSE), "GENERAL"))</f>
        <v/>
      </c>
      <c r="H1412" s="2">
        <f>IF(B1412="","",IFERROR(VLOOKUP(B1412, PLANTA_BASE!A:R, 17, FALSE), "GENERAL"))</f>
        <v/>
      </c>
    </row>
    <row r="1413" ht="20" customHeight="1">
      <c r="A1413" s="5">
        <f>IF(B1413="","",IFERROR(VLOOKUP(B1413, PLANTA_BASE!A:R, 2, FALSE), "NO ENCONTRADO EN PLANTA"))</f>
        <v/>
      </c>
      <c r="B1413" s="6" t="inlineStr"/>
      <c r="C1413" s="7">
        <f>IF(B1413="","",IFERROR(VLOOKUP(B1413, PLANTA_BASE!A:R, 3, FALSE), ""))</f>
        <v/>
      </c>
      <c r="D1413" s="5">
        <f>IF(B1413="","",IFERROR(VLOOKUP(B1413, PLANTA_BASE!A:R, 5, FALSE), "NO ENCONTRADO EN PLANTA"))</f>
        <v/>
      </c>
      <c r="E1413" s="5">
        <f>IF(B1413="","",IFERROR(VLOOKUP(B1413, PLANTA_BASE!A:R, 6, FALSE), "NO ENCONTRADO EN PLANTA"))</f>
        <v/>
      </c>
      <c r="F1413" s="7">
        <f>IF(B1413="","",IFERROR(VLOOKUP(B1413, PLANTA_BASE!A:R, 8, FALSE), "DOCENTE / FACILITADOR"))</f>
        <v/>
      </c>
      <c r="G1413" s="7">
        <f>IF(B1413="","",IFERROR(VLOOKUP(B1413, PLANTA_BASE!A:R, 9, FALSE), "GENERAL"))</f>
        <v/>
      </c>
      <c r="H1413" s="5">
        <f>IF(B1413="","",IFERROR(VLOOKUP(B1413, PLANTA_BASE!A:R, 17, FALSE), "GENERAL"))</f>
        <v/>
      </c>
    </row>
    <row r="1414" ht="20" customHeight="1">
      <c r="A1414" s="2">
        <f>IF(B1414="","",IFERROR(VLOOKUP(B1414, PLANTA_BASE!A:R, 2, FALSE), "NO ENCONTRADO EN PLANTA"))</f>
        <v/>
      </c>
      <c r="B1414" s="3" t="inlineStr"/>
      <c r="C1414" s="4">
        <f>IF(B1414="","",IFERROR(VLOOKUP(B1414, PLANTA_BASE!A:R, 3, FALSE), ""))</f>
        <v/>
      </c>
      <c r="D1414" s="2">
        <f>IF(B1414="","",IFERROR(VLOOKUP(B1414, PLANTA_BASE!A:R, 5, FALSE), "NO ENCONTRADO EN PLANTA"))</f>
        <v/>
      </c>
      <c r="E1414" s="2">
        <f>IF(B1414="","",IFERROR(VLOOKUP(B1414, PLANTA_BASE!A:R, 6, FALSE), "NO ENCONTRADO EN PLANTA"))</f>
        <v/>
      </c>
      <c r="F1414" s="4">
        <f>IF(B1414="","",IFERROR(VLOOKUP(B1414, PLANTA_BASE!A:R, 8, FALSE), "DOCENTE / FACILITADOR"))</f>
        <v/>
      </c>
      <c r="G1414" s="4">
        <f>IF(B1414="","",IFERROR(VLOOKUP(B1414, PLANTA_BASE!A:R, 9, FALSE), "GENERAL"))</f>
        <v/>
      </c>
      <c r="H1414" s="2">
        <f>IF(B1414="","",IFERROR(VLOOKUP(B1414, PLANTA_BASE!A:R, 17, FALSE), "GENERAL"))</f>
        <v/>
      </c>
    </row>
    <row r="1415" ht="20" customHeight="1">
      <c r="A1415" s="5">
        <f>IF(B1415="","",IFERROR(VLOOKUP(B1415, PLANTA_BASE!A:R, 2, FALSE), "NO ENCONTRADO EN PLANTA"))</f>
        <v/>
      </c>
      <c r="B1415" s="6" t="inlineStr"/>
      <c r="C1415" s="7">
        <f>IF(B1415="","",IFERROR(VLOOKUP(B1415, PLANTA_BASE!A:R, 3, FALSE), ""))</f>
        <v/>
      </c>
      <c r="D1415" s="5">
        <f>IF(B1415="","",IFERROR(VLOOKUP(B1415, PLANTA_BASE!A:R, 5, FALSE), "NO ENCONTRADO EN PLANTA"))</f>
        <v/>
      </c>
      <c r="E1415" s="5">
        <f>IF(B1415="","",IFERROR(VLOOKUP(B1415, PLANTA_BASE!A:R, 6, FALSE), "NO ENCONTRADO EN PLANTA"))</f>
        <v/>
      </c>
      <c r="F1415" s="7">
        <f>IF(B1415="","",IFERROR(VLOOKUP(B1415, PLANTA_BASE!A:R, 8, FALSE), "DOCENTE / FACILITADOR"))</f>
        <v/>
      </c>
      <c r="G1415" s="7">
        <f>IF(B1415="","",IFERROR(VLOOKUP(B1415, PLANTA_BASE!A:R, 9, FALSE), "GENERAL"))</f>
        <v/>
      </c>
      <c r="H1415" s="5">
        <f>IF(B1415="","",IFERROR(VLOOKUP(B1415, PLANTA_BASE!A:R, 17, FALSE), "GENERAL"))</f>
        <v/>
      </c>
    </row>
    <row r="1416" ht="20" customHeight="1">
      <c r="A1416" s="2">
        <f>IF(B1416="","",IFERROR(VLOOKUP(B1416, PLANTA_BASE!A:R, 2, FALSE), "NO ENCONTRADO EN PLANTA"))</f>
        <v/>
      </c>
      <c r="B1416" s="3" t="inlineStr"/>
      <c r="C1416" s="4">
        <f>IF(B1416="","",IFERROR(VLOOKUP(B1416, PLANTA_BASE!A:R, 3, FALSE), ""))</f>
        <v/>
      </c>
      <c r="D1416" s="2">
        <f>IF(B1416="","",IFERROR(VLOOKUP(B1416, PLANTA_BASE!A:R, 5, FALSE), "NO ENCONTRADO EN PLANTA"))</f>
        <v/>
      </c>
      <c r="E1416" s="2">
        <f>IF(B1416="","",IFERROR(VLOOKUP(B1416, PLANTA_BASE!A:R, 6, FALSE), "NO ENCONTRADO EN PLANTA"))</f>
        <v/>
      </c>
      <c r="F1416" s="4">
        <f>IF(B1416="","",IFERROR(VLOOKUP(B1416, PLANTA_BASE!A:R, 8, FALSE), "DOCENTE / FACILITADOR"))</f>
        <v/>
      </c>
      <c r="G1416" s="4">
        <f>IF(B1416="","",IFERROR(VLOOKUP(B1416, PLANTA_BASE!A:R, 9, FALSE), "GENERAL"))</f>
        <v/>
      </c>
      <c r="H1416" s="2">
        <f>IF(B1416="","",IFERROR(VLOOKUP(B1416, PLANTA_BASE!A:R, 17, FALSE), "GENERAL"))</f>
        <v/>
      </c>
    </row>
    <row r="1417" ht="20" customHeight="1">
      <c r="A1417" s="5">
        <f>IF(B1417="","",IFERROR(VLOOKUP(B1417, PLANTA_BASE!A:R, 2, FALSE), "NO ENCONTRADO EN PLANTA"))</f>
        <v/>
      </c>
      <c r="B1417" s="6" t="inlineStr"/>
      <c r="C1417" s="7">
        <f>IF(B1417="","",IFERROR(VLOOKUP(B1417, PLANTA_BASE!A:R, 3, FALSE), ""))</f>
        <v/>
      </c>
      <c r="D1417" s="5">
        <f>IF(B1417="","",IFERROR(VLOOKUP(B1417, PLANTA_BASE!A:R, 5, FALSE), "NO ENCONTRADO EN PLANTA"))</f>
        <v/>
      </c>
      <c r="E1417" s="5">
        <f>IF(B1417="","",IFERROR(VLOOKUP(B1417, PLANTA_BASE!A:R, 6, FALSE), "NO ENCONTRADO EN PLANTA"))</f>
        <v/>
      </c>
      <c r="F1417" s="7">
        <f>IF(B1417="","",IFERROR(VLOOKUP(B1417, PLANTA_BASE!A:R, 8, FALSE), "DOCENTE / FACILITADOR"))</f>
        <v/>
      </c>
      <c r="G1417" s="7">
        <f>IF(B1417="","",IFERROR(VLOOKUP(B1417, PLANTA_BASE!A:R, 9, FALSE), "GENERAL"))</f>
        <v/>
      </c>
      <c r="H1417" s="5">
        <f>IF(B1417="","",IFERROR(VLOOKUP(B1417, PLANTA_BASE!A:R, 17, FALSE), "GENERAL"))</f>
        <v/>
      </c>
    </row>
    <row r="1418" ht="20" customHeight="1">
      <c r="A1418" s="2">
        <f>IF(B1418="","",IFERROR(VLOOKUP(B1418, PLANTA_BASE!A:R, 2, FALSE), "NO ENCONTRADO EN PLANTA"))</f>
        <v/>
      </c>
      <c r="B1418" s="3" t="inlineStr"/>
      <c r="C1418" s="4">
        <f>IF(B1418="","",IFERROR(VLOOKUP(B1418, PLANTA_BASE!A:R, 3, FALSE), ""))</f>
        <v/>
      </c>
      <c r="D1418" s="2">
        <f>IF(B1418="","",IFERROR(VLOOKUP(B1418, PLANTA_BASE!A:R, 5, FALSE), "NO ENCONTRADO EN PLANTA"))</f>
        <v/>
      </c>
      <c r="E1418" s="2">
        <f>IF(B1418="","",IFERROR(VLOOKUP(B1418, PLANTA_BASE!A:R, 6, FALSE), "NO ENCONTRADO EN PLANTA"))</f>
        <v/>
      </c>
      <c r="F1418" s="4">
        <f>IF(B1418="","",IFERROR(VLOOKUP(B1418, PLANTA_BASE!A:R, 8, FALSE), "DOCENTE / FACILITADOR"))</f>
        <v/>
      </c>
      <c r="G1418" s="4">
        <f>IF(B1418="","",IFERROR(VLOOKUP(B1418, PLANTA_BASE!A:R, 9, FALSE), "GENERAL"))</f>
        <v/>
      </c>
      <c r="H1418" s="2">
        <f>IF(B1418="","",IFERROR(VLOOKUP(B1418, PLANTA_BASE!A:R, 17, FALSE), "GENERAL"))</f>
        <v/>
      </c>
    </row>
    <row r="1419" ht="20" customHeight="1">
      <c r="A1419" s="5">
        <f>IF(B1419="","",IFERROR(VLOOKUP(B1419, PLANTA_BASE!A:R, 2, FALSE), "NO ENCONTRADO EN PLANTA"))</f>
        <v/>
      </c>
      <c r="B1419" s="6" t="inlineStr"/>
      <c r="C1419" s="7">
        <f>IF(B1419="","",IFERROR(VLOOKUP(B1419, PLANTA_BASE!A:R, 3, FALSE), ""))</f>
        <v/>
      </c>
      <c r="D1419" s="5">
        <f>IF(B1419="","",IFERROR(VLOOKUP(B1419, PLANTA_BASE!A:R, 5, FALSE), "NO ENCONTRADO EN PLANTA"))</f>
        <v/>
      </c>
      <c r="E1419" s="5">
        <f>IF(B1419="","",IFERROR(VLOOKUP(B1419, PLANTA_BASE!A:R, 6, FALSE), "NO ENCONTRADO EN PLANTA"))</f>
        <v/>
      </c>
      <c r="F1419" s="7">
        <f>IF(B1419="","",IFERROR(VLOOKUP(B1419, PLANTA_BASE!A:R, 8, FALSE), "DOCENTE / FACILITADOR"))</f>
        <v/>
      </c>
      <c r="G1419" s="7">
        <f>IF(B1419="","",IFERROR(VLOOKUP(B1419, PLANTA_BASE!A:R, 9, FALSE), "GENERAL"))</f>
        <v/>
      </c>
      <c r="H1419" s="5">
        <f>IF(B1419="","",IFERROR(VLOOKUP(B1419, PLANTA_BASE!A:R, 17, FALSE), "GENERAL"))</f>
        <v/>
      </c>
    </row>
    <row r="1420" ht="20" customHeight="1">
      <c r="A1420" s="2">
        <f>IF(B1420="","",IFERROR(VLOOKUP(B1420, PLANTA_BASE!A:R, 2, FALSE), "NO ENCONTRADO EN PLANTA"))</f>
        <v/>
      </c>
      <c r="B1420" s="3" t="inlineStr"/>
      <c r="C1420" s="4">
        <f>IF(B1420="","",IFERROR(VLOOKUP(B1420, PLANTA_BASE!A:R, 3, FALSE), ""))</f>
        <v/>
      </c>
      <c r="D1420" s="2">
        <f>IF(B1420="","",IFERROR(VLOOKUP(B1420, PLANTA_BASE!A:R, 5, FALSE), "NO ENCONTRADO EN PLANTA"))</f>
        <v/>
      </c>
      <c r="E1420" s="2">
        <f>IF(B1420="","",IFERROR(VLOOKUP(B1420, PLANTA_BASE!A:R, 6, FALSE), "NO ENCONTRADO EN PLANTA"))</f>
        <v/>
      </c>
      <c r="F1420" s="4">
        <f>IF(B1420="","",IFERROR(VLOOKUP(B1420, PLANTA_BASE!A:R, 8, FALSE), "DOCENTE / FACILITADOR"))</f>
        <v/>
      </c>
      <c r="G1420" s="4">
        <f>IF(B1420="","",IFERROR(VLOOKUP(B1420, PLANTA_BASE!A:R, 9, FALSE), "GENERAL"))</f>
        <v/>
      </c>
      <c r="H1420" s="2">
        <f>IF(B1420="","",IFERROR(VLOOKUP(B1420, PLANTA_BASE!A:R, 17, FALSE), "GENERAL"))</f>
        <v/>
      </c>
    </row>
    <row r="1421" ht="20" customHeight="1">
      <c r="A1421" s="5">
        <f>IF(B1421="","",IFERROR(VLOOKUP(B1421, PLANTA_BASE!A:R, 2, FALSE), "NO ENCONTRADO EN PLANTA"))</f>
        <v/>
      </c>
      <c r="B1421" s="6" t="inlineStr"/>
      <c r="C1421" s="7">
        <f>IF(B1421="","",IFERROR(VLOOKUP(B1421, PLANTA_BASE!A:R, 3, FALSE), ""))</f>
        <v/>
      </c>
      <c r="D1421" s="5">
        <f>IF(B1421="","",IFERROR(VLOOKUP(B1421, PLANTA_BASE!A:R, 5, FALSE), "NO ENCONTRADO EN PLANTA"))</f>
        <v/>
      </c>
      <c r="E1421" s="5">
        <f>IF(B1421="","",IFERROR(VLOOKUP(B1421, PLANTA_BASE!A:R, 6, FALSE), "NO ENCONTRADO EN PLANTA"))</f>
        <v/>
      </c>
      <c r="F1421" s="7">
        <f>IF(B1421="","",IFERROR(VLOOKUP(B1421, PLANTA_BASE!A:R, 8, FALSE), "DOCENTE / FACILITADOR"))</f>
        <v/>
      </c>
      <c r="G1421" s="7">
        <f>IF(B1421="","",IFERROR(VLOOKUP(B1421, PLANTA_BASE!A:R, 9, FALSE), "GENERAL"))</f>
        <v/>
      </c>
      <c r="H1421" s="5">
        <f>IF(B1421="","",IFERROR(VLOOKUP(B1421, PLANTA_BASE!A:R, 17, FALSE), "GENERAL"))</f>
        <v/>
      </c>
    </row>
    <row r="1422" ht="20" customHeight="1">
      <c r="A1422" s="2">
        <f>IF(B1422="","",IFERROR(VLOOKUP(B1422, PLANTA_BASE!A:R, 2, FALSE), "NO ENCONTRADO EN PLANTA"))</f>
        <v/>
      </c>
      <c r="B1422" s="3" t="inlineStr"/>
      <c r="C1422" s="4">
        <f>IF(B1422="","",IFERROR(VLOOKUP(B1422, PLANTA_BASE!A:R, 3, FALSE), ""))</f>
        <v/>
      </c>
      <c r="D1422" s="2">
        <f>IF(B1422="","",IFERROR(VLOOKUP(B1422, PLANTA_BASE!A:R, 5, FALSE), "NO ENCONTRADO EN PLANTA"))</f>
        <v/>
      </c>
      <c r="E1422" s="2">
        <f>IF(B1422="","",IFERROR(VLOOKUP(B1422, PLANTA_BASE!A:R, 6, FALSE), "NO ENCONTRADO EN PLANTA"))</f>
        <v/>
      </c>
      <c r="F1422" s="4">
        <f>IF(B1422="","",IFERROR(VLOOKUP(B1422, PLANTA_BASE!A:R, 8, FALSE), "DOCENTE / FACILITADOR"))</f>
        <v/>
      </c>
      <c r="G1422" s="4">
        <f>IF(B1422="","",IFERROR(VLOOKUP(B1422, PLANTA_BASE!A:R, 9, FALSE), "GENERAL"))</f>
        <v/>
      </c>
      <c r="H1422" s="2">
        <f>IF(B1422="","",IFERROR(VLOOKUP(B1422, PLANTA_BASE!A:R, 17, FALSE), "GENERAL"))</f>
        <v/>
      </c>
    </row>
    <row r="1423" ht="20" customHeight="1">
      <c r="A1423" s="5">
        <f>IF(B1423="","",IFERROR(VLOOKUP(B1423, PLANTA_BASE!A:R, 2, FALSE), "NO ENCONTRADO EN PLANTA"))</f>
        <v/>
      </c>
      <c r="B1423" s="6" t="inlineStr"/>
      <c r="C1423" s="7">
        <f>IF(B1423="","",IFERROR(VLOOKUP(B1423, PLANTA_BASE!A:R, 3, FALSE), ""))</f>
        <v/>
      </c>
      <c r="D1423" s="5">
        <f>IF(B1423="","",IFERROR(VLOOKUP(B1423, PLANTA_BASE!A:R, 5, FALSE), "NO ENCONTRADO EN PLANTA"))</f>
        <v/>
      </c>
      <c r="E1423" s="5">
        <f>IF(B1423="","",IFERROR(VLOOKUP(B1423, PLANTA_BASE!A:R, 6, FALSE), "NO ENCONTRADO EN PLANTA"))</f>
        <v/>
      </c>
      <c r="F1423" s="7">
        <f>IF(B1423="","",IFERROR(VLOOKUP(B1423, PLANTA_BASE!A:R, 8, FALSE), "DOCENTE / FACILITADOR"))</f>
        <v/>
      </c>
      <c r="G1423" s="7">
        <f>IF(B1423="","",IFERROR(VLOOKUP(B1423, PLANTA_BASE!A:R, 9, FALSE), "GENERAL"))</f>
        <v/>
      </c>
      <c r="H1423" s="5">
        <f>IF(B1423="","",IFERROR(VLOOKUP(B1423, PLANTA_BASE!A:R, 17, FALSE), "GENERAL"))</f>
        <v/>
      </c>
    </row>
    <row r="1424" ht="20" customHeight="1">
      <c r="A1424" s="2">
        <f>IF(B1424="","",IFERROR(VLOOKUP(B1424, PLANTA_BASE!A:R, 2, FALSE), "NO ENCONTRADO EN PLANTA"))</f>
        <v/>
      </c>
      <c r="B1424" s="3" t="inlineStr"/>
      <c r="C1424" s="4">
        <f>IF(B1424="","",IFERROR(VLOOKUP(B1424, PLANTA_BASE!A:R, 3, FALSE), ""))</f>
        <v/>
      </c>
      <c r="D1424" s="2">
        <f>IF(B1424="","",IFERROR(VLOOKUP(B1424, PLANTA_BASE!A:R, 5, FALSE), "NO ENCONTRADO EN PLANTA"))</f>
        <v/>
      </c>
      <c r="E1424" s="2">
        <f>IF(B1424="","",IFERROR(VLOOKUP(B1424, PLANTA_BASE!A:R, 6, FALSE), "NO ENCONTRADO EN PLANTA"))</f>
        <v/>
      </c>
      <c r="F1424" s="4">
        <f>IF(B1424="","",IFERROR(VLOOKUP(B1424, PLANTA_BASE!A:R, 8, FALSE), "DOCENTE / FACILITADOR"))</f>
        <v/>
      </c>
      <c r="G1424" s="4">
        <f>IF(B1424="","",IFERROR(VLOOKUP(B1424, PLANTA_BASE!A:R, 9, FALSE), "GENERAL"))</f>
        <v/>
      </c>
      <c r="H1424" s="2">
        <f>IF(B1424="","",IFERROR(VLOOKUP(B1424, PLANTA_BASE!A:R, 17, FALSE), "GENERAL"))</f>
        <v/>
      </c>
    </row>
    <row r="1425" ht="20" customHeight="1">
      <c r="A1425" s="5">
        <f>IF(B1425="","",IFERROR(VLOOKUP(B1425, PLANTA_BASE!A:R, 2, FALSE), "NO ENCONTRADO EN PLANTA"))</f>
        <v/>
      </c>
      <c r="B1425" s="6" t="inlineStr"/>
      <c r="C1425" s="7">
        <f>IF(B1425="","",IFERROR(VLOOKUP(B1425, PLANTA_BASE!A:R, 3, FALSE), ""))</f>
        <v/>
      </c>
      <c r="D1425" s="5">
        <f>IF(B1425="","",IFERROR(VLOOKUP(B1425, PLANTA_BASE!A:R, 5, FALSE), "NO ENCONTRADO EN PLANTA"))</f>
        <v/>
      </c>
      <c r="E1425" s="5">
        <f>IF(B1425="","",IFERROR(VLOOKUP(B1425, PLANTA_BASE!A:R, 6, FALSE), "NO ENCONTRADO EN PLANTA"))</f>
        <v/>
      </c>
      <c r="F1425" s="7">
        <f>IF(B1425="","",IFERROR(VLOOKUP(B1425, PLANTA_BASE!A:R, 8, FALSE), "DOCENTE / FACILITADOR"))</f>
        <v/>
      </c>
      <c r="G1425" s="7">
        <f>IF(B1425="","",IFERROR(VLOOKUP(B1425, PLANTA_BASE!A:R, 9, FALSE), "GENERAL"))</f>
        <v/>
      </c>
      <c r="H1425" s="5">
        <f>IF(B1425="","",IFERROR(VLOOKUP(B1425, PLANTA_BASE!A:R, 17, FALSE), "GENERAL"))</f>
        <v/>
      </c>
    </row>
    <row r="1426" ht="20" customHeight="1">
      <c r="A1426" s="2">
        <f>IF(B1426="","",IFERROR(VLOOKUP(B1426, PLANTA_BASE!A:R, 2, FALSE), "NO ENCONTRADO EN PLANTA"))</f>
        <v/>
      </c>
      <c r="B1426" s="3" t="inlineStr"/>
      <c r="C1426" s="4">
        <f>IF(B1426="","",IFERROR(VLOOKUP(B1426, PLANTA_BASE!A:R, 3, FALSE), ""))</f>
        <v/>
      </c>
      <c r="D1426" s="2">
        <f>IF(B1426="","",IFERROR(VLOOKUP(B1426, PLANTA_BASE!A:R, 5, FALSE), "NO ENCONTRADO EN PLANTA"))</f>
        <v/>
      </c>
      <c r="E1426" s="2">
        <f>IF(B1426="","",IFERROR(VLOOKUP(B1426, PLANTA_BASE!A:R, 6, FALSE), "NO ENCONTRADO EN PLANTA"))</f>
        <v/>
      </c>
      <c r="F1426" s="4">
        <f>IF(B1426="","",IFERROR(VLOOKUP(B1426, PLANTA_BASE!A:R, 8, FALSE), "DOCENTE / FACILITADOR"))</f>
        <v/>
      </c>
      <c r="G1426" s="4">
        <f>IF(B1426="","",IFERROR(VLOOKUP(B1426, PLANTA_BASE!A:R, 9, FALSE), "GENERAL"))</f>
        <v/>
      </c>
      <c r="H1426" s="2">
        <f>IF(B1426="","",IFERROR(VLOOKUP(B1426, PLANTA_BASE!A:R, 17, FALSE), "GENERAL"))</f>
        <v/>
      </c>
    </row>
    <row r="1427" ht="20" customHeight="1">
      <c r="A1427" s="5">
        <f>IF(B1427="","",IFERROR(VLOOKUP(B1427, PLANTA_BASE!A:R, 2, FALSE), "NO ENCONTRADO EN PLANTA"))</f>
        <v/>
      </c>
      <c r="B1427" s="6" t="inlineStr"/>
      <c r="C1427" s="7">
        <f>IF(B1427="","",IFERROR(VLOOKUP(B1427, PLANTA_BASE!A:R, 3, FALSE), ""))</f>
        <v/>
      </c>
      <c r="D1427" s="5">
        <f>IF(B1427="","",IFERROR(VLOOKUP(B1427, PLANTA_BASE!A:R, 5, FALSE), "NO ENCONTRADO EN PLANTA"))</f>
        <v/>
      </c>
      <c r="E1427" s="5">
        <f>IF(B1427="","",IFERROR(VLOOKUP(B1427, PLANTA_BASE!A:R, 6, FALSE), "NO ENCONTRADO EN PLANTA"))</f>
        <v/>
      </c>
      <c r="F1427" s="7">
        <f>IF(B1427="","",IFERROR(VLOOKUP(B1427, PLANTA_BASE!A:R, 8, FALSE), "DOCENTE / FACILITADOR"))</f>
        <v/>
      </c>
      <c r="G1427" s="7">
        <f>IF(B1427="","",IFERROR(VLOOKUP(B1427, PLANTA_BASE!A:R, 9, FALSE), "GENERAL"))</f>
        <v/>
      </c>
      <c r="H1427" s="5">
        <f>IF(B1427="","",IFERROR(VLOOKUP(B1427, PLANTA_BASE!A:R, 17, FALSE), "GENERAL"))</f>
        <v/>
      </c>
    </row>
    <row r="1428" ht="20" customHeight="1">
      <c r="A1428" s="2">
        <f>IF(B1428="","",IFERROR(VLOOKUP(B1428, PLANTA_BASE!A:R, 2, FALSE), "NO ENCONTRADO EN PLANTA"))</f>
        <v/>
      </c>
      <c r="B1428" s="3" t="inlineStr"/>
      <c r="C1428" s="4">
        <f>IF(B1428="","",IFERROR(VLOOKUP(B1428, PLANTA_BASE!A:R, 3, FALSE), ""))</f>
        <v/>
      </c>
      <c r="D1428" s="2">
        <f>IF(B1428="","",IFERROR(VLOOKUP(B1428, PLANTA_BASE!A:R, 5, FALSE), "NO ENCONTRADO EN PLANTA"))</f>
        <v/>
      </c>
      <c r="E1428" s="2">
        <f>IF(B1428="","",IFERROR(VLOOKUP(B1428, PLANTA_BASE!A:R, 6, FALSE), "NO ENCONTRADO EN PLANTA"))</f>
        <v/>
      </c>
      <c r="F1428" s="4">
        <f>IF(B1428="","",IFERROR(VLOOKUP(B1428, PLANTA_BASE!A:R, 8, FALSE), "DOCENTE / FACILITADOR"))</f>
        <v/>
      </c>
      <c r="G1428" s="4">
        <f>IF(B1428="","",IFERROR(VLOOKUP(B1428, PLANTA_BASE!A:R, 9, FALSE), "GENERAL"))</f>
        <v/>
      </c>
      <c r="H1428" s="2">
        <f>IF(B1428="","",IFERROR(VLOOKUP(B1428, PLANTA_BASE!A:R, 17, FALSE), "GENERAL"))</f>
        <v/>
      </c>
    </row>
    <row r="1429" ht="20" customHeight="1">
      <c r="A1429" s="5">
        <f>IF(B1429="","",IFERROR(VLOOKUP(B1429, PLANTA_BASE!A:R, 2, FALSE), "NO ENCONTRADO EN PLANTA"))</f>
        <v/>
      </c>
      <c r="B1429" s="6" t="inlineStr"/>
      <c r="C1429" s="7">
        <f>IF(B1429="","",IFERROR(VLOOKUP(B1429, PLANTA_BASE!A:R, 3, FALSE), ""))</f>
        <v/>
      </c>
      <c r="D1429" s="5">
        <f>IF(B1429="","",IFERROR(VLOOKUP(B1429, PLANTA_BASE!A:R, 5, FALSE), "NO ENCONTRADO EN PLANTA"))</f>
        <v/>
      </c>
      <c r="E1429" s="5">
        <f>IF(B1429="","",IFERROR(VLOOKUP(B1429, PLANTA_BASE!A:R, 6, FALSE), "NO ENCONTRADO EN PLANTA"))</f>
        <v/>
      </c>
      <c r="F1429" s="7">
        <f>IF(B1429="","",IFERROR(VLOOKUP(B1429, PLANTA_BASE!A:R, 8, FALSE), "DOCENTE / FACILITADOR"))</f>
        <v/>
      </c>
      <c r="G1429" s="7">
        <f>IF(B1429="","",IFERROR(VLOOKUP(B1429, PLANTA_BASE!A:R, 9, FALSE), "GENERAL"))</f>
        <v/>
      </c>
      <c r="H1429" s="5">
        <f>IF(B1429="","",IFERROR(VLOOKUP(B1429, PLANTA_BASE!A:R, 17, FALSE), "GENERAL"))</f>
        <v/>
      </c>
    </row>
    <row r="1430" ht="20" customHeight="1">
      <c r="A1430" s="2">
        <f>IF(B1430="","",IFERROR(VLOOKUP(B1430, PLANTA_BASE!A:R, 2, FALSE), "NO ENCONTRADO EN PLANTA"))</f>
        <v/>
      </c>
      <c r="B1430" s="3" t="inlineStr"/>
      <c r="C1430" s="4">
        <f>IF(B1430="","",IFERROR(VLOOKUP(B1430, PLANTA_BASE!A:R, 3, FALSE), ""))</f>
        <v/>
      </c>
      <c r="D1430" s="2">
        <f>IF(B1430="","",IFERROR(VLOOKUP(B1430, PLANTA_BASE!A:R, 5, FALSE), "NO ENCONTRADO EN PLANTA"))</f>
        <v/>
      </c>
      <c r="E1430" s="2">
        <f>IF(B1430="","",IFERROR(VLOOKUP(B1430, PLANTA_BASE!A:R, 6, FALSE), "NO ENCONTRADO EN PLANTA"))</f>
        <v/>
      </c>
      <c r="F1430" s="4">
        <f>IF(B1430="","",IFERROR(VLOOKUP(B1430, PLANTA_BASE!A:R, 8, FALSE), "DOCENTE / FACILITADOR"))</f>
        <v/>
      </c>
      <c r="G1430" s="4">
        <f>IF(B1430="","",IFERROR(VLOOKUP(B1430, PLANTA_BASE!A:R, 9, FALSE), "GENERAL"))</f>
        <v/>
      </c>
      <c r="H1430" s="2">
        <f>IF(B1430="","",IFERROR(VLOOKUP(B1430, PLANTA_BASE!A:R, 17, FALSE), "GENERAL"))</f>
        <v/>
      </c>
    </row>
    <row r="1431" ht="20" customHeight="1">
      <c r="A1431" s="5">
        <f>IF(B1431="","",IFERROR(VLOOKUP(B1431, PLANTA_BASE!A:R, 2, FALSE), "NO ENCONTRADO EN PLANTA"))</f>
        <v/>
      </c>
      <c r="B1431" s="6" t="inlineStr"/>
      <c r="C1431" s="7">
        <f>IF(B1431="","",IFERROR(VLOOKUP(B1431, PLANTA_BASE!A:R, 3, FALSE), ""))</f>
        <v/>
      </c>
      <c r="D1431" s="5">
        <f>IF(B1431="","",IFERROR(VLOOKUP(B1431, PLANTA_BASE!A:R, 5, FALSE), "NO ENCONTRADO EN PLANTA"))</f>
        <v/>
      </c>
      <c r="E1431" s="5">
        <f>IF(B1431="","",IFERROR(VLOOKUP(B1431, PLANTA_BASE!A:R, 6, FALSE), "NO ENCONTRADO EN PLANTA"))</f>
        <v/>
      </c>
      <c r="F1431" s="7">
        <f>IF(B1431="","",IFERROR(VLOOKUP(B1431, PLANTA_BASE!A:R, 8, FALSE), "DOCENTE / FACILITADOR"))</f>
        <v/>
      </c>
      <c r="G1431" s="7">
        <f>IF(B1431="","",IFERROR(VLOOKUP(B1431, PLANTA_BASE!A:R, 9, FALSE), "GENERAL"))</f>
        <v/>
      </c>
      <c r="H1431" s="5">
        <f>IF(B1431="","",IFERROR(VLOOKUP(B1431, PLANTA_BASE!A:R, 17, FALSE), "GENERAL"))</f>
        <v/>
      </c>
    </row>
    <row r="1432" ht="20" customHeight="1">
      <c r="A1432" s="2">
        <f>IF(B1432="","",IFERROR(VLOOKUP(B1432, PLANTA_BASE!A:R, 2, FALSE), "NO ENCONTRADO EN PLANTA"))</f>
        <v/>
      </c>
      <c r="B1432" s="3" t="inlineStr"/>
      <c r="C1432" s="4">
        <f>IF(B1432="","",IFERROR(VLOOKUP(B1432, PLANTA_BASE!A:R, 3, FALSE), ""))</f>
        <v/>
      </c>
      <c r="D1432" s="2">
        <f>IF(B1432="","",IFERROR(VLOOKUP(B1432, PLANTA_BASE!A:R, 5, FALSE), "NO ENCONTRADO EN PLANTA"))</f>
        <v/>
      </c>
      <c r="E1432" s="2">
        <f>IF(B1432="","",IFERROR(VLOOKUP(B1432, PLANTA_BASE!A:R, 6, FALSE), "NO ENCONTRADO EN PLANTA"))</f>
        <v/>
      </c>
      <c r="F1432" s="4">
        <f>IF(B1432="","",IFERROR(VLOOKUP(B1432, PLANTA_BASE!A:R, 8, FALSE), "DOCENTE / FACILITADOR"))</f>
        <v/>
      </c>
      <c r="G1432" s="4">
        <f>IF(B1432="","",IFERROR(VLOOKUP(B1432, PLANTA_BASE!A:R, 9, FALSE), "GENERAL"))</f>
        <v/>
      </c>
      <c r="H1432" s="2">
        <f>IF(B1432="","",IFERROR(VLOOKUP(B1432, PLANTA_BASE!A:R, 17, FALSE), "GENERAL"))</f>
        <v/>
      </c>
    </row>
    <row r="1433" ht="20" customHeight="1">
      <c r="A1433" s="5">
        <f>IF(B1433="","",IFERROR(VLOOKUP(B1433, PLANTA_BASE!A:R, 2, FALSE), "NO ENCONTRADO EN PLANTA"))</f>
        <v/>
      </c>
      <c r="B1433" s="6" t="inlineStr"/>
      <c r="C1433" s="7">
        <f>IF(B1433="","",IFERROR(VLOOKUP(B1433, PLANTA_BASE!A:R, 3, FALSE), ""))</f>
        <v/>
      </c>
      <c r="D1433" s="5">
        <f>IF(B1433="","",IFERROR(VLOOKUP(B1433, PLANTA_BASE!A:R, 5, FALSE), "NO ENCONTRADO EN PLANTA"))</f>
        <v/>
      </c>
      <c r="E1433" s="5">
        <f>IF(B1433="","",IFERROR(VLOOKUP(B1433, PLANTA_BASE!A:R, 6, FALSE), "NO ENCONTRADO EN PLANTA"))</f>
        <v/>
      </c>
      <c r="F1433" s="7">
        <f>IF(B1433="","",IFERROR(VLOOKUP(B1433, PLANTA_BASE!A:R, 8, FALSE), "DOCENTE / FACILITADOR"))</f>
        <v/>
      </c>
      <c r="G1433" s="7">
        <f>IF(B1433="","",IFERROR(VLOOKUP(B1433, PLANTA_BASE!A:R, 9, FALSE), "GENERAL"))</f>
        <v/>
      </c>
      <c r="H1433" s="5">
        <f>IF(B1433="","",IFERROR(VLOOKUP(B1433, PLANTA_BASE!A:R, 17, FALSE), "GENERAL"))</f>
        <v/>
      </c>
    </row>
    <row r="1434" ht="20" customHeight="1">
      <c r="A1434" s="2">
        <f>IF(B1434="","",IFERROR(VLOOKUP(B1434, PLANTA_BASE!A:R, 2, FALSE), "NO ENCONTRADO EN PLANTA"))</f>
        <v/>
      </c>
      <c r="B1434" s="3" t="inlineStr"/>
      <c r="C1434" s="4">
        <f>IF(B1434="","",IFERROR(VLOOKUP(B1434, PLANTA_BASE!A:R, 3, FALSE), ""))</f>
        <v/>
      </c>
      <c r="D1434" s="2">
        <f>IF(B1434="","",IFERROR(VLOOKUP(B1434, PLANTA_BASE!A:R, 5, FALSE), "NO ENCONTRADO EN PLANTA"))</f>
        <v/>
      </c>
      <c r="E1434" s="2">
        <f>IF(B1434="","",IFERROR(VLOOKUP(B1434, PLANTA_BASE!A:R, 6, FALSE), "NO ENCONTRADO EN PLANTA"))</f>
        <v/>
      </c>
      <c r="F1434" s="4">
        <f>IF(B1434="","",IFERROR(VLOOKUP(B1434, PLANTA_BASE!A:R, 8, FALSE), "DOCENTE / FACILITADOR"))</f>
        <v/>
      </c>
      <c r="G1434" s="4">
        <f>IF(B1434="","",IFERROR(VLOOKUP(B1434, PLANTA_BASE!A:R, 9, FALSE), "GENERAL"))</f>
        <v/>
      </c>
      <c r="H1434" s="2">
        <f>IF(B1434="","",IFERROR(VLOOKUP(B1434, PLANTA_BASE!A:R, 17, FALSE), "GENERAL"))</f>
        <v/>
      </c>
    </row>
    <row r="1435" ht="20" customHeight="1">
      <c r="A1435" s="5">
        <f>IF(B1435="","",IFERROR(VLOOKUP(B1435, PLANTA_BASE!A:R, 2, FALSE), "NO ENCONTRADO EN PLANTA"))</f>
        <v/>
      </c>
      <c r="B1435" s="6" t="inlineStr"/>
      <c r="C1435" s="7">
        <f>IF(B1435="","",IFERROR(VLOOKUP(B1435, PLANTA_BASE!A:R, 3, FALSE), ""))</f>
        <v/>
      </c>
      <c r="D1435" s="5">
        <f>IF(B1435="","",IFERROR(VLOOKUP(B1435, PLANTA_BASE!A:R, 5, FALSE), "NO ENCONTRADO EN PLANTA"))</f>
        <v/>
      </c>
      <c r="E1435" s="5">
        <f>IF(B1435="","",IFERROR(VLOOKUP(B1435, PLANTA_BASE!A:R, 6, FALSE), "NO ENCONTRADO EN PLANTA"))</f>
        <v/>
      </c>
      <c r="F1435" s="7">
        <f>IF(B1435="","",IFERROR(VLOOKUP(B1435, PLANTA_BASE!A:R, 8, FALSE), "DOCENTE / FACILITADOR"))</f>
        <v/>
      </c>
      <c r="G1435" s="7">
        <f>IF(B1435="","",IFERROR(VLOOKUP(B1435, PLANTA_BASE!A:R, 9, FALSE), "GENERAL"))</f>
        <v/>
      </c>
      <c r="H1435" s="5">
        <f>IF(B1435="","",IFERROR(VLOOKUP(B1435, PLANTA_BASE!A:R, 17, FALSE), "GENERAL"))</f>
        <v/>
      </c>
    </row>
    <row r="1436" ht="20" customHeight="1">
      <c r="A1436" s="2">
        <f>IF(B1436="","",IFERROR(VLOOKUP(B1436, PLANTA_BASE!A:R, 2, FALSE), "NO ENCONTRADO EN PLANTA"))</f>
        <v/>
      </c>
      <c r="B1436" s="3" t="inlineStr"/>
      <c r="C1436" s="4">
        <f>IF(B1436="","",IFERROR(VLOOKUP(B1436, PLANTA_BASE!A:R, 3, FALSE), ""))</f>
        <v/>
      </c>
      <c r="D1436" s="2">
        <f>IF(B1436="","",IFERROR(VLOOKUP(B1436, PLANTA_BASE!A:R, 5, FALSE), "NO ENCONTRADO EN PLANTA"))</f>
        <v/>
      </c>
      <c r="E1436" s="2">
        <f>IF(B1436="","",IFERROR(VLOOKUP(B1436, PLANTA_BASE!A:R, 6, FALSE), "NO ENCONTRADO EN PLANTA"))</f>
        <v/>
      </c>
      <c r="F1436" s="4">
        <f>IF(B1436="","",IFERROR(VLOOKUP(B1436, PLANTA_BASE!A:R, 8, FALSE), "DOCENTE / FACILITADOR"))</f>
        <v/>
      </c>
      <c r="G1436" s="4">
        <f>IF(B1436="","",IFERROR(VLOOKUP(B1436, PLANTA_BASE!A:R, 9, FALSE), "GENERAL"))</f>
        <v/>
      </c>
      <c r="H1436" s="2">
        <f>IF(B1436="","",IFERROR(VLOOKUP(B1436, PLANTA_BASE!A:R, 17, FALSE), "GENERAL"))</f>
        <v/>
      </c>
    </row>
    <row r="1437" ht="20" customHeight="1">
      <c r="A1437" s="5">
        <f>IF(B1437="","",IFERROR(VLOOKUP(B1437, PLANTA_BASE!A:R, 2, FALSE), "NO ENCONTRADO EN PLANTA"))</f>
        <v/>
      </c>
      <c r="B1437" s="6" t="inlineStr"/>
      <c r="C1437" s="7">
        <f>IF(B1437="","",IFERROR(VLOOKUP(B1437, PLANTA_BASE!A:R, 3, FALSE), ""))</f>
        <v/>
      </c>
      <c r="D1437" s="5">
        <f>IF(B1437="","",IFERROR(VLOOKUP(B1437, PLANTA_BASE!A:R, 5, FALSE), "NO ENCONTRADO EN PLANTA"))</f>
        <v/>
      </c>
      <c r="E1437" s="5">
        <f>IF(B1437="","",IFERROR(VLOOKUP(B1437, PLANTA_BASE!A:R, 6, FALSE), "NO ENCONTRADO EN PLANTA"))</f>
        <v/>
      </c>
      <c r="F1437" s="7">
        <f>IF(B1437="","",IFERROR(VLOOKUP(B1437, PLANTA_BASE!A:R, 8, FALSE), "DOCENTE / FACILITADOR"))</f>
        <v/>
      </c>
      <c r="G1437" s="7">
        <f>IF(B1437="","",IFERROR(VLOOKUP(B1437, PLANTA_BASE!A:R, 9, FALSE), "GENERAL"))</f>
        <v/>
      </c>
      <c r="H1437" s="5">
        <f>IF(B1437="","",IFERROR(VLOOKUP(B1437, PLANTA_BASE!A:R, 17, FALSE), "GENERAL"))</f>
        <v/>
      </c>
    </row>
    <row r="1438" ht="20" customHeight="1">
      <c r="A1438" s="2">
        <f>IF(B1438="","",IFERROR(VLOOKUP(B1438, PLANTA_BASE!A:R, 2, FALSE), "NO ENCONTRADO EN PLANTA"))</f>
        <v/>
      </c>
      <c r="B1438" s="3" t="inlineStr"/>
      <c r="C1438" s="4">
        <f>IF(B1438="","",IFERROR(VLOOKUP(B1438, PLANTA_BASE!A:R, 3, FALSE), ""))</f>
        <v/>
      </c>
      <c r="D1438" s="2">
        <f>IF(B1438="","",IFERROR(VLOOKUP(B1438, PLANTA_BASE!A:R, 5, FALSE), "NO ENCONTRADO EN PLANTA"))</f>
        <v/>
      </c>
      <c r="E1438" s="2">
        <f>IF(B1438="","",IFERROR(VLOOKUP(B1438, PLANTA_BASE!A:R, 6, FALSE), "NO ENCONTRADO EN PLANTA"))</f>
        <v/>
      </c>
      <c r="F1438" s="4">
        <f>IF(B1438="","",IFERROR(VLOOKUP(B1438, PLANTA_BASE!A:R, 8, FALSE), "DOCENTE / FACILITADOR"))</f>
        <v/>
      </c>
      <c r="G1438" s="4">
        <f>IF(B1438="","",IFERROR(VLOOKUP(B1438, PLANTA_BASE!A:R, 9, FALSE), "GENERAL"))</f>
        <v/>
      </c>
      <c r="H1438" s="2">
        <f>IF(B1438="","",IFERROR(VLOOKUP(B1438, PLANTA_BASE!A:R, 17, FALSE), "GENERAL"))</f>
        <v/>
      </c>
    </row>
    <row r="1439" ht="20" customHeight="1">
      <c r="A1439" s="5">
        <f>IF(B1439="","",IFERROR(VLOOKUP(B1439, PLANTA_BASE!A:R, 2, FALSE), "NO ENCONTRADO EN PLANTA"))</f>
        <v/>
      </c>
      <c r="B1439" s="6" t="inlineStr"/>
      <c r="C1439" s="7">
        <f>IF(B1439="","",IFERROR(VLOOKUP(B1439, PLANTA_BASE!A:R, 3, FALSE), ""))</f>
        <v/>
      </c>
      <c r="D1439" s="5">
        <f>IF(B1439="","",IFERROR(VLOOKUP(B1439, PLANTA_BASE!A:R, 5, FALSE), "NO ENCONTRADO EN PLANTA"))</f>
        <v/>
      </c>
      <c r="E1439" s="5">
        <f>IF(B1439="","",IFERROR(VLOOKUP(B1439, PLANTA_BASE!A:R, 6, FALSE), "NO ENCONTRADO EN PLANTA"))</f>
        <v/>
      </c>
      <c r="F1439" s="7">
        <f>IF(B1439="","",IFERROR(VLOOKUP(B1439, PLANTA_BASE!A:R, 8, FALSE), "DOCENTE / FACILITADOR"))</f>
        <v/>
      </c>
      <c r="G1439" s="7">
        <f>IF(B1439="","",IFERROR(VLOOKUP(B1439, PLANTA_BASE!A:R, 9, FALSE), "GENERAL"))</f>
        <v/>
      </c>
      <c r="H1439" s="5">
        <f>IF(B1439="","",IFERROR(VLOOKUP(B1439, PLANTA_BASE!A:R, 17, FALSE), "GENERAL"))</f>
        <v/>
      </c>
    </row>
    <row r="1440" ht="20" customHeight="1">
      <c r="A1440" s="2">
        <f>IF(B1440="","",IFERROR(VLOOKUP(B1440, PLANTA_BASE!A:R, 2, FALSE), "NO ENCONTRADO EN PLANTA"))</f>
        <v/>
      </c>
      <c r="B1440" s="3" t="inlineStr"/>
      <c r="C1440" s="4">
        <f>IF(B1440="","",IFERROR(VLOOKUP(B1440, PLANTA_BASE!A:R, 3, FALSE), ""))</f>
        <v/>
      </c>
      <c r="D1440" s="2">
        <f>IF(B1440="","",IFERROR(VLOOKUP(B1440, PLANTA_BASE!A:R, 5, FALSE), "NO ENCONTRADO EN PLANTA"))</f>
        <v/>
      </c>
      <c r="E1440" s="2">
        <f>IF(B1440="","",IFERROR(VLOOKUP(B1440, PLANTA_BASE!A:R, 6, FALSE), "NO ENCONTRADO EN PLANTA"))</f>
        <v/>
      </c>
      <c r="F1440" s="4">
        <f>IF(B1440="","",IFERROR(VLOOKUP(B1440, PLANTA_BASE!A:R, 8, FALSE), "DOCENTE / FACILITADOR"))</f>
        <v/>
      </c>
      <c r="G1440" s="4">
        <f>IF(B1440="","",IFERROR(VLOOKUP(B1440, PLANTA_BASE!A:R, 9, FALSE), "GENERAL"))</f>
        <v/>
      </c>
      <c r="H1440" s="2">
        <f>IF(B1440="","",IFERROR(VLOOKUP(B1440, PLANTA_BASE!A:R, 17, FALSE), "GENERAL"))</f>
        <v/>
      </c>
    </row>
    <row r="1441" ht="20" customHeight="1">
      <c r="A1441" s="5">
        <f>IF(B1441="","",IFERROR(VLOOKUP(B1441, PLANTA_BASE!A:R, 2, FALSE), "NO ENCONTRADO EN PLANTA"))</f>
        <v/>
      </c>
      <c r="B1441" s="6" t="inlineStr"/>
      <c r="C1441" s="7">
        <f>IF(B1441="","",IFERROR(VLOOKUP(B1441, PLANTA_BASE!A:R, 3, FALSE), ""))</f>
        <v/>
      </c>
      <c r="D1441" s="5">
        <f>IF(B1441="","",IFERROR(VLOOKUP(B1441, PLANTA_BASE!A:R, 5, FALSE), "NO ENCONTRADO EN PLANTA"))</f>
        <v/>
      </c>
      <c r="E1441" s="5">
        <f>IF(B1441="","",IFERROR(VLOOKUP(B1441, PLANTA_BASE!A:R, 6, FALSE), "NO ENCONTRADO EN PLANTA"))</f>
        <v/>
      </c>
      <c r="F1441" s="7">
        <f>IF(B1441="","",IFERROR(VLOOKUP(B1441, PLANTA_BASE!A:R, 8, FALSE), "DOCENTE / FACILITADOR"))</f>
        <v/>
      </c>
      <c r="G1441" s="7">
        <f>IF(B1441="","",IFERROR(VLOOKUP(B1441, PLANTA_BASE!A:R, 9, FALSE), "GENERAL"))</f>
        <v/>
      </c>
      <c r="H1441" s="5">
        <f>IF(B1441="","",IFERROR(VLOOKUP(B1441, PLANTA_BASE!A:R, 17, FALSE), "GENERAL"))</f>
        <v/>
      </c>
    </row>
    <row r="1442" ht="20" customHeight="1">
      <c r="A1442" s="2">
        <f>IF(B1442="","",IFERROR(VLOOKUP(B1442, PLANTA_BASE!A:R, 2, FALSE), "NO ENCONTRADO EN PLANTA"))</f>
        <v/>
      </c>
      <c r="B1442" s="3" t="inlineStr"/>
      <c r="C1442" s="4">
        <f>IF(B1442="","",IFERROR(VLOOKUP(B1442, PLANTA_BASE!A:R, 3, FALSE), ""))</f>
        <v/>
      </c>
      <c r="D1442" s="2">
        <f>IF(B1442="","",IFERROR(VLOOKUP(B1442, PLANTA_BASE!A:R, 5, FALSE), "NO ENCONTRADO EN PLANTA"))</f>
        <v/>
      </c>
      <c r="E1442" s="2">
        <f>IF(B1442="","",IFERROR(VLOOKUP(B1442, PLANTA_BASE!A:R, 6, FALSE), "NO ENCONTRADO EN PLANTA"))</f>
        <v/>
      </c>
      <c r="F1442" s="4">
        <f>IF(B1442="","",IFERROR(VLOOKUP(B1442, PLANTA_BASE!A:R, 8, FALSE), "DOCENTE / FACILITADOR"))</f>
        <v/>
      </c>
      <c r="G1442" s="4">
        <f>IF(B1442="","",IFERROR(VLOOKUP(B1442, PLANTA_BASE!A:R, 9, FALSE), "GENERAL"))</f>
        <v/>
      </c>
      <c r="H1442" s="2">
        <f>IF(B1442="","",IFERROR(VLOOKUP(B1442, PLANTA_BASE!A:R, 17, FALSE), "GENERAL"))</f>
        <v/>
      </c>
    </row>
    <row r="1443" ht="20" customHeight="1">
      <c r="A1443" s="5">
        <f>IF(B1443="","",IFERROR(VLOOKUP(B1443, PLANTA_BASE!A:R, 2, FALSE), "NO ENCONTRADO EN PLANTA"))</f>
        <v/>
      </c>
      <c r="B1443" s="6" t="inlineStr"/>
      <c r="C1443" s="7">
        <f>IF(B1443="","",IFERROR(VLOOKUP(B1443, PLANTA_BASE!A:R, 3, FALSE), ""))</f>
        <v/>
      </c>
      <c r="D1443" s="5">
        <f>IF(B1443="","",IFERROR(VLOOKUP(B1443, PLANTA_BASE!A:R, 5, FALSE), "NO ENCONTRADO EN PLANTA"))</f>
        <v/>
      </c>
      <c r="E1443" s="5">
        <f>IF(B1443="","",IFERROR(VLOOKUP(B1443, PLANTA_BASE!A:R, 6, FALSE), "NO ENCONTRADO EN PLANTA"))</f>
        <v/>
      </c>
      <c r="F1443" s="7">
        <f>IF(B1443="","",IFERROR(VLOOKUP(B1443, PLANTA_BASE!A:R, 8, FALSE), "DOCENTE / FACILITADOR"))</f>
        <v/>
      </c>
      <c r="G1443" s="7">
        <f>IF(B1443="","",IFERROR(VLOOKUP(B1443, PLANTA_BASE!A:R, 9, FALSE), "GENERAL"))</f>
        <v/>
      </c>
      <c r="H1443" s="5">
        <f>IF(B1443="","",IFERROR(VLOOKUP(B1443, PLANTA_BASE!A:R, 17, FALSE), "GENERAL"))</f>
        <v/>
      </c>
    </row>
    <row r="1444" ht="20" customHeight="1">
      <c r="A1444" s="2">
        <f>IF(B1444="","",IFERROR(VLOOKUP(B1444, PLANTA_BASE!A:R, 2, FALSE), "NO ENCONTRADO EN PLANTA"))</f>
        <v/>
      </c>
      <c r="B1444" s="3" t="inlineStr"/>
      <c r="C1444" s="4">
        <f>IF(B1444="","",IFERROR(VLOOKUP(B1444, PLANTA_BASE!A:R, 3, FALSE), ""))</f>
        <v/>
      </c>
      <c r="D1444" s="2">
        <f>IF(B1444="","",IFERROR(VLOOKUP(B1444, PLANTA_BASE!A:R, 5, FALSE), "NO ENCONTRADO EN PLANTA"))</f>
        <v/>
      </c>
      <c r="E1444" s="2">
        <f>IF(B1444="","",IFERROR(VLOOKUP(B1444, PLANTA_BASE!A:R, 6, FALSE), "NO ENCONTRADO EN PLANTA"))</f>
        <v/>
      </c>
      <c r="F1444" s="4">
        <f>IF(B1444="","",IFERROR(VLOOKUP(B1444, PLANTA_BASE!A:R, 8, FALSE), "DOCENTE / FACILITADOR"))</f>
        <v/>
      </c>
      <c r="G1444" s="4">
        <f>IF(B1444="","",IFERROR(VLOOKUP(B1444, PLANTA_BASE!A:R, 9, FALSE), "GENERAL"))</f>
        <v/>
      </c>
      <c r="H1444" s="2">
        <f>IF(B1444="","",IFERROR(VLOOKUP(B1444, PLANTA_BASE!A:R, 17, FALSE), "GENERAL"))</f>
        <v/>
      </c>
    </row>
    <row r="1445" ht="20" customHeight="1">
      <c r="A1445" s="5">
        <f>IF(B1445="","",IFERROR(VLOOKUP(B1445, PLANTA_BASE!A:R, 2, FALSE), "NO ENCONTRADO EN PLANTA"))</f>
        <v/>
      </c>
      <c r="B1445" s="6" t="inlineStr"/>
      <c r="C1445" s="7">
        <f>IF(B1445="","",IFERROR(VLOOKUP(B1445, PLANTA_BASE!A:R, 3, FALSE), ""))</f>
        <v/>
      </c>
      <c r="D1445" s="5">
        <f>IF(B1445="","",IFERROR(VLOOKUP(B1445, PLANTA_BASE!A:R, 5, FALSE), "NO ENCONTRADO EN PLANTA"))</f>
        <v/>
      </c>
      <c r="E1445" s="5">
        <f>IF(B1445="","",IFERROR(VLOOKUP(B1445, PLANTA_BASE!A:R, 6, FALSE), "NO ENCONTRADO EN PLANTA"))</f>
        <v/>
      </c>
      <c r="F1445" s="7">
        <f>IF(B1445="","",IFERROR(VLOOKUP(B1445, PLANTA_BASE!A:R, 8, FALSE), "DOCENTE / FACILITADOR"))</f>
        <v/>
      </c>
      <c r="G1445" s="7">
        <f>IF(B1445="","",IFERROR(VLOOKUP(B1445, PLANTA_BASE!A:R, 9, FALSE), "GENERAL"))</f>
        <v/>
      </c>
      <c r="H1445" s="5">
        <f>IF(B1445="","",IFERROR(VLOOKUP(B1445, PLANTA_BASE!A:R, 17, FALSE), "GENERAL"))</f>
        <v/>
      </c>
    </row>
    <row r="1446" ht="20" customHeight="1">
      <c r="A1446" s="2">
        <f>IF(B1446="","",IFERROR(VLOOKUP(B1446, PLANTA_BASE!A:R, 2, FALSE), "NO ENCONTRADO EN PLANTA"))</f>
        <v/>
      </c>
      <c r="B1446" s="3" t="inlineStr"/>
      <c r="C1446" s="4">
        <f>IF(B1446="","",IFERROR(VLOOKUP(B1446, PLANTA_BASE!A:R, 3, FALSE), ""))</f>
        <v/>
      </c>
      <c r="D1446" s="2">
        <f>IF(B1446="","",IFERROR(VLOOKUP(B1446, PLANTA_BASE!A:R, 5, FALSE), "NO ENCONTRADO EN PLANTA"))</f>
        <v/>
      </c>
      <c r="E1446" s="2">
        <f>IF(B1446="","",IFERROR(VLOOKUP(B1446, PLANTA_BASE!A:R, 6, FALSE), "NO ENCONTRADO EN PLANTA"))</f>
        <v/>
      </c>
      <c r="F1446" s="4">
        <f>IF(B1446="","",IFERROR(VLOOKUP(B1446, PLANTA_BASE!A:R, 8, FALSE), "DOCENTE / FACILITADOR"))</f>
        <v/>
      </c>
      <c r="G1446" s="4">
        <f>IF(B1446="","",IFERROR(VLOOKUP(B1446, PLANTA_BASE!A:R, 9, FALSE), "GENERAL"))</f>
        <v/>
      </c>
      <c r="H1446" s="2">
        <f>IF(B1446="","",IFERROR(VLOOKUP(B1446, PLANTA_BASE!A:R, 17, FALSE), "GENERAL"))</f>
        <v/>
      </c>
    </row>
    <row r="1447" ht="20" customHeight="1">
      <c r="A1447" s="5">
        <f>IF(B1447="","",IFERROR(VLOOKUP(B1447, PLANTA_BASE!A:R, 2, FALSE), "NO ENCONTRADO EN PLANTA"))</f>
        <v/>
      </c>
      <c r="B1447" s="6" t="inlineStr"/>
      <c r="C1447" s="7">
        <f>IF(B1447="","",IFERROR(VLOOKUP(B1447, PLANTA_BASE!A:R, 3, FALSE), ""))</f>
        <v/>
      </c>
      <c r="D1447" s="5">
        <f>IF(B1447="","",IFERROR(VLOOKUP(B1447, PLANTA_BASE!A:R, 5, FALSE), "NO ENCONTRADO EN PLANTA"))</f>
        <v/>
      </c>
      <c r="E1447" s="5">
        <f>IF(B1447="","",IFERROR(VLOOKUP(B1447, PLANTA_BASE!A:R, 6, FALSE), "NO ENCONTRADO EN PLANTA"))</f>
        <v/>
      </c>
      <c r="F1447" s="7">
        <f>IF(B1447="","",IFERROR(VLOOKUP(B1447, PLANTA_BASE!A:R, 8, FALSE), "DOCENTE / FACILITADOR"))</f>
        <v/>
      </c>
      <c r="G1447" s="7">
        <f>IF(B1447="","",IFERROR(VLOOKUP(B1447, PLANTA_BASE!A:R, 9, FALSE), "GENERAL"))</f>
        <v/>
      </c>
      <c r="H1447" s="5">
        <f>IF(B1447="","",IFERROR(VLOOKUP(B1447, PLANTA_BASE!A:R, 17, FALSE), "GENERAL"))</f>
        <v/>
      </c>
    </row>
    <row r="1448" ht="20" customHeight="1">
      <c r="A1448" s="2">
        <f>IF(B1448="","",IFERROR(VLOOKUP(B1448, PLANTA_BASE!A:R, 2, FALSE), "NO ENCONTRADO EN PLANTA"))</f>
        <v/>
      </c>
      <c r="B1448" s="3" t="inlineStr"/>
      <c r="C1448" s="4">
        <f>IF(B1448="","",IFERROR(VLOOKUP(B1448, PLANTA_BASE!A:R, 3, FALSE), ""))</f>
        <v/>
      </c>
      <c r="D1448" s="2">
        <f>IF(B1448="","",IFERROR(VLOOKUP(B1448, PLANTA_BASE!A:R, 5, FALSE), "NO ENCONTRADO EN PLANTA"))</f>
        <v/>
      </c>
      <c r="E1448" s="2">
        <f>IF(B1448="","",IFERROR(VLOOKUP(B1448, PLANTA_BASE!A:R, 6, FALSE), "NO ENCONTRADO EN PLANTA"))</f>
        <v/>
      </c>
      <c r="F1448" s="4">
        <f>IF(B1448="","",IFERROR(VLOOKUP(B1448, PLANTA_BASE!A:R, 8, FALSE), "DOCENTE / FACILITADOR"))</f>
        <v/>
      </c>
      <c r="G1448" s="4">
        <f>IF(B1448="","",IFERROR(VLOOKUP(B1448, PLANTA_BASE!A:R, 9, FALSE), "GENERAL"))</f>
        <v/>
      </c>
      <c r="H1448" s="2">
        <f>IF(B1448="","",IFERROR(VLOOKUP(B1448, PLANTA_BASE!A:R, 17, FALSE), "GENERAL"))</f>
        <v/>
      </c>
    </row>
    <row r="1449" ht="20" customHeight="1">
      <c r="A1449" s="5">
        <f>IF(B1449="","",IFERROR(VLOOKUP(B1449, PLANTA_BASE!A:R, 2, FALSE), "NO ENCONTRADO EN PLANTA"))</f>
        <v/>
      </c>
      <c r="B1449" s="6" t="inlineStr"/>
      <c r="C1449" s="7">
        <f>IF(B1449="","",IFERROR(VLOOKUP(B1449, PLANTA_BASE!A:R, 3, FALSE), ""))</f>
        <v/>
      </c>
      <c r="D1449" s="5">
        <f>IF(B1449="","",IFERROR(VLOOKUP(B1449, PLANTA_BASE!A:R, 5, FALSE), "NO ENCONTRADO EN PLANTA"))</f>
        <v/>
      </c>
      <c r="E1449" s="5">
        <f>IF(B1449="","",IFERROR(VLOOKUP(B1449, PLANTA_BASE!A:R, 6, FALSE), "NO ENCONTRADO EN PLANTA"))</f>
        <v/>
      </c>
      <c r="F1449" s="7">
        <f>IF(B1449="","",IFERROR(VLOOKUP(B1449, PLANTA_BASE!A:R, 8, FALSE), "DOCENTE / FACILITADOR"))</f>
        <v/>
      </c>
      <c r="G1449" s="7">
        <f>IF(B1449="","",IFERROR(VLOOKUP(B1449, PLANTA_BASE!A:R, 9, FALSE), "GENERAL"))</f>
        <v/>
      </c>
      <c r="H1449" s="5">
        <f>IF(B1449="","",IFERROR(VLOOKUP(B1449, PLANTA_BASE!A:R, 17, FALSE), "GENERAL"))</f>
        <v/>
      </c>
    </row>
    <row r="1450" ht="20" customHeight="1">
      <c r="A1450" s="2">
        <f>IF(B1450="","",IFERROR(VLOOKUP(B1450, PLANTA_BASE!A:R, 2, FALSE), "NO ENCONTRADO EN PLANTA"))</f>
        <v/>
      </c>
      <c r="B1450" s="3" t="inlineStr"/>
      <c r="C1450" s="4">
        <f>IF(B1450="","",IFERROR(VLOOKUP(B1450, PLANTA_BASE!A:R, 3, FALSE), ""))</f>
        <v/>
      </c>
      <c r="D1450" s="2">
        <f>IF(B1450="","",IFERROR(VLOOKUP(B1450, PLANTA_BASE!A:R, 5, FALSE), "NO ENCONTRADO EN PLANTA"))</f>
        <v/>
      </c>
      <c r="E1450" s="2">
        <f>IF(B1450="","",IFERROR(VLOOKUP(B1450, PLANTA_BASE!A:R, 6, FALSE), "NO ENCONTRADO EN PLANTA"))</f>
        <v/>
      </c>
      <c r="F1450" s="4">
        <f>IF(B1450="","",IFERROR(VLOOKUP(B1450, PLANTA_BASE!A:R, 8, FALSE), "DOCENTE / FACILITADOR"))</f>
        <v/>
      </c>
      <c r="G1450" s="4">
        <f>IF(B1450="","",IFERROR(VLOOKUP(B1450, PLANTA_BASE!A:R, 9, FALSE), "GENERAL"))</f>
        <v/>
      </c>
      <c r="H1450" s="2">
        <f>IF(B1450="","",IFERROR(VLOOKUP(B1450, PLANTA_BASE!A:R, 17, FALSE), "GENERAL"))</f>
        <v/>
      </c>
    </row>
    <row r="1451" ht="20" customHeight="1">
      <c r="A1451" s="5">
        <f>IF(B1451="","",IFERROR(VLOOKUP(B1451, PLANTA_BASE!A:R, 2, FALSE), "NO ENCONTRADO EN PLANTA"))</f>
        <v/>
      </c>
      <c r="B1451" s="6" t="inlineStr"/>
      <c r="C1451" s="7">
        <f>IF(B1451="","",IFERROR(VLOOKUP(B1451, PLANTA_BASE!A:R, 3, FALSE), ""))</f>
        <v/>
      </c>
      <c r="D1451" s="5">
        <f>IF(B1451="","",IFERROR(VLOOKUP(B1451, PLANTA_BASE!A:R, 5, FALSE), "NO ENCONTRADO EN PLANTA"))</f>
        <v/>
      </c>
      <c r="E1451" s="5">
        <f>IF(B1451="","",IFERROR(VLOOKUP(B1451, PLANTA_BASE!A:R, 6, FALSE), "NO ENCONTRADO EN PLANTA"))</f>
        <v/>
      </c>
      <c r="F1451" s="7">
        <f>IF(B1451="","",IFERROR(VLOOKUP(B1451, PLANTA_BASE!A:R, 8, FALSE), "DOCENTE / FACILITADOR"))</f>
        <v/>
      </c>
      <c r="G1451" s="7">
        <f>IF(B1451="","",IFERROR(VLOOKUP(B1451, PLANTA_BASE!A:R, 9, FALSE), "GENERAL"))</f>
        <v/>
      </c>
      <c r="H1451" s="5">
        <f>IF(B1451="","",IFERROR(VLOOKUP(B1451, PLANTA_BASE!A:R, 17, FALSE), "GENERAL"))</f>
        <v/>
      </c>
    </row>
    <row r="1452" ht="20" customHeight="1">
      <c r="A1452" s="2">
        <f>IF(B1452="","",IFERROR(VLOOKUP(B1452, PLANTA_BASE!A:R, 2, FALSE), "NO ENCONTRADO EN PLANTA"))</f>
        <v/>
      </c>
      <c r="B1452" s="3" t="inlineStr"/>
      <c r="C1452" s="4">
        <f>IF(B1452="","",IFERROR(VLOOKUP(B1452, PLANTA_BASE!A:R, 3, FALSE), ""))</f>
        <v/>
      </c>
      <c r="D1452" s="2">
        <f>IF(B1452="","",IFERROR(VLOOKUP(B1452, PLANTA_BASE!A:R, 5, FALSE), "NO ENCONTRADO EN PLANTA"))</f>
        <v/>
      </c>
      <c r="E1452" s="2">
        <f>IF(B1452="","",IFERROR(VLOOKUP(B1452, PLANTA_BASE!A:R, 6, FALSE), "NO ENCONTRADO EN PLANTA"))</f>
        <v/>
      </c>
      <c r="F1452" s="4">
        <f>IF(B1452="","",IFERROR(VLOOKUP(B1452, PLANTA_BASE!A:R, 8, FALSE), "DOCENTE / FACILITADOR"))</f>
        <v/>
      </c>
      <c r="G1452" s="4">
        <f>IF(B1452="","",IFERROR(VLOOKUP(B1452, PLANTA_BASE!A:R, 9, FALSE), "GENERAL"))</f>
        <v/>
      </c>
      <c r="H1452" s="2">
        <f>IF(B1452="","",IFERROR(VLOOKUP(B1452, PLANTA_BASE!A:R, 17, FALSE), "GENERAL"))</f>
        <v/>
      </c>
    </row>
    <row r="1453" ht="20" customHeight="1">
      <c r="A1453" s="5">
        <f>IF(B1453="","",IFERROR(VLOOKUP(B1453, PLANTA_BASE!A:R, 2, FALSE), "NO ENCONTRADO EN PLANTA"))</f>
        <v/>
      </c>
      <c r="B1453" s="6" t="inlineStr"/>
      <c r="C1453" s="7">
        <f>IF(B1453="","",IFERROR(VLOOKUP(B1453, PLANTA_BASE!A:R, 3, FALSE), ""))</f>
        <v/>
      </c>
      <c r="D1453" s="5">
        <f>IF(B1453="","",IFERROR(VLOOKUP(B1453, PLANTA_BASE!A:R, 5, FALSE), "NO ENCONTRADO EN PLANTA"))</f>
        <v/>
      </c>
      <c r="E1453" s="5">
        <f>IF(B1453="","",IFERROR(VLOOKUP(B1453, PLANTA_BASE!A:R, 6, FALSE), "NO ENCONTRADO EN PLANTA"))</f>
        <v/>
      </c>
      <c r="F1453" s="7">
        <f>IF(B1453="","",IFERROR(VLOOKUP(B1453, PLANTA_BASE!A:R, 8, FALSE), "DOCENTE / FACILITADOR"))</f>
        <v/>
      </c>
      <c r="G1453" s="7">
        <f>IF(B1453="","",IFERROR(VLOOKUP(B1453, PLANTA_BASE!A:R, 9, FALSE), "GENERAL"))</f>
        <v/>
      </c>
      <c r="H1453" s="5">
        <f>IF(B1453="","",IFERROR(VLOOKUP(B1453, PLANTA_BASE!A:R, 17, FALSE), "GENERAL"))</f>
        <v/>
      </c>
    </row>
    <row r="1454" ht="20" customHeight="1">
      <c r="A1454" s="2">
        <f>IF(B1454="","",IFERROR(VLOOKUP(B1454, PLANTA_BASE!A:R, 2, FALSE), "NO ENCONTRADO EN PLANTA"))</f>
        <v/>
      </c>
      <c r="B1454" s="3" t="inlineStr"/>
      <c r="C1454" s="4">
        <f>IF(B1454="","",IFERROR(VLOOKUP(B1454, PLANTA_BASE!A:R, 3, FALSE), ""))</f>
        <v/>
      </c>
      <c r="D1454" s="2">
        <f>IF(B1454="","",IFERROR(VLOOKUP(B1454, PLANTA_BASE!A:R, 5, FALSE), "NO ENCONTRADO EN PLANTA"))</f>
        <v/>
      </c>
      <c r="E1454" s="2">
        <f>IF(B1454="","",IFERROR(VLOOKUP(B1454, PLANTA_BASE!A:R, 6, FALSE), "NO ENCONTRADO EN PLANTA"))</f>
        <v/>
      </c>
      <c r="F1454" s="4">
        <f>IF(B1454="","",IFERROR(VLOOKUP(B1454, PLANTA_BASE!A:R, 8, FALSE), "DOCENTE / FACILITADOR"))</f>
        <v/>
      </c>
      <c r="G1454" s="4">
        <f>IF(B1454="","",IFERROR(VLOOKUP(B1454, PLANTA_BASE!A:R, 9, FALSE), "GENERAL"))</f>
        <v/>
      </c>
      <c r="H1454" s="2">
        <f>IF(B1454="","",IFERROR(VLOOKUP(B1454, PLANTA_BASE!A:R, 17, FALSE), "GENERAL"))</f>
        <v/>
      </c>
    </row>
    <row r="1455" ht="20" customHeight="1">
      <c r="A1455" s="5">
        <f>IF(B1455="","",IFERROR(VLOOKUP(B1455, PLANTA_BASE!A:R, 2, FALSE), "NO ENCONTRADO EN PLANTA"))</f>
        <v/>
      </c>
      <c r="B1455" s="6" t="inlineStr"/>
      <c r="C1455" s="7">
        <f>IF(B1455="","",IFERROR(VLOOKUP(B1455, PLANTA_BASE!A:R, 3, FALSE), ""))</f>
        <v/>
      </c>
      <c r="D1455" s="5">
        <f>IF(B1455="","",IFERROR(VLOOKUP(B1455, PLANTA_BASE!A:R, 5, FALSE), "NO ENCONTRADO EN PLANTA"))</f>
        <v/>
      </c>
      <c r="E1455" s="5">
        <f>IF(B1455="","",IFERROR(VLOOKUP(B1455, PLANTA_BASE!A:R, 6, FALSE), "NO ENCONTRADO EN PLANTA"))</f>
        <v/>
      </c>
      <c r="F1455" s="7">
        <f>IF(B1455="","",IFERROR(VLOOKUP(B1455, PLANTA_BASE!A:R, 8, FALSE), "DOCENTE / FACILITADOR"))</f>
        <v/>
      </c>
      <c r="G1455" s="7">
        <f>IF(B1455="","",IFERROR(VLOOKUP(B1455, PLANTA_BASE!A:R, 9, FALSE), "GENERAL"))</f>
        <v/>
      </c>
      <c r="H1455" s="5">
        <f>IF(B1455="","",IFERROR(VLOOKUP(B1455, PLANTA_BASE!A:R, 17, FALSE), "GENERAL"))</f>
        <v/>
      </c>
    </row>
    <row r="1456" ht="20" customHeight="1">
      <c r="A1456" s="2">
        <f>IF(B1456="","",IFERROR(VLOOKUP(B1456, PLANTA_BASE!A:R, 2, FALSE), "NO ENCONTRADO EN PLANTA"))</f>
        <v/>
      </c>
      <c r="B1456" s="3" t="inlineStr"/>
      <c r="C1456" s="4">
        <f>IF(B1456="","",IFERROR(VLOOKUP(B1456, PLANTA_BASE!A:R, 3, FALSE), ""))</f>
        <v/>
      </c>
      <c r="D1456" s="2">
        <f>IF(B1456="","",IFERROR(VLOOKUP(B1456, PLANTA_BASE!A:R, 5, FALSE), "NO ENCONTRADO EN PLANTA"))</f>
        <v/>
      </c>
      <c r="E1456" s="2">
        <f>IF(B1456="","",IFERROR(VLOOKUP(B1456, PLANTA_BASE!A:R, 6, FALSE), "NO ENCONTRADO EN PLANTA"))</f>
        <v/>
      </c>
      <c r="F1456" s="4">
        <f>IF(B1456="","",IFERROR(VLOOKUP(B1456, PLANTA_BASE!A:R, 8, FALSE), "DOCENTE / FACILITADOR"))</f>
        <v/>
      </c>
      <c r="G1456" s="4">
        <f>IF(B1456="","",IFERROR(VLOOKUP(B1456, PLANTA_BASE!A:R, 9, FALSE), "GENERAL"))</f>
        <v/>
      </c>
      <c r="H1456" s="2">
        <f>IF(B1456="","",IFERROR(VLOOKUP(B1456, PLANTA_BASE!A:R, 17, FALSE), "GENERAL"))</f>
        <v/>
      </c>
    </row>
    <row r="1457" ht="20" customHeight="1">
      <c r="A1457" s="5">
        <f>IF(B1457="","",IFERROR(VLOOKUP(B1457, PLANTA_BASE!A:R, 2, FALSE), "NO ENCONTRADO EN PLANTA"))</f>
        <v/>
      </c>
      <c r="B1457" s="6" t="inlineStr"/>
      <c r="C1457" s="7">
        <f>IF(B1457="","",IFERROR(VLOOKUP(B1457, PLANTA_BASE!A:R, 3, FALSE), ""))</f>
        <v/>
      </c>
      <c r="D1457" s="5">
        <f>IF(B1457="","",IFERROR(VLOOKUP(B1457, PLANTA_BASE!A:R, 5, FALSE), "NO ENCONTRADO EN PLANTA"))</f>
        <v/>
      </c>
      <c r="E1457" s="5">
        <f>IF(B1457="","",IFERROR(VLOOKUP(B1457, PLANTA_BASE!A:R, 6, FALSE), "NO ENCONTRADO EN PLANTA"))</f>
        <v/>
      </c>
      <c r="F1457" s="7">
        <f>IF(B1457="","",IFERROR(VLOOKUP(B1457, PLANTA_BASE!A:R, 8, FALSE), "DOCENTE / FACILITADOR"))</f>
        <v/>
      </c>
      <c r="G1457" s="7">
        <f>IF(B1457="","",IFERROR(VLOOKUP(B1457, PLANTA_BASE!A:R, 9, FALSE), "GENERAL"))</f>
        <v/>
      </c>
      <c r="H1457" s="5">
        <f>IF(B1457="","",IFERROR(VLOOKUP(B1457, PLANTA_BASE!A:R, 17, FALSE), "GENERAL"))</f>
        <v/>
      </c>
    </row>
    <row r="1458" ht="20" customHeight="1">
      <c r="A1458" s="2">
        <f>IF(B1458="","",IFERROR(VLOOKUP(B1458, PLANTA_BASE!A:R, 2, FALSE), "NO ENCONTRADO EN PLANTA"))</f>
        <v/>
      </c>
      <c r="B1458" s="3" t="inlineStr"/>
      <c r="C1458" s="4">
        <f>IF(B1458="","",IFERROR(VLOOKUP(B1458, PLANTA_BASE!A:R, 3, FALSE), ""))</f>
        <v/>
      </c>
      <c r="D1458" s="2">
        <f>IF(B1458="","",IFERROR(VLOOKUP(B1458, PLANTA_BASE!A:R, 5, FALSE), "NO ENCONTRADO EN PLANTA"))</f>
        <v/>
      </c>
      <c r="E1458" s="2">
        <f>IF(B1458="","",IFERROR(VLOOKUP(B1458, PLANTA_BASE!A:R, 6, FALSE), "NO ENCONTRADO EN PLANTA"))</f>
        <v/>
      </c>
      <c r="F1458" s="4">
        <f>IF(B1458="","",IFERROR(VLOOKUP(B1458, PLANTA_BASE!A:R, 8, FALSE), "DOCENTE / FACILITADOR"))</f>
        <v/>
      </c>
      <c r="G1458" s="4">
        <f>IF(B1458="","",IFERROR(VLOOKUP(B1458, PLANTA_BASE!A:R, 9, FALSE), "GENERAL"))</f>
        <v/>
      </c>
      <c r="H1458" s="2">
        <f>IF(B1458="","",IFERROR(VLOOKUP(B1458, PLANTA_BASE!A:R, 17, FALSE), "GENERAL"))</f>
        <v/>
      </c>
    </row>
    <row r="1459" ht="20" customHeight="1">
      <c r="A1459" s="5">
        <f>IF(B1459="","",IFERROR(VLOOKUP(B1459, PLANTA_BASE!A:R, 2, FALSE), "NO ENCONTRADO EN PLANTA"))</f>
        <v/>
      </c>
      <c r="B1459" s="6" t="inlineStr"/>
      <c r="C1459" s="7">
        <f>IF(B1459="","",IFERROR(VLOOKUP(B1459, PLANTA_BASE!A:R, 3, FALSE), ""))</f>
        <v/>
      </c>
      <c r="D1459" s="5">
        <f>IF(B1459="","",IFERROR(VLOOKUP(B1459, PLANTA_BASE!A:R, 5, FALSE), "NO ENCONTRADO EN PLANTA"))</f>
        <v/>
      </c>
      <c r="E1459" s="5">
        <f>IF(B1459="","",IFERROR(VLOOKUP(B1459, PLANTA_BASE!A:R, 6, FALSE), "NO ENCONTRADO EN PLANTA"))</f>
        <v/>
      </c>
      <c r="F1459" s="7">
        <f>IF(B1459="","",IFERROR(VLOOKUP(B1459, PLANTA_BASE!A:R, 8, FALSE), "DOCENTE / FACILITADOR"))</f>
        <v/>
      </c>
      <c r="G1459" s="7">
        <f>IF(B1459="","",IFERROR(VLOOKUP(B1459, PLANTA_BASE!A:R, 9, FALSE), "GENERAL"))</f>
        <v/>
      </c>
      <c r="H1459" s="5">
        <f>IF(B1459="","",IFERROR(VLOOKUP(B1459, PLANTA_BASE!A:R, 17, FALSE), "GENERAL"))</f>
        <v/>
      </c>
    </row>
    <row r="1460" ht="20" customHeight="1">
      <c r="A1460" s="2">
        <f>IF(B1460="","",IFERROR(VLOOKUP(B1460, PLANTA_BASE!A:R, 2, FALSE), "NO ENCONTRADO EN PLANTA"))</f>
        <v/>
      </c>
      <c r="B1460" s="3" t="inlineStr"/>
      <c r="C1460" s="4">
        <f>IF(B1460="","",IFERROR(VLOOKUP(B1460, PLANTA_BASE!A:R, 3, FALSE), ""))</f>
        <v/>
      </c>
      <c r="D1460" s="2">
        <f>IF(B1460="","",IFERROR(VLOOKUP(B1460, PLANTA_BASE!A:R, 5, FALSE), "NO ENCONTRADO EN PLANTA"))</f>
        <v/>
      </c>
      <c r="E1460" s="2">
        <f>IF(B1460="","",IFERROR(VLOOKUP(B1460, PLANTA_BASE!A:R, 6, FALSE), "NO ENCONTRADO EN PLANTA"))</f>
        <v/>
      </c>
      <c r="F1460" s="4">
        <f>IF(B1460="","",IFERROR(VLOOKUP(B1460, PLANTA_BASE!A:R, 8, FALSE), "DOCENTE / FACILITADOR"))</f>
        <v/>
      </c>
      <c r="G1460" s="4">
        <f>IF(B1460="","",IFERROR(VLOOKUP(B1460, PLANTA_BASE!A:R, 9, FALSE), "GENERAL"))</f>
        <v/>
      </c>
      <c r="H1460" s="2">
        <f>IF(B1460="","",IFERROR(VLOOKUP(B1460, PLANTA_BASE!A:R, 17, FALSE), "GENERAL"))</f>
        <v/>
      </c>
    </row>
    <row r="1461" ht="20" customHeight="1">
      <c r="A1461" s="5">
        <f>IF(B1461="","",IFERROR(VLOOKUP(B1461, PLANTA_BASE!A:R, 2, FALSE), "NO ENCONTRADO EN PLANTA"))</f>
        <v/>
      </c>
      <c r="B1461" s="6" t="inlineStr"/>
      <c r="C1461" s="7">
        <f>IF(B1461="","",IFERROR(VLOOKUP(B1461, PLANTA_BASE!A:R, 3, FALSE), ""))</f>
        <v/>
      </c>
      <c r="D1461" s="5">
        <f>IF(B1461="","",IFERROR(VLOOKUP(B1461, PLANTA_BASE!A:R, 5, FALSE), "NO ENCONTRADO EN PLANTA"))</f>
        <v/>
      </c>
      <c r="E1461" s="5">
        <f>IF(B1461="","",IFERROR(VLOOKUP(B1461, PLANTA_BASE!A:R, 6, FALSE), "NO ENCONTRADO EN PLANTA"))</f>
        <v/>
      </c>
      <c r="F1461" s="7">
        <f>IF(B1461="","",IFERROR(VLOOKUP(B1461, PLANTA_BASE!A:R, 8, FALSE), "DOCENTE / FACILITADOR"))</f>
        <v/>
      </c>
      <c r="G1461" s="7">
        <f>IF(B1461="","",IFERROR(VLOOKUP(B1461, PLANTA_BASE!A:R, 9, FALSE), "GENERAL"))</f>
        <v/>
      </c>
      <c r="H1461" s="5">
        <f>IF(B1461="","",IFERROR(VLOOKUP(B1461, PLANTA_BASE!A:R, 17, FALSE), "GENERAL"))</f>
        <v/>
      </c>
    </row>
    <row r="1462" ht="20" customHeight="1">
      <c r="A1462" s="2">
        <f>IF(B1462="","",IFERROR(VLOOKUP(B1462, PLANTA_BASE!A:R, 2, FALSE), "NO ENCONTRADO EN PLANTA"))</f>
        <v/>
      </c>
      <c r="B1462" s="3" t="inlineStr"/>
      <c r="C1462" s="4">
        <f>IF(B1462="","",IFERROR(VLOOKUP(B1462, PLANTA_BASE!A:R, 3, FALSE), ""))</f>
        <v/>
      </c>
      <c r="D1462" s="2">
        <f>IF(B1462="","",IFERROR(VLOOKUP(B1462, PLANTA_BASE!A:R, 5, FALSE), "NO ENCONTRADO EN PLANTA"))</f>
        <v/>
      </c>
      <c r="E1462" s="2">
        <f>IF(B1462="","",IFERROR(VLOOKUP(B1462, PLANTA_BASE!A:R, 6, FALSE), "NO ENCONTRADO EN PLANTA"))</f>
        <v/>
      </c>
      <c r="F1462" s="4">
        <f>IF(B1462="","",IFERROR(VLOOKUP(B1462, PLANTA_BASE!A:R, 8, FALSE), "DOCENTE / FACILITADOR"))</f>
        <v/>
      </c>
      <c r="G1462" s="4">
        <f>IF(B1462="","",IFERROR(VLOOKUP(B1462, PLANTA_BASE!A:R, 9, FALSE), "GENERAL"))</f>
        <v/>
      </c>
      <c r="H1462" s="2">
        <f>IF(B1462="","",IFERROR(VLOOKUP(B1462, PLANTA_BASE!A:R, 17, FALSE), "GENERAL"))</f>
        <v/>
      </c>
    </row>
    <row r="1463" ht="20" customHeight="1">
      <c r="A1463" s="5">
        <f>IF(B1463="","",IFERROR(VLOOKUP(B1463, PLANTA_BASE!A:R, 2, FALSE), "NO ENCONTRADO EN PLANTA"))</f>
        <v/>
      </c>
      <c r="B1463" s="6" t="inlineStr"/>
      <c r="C1463" s="7">
        <f>IF(B1463="","",IFERROR(VLOOKUP(B1463, PLANTA_BASE!A:R, 3, FALSE), ""))</f>
        <v/>
      </c>
      <c r="D1463" s="5">
        <f>IF(B1463="","",IFERROR(VLOOKUP(B1463, PLANTA_BASE!A:R, 5, FALSE), "NO ENCONTRADO EN PLANTA"))</f>
        <v/>
      </c>
      <c r="E1463" s="5">
        <f>IF(B1463="","",IFERROR(VLOOKUP(B1463, PLANTA_BASE!A:R, 6, FALSE), "NO ENCONTRADO EN PLANTA"))</f>
        <v/>
      </c>
      <c r="F1463" s="7">
        <f>IF(B1463="","",IFERROR(VLOOKUP(B1463, PLANTA_BASE!A:R, 8, FALSE), "DOCENTE / FACILITADOR"))</f>
        <v/>
      </c>
      <c r="G1463" s="7">
        <f>IF(B1463="","",IFERROR(VLOOKUP(B1463, PLANTA_BASE!A:R, 9, FALSE), "GENERAL"))</f>
        <v/>
      </c>
      <c r="H1463" s="5">
        <f>IF(B1463="","",IFERROR(VLOOKUP(B1463, PLANTA_BASE!A:R, 17, FALSE), "GENERAL"))</f>
        <v/>
      </c>
    </row>
    <row r="1464" ht="20" customHeight="1">
      <c r="A1464" s="2">
        <f>IF(B1464="","",IFERROR(VLOOKUP(B1464, PLANTA_BASE!A:R, 2, FALSE), "NO ENCONTRADO EN PLANTA"))</f>
        <v/>
      </c>
      <c r="B1464" s="3" t="inlineStr"/>
      <c r="C1464" s="4">
        <f>IF(B1464="","",IFERROR(VLOOKUP(B1464, PLANTA_BASE!A:R, 3, FALSE), ""))</f>
        <v/>
      </c>
      <c r="D1464" s="2">
        <f>IF(B1464="","",IFERROR(VLOOKUP(B1464, PLANTA_BASE!A:R, 5, FALSE), "NO ENCONTRADO EN PLANTA"))</f>
        <v/>
      </c>
      <c r="E1464" s="2">
        <f>IF(B1464="","",IFERROR(VLOOKUP(B1464, PLANTA_BASE!A:R, 6, FALSE), "NO ENCONTRADO EN PLANTA"))</f>
        <v/>
      </c>
      <c r="F1464" s="4">
        <f>IF(B1464="","",IFERROR(VLOOKUP(B1464, PLANTA_BASE!A:R, 8, FALSE), "DOCENTE / FACILITADOR"))</f>
        <v/>
      </c>
      <c r="G1464" s="4">
        <f>IF(B1464="","",IFERROR(VLOOKUP(B1464, PLANTA_BASE!A:R, 9, FALSE), "GENERAL"))</f>
        <v/>
      </c>
      <c r="H1464" s="2">
        <f>IF(B1464="","",IFERROR(VLOOKUP(B1464, PLANTA_BASE!A:R, 17, FALSE), "GENERAL"))</f>
        <v/>
      </c>
    </row>
    <row r="1465" ht="20" customHeight="1">
      <c r="A1465" s="5">
        <f>IF(B1465="","",IFERROR(VLOOKUP(B1465, PLANTA_BASE!A:R, 2, FALSE), "NO ENCONTRADO EN PLANTA"))</f>
        <v/>
      </c>
      <c r="B1465" s="6" t="inlineStr"/>
      <c r="C1465" s="7">
        <f>IF(B1465="","",IFERROR(VLOOKUP(B1465, PLANTA_BASE!A:R, 3, FALSE), ""))</f>
        <v/>
      </c>
      <c r="D1465" s="5">
        <f>IF(B1465="","",IFERROR(VLOOKUP(B1465, PLANTA_BASE!A:R, 5, FALSE), "NO ENCONTRADO EN PLANTA"))</f>
        <v/>
      </c>
      <c r="E1465" s="5">
        <f>IF(B1465="","",IFERROR(VLOOKUP(B1465, PLANTA_BASE!A:R, 6, FALSE), "NO ENCONTRADO EN PLANTA"))</f>
        <v/>
      </c>
      <c r="F1465" s="7">
        <f>IF(B1465="","",IFERROR(VLOOKUP(B1465, PLANTA_BASE!A:R, 8, FALSE), "DOCENTE / FACILITADOR"))</f>
        <v/>
      </c>
      <c r="G1465" s="7">
        <f>IF(B1465="","",IFERROR(VLOOKUP(B1465, PLANTA_BASE!A:R, 9, FALSE), "GENERAL"))</f>
        <v/>
      </c>
      <c r="H1465" s="5">
        <f>IF(B1465="","",IFERROR(VLOOKUP(B1465, PLANTA_BASE!A:R, 17, FALSE), "GENERAL"))</f>
        <v/>
      </c>
    </row>
    <row r="1466" ht="20" customHeight="1">
      <c r="A1466" s="2">
        <f>IF(B1466="","",IFERROR(VLOOKUP(B1466, PLANTA_BASE!A:R, 2, FALSE), "NO ENCONTRADO EN PLANTA"))</f>
        <v/>
      </c>
      <c r="B1466" s="3" t="inlineStr"/>
      <c r="C1466" s="4">
        <f>IF(B1466="","",IFERROR(VLOOKUP(B1466, PLANTA_BASE!A:R, 3, FALSE), ""))</f>
        <v/>
      </c>
      <c r="D1466" s="2">
        <f>IF(B1466="","",IFERROR(VLOOKUP(B1466, PLANTA_BASE!A:R, 5, FALSE), "NO ENCONTRADO EN PLANTA"))</f>
        <v/>
      </c>
      <c r="E1466" s="2">
        <f>IF(B1466="","",IFERROR(VLOOKUP(B1466, PLANTA_BASE!A:R, 6, FALSE), "NO ENCONTRADO EN PLANTA"))</f>
        <v/>
      </c>
      <c r="F1466" s="4">
        <f>IF(B1466="","",IFERROR(VLOOKUP(B1466, PLANTA_BASE!A:R, 8, FALSE), "DOCENTE / FACILITADOR"))</f>
        <v/>
      </c>
      <c r="G1466" s="4">
        <f>IF(B1466="","",IFERROR(VLOOKUP(B1466, PLANTA_BASE!A:R, 9, FALSE), "GENERAL"))</f>
        <v/>
      </c>
      <c r="H1466" s="2">
        <f>IF(B1466="","",IFERROR(VLOOKUP(B1466, PLANTA_BASE!A:R, 17, FALSE), "GENERAL"))</f>
        <v/>
      </c>
    </row>
    <row r="1467" ht="20" customHeight="1">
      <c r="A1467" s="5">
        <f>IF(B1467="","",IFERROR(VLOOKUP(B1467, PLANTA_BASE!A:R, 2, FALSE), "NO ENCONTRADO EN PLANTA"))</f>
        <v/>
      </c>
      <c r="B1467" s="6" t="inlineStr"/>
      <c r="C1467" s="7">
        <f>IF(B1467="","",IFERROR(VLOOKUP(B1467, PLANTA_BASE!A:R, 3, FALSE), ""))</f>
        <v/>
      </c>
      <c r="D1467" s="5">
        <f>IF(B1467="","",IFERROR(VLOOKUP(B1467, PLANTA_BASE!A:R, 5, FALSE), "NO ENCONTRADO EN PLANTA"))</f>
        <v/>
      </c>
      <c r="E1467" s="5">
        <f>IF(B1467="","",IFERROR(VLOOKUP(B1467, PLANTA_BASE!A:R, 6, FALSE), "NO ENCONTRADO EN PLANTA"))</f>
        <v/>
      </c>
      <c r="F1467" s="7">
        <f>IF(B1467="","",IFERROR(VLOOKUP(B1467, PLANTA_BASE!A:R, 8, FALSE), "DOCENTE / FACILITADOR"))</f>
        <v/>
      </c>
      <c r="G1467" s="7">
        <f>IF(B1467="","",IFERROR(VLOOKUP(B1467, PLANTA_BASE!A:R, 9, FALSE), "GENERAL"))</f>
        <v/>
      </c>
      <c r="H1467" s="5">
        <f>IF(B1467="","",IFERROR(VLOOKUP(B1467, PLANTA_BASE!A:R, 17, FALSE), "GENERAL"))</f>
        <v/>
      </c>
    </row>
    <row r="1468" ht="20" customHeight="1">
      <c r="A1468" s="2">
        <f>IF(B1468="","",IFERROR(VLOOKUP(B1468, PLANTA_BASE!A:R, 2, FALSE), "NO ENCONTRADO EN PLANTA"))</f>
        <v/>
      </c>
      <c r="B1468" s="3" t="inlineStr"/>
      <c r="C1468" s="4">
        <f>IF(B1468="","",IFERROR(VLOOKUP(B1468, PLANTA_BASE!A:R, 3, FALSE), ""))</f>
        <v/>
      </c>
      <c r="D1468" s="2">
        <f>IF(B1468="","",IFERROR(VLOOKUP(B1468, PLANTA_BASE!A:R, 5, FALSE), "NO ENCONTRADO EN PLANTA"))</f>
        <v/>
      </c>
      <c r="E1468" s="2">
        <f>IF(B1468="","",IFERROR(VLOOKUP(B1468, PLANTA_BASE!A:R, 6, FALSE), "NO ENCONTRADO EN PLANTA"))</f>
        <v/>
      </c>
      <c r="F1468" s="4">
        <f>IF(B1468="","",IFERROR(VLOOKUP(B1468, PLANTA_BASE!A:R, 8, FALSE), "DOCENTE / FACILITADOR"))</f>
        <v/>
      </c>
      <c r="G1468" s="4">
        <f>IF(B1468="","",IFERROR(VLOOKUP(B1468, PLANTA_BASE!A:R, 9, FALSE), "GENERAL"))</f>
        <v/>
      </c>
      <c r="H1468" s="2">
        <f>IF(B1468="","",IFERROR(VLOOKUP(B1468, PLANTA_BASE!A:R, 17, FALSE), "GENERAL"))</f>
        <v/>
      </c>
    </row>
    <row r="1469" ht="20" customHeight="1">
      <c r="A1469" s="5">
        <f>IF(B1469="","",IFERROR(VLOOKUP(B1469, PLANTA_BASE!A:R, 2, FALSE), "NO ENCONTRADO EN PLANTA"))</f>
        <v/>
      </c>
      <c r="B1469" s="6" t="inlineStr"/>
      <c r="C1469" s="7">
        <f>IF(B1469="","",IFERROR(VLOOKUP(B1469, PLANTA_BASE!A:R, 3, FALSE), ""))</f>
        <v/>
      </c>
      <c r="D1469" s="5">
        <f>IF(B1469="","",IFERROR(VLOOKUP(B1469, PLANTA_BASE!A:R, 5, FALSE), "NO ENCONTRADO EN PLANTA"))</f>
        <v/>
      </c>
      <c r="E1469" s="5">
        <f>IF(B1469="","",IFERROR(VLOOKUP(B1469, PLANTA_BASE!A:R, 6, FALSE), "NO ENCONTRADO EN PLANTA"))</f>
        <v/>
      </c>
      <c r="F1469" s="7">
        <f>IF(B1469="","",IFERROR(VLOOKUP(B1469, PLANTA_BASE!A:R, 8, FALSE), "DOCENTE / FACILITADOR"))</f>
        <v/>
      </c>
      <c r="G1469" s="7">
        <f>IF(B1469="","",IFERROR(VLOOKUP(B1469, PLANTA_BASE!A:R, 9, FALSE), "GENERAL"))</f>
        <v/>
      </c>
      <c r="H1469" s="5">
        <f>IF(B1469="","",IFERROR(VLOOKUP(B1469, PLANTA_BASE!A:R, 17, FALSE), "GENERAL"))</f>
        <v/>
      </c>
    </row>
    <row r="1470" ht="20" customHeight="1">
      <c r="A1470" s="2">
        <f>IF(B1470="","",IFERROR(VLOOKUP(B1470, PLANTA_BASE!A:R, 2, FALSE), "NO ENCONTRADO EN PLANTA"))</f>
        <v/>
      </c>
      <c r="B1470" s="3" t="inlineStr"/>
      <c r="C1470" s="4">
        <f>IF(B1470="","",IFERROR(VLOOKUP(B1470, PLANTA_BASE!A:R, 3, FALSE), ""))</f>
        <v/>
      </c>
      <c r="D1470" s="2">
        <f>IF(B1470="","",IFERROR(VLOOKUP(B1470, PLANTA_BASE!A:R, 5, FALSE), "NO ENCONTRADO EN PLANTA"))</f>
        <v/>
      </c>
      <c r="E1470" s="2">
        <f>IF(B1470="","",IFERROR(VLOOKUP(B1470, PLANTA_BASE!A:R, 6, FALSE), "NO ENCONTRADO EN PLANTA"))</f>
        <v/>
      </c>
      <c r="F1470" s="4">
        <f>IF(B1470="","",IFERROR(VLOOKUP(B1470, PLANTA_BASE!A:R, 8, FALSE), "DOCENTE / FACILITADOR"))</f>
        <v/>
      </c>
      <c r="G1470" s="4">
        <f>IF(B1470="","",IFERROR(VLOOKUP(B1470, PLANTA_BASE!A:R, 9, FALSE), "GENERAL"))</f>
        <v/>
      </c>
      <c r="H1470" s="2">
        <f>IF(B1470="","",IFERROR(VLOOKUP(B1470, PLANTA_BASE!A:R, 17, FALSE), "GENERAL"))</f>
        <v/>
      </c>
    </row>
    <row r="1471" ht="20" customHeight="1">
      <c r="A1471" s="5">
        <f>IF(B1471="","",IFERROR(VLOOKUP(B1471, PLANTA_BASE!A:R, 2, FALSE), "NO ENCONTRADO EN PLANTA"))</f>
        <v/>
      </c>
      <c r="B1471" s="6" t="inlineStr"/>
      <c r="C1471" s="7">
        <f>IF(B1471="","",IFERROR(VLOOKUP(B1471, PLANTA_BASE!A:R, 3, FALSE), ""))</f>
        <v/>
      </c>
      <c r="D1471" s="5">
        <f>IF(B1471="","",IFERROR(VLOOKUP(B1471, PLANTA_BASE!A:R, 5, FALSE), "NO ENCONTRADO EN PLANTA"))</f>
        <v/>
      </c>
      <c r="E1471" s="5">
        <f>IF(B1471="","",IFERROR(VLOOKUP(B1471, PLANTA_BASE!A:R, 6, FALSE), "NO ENCONTRADO EN PLANTA"))</f>
        <v/>
      </c>
      <c r="F1471" s="7">
        <f>IF(B1471="","",IFERROR(VLOOKUP(B1471, PLANTA_BASE!A:R, 8, FALSE), "DOCENTE / FACILITADOR"))</f>
        <v/>
      </c>
      <c r="G1471" s="7">
        <f>IF(B1471="","",IFERROR(VLOOKUP(B1471, PLANTA_BASE!A:R, 9, FALSE), "GENERAL"))</f>
        <v/>
      </c>
      <c r="H1471" s="5">
        <f>IF(B1471="","",IFERROR(VLOOKUP(B1471, PLANTA_BASE!A:R, 17, FALSE), "GENERAL"))</f>
        <v/>
      </c>
    </row>
    <row r="1472" ht="20" customHeight="1">
      <c r="A1472" s="2">
        <f>IF(B1472="","",IFERROR(VLOOKUP(B1472, PLANTA_BASE!A:R, 2, FALSE), "NO ENCONTRADO EN PLANTA"))</f>
        <v/>
      </c>
      <c r="B1472" s="3" t="inlineStr"/>
      <c r="C1472" s="4">
        <f>IF(B1472="","",IFERROR(VLOOKUP(B1472, PLANTA_BASE!A:R, 3, FALSE), ""))</f>
        <v/>
      </c>
      <c r="D1472" s="2">
        <f>IF(B1472="","",IFERROR(VLOOKUP(B1472, PLANTA_BASE!A:R, 5, FALSE), "NO ENCONTRADO EN PLANTA"))</f>
        <v/>
      </c>
      <c r="E1472" s="2">
        <f>IF(B1472="","",IFERROR(VLOOKUP(B1472, PLANTA_BASE!A:R, 6, FALSE), "NO ENCONTRADO EN PLANTA"))</f>
        <v/>
      </c>
      <c r="F1472" s="4">
        <f>IF(B1472="","",IFERROR(VLOOKUP(B1472, PLANTA_BASE!A:R, 8, FALSE), "DOCENTE / FACILITADOR"))</f>
        <v/>
      </c>
      <c r="G1472" s="4">
        <f>IF(B1472="","",IFERROR(VLOOKUP(B1472, PLANTA_BASE!A:R, 9, FALSE), "GENERAL"))</f>
        <v/>
      </c>
      <c r="H1472" s="2">
        <f>IF(B1472="","",IFERROR(VLOOKUP(B1472, PLANTA_BASE!A:R, 17, FALSE), "GENERAL"))</f>
        <v/>
      </c>
    </row>
    <row r="1473" ht="20" customHeight="1">
      <c r="A1473" s="5">
        <f>IF(B1473="","",IFERROR(VLOOKUP(B1473, PLANTA_BASE!A:R, 2, FALSE), "NO ENCONTRADO EN PLANTA"))</f>
        <v/>
      </c>
      <c r="B1473" s="6" t="inlineStr"/>
      <c r="C1473" s="7">
        <f>IF(B1473="","",IFERROR(VLOOKUP(B1473, PLANTA_BASE!A:R, 3, FALSE), ""))</f>
        <v/>
      </c>
      <c r="D1473" s="5">
        <f>IF(B1473="","",IFERROR(VLOOKUP(B1473, PLANTA_BASE!A:R, 5, FALSE), "NO ENCONTRADO EN PLANTA"))</f>
        <v/>
      </c>
      <c r="E1473" s="5">
        <f>IF(B1473="","",IFERROR(VLOOKUP(B1473, PLANTA_BASE!A:R, 6, FALSE), "NO ENCONTRADO EN PLANTA"))</f>
        <v/>
      </c>
      <c r="F1473" s="7">
        <f>IF(B1473="","",IFERROR(VLOOKUP(B1473, PLANTA_BASE!A:R, 8, FALSE), "DOCENTE / FACILITADOR"))</f>
        <v/>
      </c>
      <c r="G1473" s="7">
        <f>IF(B1473="","",IFERROR(VLOOKUP(B1473, PLANTA_BASE!A:R, 9, FALSE), "GENERAL"))</f>
        <v/>
      </c>
      <c r="H1473" s="5">
        <f>IF(B1473="","",IFERROR(VLOOKUP(B1473, PLANTA_BASE!A:R, 17, FALSE), "GENERAL"))</f>
        <v/>
      </c>
    </row>
    <row r="1474" ht="20" customHeight="1">
      <c r="A1474" s="2">
        <f>IF(B1474="","",IFERROR(VLOOKUP(B1474, PLANTA_BASE!A:R, 2, FALSE), "NO ENCONTRADO EN PLANTA"))</f>
        <v/>
      </c>
      <c r="B1474" s="3" t="inlineStr"/>
      <c r="C1474" s="4">
        <f>IF(B1474="","",IFERROR(VLOOKUP(B1474, PLANTA_BASE!A:R, 3, FALSE), ""))</f>
        <v/>
      </c>
      <c r="D1474" s="2">
        <f>IF(B1474="","",IFERROR(VLOOKUP(B1474, PLANTA_BASE!A:R, 5, FALSE), "NO ENCONTRADO EN PLANTA"))</f>
        <v/>
      </c>
      <c r="E1474" s="2">
        <f>IF(B1474="","",IFERROR(VLOOKUP(B1474, PLANTA_BASE!A:R, 6, FALSE), "NO ENCONTRADO EN PLANTA"))</f>
        <v/>
      </c>
      <c r="F1474" s="4">
        <f>IF(B1474="","",IFERROR(VLOOKUP(B1474, PLANTA_BASE!A:R, 8, FALSE), "DOCENTE / FACILITADOR"))</f>
        <v/>
      </c>
      <c r="G1474" s="4">
        <f>IF(B1474="","",IFERROR(VLOOKUP(B1474, PLANTA_BASE!A:R, 9, FALSE), "GENERAL"))</f>
        <v/>
      </c>
      <c r="H1474" s="2">
        <f>IF(B1474="","",IFERROR(VLOOKUP(B1474, PLANTA_BASE!A:R, 17, FALSE), "GENERAL"))</f>
        <v/>
      </c>
    </row>
    <row r="1475" ht="20" customHeight="1">
      <c r="A1475" s="5">
        <f>IF(B1475="","",IFERROR(VLOOKUP(B1475, PLANTA_BASE!A:R, 2, FALSE), "NO ENCONTRADO EN PLANTA"))</f>
        <v/>
      </c>
      <c r="B1475" s="6" t="inlineStr"/>
      <c r="C1475" s="7">
        <f>IF(B1475="","",IFERROR(VLOOKUP(B1475, PLANTA_BASE!A:R, 3, FALSE), ""))</f>
        <v/>
      </c>
      <c r="D1475" s="5">
        <f>IF(B1475="","",IFERROR(VLOOKUP(B1475, PLANTA_BASE!A:R, 5, FALSE), "NO ENCONTRADO EN PLANTA"))</f>
        <v/>
      </c>
      <c r="E1475" s="5">
        <f>IF(B1475="","",IFERROR(VLOOKUP(B1475, PLANTA_BASE!A:R, 6, FALSE), "NO ENCONTRADO EN PLANTA"))</f>
        <v/>
      </c>
      <c r="F1475" s="7">
        <f>IF(B1475="","",IFERROR(VLOOKUP(B1475, PLANTA_BASE!A:R, 8, FALSE), "DOCENTE / FACILITADOR"))</f>
        <v/>
      </c>
      <c r="G1475" s="7">
        <f>IF(B1475="","",IFERROR(VLOOKUP(B1475, PLANTA_BASE!A:R, 9, FALSE), "GENERAL"))</f>
        <v/>
      </c>
      <c r="H1475" s="5">
        <f>IF(B1475="","",IFERROR(VLOOKUP(B1475, PLANTA_BASE!A:R, 17, FALSE), "GENERAL"))</f>
        <v/>
      </c>
    </row>
    <row r="1476" ht="20" customHeight="1">
      <c r="A1476" s="2">
        <f>IF(B1476="","",IFERROR(VLOOKUP(B1476, PLANTA_BASE!A:R, 2, FALSE), "NO ENCONTRADO EN PLANTA"))</f>
        <v/>
      </c>
      <c r="B1476" s="3" t="inlineStr"/>
      <c r="C1476" s="4">
        <f>IF(B1476="","",IFERROR(VLOOKUP(B1476, PLANTA_BASE!A:R, 3, FALSE), ""))</f>
        <v/>
      </c>
      <c r="D1476" s="2">
        <f>IF(B1476="","",IFERROR(VLOOKUP(B1476, PLANTA_BASE!A:R, 5, FALSE), "NO ENCONTRADO EN PLANTA"))</f>
        <v/>
      </c>
      <c r="E1476" s="2">
        <f>IF(B1476="","",IFERROR(VLOOKUP(B1476, PLANTA_BASE!A:R, 6, FALSE), "NO ENCONTRADO EN PLANTA"))</f>
        <v/>
      </c>
      <c r="F1476" s="4">
        <f>IF(B1476="","",IFERROR(VLOOKUP(B1476, PLANTA_BASE!A:R, 8, FALSE), "DOCENTE / FACILITADOR"))</f>
        <v/>
      </c>
      <c r="G1476" s="4">
        <f>IF(B1476="","",IFERROR(VLOOKUP(B1476, PLANTA_BASE!A:R, 9, FALSE), "GENERAL"))</f>
        <v/>
      </c>
      <c r="H1476" s="2">
        <f>IF(B1476="","",IFERROR(VLOOKUP(B1476, PLANTA_BASE!A:R, 17, FALSE), "GENERAL"))</f>
        <v/>
      </c>
    </row>
    <row r="1477" ht="20" customHeight="1">
      <c r="A1477" s="5">
        <f>IF(B1477="","",IFERROR(VLOOKUP(B1477, PLANTA_BASE!A:R, 2, FALSE), "NO ENCONTRADO EN PLANTA"))</f>
        <v/>
      </c>
      <c r="B1477" s="6" t="inlineStr"/>
      <c r="C1477" s="7">
        <f>IF(B1477="","",IFERROR(VLOOKUP(B1477, PLANTA_BASE!A:R, 3, FALSE), ""))</f>
        <v/>
      </c>
      <c r="D1477" s="5">
        <f>IF(B1477="","",IFERROR(VLOOKUP(B1477, PLANTA_BASE!A:R, 5, FALSE), "NO ENCONTRADO EN PLANTA"))</f>
        <v/>
      </c>
      <c r="E1477" s="5">
        <f>IF(B1477="","",IFERROR(VLOOKUP(B1477, PLANTA_BASE!A:R, 6, FALSE), "NO ENCONTRADO EN PLANTA"))</f>
        <v/>
      </c>
      <c r="F1477" s="7">
        <f>IF(B1477="","",IFERROR(VLOOKUP(B1477, PLANTA_BASE!A:R, 8, FALSE), "DOCENTE / FACILITADOR"))</f>
        <v/>
      </c>
      <c r="G1477" s="7">
        <f>IF(B1477="","",IFERROR(VLOOKUP(B1477, PLANTA_BASE!A:R, 9, FALSE), "GENERAL"))</f>
        <v/>
      </c>
      <c r="H1477" s="5">
        <f>IF(B1477="","",IFERROR(VLOOKUP(B1477, PLANTA_BASE!A:R, 17, FALSE), "GENERAL"))</f>
        <v/>
      </c>
    </row>
    <row r="1478" ht="20" customHeight="1">
      <c r="A1478" s="2">
        <f>IF(B1478="","",IFERROR(VLOOKUP(B1478, PLANTA_BASE!A:R, 2, FALSE), "NO ENCONTRADO EN PLANTA"))</f>
        <v/>
      </c>
      <c r="B1478" s="3" t="inlineStr"/>
      <c r="C1478" s="4">
        <f>IF(B1478="","",IFERROR(VLOOKUP(B1478, PLANTA_BASE!A:R, 3, FALSE), ""))</f>
        <v/>
      </c>
      <c r="D1478" s="2">
        <f>IF(B1478="","",IFERROR(VLOOKUP(B1478, PLANTA_BASE!A:R, 5, FALSE), "NO ENCONTRADO EN PLANTA"))</f>
        <v/>
      </c>
      <c r="E1478" s="2">
        <f>IF(B1478="","",IFERROR(VLOOKUP(B1478, PLANTA_BASE!A:R, 6, FALSE), "NO ENCONTRADO EN PLANTA"))</f>
        <v/>
      </c>
      <c r="F1478" s="4">
        <f>IF(B1478="","",IFERROR(VLOOKUP(B1478, PLANTA_BASE!A:R, 8, FALSE), "DOCENTE / FACILITADOR"))</f>
        <v/>
      </c>
      <c r="G1478" s="4">
        <f>IF(B1478="","",IFERROR(VLOOKUP(B1478, PLANTA_BASE!A:R, 9, FALSE), "GENERAL"))</f>
        <v/>
      </c>
      <c r="H1478" s="2">
        <f>IF(B1478="","",IFERROR(VLOOKUP(B1478, PLANTA_BASE!A:R, 17, FALSE), "GENERAL"))</f>
        <v/>
      </c>
    </row>
    <row r="1479" ht="20" customHeight="1">
      <c r="A1479" s="5">
        <f>IF(B1479="","",IFERROR(VLOOKUP(B1479, PLANTA_BASE!A:R, 2, FALSE), "NO ENCONTRADO EN PLANTA"))</f>
        <v/>
      </c>
      <c r="B1479" s="6" t="inlineStr"/>
      <c r="C1479" s="7">
        <f>IF(B1479="","",IFERROR(VLOOKUP(B1479, PLANTA_BASE!A:R, 3, FALSE), ""))</f>
        <v/>
      </c>
      <c r="D1479" s="5">
        <f>IF(B1479="","",IFERROR(VLOOKUP(B1479, PLANTA_BASE!A:R, 5, FALSE), "NO ENCONTRADO EN PLANTA"))</f>
        <v/>
      </c>
      <c r="E1479" s="5">
        <f>IF(B1479="","",IFERROR(VLOOKUP(B1479, PLANTA_BASE!A:R, 6, FALSE), "NO ENCONTRADO EN PLANTA"))</f>
        <v/>
      </c>
      <c r="F1479" s="7">
        <f>IF(B1479="","",IFERROR(VLOOKUP(B1479, PLANTA_BASE!A:R, 8, FALSE), "DOCENTE / FACILITADOR"))</f>
        <v/>
      </c>
      <c r="G1479" s="7">
        <f>IF(B1479="","",IFERROR(VLOOKUP(B1479, PLANTA_BASE!A:R, 9, FALSE), "GENERAL"))</f>
        <v/>
      </c>
      <c r="H1479" s="5">
        <f>IF(B1479="","",IFERROR(VLOOKUP(B1479, PLANTA_BASE!A:R, 17, FALSE), "GENERAL"))</f>
        <v/>
      </c>
    </row>
    <row r="1480" ht="20" customHeight="1">
      <c r="A1480" s="2">
        <f>IF(B1480="","",IFERROR(VLOOKUP(B1480, PLANTA_BASE!A:R, 2, FALSE), "NO ENCONTRADO EN PLANTA"))</f>
        <v/>
      </c>
      <c r="B1480" s="3" t="inlineStr"/>
      <c r="C1480" s="4">
        <f>IF(B1480="","",IFERROR(VLOOKUP(B1480, PLANTA_BASE!A:R, 3, FALSE), ""))</f>
        <v/>
      </c>
      <c r="D1480" s="2">
        <f>IF(B1480="","",IFERROR(VLOOKUP(B1480, PLANTA_BASE!A:R, 5, FALSE), "NO ENCONTRADO EN PLANTA"))</f>
        <v/>
      </c>
      <c r="E1480" s="2">
        <f>IF(B1480="","",IFERROR(VLOOKUP(B1480, PLANTA_BASE!A:R, 6, FALSE), "NO ENCONTRADO EN PLANTA"))</f>
        <v/>
      </c>
      <c r="F1480" s="4">
        <f>IF(B1480="","",IFERROR(VLOOKUP(B1480, PLANTA_BASE!A:R, 8, FALSE), "DOCENTE / FACILITADOR"))</f>
        <v/>
      </c>
      <c r="G1480" s="4">
        <f>IF(B1480="","",IFERROR(VLOOKUP(B1480, PLANTA_BASE!A:R, 9, FALSE), "GENERAL"))</f>
        <v/>
      </c>
      <c r="H1480" s="2">
        <f>IF(B1480="","",IFERROR(VLOOKUP(B1480, PLANTA_BASE!A:R, 17, FALSE), "GENERAL"))</f>
        <v/>
      </c>
    </row>
    <row r="1481" ht="20" customHeight="1">
      <c r="A1481" s="5">
        <f>IF(B1481="","",IFERROR(VLOOKUP(B1481, PLANTA_BASE!A:R, 2, FALSE), "NO ENCONTRADO EN PLANTA"))</f>
        <v/>
      </c>
      <c r="B1481" s="6" t="inlineStr"/>
      <c r="C1481" s="7">
        <f>IF(B1481="","",IFERROR(VLOOKUP(B1481, PLANTA_BASE!A:R, 3, FALSE), ""))</f>
        <v/>
      </c>
      <c r="D1481" s="5">
        <f>IF(B1481="","",IFERROR(VLOOKUP(B1481, PLANTA_BASE!A:R, 5, FALSE), "NO ENCONTRADO EN PLANTA"))</f>
        <v/>
      </c>
      <c r="E1481" s="5">
        <f>IF(B1481="","",IFERROR(VLOOKUP(B1481, PLANTA_BASE!A:R, 6, FALSE), "NO ENCONTRADO EN PLANTA"))</f>
        <v/>
      </c>
      <c r="F1481" s="7">
        <f>IF(B1481="","",IFERROR(VLOOKUP(B1481, PLANTA_BASE!A:R, 8, FALSE), "DOCENTE / FACILITADOR"))</f>
        <v/>
      </c>
      <c r="G1481" s="7">
        <f>IF(B1481="","",IFERROR(VLOOKUP(B1481, PLANTA_BASE!A:R, 9, FALSE), "GENERAL"))</f>
        <v/>
      </c>
      <c r="H1481" s="5">
        <f>IF(B1481="","",IFERROR(VLOOKUP(B1481, PLANTA_BASE!A:R, 17, FALSE), "GENERAL"))</f>
        <v/>
      </c>
    </row>
    <row r="1482" ht="20" customHeight="1">
      <c r="A1482" s="2">
        <f>IF(B1482="","",IFERROR(VLOOKUP(B1482, PLANTA_BASE!A:R, 2, FALSE), "NO ENCONTRADO EN PLANTA"))</f>
        <v/>
      </c>
      <c r="B1482" s="3" t="inlineStr"/>
      <c r="C1482" s="4">
        <f>IF(B1482="","",IFERROR(VLOOKUP(B1482, PLANTA_BASE!A:R, 3, FALSE), ""))</f>
        <v/>
      </c>
      <c r="D1482" s="2">
        <f>IF(B1482="","",IFERROR(VLOOKUP(B1482, PLANTA_BASE!A:R, 5, FALSE), "NO ENCONTRADO EN PLANTA"))</f>
        <v/>
      </c>
      <c r="E1482" s="2">
        <f>IF(B1482="","",IFERROR(VLOOKUP(B1482, PLANTA_BASE!A:R, 6, FALSE), "NO ENCONTRADO EN PLANTA"))</f>
        <v/>
      </c>
      <c r="F1482" s="4">
        <f>IF(B1482="","",IFERROR(VLOOKUP(B1482, PLANTA_BASE!A:R, 8, FALSE), "DOCENTE / FACILITADOR"))</f>
        <v/>
      </c>
      <c r="G1482" s="4">
        <f>IF(B1482="","",IFERROR(VLOOKUP(B1482, PLANTA_BASE!A:R, 9, FALSE), "GENERAL"))</f>
        <v/>
      </c>
      <c r="H1482" s="2">
        <f>IF(B1482="","",IFERROR(VLOOKUP(B1482, PLANTA_BASE!A:R, 17, FALSE), "GENERAL"))</f>
        <v/>
      </c>
    </row>
    <row r="1483" ht="20" customHeight="1">
      <c r="A1483" s="5">
        <f>IF(B1483="","",IFERROR(VLOOKUP(B1483, PLANTA_BASE!A:R, 2, FALSE), "NO ENCONTRADO EN PLANTA"))</f>
        <v/>
      </c>
      <c r="B1483" s="6" t="inlineStr"/>
      <c r="C1483" s="7">
        <f>IF(B1483="","",IFERROR(VLOOKUP(B1483, PLANTA_BASE!A:R, 3, FALSE), ""))</f>
        <v/>
      </c>
      <c r="D1483" s="5">
        <f>IF(B1483="","",IFERROR(VLOOKUP(B1483, PLANTA_BASE!A:R, 5, FALSE), "NO ENCONTRADO EN PLANTA"))</f>
        <v/>
      </c>
      <c r="E1483" s="5">
        <f>IF(B1483="","",IFERROR(VLOOKUP(B1483, PLANTA_BASE!A:R, 6, FALSE), "NO ENCONTRADO EN PLANTA"))</f>
        <v/>
      </c>
      <c r="F1483" s="7">
        <f>IF(B1483="","",IFERROR(VLOOKUP(B1483, PLANTA_BASE!A:R, 8, FALSE), "DOCENTE / FACILITADOR"))</f>
        <v/>
      </c>
      <c r="G1483" s="7">
        <f>IF(B1483="","",IFERROR(VLOOKUP(B1483, PLANTA_BASE!A:R, 9, FALSE), "GENERAL"))</f>
        <v/>
      </c>
      <c r="H1483" s="5">
        <f>IF(B1483="","",IFERROR(VLOOKUP(B1483, PLANTA_BASE!A:R, 17, FALSE), "GENERAL"))</f>
        <v/>
      </c>
    </row>
    <row r="1484" ht="20" customHeight="1">
      <c r="A1484" s="2">
        <f>IF(B1484="","",IFERROR(VLOOKUP(B1484, PLANTA_BASE!A:R, 2, FALSE), "NO ENCONTRADO EN PLANTA"))</f>
        <v/>
      </c>
      <c r="B1484" s="3" t="inlineStr"/>
      <c r="C1484" s="4">
        <f>IF(B1484="","",IFERROR(VLOOKUP(B1484, PLANTA_BASE!A:R, 3, FALSE), ""))</f>
        <v/>
      </c>
      <c r="D1484" s="2">
        <f>IF(B1484="","",IFERROR(VLOOKUP(B1484, PLANTA_BASE!A:R, 5, FALSE), "NO ENCONTRADO EN PLANTA"))</f>
        <v/>
      </c>
      <c r="E1484" s="2">
        <f>IF(B1484="","",IFERROR(VLOOKUP(B1484, PLANTA_BASE!A:R, 6, FALSE), "NO ENCONTRADO EN PLANTA"))</f>
        <v/>
      </c>
      <c r="F1484" s="4">
        <f>IF(B1484="","",IFERROR(VLOOKUP(B1484, PLANTA_BASE!A:R, 8, FALSE), "DOCENTE / FACILITADOR"))</f>
        <v/>
      </c>
      <c r="G1484" s="4">
        <f>IF(B1484="","",IFERROR(VLOOKUP(B1484, PLANTA_BASE!A:R, 9, FALSE), "GENERAL"))</f>
        <v/>
      </c>
      <c r="H1484" s="2">
        <f>IF(B1484="","",IFERROR(VLOOKUP(B1484, PLANTA_BASE!A:R, 17, FALSE), "GENERAL"))</f>
        <v/>
      </c>
    </row>
    <row r="1485" ht="20" customHeight="1">
      <c r="A1485" s="5">
        <f>IF(B1485="","",IFERROR(VLOOKUP(B1485, PLANTA_BASE!A:R, 2, FALSE), "NO ENCONTRADO EN PLANTA"))</f>
        <v/>
      </c>
      <c r="B1485" s="6" t="inlineStr"/>
      <c r="C1485" s="7">
        <f>IF(B1485="","",IFERROR(VLOOKUP(B1485, PLANTA_BASE!A:R, 3, FALSE), ""))</f>
        <v/>
      </c>
      <c r="D1485" s="5">
        <f>IF(B1485="","",IFERROR(VLOOKUP(B1485, PLANTA_BASE!A:R, 5, FALSE), "NO ENCONTRADO EN PLANTA"))</f>
        <v/>
      </c>
      <c r="E1485" s="5">
        <f>IF(B1485="","",IFERROR(VLOOKUP(B1485, PLANTA_BASE!A:R, 6, FALSE), "NO ENCONTRADO EN PLANTA"))</f>
        <v/>
      </c>
      <c r="F1485" s="7">
        <f>IF(B1485="","",IFERROR(VLOOKUP(B1485, PLANTA_BASE!A:R, 8, FALSE), "DOCENTE / FACILITADOR"))</f>
        <v/>
      </c>
      <c r="G1485" s="7">
        <f>IF(B1485="","",IFERROR(VLOOKUP(B1485, PLANTA_BASE!A:R, 9, FALSE), "GENERAL"))</f>
        <v/>
      </c>
      <c r="H1485" s="5">
        <f>IF(B1485="","",IFERROR(VLOOKUP(B1485, PLANTA_BASE!A:R, 17, FALSE), "GENERAL"))</f>
        <v/>
      </c>
    </row>
    <row r="1486" ht="20" customHeight="1">
      <c r="A1486" s="2">
        <f>IF(B1486="","",IFERROR(VLOOKUP(B1486, PLANTA_BASE!A:R, 2, FALSE), "NO ENCONTRADO EN PLANTA"))</f>
        <v/>
      </c>
      <c r="B1486" s="3" t="inlineStr"/>
      <c r="C1486" s="4">
        <f>IF(B1486="","",IFERROR(VLOOKUP(B1486, PLANTA_BASE!A:R, 3, FALSE), ""))</f>
        <v/>
      </c>
      <c r="D1486" s="2">
        <f>IF(B1486="","",IFERROR(VLOOKUP(B1486, PLANTA_BASE!A:R, 5, FALSE), "NO ENCONTRADO EN PLANTA"))</f>
        <v/>
      </c>
      <c r="E1486" s="2">
        <f>IF(B1486="","",IFERROR(VLOOKUP(B1486, PLANTA_BASE!A:R, 6, FALSE), "NO ENCONTRADO EN PLANTA"))</f>
        <v/>
      </c>
      <c r="F1486" s="4">
        <f>IF(B1486="","",IFERROR(VLOOKUP(B1486, PLANTA_BASE!A:R, 8, FALSE), "DOCENTE / FACILITADOR"))</f>
        <v/>
      </c>
      <c r="G1486" s="4">
        <f>IF(B1486="","",IFERROR(VLOOKUP(B1486, PLANTA_BASE!A:R, 9, FALSE), "GENERAL"))</f>
        <v/>
      </c>
      <c r="H1486" s="2">
        <f>IF(B1486="","",IFERROR(VLOOKUP(B1486, PLANTA_BASE!A:R, 17, FALSE), "GENERAL"))</f>
        <v/>
      </c>
    </row>
    <row r="1487" ht="20" customHeight="1">
      <c r="A1487" s="5">
        <f>IF(B1487="","",IFERROR(VLOOKUP(B1487, PLANTA_BASE!A:R, 2, FALSE), "NO ENCONTRADO EN PLANTA"))</f>
        <v/>
      </c>
      <c r="B1487" s="6" t="inlineStr"/>
      <c r="C1487" s="7">
        <f>IF(B1487="","",IFERROR(VLOOKUP(B1487, PLANTA_BASE!A:R, 3, FALSE), ""))</f>
        <v/>
      </c>
      <c r="D1487" s="5">
        <f>IF(B1487="","",IFERROR(VLOOKUP(B1487, PLANTA_BASE!A:R, 5, FALSE), "NO ENCONTRADO EN PLANTA"))</f>
        <v/>
      </c>
      <c r="E1487" s="5">
        <f>IF(B1487="","",IFERROR(VLOOKUP(B1487, PLANTA_BASE!A:R, 6, FALSE), "NO ENCONTRADO EN PLANTA"))</f>
        <v/>
      </c>
      <c r="F1487" s="7">
        <f>IF(B1487="","",IFERROR(VLOOKUP(B1487, PLANTA_BASE!A:R, 8, FALSE), "DOCENTE / FACILITADOR"))</f>
        <v/>
      </c>
      <c r="G1487" s="7">
        <f>IF(B1487="","",IFERROR(VLOOKUP(B1487, PLANTA_BASE!A:R, 9, FALSE), "GENERAL"))</f>
        <v/>
      </c>
      <c r="H1487" s="5">
        <f>IF(B1487="","",IFERROR(VLOOKUP(B1487, PLANTA_BASE!A:R, 17, FALSE), "GENERAL"))</f>
        <v/>
      </c>
    </row>
    <row r="1488" ht="20" customHeight="1">
      <c r="A1488" s="2">
        <f>IF(B1488="","",IFERROR(VLOOKUP(B1488, PLANTA_BASE!A:R, 2, FALSE), "NO ENCONTRADO EN PLANTA"))</f>
        <v/>
      </c>
      <c r="B1488" s="3" t="inlineStr"/>
      <c r="C1488" s="4">
        <f>IF(B1488="","",IFERROR(VLOOKUP(B1488, PLANTA_BASE!A:R, 3, FALSE), ""))</f>
        <v/>
      </c>
      <c r="D1488" s="2">
        <f>IF(B1488="","",IFERROR(VLOOKUP(B1488, PLANTA_BASE!A:R, 5, FALSE), "NO ENCONTRADO EN PLANTA"))</f>
        <v/>
      </c>
      <c r="E1488" s="2">
        <f>IF(B1488="","",IFERROR(VLOOKUP(B1488, PLANTA_BASE!A:R, 6, FALSE), "NO ENCONTRADO EN PLANTA"))</f>
        <v/>
      </c>
      <c r="F1488" s="4">
        <f>IF(B1488="","",IFERROR(VLOOKUP(B1488, PLANTA_BASE!A:R, 8, FALSE), "DOCENTE / FACILITADOR"))</f>
        <v/>
      </c>
      <c r="G1488" s="4">
        <f>IF(B1488="","",IFERROR(VLOOKUP(B1488, PLANTA_BASE!A:R, 9, FALSE), "GENERAL"))</f>
        <v/>
      </c>
      <c r="H1488" s="2">
        <f>IF(B1488="","",IFERROR(VLOOKUP(B1488, PLANTA_BASE!A:R, 17, FALSE), "GENERAL"))</f>
        <v/>
      </c>
    </row>
    <row r="1489" ht="20" customHeight="1">
      <c r="A1489" s="5">
        <f>IF(B1489="","",IFERROR(VLOOKUP(B1489, PLANTA_BASE!A:R, 2, FALSE), "NO ENCONTRADO EN PLANTA"))</f>
        <v/>
      </c>
      <c r="B1489" s="6" t="inlineStr"/>
      <c r="C1489" s="7">
        <f>IF(B1489="","",IFERROR(VLOOKUP(B1489, PLANTA_BASE!A:R, 3, FALSE), ""))</f>
        <v/>
      </c>
      <c r="D1489" s="5">
        <f>IF(B1489="","",IFERROR(VLOOKUP(B1489, PLANTA_BASE!A:R, 5, FALSE), "NO ENCONTRADO EN PLANTA"))</f>
        <v/>
      </c>
      <c r="E1489" s="5">
        <f>IF(B1489="","",IFERROR(VLOOKUP(B1489, PLANTA_BASE!A:R, 6, FALSE), "NO ENCONTRADO EN PLANTA"))</f>
        <v/>
      </c>
      <c r="F1489" s="7">
        <f>IF(B1489="","",IFERROR(VLOOKUP(B1489, PLANTA_BASE!A:R, 8, FALSE), "DOCENTE / FACILITADOR"))</f>
        <v/>
      </c>
      <c r="G1489" s="7">
        <f>IF(B1489="","",IFERROR(VLOOKUP(B1489, PLANTA_BASE!A:R, 9, FALSE), "GENERAL"))</f>
        <v/>
      </c>
      <c r="H1489" s="5">
        <f>IF(B1489="","",IFERROR(VLOOKUP(B1489, PLANTA_BASE!A:R, 17, FALSE), "GENERAL"))</f>
        <v/>
      </c>
    </row>
    <row r="1490" ht="20" customHeight="1">
      <c r="A1490" s="2">
        <f>IF(B1490="","",IFERROR(VLOOKUP(B1490, PLANTA_BASE!A:R, 2, FALSE), "NO ENCONTRADO EN PLANTA"))</f>
        <v/>
      </c>
      <c r="B1490" s="3" t="inlineStr"/>
      <c r="C1490" s="4">
        <f>IF(B1490="","",IFERROR(VLOOKUP(B1490, PLANTA_BASE!A:R, 3, FALSE), ""))</f>
        <v/>
      </c>
      <c r="D1490" s="2">
        <f>IF(B1490="","",IFERROR(VLOOKUP(B1490, PLANTA_BASE!A:R, 5, FALSE), "NO ENCONTRADO EN PLANTA"))</f>
        <v/>
      </c>
      <c r="E1490" s="2">
        <f>IF(B1490="","",IFERROR(VLOOKUP(B1490, PLANTA_BASE!A:R, 6, FALSE), "NO ENCONTRADO EN PLANTA"))</f>
        <v/>
      </c>
      <c r="F1490" s="4">
        <f>IF(B1490="","",IFERROR(VLOOKUP(B1490, PLANTA_BASE!A:R, 8, FALSE), "DOCENTE / FACILITADOR"))</f>
        <v/>
      </c>
      <c r="G1490" s="4">
        <f>IF(B1490="","",IFERROR(VLOOKUP(B1490, PLANTA_BASE!A:R, 9, FALSE), "GENERAL"))</f>
        <v/>
      </c>
      <c r="H1490" s="2">
        <f>IF(B1490="","",IFERROR(VLOOKUP(B1490, PLANTA_BASE!A:R, 17, FALSE), "GENERAL"))</f>
        <v/>
      </c>
    </row>
    <row r="1491" ht="20" customHeight="1">
      <c r="A1491" s="5">
        <f>IF(B1491="","",IFERROR(VLOOKUP(B1491, PLANTA_BASE!A:R, 2, FALSE), "NO ENCONTRADO EN PLANTA"))</f>
        <v/>
      </c>
      <c r="B1491" s="6" t="inlineStr"/>
      <c r="C1491" s="7">
        <f>IF(B1491="","",IFERROR(VLOOKUP(B1491, PLANTA_BASE!A:R, 3, FALSE), ""))</f>
        <v/>
      </c>
      <c r="D1491" s="5">
        <f>IF(B1491="","",IFERROR(VLOOKUP(B1491, PLANTA_BASE!A:R, 5, FALSE), "NO ENCONTRADO EN PLANTA"))</f>
        <v/>
      </c>
      <c r="E1491" s="5">
        <f>IF(B1491="","",IFERROR(VLOOKUP(B1491, PLANTA_BASE!A:R, 6, FALSE), "NO ENCONTRADO EN PLANTA"))</f>
        <v/>
      </c>
      <c r="F1491" s="7">
        <f>IF(B1491="","",IFERROR(VLOOKUP(B1491, PLANTA_BASE!A:R, 8, FALSE), "DOCENTE / FACILITADOR"))</f>
        <v/>
      </c>
      <c r="G1491" s="7">
        <f>IF(B1491="","",IFERROR(VLOOKUP(B1491, PLANTA_BASE!A:R, 9, FALSE), "GENERAL"))</f>
        <v/>
      </c>
      <c r="H1491" s="5">
        <f>IF(B1491="","",IFERROR(VLOOKUP(B1491, PLANTA_BASE!A:R, 17, FALSE), "GENERAL"))</f>
        <v/>
      </c>
    </row>
    <row r="1492" ht="20" customHeight="1">
      <c r="A1492" s="2">
        <f>IF(B1492="","",IFERROR(VLOOKUP(B1492, PLANTA_BASE!A:R, 2, FALSE), "NO ENCONTRADO EN PLANTA"))</f>
        <v/>
      </c>
      <c r="B1492" s="3" t="inlineStr"/>
      <c r="C1492" s="4">
        <f>IF(B1492="","",IFERROR(VLOOKUP(B1492, PLANTA_BASE!A:R, 3, FALSE), ""))</f>
        <v/>
      </c>
      <c r="D1492" s="2">
        <f>IF(B1492="","",IFERROR(VLOOKUP(B1492, PLANTA_BASE!A:R, 5, FALSE), "NO ENCONTRADO EN PLANTA"))</f>
        <v/>
      </c>
      <c r="E1492" s="2">
        <f>IF(B1492="","",IFERROR(VLOOKUP(B1492, PLANTA_BASE!A:R, 6, FALSE), "NO ENCONTRADO EN PLANTA"))</f>
        <v/>
      </c>
      <c r="F1492" s="4">
        <f>IF(B1492="","",IFERROR(VLOOKUP(B1492, PLANTA_BASE!A:R, 8, FALSE), "DOCENTE / FACILITADOR"))</f>
        <v/>
      </c>
      <c r="G1492" s="4">
        <f>IF(B1492="","",IFERROR(VLOOKUP(B1492, PLANTA_BASE!A:R, 9, FALSE), "GENERAL"))</f>
        <v/>
      </c>
      <c r="H1492" s="2">
        <f>IF(B1492="","",IFERROR(VLOOKUP(B1492, PLANTA_BASE!A:R, 17, FALSE), "GENERAL"))</f>
        <v/>
      </c>
    </row>
    <row r="1493" ht="20" customHeight="1">
      <c r="A1493" s="5">
        <f>IF(B1493="","",IFERROR(VLOOKUP(B1493, PLANTA_BASE!A:R, 2, FALSE), "NO ENCONTRADO EN PLANTA"))</f>
        <v/>
      </c>
      <c r="B1493" s="6" t="inlineStr"/>
      <c r="C1493" s="7">
        <f>IF(B1493="","",IFERROR(VLOOKUP(B1493, PLANTA_BASE!A:R, 3, FALSE), ""))</f>
        <v/>
      </c>
      <c r="D1493" s="5">
        <f>IF(B1493="","",IFERROR(VLOOKUP(B1493, PLANTA_BASE!A:R, 5, FALSE), "NO ENCONTRADO EN PLANTA"))</f>
        <v/>
      </c>
      <c r="E1493" s="5">
        <f>IF(B1493="","",IFERROR(VLOOKUP(B1493, PLANTA_BASE!A:R, 6, FALSE), "NO ENCONTRADO EN PLANTA"))</f>
        <v/>
      </c>
      <c r="F1493" s="7">
        <f>IF(B1493="","",IFERROR(VLOOKUP(B1493, PLANTA_BASE!A:R, 8, FALSE), "DOCENTE / FACILITADOR"))</f>
        <v/>
      </c>
      <c r="G1493" s="7">
        <f>IF(B1493="","",IFERROR(VLOOKUP(B1493, PLANTA_BASE!A:R, 9, FALSE), "GENERAL"))</f>
        <v/>
      </c>
      <c r="H1493" s="5">
        <f>IF(B1493="","",IFERROR(VLOOKUP(B1493, PLANTA_BASE!A:R, 17, FALSE), "GENERAL"))</f>
        <v/>
      </c>
    </row>
    <row r="1494" ht="20" customHeight="1">
      <c r="A1494" s="2">
        <f>IF(B1494="","",IFERROR(VLOOKUP(B1494, PLANTA_BASE!A:R, 2, FALSE), "NO ENCONTRADO EN PLANTA"))</f>
        <v/>
      </c>
      <c r="B1494" s="3" t="inlineStr"/>
      <c r="C1494" s="4">
        <f>IF(B1494="","",IFERROR(VLOOKUP(B1494, PLANTA_BASE!A:R, 3, FALSE), ""))</f>
        <v/>
      </c>
      <c r="D1494" s="2">
        <f>IF(B1494="","",IFERROR(VLOOKUP(B1494, PLANTA_BASE!A:R, 5, FALSE), "NO ENCONTRADO EN PLANTA"))</f>
        <v/>
      </c>
      <c r="E1494" s="2">
        <f>IF(B1494="","",IFERROR(VLOOKUP(B1494, PLANTA_BASE!A:R, 6, FALSE), "NO ENCONTRADO EN PLANTA"))</f>
        <v/>
      </c>
      <c r="F1494" s="4">
        <f>IF(B1494="","",IFERROR(VLOOKUP(B1494, PLANTA_BASE!A:R, 8, FALSE), "DOCENTE / FACILITADOR"))</f>
        <v/>
      </c>
      <c r="G1494" s="4">
        <f>IF(B1494="","",IFERROR(VLOOKUP(B1494, PLANTA_BASE!A:R, 9, FALSE), "GENERAL"))</f>
        <v/>
      </c>
      <c r="H1494" s="2">
        <f>IF(B1494="","",IFERROR(VLOOKUP(B1494, PLANTA_BASE!A:R, 17, FALSE), "GENERAL"))</f>
        <v/>
      </c>
    </row>
    <row r="1495" ht="20" customHeight="1">
      <c r="A1495" s="5">
        <f>IF(B1495="","",IFERROR(VLOOKUP(B1495, PLANTA_BASE!A:R, 2, FALSE), "NO ENCONTRADO EN PLANTA"))</f>
        <v/>
      </c>
      <c r="B1495" s="6" t="inlineStr"/>
      <c r="C1495" s="7">
        <f>IF(B1495="","",IFERROR(VLOOKUP(B1495, PLANTA_BASE!A:R, 3, FALSE), ""))</f>
        <v/>
      </c>
      <c r="D1495" s="5">
        <f>IF(B1495="","",IFERROR(VLOOKUP(B1495, PLANTA_BASE!A:R, 5, FALSE), "NO ENCONTRADO EN PLANTA"))</f>
        <v/>
      </c>
      <c r="E1495" s="5">
        <f>IF(B1495="","",IFERROR(VLOOKUP(B1495, PLANTA_BASE!A:R, 6, FALSE), "NO ENCONTRADO EN PLANTA"))</f>
        <v/>
      </c>
      <c r="F1495" s="7">
        <f>IF(B1495="","",IFERROR(VLOOKUP(B1495, PLANTA_BASE!A:R, 8, FALSE), "DOCENTE / FACILITADOR"))</f>
        <v/>
      </c>
      <c r="G1495" s="7">
        <f>IF(B1495="","",IFERROR(VLOOKUP(B1495, PLANTA_BASE!A:R, 9, FALSE), "GENERAL"))</f>
        <v/>
      </c>
      <c r="H1495" s="5">
        <f>IF(B1495="","",IFERROR(VLOOKUP(B1495, PLANTA_BASE!A:R, 17, FALSE), "GENERAL"))</f>
        <v/>
      </c>
    </row>
    <row r="1496" ht="20" customHeight="1">
      <c r="A1496" s="2">
        <f>IF(B1496="","",IFERROR(VLOOKUP(B1496, PLANTA_BASE!A:R, 2, FALSE), "NO ENCONTRADO EN PLANTA"))</f>
        <v/>
      </c>
      <c r="B1496" s="3" t="inlineStr"/>
      <c r="C1496" s="4">
        <f>IF(B1496="","",IFERROR(VLOOKUP(B1496, PLANTA_BASE!A:R, 3, FALSE), ""))</f>
        <v/>
      </c>
      <c r="D1496" s="2">
        <f>IF(B1496="","",IFERROR(VLOOKUP(B1496, PLANTA_BASE!A:R, 5, FALSE), "NO ENCONTRADO EN PLANTA"))</f>
        <v/>
      </c>
      <c r="E1496" s="2">
        <f>IF(B1496="","",IFERROR(VLOOKUP(B1496, PLANTA_BASE!A:R, 6, FALSE), "NO ENCONTRADO EN PLANTA"))</f>
        <v/>
      </c>
      <c r="F1496" s="4">
        <f>IF(B1496="","",IFERROR(VLOOKUP(B1496, PLANTA_BASE!A:R, 8, FALSE), "DOCENTE / FACILITADOR"))</f>
        <v/>
      </c>
      <c r="G1496" s="4">
        <f>IF(B1496="","",IFERROR(VLOOKUP(B1496, PLANTA_BASE!A:R, 9, FALSE), "GENERAL"))</f>
        <v/>
      </c>
      <c r="H1496" s="2">
        <f>IF(B1496="","",IFERROR(VLOOKUP(B1496, PLANTA_BASE!A:R, 17, FALSE), "GENERAL"))</f>
        <v/>
      </c>
    </row>
    <row r="1497" ht="20" customHeight="1">
      <c r="A1497" s="5">
        <f>IF(B1497="","",IFERROR(VLOOKUP(B1497, PLANTA_BASE!A:R, 2, FALSE), "NO ENCONTRADO EN PLANTA"))</f>
        <v/>
      </c>
      <c r="B1497" s="6" t="inlineStr"/>
      <c r="C1497" s="7">
        <f>IF(B1497="","",IFERROR(VLOOKUP(B1497, PLANTA_BASE!A:R, 3, FALSE), ""))</f>
        <v/>
      </c>
      <c r="D1497" s="5">
        <f>IF(B1497="","",IFERROR(VLOOKUP(B1497, PLANTA_BASE!A:R, 5, FALSE), "NO ENCONTRADO EN PLANTA"))</f>
        <v/>
      </c>
      <c r="E1497" s="5">
        <f>IF(B1497="","",IFERROR(VLOOKUP(B1497, PLANTA_BASE!A:R, 6, FALSE), "NO ENCONTRADO EN PLANTA"))</f>
        <v/>
      </c>
      <c r="F1497" s="7">
        <f>IF(B1497="","",IFERROR(VLOOKUP(B1497, PLANTA_BASE!A:R, 8, FALSE), "DOCENTE / FACILITADOR"))</f>
        <v/>
      </c>
      <c r="G1497" s="7">
        <f>IF(B1497="","",IFERROR(VLOOKUP(B1497, PLANTA_BASE!A:R, 9, FALSE), "GENERAL"))</f>
        <v/>
      </c>
      <c r="H1497" s="5">
        <f>IF(B1497="","",IFERROR(VLOOKUP(B1497, PLANTA_BASE!A:R, 17, FALSE), "GENERAL"))</f>
        <v/>
      </c>
    </row>
    <row r="1498" ht="20" customHeight="1">
      <c r="A1498" s="2">
        <f>IF(B1498="","",IFERROR(VLOOKUP(B1498, PLANTA_BASE!A:R, 2, FALSE), "NO ENCONTRADO EN PLANTA"))</f>
        <v/>
      </c>
      <c r="B1498" s="3" t="inlineStr"/>
      <c r="C1498" s="4">
        <f>IF(B1498="","",IFERROR(VLOOKUP(B1498, PLANTA_BASE!A:R, 3, FALSE), ""))</f>
        <v/>
      </c>
      <c r="D1498" s="2">
        <f>IF(B1498="","",IFERROR(VLOOKUP(B1498, PLANTA_BASE!A:R, 5, FALSE), "NO ENCONTRADO EN PLANTA"))</f>
        <v/>
      </c>
      <c r="E1498" s="2">
        <f>IF(B1498="","",IFERROR(VLOOKUP(B1498, PLANTA_BASE!A:R, 6, FALSE), "NO ENCONTRADO EN PLANTA"))</f>
        <v/>
      </c>
      <c r="F1498" s="4">
        <f>IF(B1498="","",IFERROR(VLOOKUP(B1498, PLANTA_BASE!A:R, 8, FALSE), "DOCENTE / FACILITADOR"))</f>
        <v/>
      </c>
      <c r="G1498" s="4">
        <f>IF(B1498="","",IFERROR(VLOOKUP(B1498, PLANTA_BASE!A:R, 9, FALSE), "GENERAL"))</f>
        <v/>
      </c>
      <c r="H1498" s="2">
        <f>IF(B1498="","",IFERROR(VLOOKUP(B1498, PLANTA_BASE!A:R, 17, FALSE), "GENERAL"))</f>
        <v/>
      </c>
    </row>
    <row r="1499" ht="20" customHeight="1">
      <c r="A1499" s="5">
        <f>IF(B1499="","",IFERROR(VLOOKUP(B1499, PLANTA_BASE!A:R, 2, FALSE), "NO ENCONTRADO EN PLANTA"))</f>
        <v/>
      </c>
      <c r="B1499" s="6" t="inlineStr"/>
      <c r="C1499" s="7">
        <f>IF(B1499="","",IFERROR(VLOOKUP(B1499, PLANTA_BASE!A:R, 3, FALSE), ""))</f>
        <v/>
      </c>
      <c r="D1499" s="5">
        <f>IF(B1499="","",IFERROR(VLOOKUP(B1499, PLANTA_BASE!A:R, 5, FALSE), "NO ENCONTRADO EN PLANTA"))</f>
        <v/>
      </c>
      <c r="E1499" s="5">
        <f>IF(B1499="","",IFERROR(VLOOKUP(B1499, PLANTA_BASE!A:R, 6, FALSE), "NO ENCONTRADO EN PLANTA"))</f>
        <v/>
      </c>
      <c r="F1499" s="7">
        <f>IF(B1499="","",IFERROR(VLOOKUP(B1499, PLANTA_BASE!A:R, 8, FALSE), "DOCENTE / FACILITADOR"))</f>
        <v/>
      </c>
      <c r="G1499" s="7">
        <f>IF(B1499="","",IFERROR(VLOOKUP(B1499, PLANTA_BASE!A:R, 9, FALSE), "GENERAL"))</f>
        <v/>
      </c>
      <c r="H1499" s="5">
        <f>IF(B1499="","",IFERROR(VLOOKUP(B1499, PLANTA_BASE!A:R, 17, FALSE), "GENERAL"))</f>
        <v/>
      </c>
    </row>
    <row r="1500" ht="20" customHeight="1">
      <c r="A1500" s="2">
        <f>IF(B1500="","",IFERROR(VLOOKUP(B1500, PLANTA_BASE!A:R, 2, FALSE), "NO ENCONTRADO EN PLANTA"))</f>
        <v/>
      </c>
      <c r="B1500" s="3" t="inlineStr"/>
      <c r="C1500" s="4">
        <f>IF(B1500="","",IFERROR(VLOOKUP(B1500, PLANTA_BASE!A:R, 3, FALSE), ""))</f>
        <v/>
      </c>
      <c r="D1500" s="2">
        <f>IF(B1500="","",IFERROR(VLOOKUP(B1500, PLANTA_BASE!A:R, 5, FALSE), "NO ENCONTRADO EN PLANTA"))</f>
        <v/>
      </c>
      <c r="E1500" s="2">
        <f>IF(B1500="","",IFERROR(VLOOKUP(B1500, PLANTA_BASE!A:R, 6, FALSE), "NO ENCONTRADO EN PLANTA"))</f>
        <v/>
      </c>
      <c r="F1500" s="4">
        <f>IF(B1500="","",IFERROR(VLOOKUP(B1500, PLANTA_BASE!A:R, 8, FALSE), "DOCENTE / FACILITADOR"))</f>
        <v/>
      </c>
      <c r="G1500" s="4">
        <f>IF(B1500="","",IFERROR(VLOOKUP(B1500, PLANTA_BASE!A:R, 9, FALSE), "GENERAL"))</f>
        <v/>
      </c>
      <c r="H1500" s="2">
        <f>IF(B1500="","",IFERROR(VLOOKUP(B1500, PLANTA_BASE!A:R, 17, FALSE), "GENERAL"))</f>
        <v/>
      </c>
    </row>
    <row r="1501" ht="20" customHeight="1">
      <c r="A1501" s="5">
        <f>IF(B1501="","",IFERROR(VLOOKUP(B1501, PLANTA_BASE!A:R, 2, FALSE), "NO ENCONTRADO EN PLANTA"))</f>
        <v/>
      </c>
      <c r="B1501" s="6" t="inlineStr"/>
      <c r="C1501" s="7">
        <f>IF(B1501="","",IFERROR(VLOOKUP(B1501, PLANTA_BASE!A:R, 3, FALSE), ""))</f>
        <v/>
      </c>
      <c r="D1501" s="5">
        <f>IF(B1501="","",IFERROR(VLOOKUP(B1501, PLANTA_BASE!A:R, 5, FALSE), "NO ENCONTRADO EN PLANTA"))</f>
        <v/>
      </c>
      <c r="E1501" s="5">
        <f>IF(B1501="","",IFERROR(VLOOKUP(B1501, PLANTA_BASE!A:R, 6, FALSE), "NO ENCONTRADO EN PLANTA"))</f>
        <v/>
      </c>
      <c r="F1501" s="7">
        <f>IF(B1501="","",IFERROR(VLOOKUP(B1501, PLANTA_BASE!A:R, 8, FALSE), "DOCENTE / FACILITADOR"))</f>
        <v/>
      </c>
      <c r="G1501" s="7">
        <f>IF(B1501="","",IFERROR(VLOOKUP(B1501, PLANTA_BASE!A:R, 9, FALSE), "GENERAL"))</f>
        <v/>
      </c>
      <c r="H1501" s="5">
        <f>IF(B1501="","",IFERROR(VLOOKUP(B1501, PLANTA_BASE!A:R, 17, FALSE), "GENERAL"))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0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8" customHeight="1">
      <c r="A1" s="1" t="inlineStr">
        <is>
          <t>INVITACIÓN</t>
        </is>
      </c>
      <c r="B1" s="1" t="inlineStr">
        <is>
          <t>CEDULA</t>
        </is>
      </c>
      <c r="C1" s="1" t="inlineStr">
        <is>
          <t>NOMBRE</t>
        </is>
      </c>
      <c r="D1" s="1" t="inlineStr">
        <is>
          <t>Nombre Nivel 2</t>
        </is>
      </c>
      <c r="E1" s="1" t="inlineStr">
        <is>
          <t>Nombre Nivel 3</t>
        </is>
      </c>
      <c r="F1" s="1" t="inlineStr">
        <is>
          <t>Descripción Cargo</t>
        </is>
      </c>
      <c r="G1" s="1" t="inlineStr">
        <is>
          <t>Nombre Centro Costo</t>
        </is>
      </c>
      <c r="H1" s="1" t="inlineStr">
        <is>
          <t>ESCUELA</t>
        </is>
      </c>
    </row>
    <row r="2" ht="20" customHeight="1">
      <c r="A2" s="2">
        <f>IF(B2="","",IFERROR(VLOOKUP(B2, PLANTA_BASE!A:R, 2, FALSE), "NO ENCONTRADO EN PLANTA"))</f>
        <v/>
      </c>
      <c r="B2" s="3" t="inlineStr">
        <is>
          <t>80812606</t>
        </is>
      </c>
      <c r="C2" s="4" t="inlineStr">
        <is>
          <t>SANDINO MARTINEZ MIGUEL ERNESTO</t>
        </is>
      </c>
      <c r="D2" s="2">
        <f>IF(B2="","",IFERROR(VLOOKUP(B2, PLANTA_BASE!A:R, 5, FALSE), "NO ENCONTRADO EN PLANTA"))</f>
        <v/>
      </c>
      <c r="E2" s="2">
        <f>IF(B2="","",IFERROR(VLOOKUP(B2, PLANTA_BASE!A:R, 6, FALSE), "NO ENCONTRADO EN PLANTA"))</f>
        <v/>
      </c>
      <c r="F2" s="4">
        <f>IF(B2="","",IFERROR(VLOOKUP(B2, PLANTA_BASE!A:R, 8, FALSE), "DOCENTE / FACILITADOR"))</f>
        <v/>
      </c>
      <c r="G2" s="4">
        <f>IF(B2="","",IFERROR(VLOOKUP(B2, PLANTA_BASE!A:R, 9, FALSE), "GENERAL"))</f>
        <v/>
      </c>
      <c r="H2" s="2">
        <f>IF(B2="","",IFERROR(VLOOKUP(B2, PLANTA_BASE!A:R, 17, FALSE), "GENERAL"))</f>
        <v/>
      </c>
    </row>
    <row r="3" ht="20" customHeight="1">
      <c r="A3" s="5">
        <f>IF(B3="","",IFERROR(VLOOKUP(B3, PLANTA_BASE!A:R, 2, FALSE), "NO ENCONTRADO EN PLANTA"))</f>
        <v/>
      </c>
      <c r="B3" s="6" t="inlineStr">
        <is>
          <t>38285304</t>
        </is>
      </c>
      <c r="C3" s="7" t="inlineStr">
        <is>
          <t>ALFONSO OERIZ QDRIANA DEL ROCIO</t>
        </is>
      </c>
      <c r="D3" s="5">
        <f>IF(B3="","",IFERROR(VLOOKUP(B3, PLANTA_BASE!A:R, 5, FALSE), "NO ENCONTRADO EN PLANTA"))</f>
        <v/>
      </c>
      <c r="E3" s="5">
        <f>IF(B3="","",IFERROR(VLOOKUP(B3, PLANTA_BASE!A:R, 6, FALSE), "NO ENCONTRADO EN PLANTA"))</f>
        <v/>
      </c>
      <c r="F3" s="7">
        <f>IF(B3="","",IFERROR(VLOOKUP(B3, PLANTA_BASE!A:R, 8, FALSE), "DOCENTE / FACILITADOR"))</f>
        <v/>
      </c>
      <c r="G3" s="7">
        <f>IF(B3="","",IFERROR(VLOOKUP(B3, PLANTA_BASE!A:R, 9, FALSE), "GENERAL"))</f>
        <v/>
      </c>
      <c r="H3" s="5">
        <f>IF(B3="","",IFERROR(VLOOKUP(B3, PLANTA_BASE!A:R, 17, FALSE), "GENERAL"))</f>
        <v/>
      </c>
    </row>
    <row r="4" ht="20" customHeight="1">
      <c r="A4" s="2">
        <f>IF(B4="","",IFERROR(VLOOKUP(B4, PLANTA_BASE!A:R, 2, FALSE), "NO ENCONTRADO EN PLANTA"))</f>
        <v/>
      </c>
      <c r="B4" s="3" t="inlineStr">
        <is>
          <t>722264339</t>
        </is>
      </c>
      <c r="C4" s="4" t="inlineStr">
        <is>
          <t>MARBELLO HENAO YURY ALEXANDER</t>
        </is>
      </c>
      <c r="D4" s="2">
        <f>IF(B4="","",IFERROR(VLOOKUP(B4, PLANTA_BASE!A:R, 5, FALSE), "NO ENCONTRADO EN PLANTA"))</f>
        <v/>
      </c>
      <c r="E4" s="2">
        <f>IF(B4="","",IFERROR(VLOOKUP(B4, PLANTA_BASE!A:R, 6, FALSE), "NO ENCONTRADO EN PLANTA"))</f>
        <v/>
      </c>
      <c r="F4" s="4">
        <f>IF(B4="","",IFERROR(VLOOKUP(B4, PLANTA_BASE!A:R, 8, FALSE), "DOCENTE / FACILITADOR"))</f>
        <v/>
      </c>
      <c r="G4" s="4">
        <f>IF(B4="","",IFERROR(VLOOKUP(B4, PLANTA_BASE!A:R, 9, FALSE), "GENERAL"))</f>
        <v/>
      </c>
      <c r="H4" s="2">
        <f>IF(B4="","",IFERROR(VLOOKUP(B4, PLANTA_BASE!A:R, 17, FALSE), "GENERAL"))</f>
        <v/>
      </c>
    </row>
    <row r="5" ht="20" customHeight="1">
      <c r="A5" s="5">
        <f>IF(B5="","",IFERROR(VLOOKUP(B5, PLANTA_BASE!A:R, 2, FALSE), "NO ENCONTRADO EN PLANTA"))</f>
        <v/>
      </c>
      <c r="B5" s="6" t="inlineStr">
        <is>
          <t>79922635</t>
        </is>
      </c>
      <c r="C5" s="7" t="inlineStr">
        <is>
          <t>NECHIZA MILTON  RAMIRO</t>
        </is>
      </c>
      <c r="D5" s="5">
        <f>IF(B5="","",IFERROR(VLOOKUP(B5, PLANTA_BASE!A:R, 5, FALSE), "NO ENCONTRADO EN PLANTA"))</f>
        <v/>
      </c>
      <c r="E5" s="5">
        <f>IF(B5="","",IFERROR(VLOOKUP(B5, PLANTA_BASE!A:R, 6, FALSE), "NO ENCONTRADO EN PLANTA"))</f>
        <v/>
      </c>
      <c r="F5" s="7">
        <f>IF(B5="","",IFERROR(VLOOKUP(B5, PLANTA_BASE!A:R, 8, FALSE), "DOCENTE / FACILITADOR"))</f>
        <v/>
      </c>
      <c r="G5" s="7">
        <f>IF(B5="","",IFERROR(VLOOKUP(B5, PLANTA_BASE!A:R, 9, FALSE), "GENERAL"))</f>
        <v/>
      </c>
      <c r="H5" s="5">
        <f>IF(B5="","",IFERROR(VLOOKUP(B5, PLANTA_BASE!A:R, 17, FALSE), "GENERAL"))</f>
        <v/>
      </c>
    </row>
    <row r="6" ht="20" customHeight="1">
      <c r="A6" s="2">
        <f>IF(B6="","",IFERROR(VLOOKUP(B6, PLANTA_BASE!A:R, 2, FALSE), "NO ENCONTRADO EN PLANTA"))</f>
        <v/>
      </c>
      <c r="B6" s="3" t="inlineStr">
        <is>
          <t>1032461201</t>
        </is>
      </c>
      <c r="C6" s="4" t="inlineStr">
        <is>
          <t>BARRETO TORRES MARLEY GISEL</t>
        </is>
      </c>
      <c r="D6" s="2">
        <f>IF(B6="","",IFERROR(VLOOKUP(B6, PLANTA_BASE!A:R, 5, FALSE), "NO ENCONTRADO EN PLANTA"))</f>
        <v/>
      </c>
      <c r="E6" s="2">
        <f>IF(B6="","",IFERROR(VLOOKUP(B6, PLANTA_BASE!A:R, 6, FALSE), "NO ENCONTRADO EN PLANTA"))</f>
        <v/>
      </c>
      <c r="F6" s="4">
        <f>IF(B6="","",IFERROR(VLOOKUP(B6, PLANTA_BASE!A:R, 8, FALSE), "DOCENTE / FACILITADOR"))</f>
        <v/>
      </c>
      <c r="G6" s="4">
        <f>IF(B6="","",IFERROR(VLOOKUP(B6, PLANTA_BASE!A:R, 9, FALSE), "GENERAL"))</f>
        <v/>
      </c>
      <c r="H6" s="2">
        <f>IF(B6="","",IFERROR(VLOOKUP(B6, PLANTA_BASE!A:R, 17, FALSE), "GENERAL"))</f>
        <v/>
      </c>
    </row>
    <row r="7" ht="20" customHeight="1">
      <c r="A7" s="5">
        <f>IF(B7="","",IFERROR(VLOOKUP(B7, PLANTA_BASE!A:R, 2, FALSE), "NO ENCONTRADO EN PLANTA"))</f>
        <v/>
      </c>
      <c r="B7" s="6" t="inlineStr">
        <is>
          <t>80223287</t>
        </is>
      </c>
      <c r="C7" s="7" t="inlineStr">
        <is>
          <t>PINEDA SORIANO MARIO ALBERTO</t>
        </is>
      </c>
      <c r="D7" s="5">
        <f>IF(B7="","",IFERROR(VLOOKUP(B7, PLANTA_BASE!A:R, 5, FALSE), "NO ENCONTRADO EN PLANTA"))</f>
        <v/>
      </c>
      <c r="E7" s="5">
        <f>IF(B7="","",IFERROR(VLOOKUP(B7, PLANTA_BASE!A:R, 6, FALSE), "NO ENCONTRADO EN PLANTA"))</f>
        <v/>
      </c>
      <c r="F7" s="7">
        <f>IF(B7="","",IFERROR(VLOOKUP(B7, PLANTA_BASE!A:R, 8, FALSE), "DOCENTE / FACILITADOR"))</f>
        <v/>
      </c>
      <c r="G7" s="7">
        <f>IF(B7="","",IFERROR(VLOOKUP(B7, PLANTA_BASE!A:R, 9, FALSE), "GENERAL"))</f>
        <v/>
      </c>
      <c r="H7" s="5">
        <f>IF(B7="","",IFERROR(VLOOKUP(B7, PLANTA_BASE!A:R, 17, FALSE), "GENERAL"))</f>
        <v/>
      </c>
    </row>
    <row r="8" ht="20" customHeight="1">
      <c r="A8" s="2">
        <f>IF(B8="","",IFERROR(VLOOKUP(B8, PLANTA_BASE!A:R, 2, FALSE), "NO ENCONTRADO EN PLANTA"))</f>
        <v/>
      </c>
      <c r="B8" s="3" t="inlineStr">
        <is>
          <t>102451434</t>
        </is>
      </c>
      <c r="C8" s="4" t="inlineStr">
        <is>
          <t>ARIAS MORENO JORGE LEONARDO</t>
        </is>
      </c>
      <c r="D8" s="2">
        <f>IF(B8="","",IFERROR(VLOOKUP(B8, PLANTA_BASE!A:R, 5, FALSE), "NO ENCONTRADO EN PLANTA"))</f>
        <v/>
      </c>
      <c r="E8" s="2">
        <f>IF(B8="","",IFERROR(VLOOKUP(B8, PLANTA_BASE!A:R, 6, FALSE), "NO ENCONTRADO EN PLANTA"))</f>
        <v/>
      </c>
      <c r="F8" s="4">
        <f>IF(B8="","",IFERROR(VLOOKUP(B8, PLANTA_BASE!A:R, 8, FALSE), "DOCENTE / FACILITADOR"))</f>
        <v/>
      </c>
      <c r="G8" s="4">
        <f>IF(B8="","",IFERROR(VLOOKUP(B8, PLANTA_BASE!A:R, 9, FALSE), "GENERAL"))</f>
        <v/>
      </c>
      <c r="H8" s="2">
        <f>IF(B8="","",IFERROR(VLOOKUP(B8, PLANTA_BASE!A:R, 17, FALSE), "GENERAL"))</f>
        <v/>
      </c>
    </row>
    <row r="9" ht="20" customHeight="1">
      <c r="A9" s="5">
        <f>IF(B9="","",IFERROR(VLOOKUP(B9, PLANTA_BASE!A:R, 2, FALSE), "NO ENCONTRADO EN PLANTA"))</f>
        <v/>
      </c>
      <c r="B9" s="6" t="inlineStr">
        <is>
          <t>80882570</t>
        </is>
      </c>
      <c r="C9" s="7" t="inlineStr">
        <is>
          <t>GARRIDO ANDRES</t>
        </is>
      </c>
      <c r="D9" s="5">
        <f>IF(B9="","",IFERROR(VLOOKUP(B9, PLANTA_BASE!A:R, 5, FALSE), "NO ENCONTRADO EN PLANTA"))</f>
        <v/>
      </c>
      <c r="E9" s="5">
        <f>IF(B9="","",IFERROR(VLOOKUP(B9, PLANTA_BASE!A:R, 6, FALSE), "NO ENCONTRADO EN PLANTA"))</f>
        <v/>
      </c>
      <c r="F9" s="7">
        <f>IF(B9="","",IFERROR(VLOOKUP(B9, PLANTA_BASE!A:R, 8, FALSE), "DOCENTE / FACILITADOR"))</f>
        <v/>
      </c>
      <c r="G9" s="7">
        <f>IF(B9="","",IFERROR(VLOOKUP(B9, PLANTA_BASE!A:R, 9, FALSE), "GENERAL"))</f>
        <v/>
      </c>
      <c r="H9" s="5">
        <f>IF(B9="","",IFERROR(VLOOKUP(B9, PLANTA_BASE!A:R, 17, FALSE), "GENERAL"))</f>
        <v/>
      </c>
    </row>
    <row r="10" ht="20" customHeight="1">
      <c r="A10" s="2">
        <f>IF(B10="","",IFERROR(VLOOKUP(B10, PLANTA_BASE!A:R, 2, FALSE), "NO ENCONTRADO EN PLANTA"))</f>
        <v/>
      </c>
      <c r="B10" s="3" t="inlineStr">
        <is>
          <t>1054093212</t>
        </is>
      </c>
      <c r="C10" s="4" t="inlineStr">
        <is>
          <t>PINILLA PARDO ROGGER FABIAN</t>
        </is>
      </c>
      <c r="D10" s="2">
        <f>IF(B10="","",IFERROR(VLOOKUP(B10, PLANTA_BASE!A:R, 5, FALSE), "NO ENCONTRADO EN PLANTA"))</f>
        <v/>
      </c>
      <c r="E10" s="2">
        <f>IF(B10="","",IFERROR(VLOOKUP(B10, PLANTA_BASE!A:R, 6, FALSE), "NO ENCONTRADO EN PLANTA"))</f>
        <v/>
      </c>
      <c r="F10" s="4">
        <f>IF(B10="","",IFERROR(VLOOKUP(B10, PLANTA_BASE!A:R, 8, FALSE), "DOCENTE / FACILITADOR"))</f>
        <v/>
      </c>
      <c r="G10" s="4">
        <f>IF(B10="","",IFERROR(VLOOKUP(B10, PLANTA_BASE!A:R, 9, FALSE), "GENERAL"))</f>
        <v/>
      </c>
      <c r="H10" s="2">
        <f>IF(B10="","",IFERROR(VLOOKUP(B10, PLANTA_BASE!A:R, 17, FALSE), "GENERAL"))</f>
        <v/>
      </c>
    </row>
    <row r="11" ht="20" customHeight="1">
      <c r="A11" s="5">
        <f>IF(B11="","",IFERROR(VLOOKUP(B11, PLANTA_BASE!A:R, 2, FALSE), "NO ENCONTRADO EN PLANTA"))</f>
        <v/>
      </c>
      <c r="B11" s="6" t="inlineStr">
        <is>
          <t>1005163088</t>
        </is>
      </c>
      <c r="C11" s="7" t="inlineStr">
        <is>
          <t>ESCOBAR DYLAN</t>
        </is>
      </c>
      <c r="D11" s="5">
        <f>IF(B11="","",IFERROR(VLOOKUP(B11, PLANTA_BASE!A:R, 5, FALSE), "NO ENCONTRADO EN PLANTA"))</f>
        <v/>
      </c>
      <c r="E11" s="5">
        <f>IF(B11="","",IFERROR(VLOOKUP(B11, PLANTA_BASE!A:R, 6, FALSE), "NO ENCONTRADO EN PLANTA"))</f>
        <v/>
      </c>
      <c r="F11" s="7">
        <f>IF(B11="","",IFERROR(VLOOKUP(B11, PLANTA_BASE!A:R, 8, FALSE), "DOCENTE / FACILITADOR"))</f>
        <v/>
      </c>
      <c r="G11" s="7">
        <f>IF(B11="","",IFERROR(VLOOKUP(B11, PLANTA_BASE!A:R, 9, FALSE), "GENERAL"))</f>
        <v/>
      </c>
      <c r="H11" s="5">
        <f>IF(B11="","",IFERROR(VLOOKUP(B11, PLANTA_BASE!A:R, 17, FALSE), "GENERAL"))</f>
        <v/>
      </c>
    </row>
    <row r="12" ht="20" customHeight="1">
      <c r="A12" s="2">
        <f>IF(B12="","",IFERROR(VLOOKUP(B12, PLANTA_BASE!A:R, 2, FALSE), "NO ENCONTRADO EN PLANTA"))</f>
        <v/>
      </c>
      <c r="B12" s="3" t="inlineStr">
        <is>
          <t>1016015033</t>
        </is>
      </c>
      <c r="C12" s="4" t="inlineStr">
        <is>
          <t>CASTELLANOS JUAN DAVID</t>
        </is>
      </c>
      <c r="D12" s="2">
        <f>IF(B12="","",IFERROR(VLOOKUP(B12, PLANTA_BASE!A:R, 5, FALSE), "NO ENCONTRADO EN PLANTA"))</f>
        <v/>
      </c>
      <c r="E12" s="2">
        <f>IF(B12="","",IFERROR(VLOOKUP(B12, PLANTA_BASE!A:R, 6, FALSE), "NO ENCONTRADO EN PLANTA"))</f>
        <v/>
      </c>
      <c r="F12" s="4">
        <f>IF(B12="","",IFERROR(VLOOKUP(B12, PLANTA_BASE!A:R, 8, FALSE), "DOCENTE / FACILITADOR"))</f>
        <v/>
      </c>
      <c r="G12" s="4">
        <f>IF(B12="","",IFERROR(VLOOKUP(B12, PLANTA_BASE!A:R, 9, FALSE), "GENERAL"))</f>
        <v/>
      </c>
      <c r="H12" s="2">
        <f>IF(B12="","",IFERROR(VLOOKUP(B12, PLANTA_BASE!A:R, 17, FALSE), "GENERAL"))</f>
        <v/>
      </c>
    </row>
    <row r="13" ht="20" customHeight="1">
      <c r="A13" s="5">
        <f>IF(B13="","",IFERROR(VLOOKUP(B13, PLANTA_BASE!A:R, 2, FALSE), "NO ENCONTRADO EN PLANTA"))</f>
        <v/>
      </c>
      <c r="B13" s="6" t="inlineStr">
        <is>
          <t>1023878064</t>
        </is>
      </c>
      <c r="C13" s="7" t="inlineStr">
        <is>
          <t>ESTEPA NATALIA</t>
        </is>
      </c>
      <c r="D13" s="5">
        <f>IF(B13="","",IFERROR(VLOOKUP(B13, PLANTA_BASE!A:R, 5, FALSE), "NO ENCONTRADO EN PLANTA"))</f>
        <v/>
      </c>
      <c r="E13" s="5">
        <f>IF(B13="","",IFERROR(VLOOKUP(B13, PLANTA_BASE!A:R, 6, FALSE), "NO ENCONTRADO EN PLANTA"))</f>
        <v/>
      </c>
      <c r="F13" s="7">
        <f>IF(B13="","",IFERROR(VLOOKUP(B13, PLANTA_BASE!A:R, 8, FALSE), "DOCENTE / FACILITADOR"))</f>
        <v/>
      </c>
      <c r="G13" s="7">
        <f>IF(B13="","",IFERROR(VLOOKUP(B13, PLANTA_BASE!A:R, 9, FALSE), "GENERAL"))</f>
        <v/>
      </c>
      <c r="H13" s="5">
        <f>IF(B13="","",IFERROR(VLOOKUP(B13, PLANTA_BASE!A:R, 17, FALSE), "GENERAL"))</f>
        <v/>
      </c>
    </row>
    <row r="14" ht="20" customHeight="1">
      <c r="A14" s="2">
        <f>IF(B14="","",IFERROR(VLOOKUP(B14, PLANTA_BASE!A:R, 2, FALSE), "NO ENCONTRADO EN PLANTA"))</f>
        <v/>
      </c>
      <c r="B14" s="3" t="inlineStr">
        <is>
          <t>102386806</t>
        </is>
      </c>
      <c r="C14" s="4" t="inlineStr">
        <is>
          <t>ESTEPA NATALIA</t>
        </is>
      </c>
      <c r="D14" s="2">
        <f>IF(B14="","",IFERROR(VLOOKUP(B14, PLANTA_BASE!A:R, 5, FALSE), "NO ENCONTRADO EN PLANTA"))</f>
        <v/>
      </c>
      <c r="E14" s="2">
        <f>IF(B14="","",IFERROR(VLOOKUP(B14, PLANTA_BASE!A:R, 6, FALSE), "NO ENCONTRADO EN PLANTA"))</f>
        <v/>
      </c>
      <c r="F14" s="4">
        <f>IF(B14="","",IFERROR(VLOOKUP(B14, PLANTA_BASE!A:R, 8, FALSE), "DOCENTE / FACILITADOR"))</f>
        <v/>
      </c>
      <c r="G14" s="4">
        <f>IF(B14="","",IFERROR(VLOOKUP(B14, PLANTA_BASE!A:R, 9, FALSE), "GENERAL"))</f>
        <v/>
      </c>
      <c r="H14" s="2">
        <f>IF(B14="","",IFERROR(VLOOKUP(B14, PLANTA_BASE!A:R, 17, FALSE), "GENERAL"))</f>
        <v/>
      </c>
    </row>
    <row r="15" ht="20" customHeight="1">
      <c r="A15" s="5">
        <f>IF(B15="","",IFERROR(VLOOKUP(B15, PLANTA_BASE!A:R, 2, FALSE), "NO ENCONTRADO EN PLANTA"))</f>
        <v/>
      </c>
      <c r="B15" s="6" t="inlineStr">
        <is>
          <t>1026301088</t>
        </is>
      </c>
      <c r="C15" s="7" t="inlineStr">
        <is>
          <t>PENA ALEJANDRO</t>
        </is>
      </c>
      <c r="D15" s="5">
        <f>IF(B15="","",IFERROR(VLOOKUP(B15, PLANTA_BASE!A:R, 5, FALSE), "NO ENCONTRADO EN PLANTA"))</f>
        <v/>
      </c>
      <c r="E15" s="5">
        <f>IF(B15="","",IFERROR(VLOOKUP(B15, PLANTA_BASE!A:R, 6, FALSE), "NO ENCONTRADO EN PLANTA"))</f>
        <v/>
      </c>
      <c r="F15" s="7">
        <f>IF(B15="","",IFERROR(VLOOKUP(B15, PLANTA_BASE!A:R, 8, FALSE), "DOCENTE / FACILITADOR"))</f>
        <v/>
      </c>
      <c r="G15" s="7">
        <f>IF(B15="","",IFERROR(VLOOKUP(B15, PLANTA_BASE!A:R, 9, FALSE), "GENERAL"))</f>
        <v/>
      </c>
      <c r="H15" s="5">
        <f>IF(B15="","",IFERROR(VLOOKUP(B15, PLANTA_BASE!A:R, 17, FALSE), "GENERAL"))</f>
        <v/>
      </c>
    </row>
    <row r="16" ht="20" customHeight="1">
      <c r="A16" s="2">
        <f>IF(B16="","",IFERROR(VLOOKUP(B16, PLANTA_BASE!A:R, 2, FALSE), "NO ENCONTRADO EN PLANTA"))</f>
        <v/>
      </c>
      <c r="B16" s="3" t="inlineStr">
        <is>
          <t>101849331</t>
        </is>
      </c>
      <c r="C16" s="4" t="inlineStr">
        <is>
          <t>GUTIERREZ GALVIS ESTEFANIA</t>
        </is>
      </c>
      <c r="D16" s="2">
        <f>IF(B16="","",IFERROR(VLOOKUP(B16, PLANTA_BASE!A:R, 5, FALSE), "NO ENCONTRADO EN PLANTA"))</f>
        <v/>
      </c>
      <c r="E16" s="2">
        <f>IF(B16="","",IFERROR(VLOOKUP(B16, PLANTA_BASE!A:R, 6, FALSE), "NO ENCONTRADO EN PLANTA"))</f>
        <v/>
      </c>
      <c r="F16" s="4">
        <f>IF(B16="","",IFERROR(VLOOKUP(B16, PLANTA_BASE!A:R, 8, FALSE), "DOCENTE / FACILITADOR"))</f>
        <v/>
      </c>
      <c r="G16" s="4">
        <f>IF(B16="","",IFERROR(VLOOKUP(B16, PLANTA_BASE!A:R, 9, FALSE), "GENERAL"))</f>
        <v/>
      </c>
      <c r="H16" s="2">
        <f>IF(B16="","",IFERROR(VLOOKUP(B16, PLANTA_BASE!A:R, 17, FALSE), "GENERAL"))</f>
        <v/>
      </c>
    </row>
    <row r="17" ht="20" customHeight="1">
      <c r="A17" s="5">
        <f>IF(B17="","",IFERROR(VLOOKUP(B17, PLANTA_BASE!A:R, 2, FALSE), "NO ENCONTRADO EN PLANTA"))</f>
        <v/>
      </c>
      <c r="B17" s="6" t="inlineStr">
        <is>
          <t>1001198453</t>
        </is>
      </c>
      <c r="C17" s="7" t="inlineStr">
        <is>
          <t>GARCIA DIANA</t>
        </is>
      </c>
      <c r="D17" s="5">
        <f>IF(B17="","",IFERROR(VLOOKUP(B17, PLANTA_BASE!A:R, 5, FALSE), "NO ENCONTRADO EN PLANTA"))</f>
        <v/>
      </c>
      <c r="E17" s="5">
        <f>IF(B17="","",IFERROR(VLOOKUP(B17, PLANTA_BASE!A:R, 6, FALSE), "NO ENCONTRADO EN PLANTA"))</f>
        <v/>
      </c>
      <c r="F17" s="7">
        <f>IF(B17="","",IFERROR(VLOOKUP(B17, PLANTA_BASE!A:R, 8, FALSE), "DOCENTE / FACILITADOR"))</f>
        <v/>
      </c>
      <c r="G17" s="7">
        <f>IF(B17="","",IFERROR(VLOOKUP(B17, PLANTA_BASE!A:R, 9, FALSE), "GENERAL"))</f>
        <v/>
      </c>
      <c r="H17" s="5">
        <f>IF(B17="","",IFERROR(VLOOKUP(B17, PLANTA_BASE!A:R, 17, FALSE), "GENERAL"))</f>
        <v/>
      </c>
    </row>
    <row r="18" ht="20" customHeight="1">
      <c r="A18" s="2">
        <f>IF(B18="","",IFERROR(VLOOKUP(B18, PLANTA_BASE!A:R, 2, FALSE), "NO ENCONTRADO EN PLANTA"))</f>
        <v/>
      </c>
      <c r="B18" s="3" t="inlineStr">
        <is>
          <t>1022401925</t>
        </is>
      </c>
      <c r="C18" s="4" t="inlineStr">
        <is>
          <t>DUENAS ROCHA DAVID ANDRES</t>
        </is>
      </c>
      <c r="D18" s="2">
        <f>IF(B18="","",IFERROR(VLOOKUP(B18, PLANTA_BASE!A:R, 5, FALSE), "NO ENCONTRADO EN PLANTA"))</f>
        <v/>
      </c>
      <c r="E18" s="2">
        <f>IF(B18="","",IFERROR(VLOOKUP(B18, PLANTA_BASE!A:R, 6, FALSE), "NO ENCONTRADO EN PLANTA"))</f>
        <v/>
      </c>
      <c r="F18" s="4">
        <f>IF(B18="","",IFERROR(VLOOKUP(B18, PLANTA_BASE!A:R, 8, FALSE), "DOCENTE / FACILITADOR"))</f>
        <v/>
      </c>
      <c r="G18" s="4">
        <f>IF(B18="","",IFERROR(VLOOKUP(B18, PLANTA_BASE!A:R, 9, FALSE), "GENERAL"))</f>
        <v/>
      </c>
      <c r="H18" s="2">
        <f>IF(B18="","",IFERROR(VLOOKUP(B18, PLANTA_BASE!A:R, 17, FALSE), "GENERAL"))</f>
        <v/>
      </c>
    </row>
    <row r="19" ht="20" customHeight="1">
      <c r="A19" s="5">
        <f>IF(B19="","",IFERROR(VLOOKUP(B19, PLANTA_BASE!A:R, 2, FALSE), "NO ENCONTRADO EN PLANTA"))</f>
        <v/>
      </c>
      <c r="B19" s="6" t="inlineStr">
        <is>
          <t>1018502594</t>
        </is>
      </c>
      <c r="C19" s="7" t="inlineStr">
        <is>
          <t>SANCHEZ CASTRO MIGUEL ANGEL</t>
        </is>
      </c>
      <c r="D19" s="5">
        <f>IF(B19="","",IFERROR(VLOOKUP(B19, PLANTA_BASE!A:R, 5, FALSE), "NO ENCONTRADO EN PLANTA"))</f>
        <v/>
      </c>
      <c r="E19" s="5">
        <f>IF(B19="","",IFERROR(VLOOKUP(B19, PLANTA_BASE!A:R, 6, FALSE), "NO ENCONTRADO EN PLANTA"))</f>
        <v/>
      </c>
      <c r="F19" s="7">
        <f>IF(B19="","",IFERROR(VLOOKUP(B19, PLANTA_BASE!A:R, 8, FALSE), "DOCENTE / FACILITADOR"))</f>
        <v/>
      </c>
      <c r="G19" s="7">
        <f>IF(B19="","",IFERROR(VLOOKUP(B19, PLANTA_BASE!A:R, 9, FALSE), "GENERAL"))</f>
        <v/>
      </c>
      <c r="H19" s="5">
        <f>IF(B19="","",IFERROR(VLOOKUP(B19, PLANTA_BASE!A:R, 17, FALSE), "GENERAL"))</f>
        <v/>
      </c>
    </row>
    <row r="20" ht="20" customHeight="1">
      <c r="A20" s="2">
        <f>IF(B20="","",IFERROR(VLOOKUP(B20, PLANTA_BASE!A:R, 2, FALSE), "NO ENCONTRADO EN PLANTA"))</f>
        <v/>
      </c>
      <c r="B20" s="3" t="inlineStr">
        <is>
          <t>1015432115</t>
        </is>
      </c>
      <c r="C20" s="4" t="inlineStr">
        <is>
          <t>AGUILERA LUZ</t>
        </is>
      </c>
      <c r="D20" s="2">
        <f>IF(B20="","",IFERROR(VLOOKUP(B20, PLANTA_BASE!A:R, 5, FALSE), "NO ENCONTRADO EN PLANTA"))</f>
        <v/>
      </c>
      <c r="E20" s="2">
        <f>IF(B20="","",IFERROR(VLOOKUP(B20, PLANTA_BASE!A:R, 6, FALSE), "NO ENCONTRADO EN PLANTA"))</f>
        <v/>
      </c>
      <c r="F20" s="4">
        <f>IF(B20="","",IFERROR(VLOOKUP(B20, PLANTA_BASE!A:R, 8, FALSE), "DOCENTE / FACILITADOR"))</f>
        <v/>
      </c>
      <c r="G20" s="4">
        <f>IF(B20="","",IFERROR(VLOOKUP(B20, PLANTA_BASE!A:R, 9, FALSE), "GENERAL"))</f>
        <v/>
      </c>
      <c r="H20" s="2">
        <f>IF(B20="","",IFERROR(VLOOKUP(B20, PLANTA_BASE!A:R, 17, FALSE), "GENERAL"))</f>
        <v/>
      </c>
    </row>
    <row r="21" ht="20" customHeight="1">
      <c r="A21" s="5">
        <f>IF(B21="","",IFERROR(VLOOKUP(B21, PLANTA_BASE!A:R, 2, FALSE), "NO ENCONTRADO EN PLANTA"))</f>
        <v/>
      </c>
      <c r="B21" s="6" t="inlineStr">
        <is>
          <t>1090401668</t>
        </is>
      </c>
      <c r="C21" s="7" t="inlineStr">
        <is>
          <t>CONTRERAS NARANJO JESUS EDUARDO</t>
        </is>
      </c>
      <c r="D21" s="5">
        <f>IF(B21="","",IFERROR(VLOOKUP(B21, PLANTA_BASE!A:R, 5, FALSE), "NO ENCONTRADO EN PLANTA"))</f>
        <v/>
      </c>
      <c r="E21" s="5">
        <f>IF(B21="","",IFERROR(VLOOKUP(B21, PLANTA_BASE!A:R, 6, FALSE), "NO ENCONTRADO EN PLANTA"))</f>
        <v/>
      </c>
      <c r="F21" s="7">
        <f>IF(B21="","",IFERROR(VLOOKUP(B21, PLANTA_BASE!A:R, 8, FALSE), "DOCENTE / FACILITADOR"))</f>
        <v/>
      </c>
      <c r="G21" s="7">
        <f>IF(B21="","",IFERROR(VLOOKUP(B21, PLANTA_BASE!A:R, 9, FALSE), "GENERAL"))</f>
        <v/>
      </c>
      <c r="H21" s="5">
        <f>IF(B21="","",IFERROR(VLOOKUP(B21, PLANTA_BASE!A:R, 17, FALSE), "GENERAL"))</f>
        <v/>
      </c>
    </row>
    <row r="22" ht="20" customHeight="1">
      <c r="A22" s="2">
        <f>IF(B22="","",IFERROR(VLOOKUP(B22, PLANTA_BASE!A:R, 2, FALSE), "NO ENCONTRADO EN PLANTA"))</f>
        <v/>
      </c>
      <c r="B22" s="3" t="inlineStr">
        <is>
          <t>80798070</t>
        </is>
      </c>
      <c r="C22" s="4" t="inlineStr">
        <is>
          <t>COMBITA ALEX</t>
        </is>
      </c>
      <c r="D22" s="2">
        <f>IF(B22="","",IFERROR(VLOOKUP(B22, PLANTA_BASE!A:R, 5, FALSE), "NO ENCONTRADO EN PLANTA"))</f>
        <v/>
      </c>
      <c r="E22" s="2">
        <f>IF(B22="","",IFERROR(VLOOKUP(B22, PLANTA_BASE!A:R, 6, FALSE), "NO ENCONTRADO EN PLANTA"))</f>
        <v/>
      </c>
      <c r="F22" s="4">
        <f>IF(B22="","",IFERROR(VLOOKUP(B22, PLANTA_BASE!A:R, 8, FALSE), "DOCENTE / FACILITADOR"))</f>
        <v/>
      </c>
      <c r="G22" s="4">
        <f>IF(B22="","",IFERROR(VLOOKUP(B22, PLANTA_BASE!A:R, 9, FALSE), "GENERAL"))</f>
        <v/>
      </c>
      <c r="H22" s="2">
        <f>IF(B22="","",IFERROR(VLOOKUP(B22, PLANTA_BASE!A:R, 17, FALSE), "GENERAL"))</f>
        <v/>
      </c>
    </row>
    <row r="23" ht="20" customHeight="1">
      <c r="A23" s="5">
        <f>IF(B23="","",IFERROR(VLOOKUP(B23, PLANTA_BASE!A:R, 2, FALSE), "NO ENCONTRADO EN PLANTA"))</f>
        <v/>
      </c>
      <c r="B23" s="6" t="inlineStr">
        <is>
          <t>79962408</t>
        </is>
      </c>
      <c r="C23" s="7" t="inlineStr">
        <is>
          <t>RODRIGUEZ MANUEL</t>
        </is>
      </c>
      <c r="D23" s="5">
        <f>IF(B23="","",IFERROR(VLOOKUP(B23, PLANTA_BASE!A:R, 5, FALSE), "NO ENCONTRADO EN PLANTA"))</f>
        <v/>
      </c>
      <c r="E23" s="5">
        <f>IF(B23="","",IFERROR(VLOOKUP(B23, PLANTA_BASE!A:R, 6, FALSE), "NO ENCONTRADO EN PLANTA"))</f>
        <v/>
      </c>
      <c r="F23" s="7">
        <f>IF(B23="","",IFERROR(VLOOKUP(B23, PLANTA_BASE!A:R, 8, FALSE), "DOCENTE / FACILITADOR"))</f>
        <v/>
      </c>
      <c r="G23" s="7">
        <f>IF(B23="","",IFERROR(VLOOKUP(B23, PLANTA_BASE!A:R, 9, FALSE), "GENERAL"))</f>
        <v/>
      </c>
      <c r="H23" s="5">
        <f>IF(B23="","",IFERROR(VLOOKUP(B23, PLANTA_BASE!A:R, 17, FALSE), "GENERAL"))</f>
        <v/>
      </c>
    </row>
    <row r="24" ht="20" customHeight="1">
      <c r="A24" s="2">
        <f>IF(B24="","",IFERROR(VLOOKUP(B24, PLANTA_BASE!A:R, 2, FALSE), "NO ENCONTRADO EN PLANTA"))</f>
        <v/>
      </c>
      <c r="B24" s="3" t="inlineStr">
        <is>
          <t>79841119</t>
        </is>
      </c>
      <c r="C24" s="4" t="inlineStr">
        <is>
          <t>MUNOZ GALINDO RAUL ALEJANDRO</t>
        </is>
      </c>
      <c r="D24" s="2">
        <f>IF(B24="","",IFERROR(VLOOKUP(B24, PLANTA_BASE!A:R, 5, FALSE), "NO ENCONTRADO EN PLANTA"))</f>
        <v/>
      </c>
      <c r="E24" s="2">
        <f>IF(B24="","",IFERROR(VLOOKUP(B24, PLANTA_BASE!A:R, 6, FALSE), "NO ENCONTRADO EN PLANTA"))</f>
        <v/>
      </c>
      <c r="F24" s="4">
        <f>IF(B24="","",IFERROR(VLOOKUP(B24, PLANTA_BASE!A:R, 8, FALSE), "DOCENTE / FACILITADOR"))</f>
        <v/>
      </c>
      <c r="G24" s="4">
        <f>IF(B24="","",IFERROR(VLOOKUP(B24, PLANTA_BASE!A:R, 9, FALSE), "GENERAL"))</f>
        <v/>
      </c>
      <c r="H24" s="2">
        <f>IF(B24="","",IFERROR(VLOOKUP(B24, PLANTA_BASE!A:R, 17, FALSE), "GENERAL"))</f>
        <v/>
      </c>
    </row>
    <row r="25" ht="20" customHeight="1">
      <c r="A25" s="5">
        <f>IF(B25="","",IFERROR(VLOOKUP(B25, PLANTA_BASE!A:R, 2, FALSE), "NO ENCONTRADO EN PLANTA"))</f>
        <v/>
      </c>
      <c r="B25" s="6" t="inlineStr">
        <is>
          <t>1010237435</t>
        </is>
      </c>
      <c r="C25" s="7" t="inlineStr">
        <is>
          <t>GARIBELLO SANCHEZ LINA MARIA</t>
        </is>
      </c>
      <c r="D25" s="5">
        <f>IF(B25="","",IFERROR(VLOOKUP(B25, PLANTA_BASE!A:R, 5, FALSE), "NO ENCONTRADO EN PLANTA"))</f>
        <v/>
      </c>
      <c r="E25" s="5">
        <f>IF(B25="","",IFERROR(VLOOKUP(B25, PLANTA_BASE!A:R, 6, FALSE), "NO ENCONTRADO EN PLANTA"))</f>
        <v/>
      </c>
      <c r="F25" s="7">
        <f>IF(B25="","",IFERROR(VLOOKUP(B25, PLANTA_BASE!A:R, 8, FALSE), "DOCENTE / FACILITADOR"))</f>
        <v/>
      </c>
      <c r="G25" s="7">
        <f>IF(B25="","",IFERROR(VLOOKUP(B25, PLANTA_BASE!A:R, 9, FALSE), "GENERAL"))</f>
        <v/>
      </c>
      <c r="H25" s="5">
        <f>IF(B25="","",IFERROR(VLOOKUP(B25, PLANTA_BASE!A:R, 17, FALSE), "GENERAL"))</f>
        <v/>
      </c>
    </row>
    <row r="26" ht="20" customHeight="1">
      <c r="A26" s="2">
        <f>IF(B26="","",IFERROR(VLOOKUP(B26, PLANTA_BASE!A:R, 2, FALSE), "NO ENCONTRADO EN PLANTA"))</f>
        <v/>
      </c>
      <c r="B26" s="3" t="inlineStr">
        <is>
          <t>1016041421</t>
        </is>
      </c>
      <c r="C26" s="4" t="inlineStr">
        <is>
          <t>RINCON GALAN JULIAN DAVID</t>
        </is>
      </c>
      <c r="D26" s="2">
        <f>IF(B26="","",IFERROR(VLOOKUP(B26, PLANTA_BASE!A:R, 5, FALSE), "NO ENCONTRADO EN PLANTA"))</f>
        <v/>
      </c>
      <c r="E26" s="2">
        <f>IF(B26="","",IFERROR(VLOOKUP(B26, PLANTA_BASE!A:R, 6, FALSE), "NO ENCONTRADO EN PLANTA"))</f>
        <v/>
      </c>
      <c r="F26" s="4">
        <f>IF(B26="","",IFERROR(VLOOKUP(B26, PLANTA_BASE!A:R, 8, FALSE), "DOCENTE / FACILITADOR"))</f>
        <v/>
      </c>
      <c r="G26" s="4">
        <f>IF(B26="","",IFERROR(VLOOKUP(B26, PLANTA_BASE!A:R, 9, FALSE), "GENERAL"))</f>
        <v/>
      </c>
      <c r="H26" s="2">
        <f>IF(B26="","",IFERROR(VLOOKUP(B26, PLANTA_BASE!A:R, 17, FALSE), "GENERAL"))</f>
        <v/>
      </c>
    </row>
    <row r="27" ht="20" customHeight="1">
      <c r="A27" s="5">
        <f>IF(B27="","",IFERROR(VLOOKUP(B27, PLANTA_BASE!A:R, 2, FALSE), "NO ENCONTRADO EN PLANTA"))</f>
        <v/>
      </c>
      <c r="B27" s="6" t="inlineStr">
        <is>
          <t>52711739</t>
        </is>
      </c>
      <c r="C27" s="7" t="inlineStr">
        <is>
          <t>CONTRERAS FIERRO CAROLINA</t>
        </is>
      </c>
      <c r="D27" s="5">
        <f>IF(B27="","",IFERROR(VLOOKUP(B27, PLANTA_BASE!A:R, 5, FALSE), "NO ENCONTRADO EN PLANTA"))</f>
        <v/>
      </c>
      <c r="E27" s="5">
        <f>IF(B27="","",IFERROR(VLOOKUP(B27, PLANTA_BASE!A:R, 6, FALSE), "NO ENCONTRADO EN PLANTA"))</f>
        <v/>
      </c>
      <c r="F27" s="7">
        <f>IF(B27="","",IFERROR(VLOOKUP(B27, PLANTA_BASE!A:R, 8, FALSE), "DOCENTE / FACILITADOR"))</f>
        <v/>
      </c>
      <c r="G27" s="7">
        <f>IF(B27="","",IFERROR(VLOOKUP(B27, PLANTA_BASE!A:R, 9, FALSE), "GENERAL"))</f>
        <v/>
      </c>
      <c r="H27" s="5">
        <f>IF(B27="","",IFERROR(VLOOKUP(B27, PLANTA_BASE!A:R, 17, FALSE), "GENERAL"))</f>
        <v/>
      </c>
    </row>
    <row r="28" ht="20" customHeight="1">
      <c r="A28" s="2">
        <f>IF(B28="","",IFERROR(VLOOKUP(B28, PLANTA_BASE!A:R, 2, FALSE), "NO ENCONTRADO EN PLANTA"))</f>
        <v/>
      </c>
      <c r="B28" s="3" t="inlineStr">
        <is>
          <t>530044000</t>
        </is>
      </c>
      <c r="C28" s="4" t="inlineStr">
        <is>
          <t>SIERRA KELLY JOHANNA</t>
        </is>
      </c>
      <c r="D28" s="2">
        <f>IF(B28="","",IFERROR(VLOOKUP(B28, PLANTA_BASE!A:R, 5, FALSE), "NO ENCONTRADO EN PLANTA"))</f>
        <v/>
      </c>
      <c r="E28" s="2">
        <f>IF(B28="","",IFERROR(VLOOKUP(B28, PLANTA_BASE!A:R, 6, FALSE), "NO ENCONTRADO EN PLANTA"))</f>
        <v/>
      </c>
      <c r="F28" s="4">
        <f>IF(B28="","",IFERROR(VLOOKUP(B28, PLANTA_BASE!A:R, 8, FALSE), "DOCENTE / FACILITADOR"))</f>
        <v/>
      </c>
      <c r="G28" s="4">
        <f>IF(B28="","",IFERROR(VLOOKUP(B28, PLANTA_BASE!A:R, 9, FALSE), "GENERAL"))</f>
        <v/>
      </c>
      <c r="H28" s="2">
        <f>IF(B28="","",IFERROR(VLOOKUP(B28, PLANTA_BASE!A:R, 17, FALSE), "GENERAL"))</f>
        <v/>
      </c>
    </row>
    <row r="29" ht="20" customHeight="1">
      <c r="A29" s="5">
        <f>IF(B29="","",IFERROR(VLOOKUP(B29, PLANTA_BASE!A:R, 2, FALSE), "NO ENCONTRADO EN PLANTA"))</f>
        <v/>
      </c>
      <c r="B29" s="6" t="inlineStr">
        <is>
          <t>1012400439</t>
        </is>
      </c>
      <c r="C29" s="7" t="inlineStr">
        <is>
          <t>PINEDA MUNOZ LADY ESTEFANIA</t>
        </is>
      </c>
      <c r="D29" s="5">
        <f>IF(B29="","",IFERROR(VLOOKUP(B29, PLANTA_BASE!A:R, 5, FALSE), "NO ENCONTRADO EN PLANTA"))</f>
        <v/>
      </c>
      <c r="E29" s="5">
        <f>IF(B29="","",IFERROR(VLOOKUP(B29, PLANTA_BASE!A:R, 6, FALSE), "NO ENCONTRADO EN PLANTA"))</f>
        <v/>
      </c>
      <c r="F29" s="7">
        <f>IF(B29="","",IFERROR(VLOOKUP(B29, PLANTA_BASE!A:R, 8, FALSE), "DOCENTE / FACILITADOR"))</f>
        <v/>
      </c>
      <c r="G29" s="7">
        <f>IF(B29="","",IFERROR(VLOOKUP(B29, PLANTA_BASE!A:R, 9, FALSE), "GENERAL"))</f>
        <v/>
      </c>
      <c r="H29" s="5">
        <f>IF(B29="","",IFERROR(VLOOKUP(B29, PLANTA_BASE!A:R, 17, FALSE), "GENERAL"))</f>
        <v/>
      </c>
    </row>
    <row r="30" ht="20" customHeight="1">
      <c r="A30" s="2">
        <f>IF(B30="","",IFERROR(VLOOKUP(B30, PLANTA_BASE!A:R, 2, FALSE), "NO ENCONTRADO EN PLANTA"))</f>
        <v/>
      </c>
      <c r="B30" s="3" t="inlineStr">
        <is>
          <t>80109407</t>
        </is>
      </c>
      <c r="C30" s="4" t="inlineStr">
        <is>
          <t>ACOSTA ALEJANDRO</t>
        </is>
      </c>
      <c r="D30" s="2">
        <f>IF(B30="","",IFERROR(VLOOKUP(B30, PLANTA_BASE!A:R, 5, FALSE), "NO ENCONTRADO EN PLANTA"))</f>
        <v/>
      </c>
      <c r="E30" s="2">
        <f>IF(B30="","",IFERROR(VLOOKUP(B30, PLANTA_BASE!A:R, 6, FALSE), "NO ENCONTRADO EN PLANTA"))</f>
        <v/>
      </c>
      <c r="F30" s="4">
        <f>IF(B30="","",IFERROR(VLOOKUP(B30, PLANTA_BASE!A:R, 8, FALSE), "DOCENTE / FACILITADOR"))</f>
        <v/>
      </c>
      <c r="G30" s="4">
        <f>IF(B30="","",IFERROR(VLOOKUP(B30, PLANTA_BASE!A:R, 9, FALSE), "GENERAL"))</f>
        <v/>
      </c>
      <c r="H30" s="2">
        <f>IF(B30="","",IFERROR(VLOOKUP(B30, PLANTA_BASE!A:R, 17, FALSE), "GENERAL"))</f>
        <v/>
      </c>
    </row>
    <row r="31" ht="20" customHeight="1">
      <c r="A31" s="5">
        <f>IF(B31="","",IFERROR(VLOOKUP(B31, PLANTA_BASE!A:R, 2, FALSE), "NO ENCONTRADO EN PLANTA"))</f>
        <v/>
      </c>
      <c r="B31" s="6" t="inlineStr">
        <is>
          <t>1031156129</t>
        </is>
      </c>
      <c r="C31" s="7" t="inlineStr">
        <is>
          <t>BECERRA JULIAN CAMILO</t>
        </is>
      </c>
      <c r="D31" s="5">
        <f>IF(B31="","",IFERROR(VLOOKUP(B31, PLANTA_BASE!A:R, 5, FALSE), "NO ENCONTRADO EN PLANTA"))</f>
        <v/>
      </c>
      <c r="E31" s="5">
        <f>IF(B31="","",IFERROR(VLOOKUP(B31, PLANTA_BASE!A:R, 6, FALSE), "NO ENCONTRADO EN PLANTA"))</f>
        <v/>
      </c>
      <c r="F31" s="7">
        <f>IF(B31="","",IFERROR(VLOOKUP(B31, PLANTA_BASE!A:R, 8, FALSE), "DOCENTE / FACILITADOR"))</f>
        <v/>
      </c>
      <c r="G31" s="7">
        <f>IF(B31="","",IFERROR(VLOOKUP(B31, PLANTA_BASE!A:R, 9, FALSE), "GENERAL"))</f>
        <v/>
      </c>
      <c r="H31" s="5">
        <f>IF(B31="","",IFERROR(VLOOKUP(B31, PLANTA_BASE!A:R, 17, FALSE), "GENERAL"))</f>
        <v/>
      </c>
    </row>
    <row r="32" ht="20" customHeight="1">
      <c r="A32" s="2">
        <f>IF(B32="","",IFERROR(VLOOKUP(B32, PLANTA_BASE!A:R, 2, FALSE), "NO ENCONTRADO EN PLANTA"))</f>
        <v/>
      </c>
      <c r="B32" s="3" t="inlineStr">
        <is>
          <t>1090362638</t>
        </is>
      </c>
      <c r="C32" s="4" t="inlineStr">
        <is>
          <t>NAVAS CASADIEGO LILIANA ISABEL</t>
        </is>
      </c>
      <c r="D32" s="2">
        <f>IF(B32="","",IFERROR(VLOOKUP(B32, PLANTA_BASE!A:R, 5, FALSE), "NO ENCONTRADO EN PLANTA"))</f>
        <v/>
      </c>
      <c r="E32" s="2">
        <f>IF(B32="","",IFERROR(VLOOKUP(B32, PLANTA_BASE!A:R, 6, FALSE), "NO ENCONTRADO EN PLANTA"))</f>
        <v/>
      </c>
      <c r="F32" s="4">
        <f>IF(B32="","",IFERROR(VLOOKUP(B32, PLANTA_BASE!A:R, 8, FALSE), "DOCENTE / FACILITADOR"))</f>
        <v/>
      </c>
      <c r="G32" s="4">
        <f>IF(B32="","",IFERROR(VLOOKUP(B32, PLANTA_BASE!A:R, 9, FALSE), "GENERAL"))</f>
        <v/>
      </c>
      <c r="H32" s="2">
        <f>IF(B32="","",IFERROR(VLOOKUP(B32, PLANTA_BASE!A:R, 17, FALSE), "GENERAL"))</f>
        <v/>
      </c>
    </row>
    <row r="33" ht="20" customHeight="1">
      <c r="A33" s="5">
        <f>IF(B33="","",IFERROR(VLOOKUP(B33, PLANTA_BASE!A:R, 2, FALSE), "NO ENCONTRADO EN PLANTA"))</f>
        <v/>
      </c>
      <c r="B33" s="6" t="inlineStr">
        <is>
          <t>1018480537</t>
        </is>
      </c>
      <c r="C33" s="7" t="inlineStr">
        <is>
          <t>GUTIERREZ BELTRAN PEDRO DAVID</t>
        </is>
      </c>
      <c r="D33" s="5">
        <f>IF(B33="","",IFERROR(VLOOKUP(B33, PLANTA_BASE!A:R, 5, FALSE), "NO ENCONTRADO EN PLANTA"))</f>
        <v/>
      </c>
      <c r="E33" s="5">
        <f>IF(B33="","",IFERROR(VLOOKUP(B33, PLANTA_BASE!A:R, 6, FALSE), "NO ENCONTRADO EN PLANTA"))</f>
        <v/>
      </c>
      <c r="F33" s="7">
        <f>IF(B33="","",IFERROR(VLOOKUP(B33, PLANTA_BASE!A:R, 8, FALSE), "DOCENTE / FACILITADOR"))</f>
        <v/>
      </c>
      <c r="G33" s="7">
        <f>IF(B33="","",IFERROR(VLOOKUP(B33, PLANTA_BASE!A:R, 9, FALSE), "GENERAL"))</f>
        <v/>
      </c>
      <c r="H33" s="5">
        <f>IF(B33="","",IFERROR(VLOOKUP(B33, PLANTA_BASE!A:R, 17, FALSE), "GENERAL"))</f>
        <v/>
      </c>
    </row>
    <row r="34" ht="20" customHeight="1">
      <c r="A34" s="2">
        <f>IF(B34="","",IFERROR(VLOOKUP(B34, PLANTA_BASE!A:R, 2, FALSE), "NO ENCONTRADO EN PLANTA"))</f>
        <v/>
      </c>
      <c r="B34" s="3" t="inlineStr">
        <is>
          <t>5313915</t>
        </is>
      </c>
      <c r="C34" s="4" t="inlineStr">
        <is>
          <t>AVILA MARTINEZ BIBIANA</t>
        </is>
      </c>
      <c r="D34" s="2">
        <f>IF(B34="","",IFERROR(VLOOKUP(B34, PLANTA_BASE!A:R, 5, FALSE), "NO ENCONTRADO EN PLANTA"))</f>
        <v/>
      </c>
      <c r="E34" s="2">
        <f>IF(B34="","",IFERROR(VLOOKUP(B34, PLANTA_BASE!A:R, 6, FALSE), "NO ENCONTRADO EN PLANTA"))</f>
        <v/>
      </c>
      <c r="F34" s="4">
        <f>IF(B34="","",IFERROR(VLOOKUP(B34, PLANTA_BASE!A:R, 8, FALSE), "DOCENTE / FACILITADOR"))</f>
        <v/>
      </c>
      <c r="G34" s="4">
        <f>IF(B34="","",IFERROR(VLOOKUP(B34, PLANTA_BASE!A:R, 9, FALSE), "GENERAL"))</f>
        <v/>
      </c>
      <c r="H34" s="2">
        <f>IF(B34="","",IFERROR(VLOOKUP(B34, PLANTA_BASE!A:R, 17, FALSE), "GENERAL"))</f>
        <v/>
      </c>
    </row>
    <row r="35" ht="20" customHeight="1">
      <c r="A35" s="5">
        <f>IF(B35="","",IFERROR(VLOOKUP(B35, PLANTA_BASE!A:R, 2, FALSE), "NO ENCONTRADO EN PLANTA"))</f>
        <v/>
      </c>
      <c r="B35" s="6" t="inlineStr">
        <is>
          <t>604499313</t>
        </is>
      </c>
      <c r="C35" s="7" t="inlineStr">
        <is>
          <t>SEPULVEDA DIANA LORENA</t>
        </is>
      </c>
      <c r="D35" s="5">
        <f>IF(B35="","",IFERROR(VLOOKUP(B35, PLANTA_BASE!A:R, 5, FALSE), "NO ENCONTRADO EN PLANTA"))</f>
        <v/>
      </c>
      <c r="E35" s="5">
        <f>IF(B35="","",IFERROR(VLOOKUP(B35, PLANTA_BASE!A:R, 6, FALSE), "NO ENCONTRADO EN PLANTA"))</f>
        <v/>
      </c>
      <c r="F35" s="7">
        <f>IF(B35="","",IFERROR(VLOOKUP(B35, PLANTA_BASE!A:R, 8, FALSE), "DOCENTE / FACILITADOR"))</f>
        <v/>
      </c>
      <c r="G35" s="7">
        <f>IF(B35="","",IFERROR(VLOOKUP(B35, PLANTA_BASE!A:R, 9, FALSE), "GENERAL"))</f>
        <v/>
      </c>
      <c r="H35" s="5">
        <f>IF(B35="","",IFERROR(VLOOKUP(B35, PLANTA_BASE!A:R, 17, FALSE), "GENERAL"))</f>
        <v/>
      </c>
    </row>
    <row r="36" ht="20" customHeight="1">
      <c r="A36" s="2">
        <f>IF(B36="","",IFERROR(VLOOKUP(B36, PLANTA_BASE!A:R, 2, FALSE), "NO ENCONTRADO EN PLANTA"))</f>
        <v/>
      </c>
      <c r="B36" s="3" t="inlineStr">
        <is>
          <t>80233168</t>
        </is>
      </c>
      <c r="C36" s="4" t="inlineStr">
        <is>
          <t>CAMARGO PLATA RAMON HUMBERTO</t>
        </is>
      </c>
      <c r="D36" s="2">
        <f>IF(B36="","",IFERROR(VLOOKUP(B36, PLANTA_BASE!A:R, 5, FALSE), "NO ENCONTRADO EN PLANTA"))</f>
        <v/>
      </c>
      <c r="E36" s="2">
        <f>IF(B36="","",IFERROR(VLOOKUP(B36, PLANTA_BASE!A:R, 6, FALSE), "NO ENCONTRADO EN PLANTA"))</f>
        <v/>
      </c>
      <c r="F36" s="4">
        <f>IF(B36="","",IFERROR(VLOOKUP(B36, PLANTA_BASE!A:R, 8, FALSE), "DOCENTE / FACILITADOR"))</f>
        <v/>
      </c>
      <c r="G36" s="4">
        <f>IF(B36="","",IFERROR(VLOOKUP(B36, PLANTA_BASE!A:R, 9, FALSE), "GENERAL"))</f>
        <v/>
      </c>
      <c r="H36" s="2">
        <f>IF(B36="","",IFERROR(VLOOKUP(B36, PLANTA_BASE!A:R, 17, FALSE), "GENERAL"))</f>
        <v/>
      </c>
    </row>
    <row r="37" ht="20" customHeight="1">
      <c r="A37" s="5">
        <f>IF(B37="","",IFERROR(VLOOKUP(B37, PLANTA_BASE!A:R, 2, FALSE), "NO ENCONTRADO EN PLANTA"))</f>
        <v/>
      </c>
      <c r="B37" s="6" t="inlineStr">
        <is>
          <t>80161728</t>
        </is>
      </c>
      <c r="C37" s="7" t="inlineStr">
        <is>
          <t>SOLANO GAITAN EDWIN ORLANDO</t>
        </is>
      </c>
      <c r="D37" s="5">
        <f>IF(B37="","",IFERROR(VLOOKUP(B37, PLANTA_BASE!A:R, 5, FALSE), "NO ENCONTRADO EN PLANTA"))</f>
        <v/>
      </c>
      <c r="E37" s="5">
        <f>IF(B37="","",IFERROR(VLOOKUP(B37, PLANTA_BASE!A:R, 6, FALSE), "NO ENCONTRADO EN PLANTA"))</f>
        <v/>
      </c>
      <c r="F37" s="7">
        <f>IF(B37="","",IFERROR(VLOOKUP(B37, PLANTA_BASE!A:R, 8, FALSE), "DOCENTE / FACILITADOR"))</f>
        <v/>
      </c>
      <c r="G37" s="7">
        <f>IF(B37="","",IFERROR(VLOOKUP(B37, PLANTA_BASE!A:R, 9, FALSE), "GENERAL"))</f>
        <v/>
      </c>
      <c r="H37" s="5">
        <f>IF(B37="","",IFERROR(VLOOKUP(B37, PLANTA_BASE!A:R, 17, FALSE), "GENERAL"))</f>
        <v/>
      </c>
    </row>
    <row r="38" ht="20" customHeight="1">
      <c r="A38" s="2">
        <f>IF(B38="","",IFERROR(VLOOKUP(B38, PLANTA_BASE!A:R, 2, FALSE), "NO ENCONTRADO EN PLANTA"))</f>
        <v/>
      </c>
      <c r="B38" s="3" t="inlineStr">
        <is>
          <t>52379844</t>
        </is>
      </c>
      <c r="C38" s="4" t="inlineStr">
        <is>
          <t>OLAYA SANDRA</t>
        </is>
      </c>
      <c r="D38" s="2">
        <f>IF(B38="","",IFERROR(VLOOKUP(B38, PLANTA_BASE!A:R, 5, FALSE), "NO ENCONTRADO EN PLANTA"))</f>
        <v/>
      </c>
      <c r="E38" s="2">
        <f>IF(B38="","",IFERROR(VLOOKUP(B38, PLANTA_BASE!A:R, 6, FALSE), "NO ENCONTRADO EN PLANTA"))</f>
        <v/>
      </c>
      <c r="F38" s="4">
        <f>IF(B38="","",IFERROR(VLOOKUP(B38, PLANTA_BASE!A:R, 8, FALSE), "DOCENTE / FACILITADOR"))</f>
        <v/>
      </c>
      <c r="G38" s="4">
        <f>IF(B38="","",IFERROR(VLOOKUP(B38, PLANTA_BASE!A:R, 9, FALSE), "GENERAL"))</f>
        <v/>
      </c>
      <c r="H38" s="2">
        <f>IF(B38="","",IFERROR(VLOOKUP(B38, PLANTA_BASE!A:R, 17, FALSE), "GENERAL"))</f>
        <v/>
      </c>
    </row>
    <row r="39" ht="20" customHeight="1">
      <c r="A39" s="5">
        <f>IF(B39="","",IFERROR(VLOOKUP(B39, PLANTA_BASE!A:R, 2, FALSE), "NO ENCONTRADO EN PLANTA"))</f>
        <v/>
      </c>
      <c r="B39" s="6" t="inlineStr">
        <is>
          <t>1033721963</t>
        </is>
      </c>
      <c r="C39" s="7" t="inlineStr">
        <is>
          <t>SALAMANCA DIEGO</t>
        </is>
      </c>
      <c r="D39" s="5">
        <f>IF(B39="","",IFERROR(VLOOKUP(B39, PLANTA_BASE!A:R, 5, FALSE), "NO ENCONTRADO EN PLANTA"))</f>
        <v/>
      </c>
      <c r="E39" s="5">
        <f>IF(B39="","",IFERROR(VLOOKUP(B39, PLANTA_BASE!A:R, 6, FALSE), "NO ENCONTRADO EN PLANTA"))</f>
        <v/>
      </c>
      <c r="F39" s="7">
        <f>IF(B39="","",IFERROR(VLOOKUP(B39, PLANTA_BASE!A:R, 8, FALSE), "DOCENTE / FACILITADOR"))</f>
        <v/>
      </c>
      <c r="G39" s="7">
        <f>IF(B39="","",IFERROR(VLOOKUP(B39, PLANTA_BASE!A:R, 9, FALSE), "GENERAL"))</f>
        <v/>
      </c>
      <c r="H39" s="5">
        <f>IF(B39="","",IFERROR(VLOOKUP(B39, PLANTA_BASE!A:R, 17, FALSE), "GENERAL"))</f>
        <v/>
      </c>
    </row>
    <row r="40" ht="20" customHeight="1">
      <c r="A40" s="2">
        <f>IF(B40="","",IFERROR(VLOOKUP(B40, PLANTA_BASE!A:R, 2, FALSE), "NO ENCONTRADO EN PLANTA"))</f>
        <v/>
      </c>
      <c r="B40" s="3" t="inlineStr">
        <is>
          <t>80110200</t>
        </is>
      </c>
      <c r="C40" s="4" t="inlineStr">
        <is>
          <t>VARGAS CAMILO</t>
        </is>
      </c>
      <c r="D40" s="2">
        <f>IF(B40="","",IFERROR(VLOOKUP(B40, PLANTA_BASE!A:R, 5, FALSE), "NO ENCONTRADO EN PLANTA"))</f>
        <v/>
      </c>
      <c r="E40" s="2">
        <f>IF(B40="","",IFERROR(VLOOKUP(B40, PLANTA_BASE!A:R, 6, FALSE), "NO ENCONTRADO EN PLANTA"))</f>
        <v/>
      </c>
      <c r="F40" s="4">
        <f>IF(B40="","",IFERROR(VLOOKUP(B40, PLANTA_BASE!A:R, 8, FALSE), "DOCENTE / FACILITADOR"))</f>
        <v/>
      </c>
      <c r="G40" s="4">
        <f>IF(B40="","",IFERROR(VLOOKUP(B40, PLANTA_BASE!A:R, 9, FALSE), "GENERAL"))</f>
        <v/>
      </c>
      <c r="H40" s="2">
        <f>IF(B40="","",IFERROR(VLOOKUP(B40, PLANTA_BASE!A:R, 17, FALSE), "GENERAL"))</f>
        <v/>
      </c>
    </row>
    <row r="41" ht="20" customHeight="1">
      <c r="A41" s="5">
        <f>IF(B41="","",IFERROR(VLOOKUP(B41, PLANTA_BASE!A:R, 2, FALSE), "NO ENCONTRADO EN PLANTA"))</f>
        <v/>
      </c>
      <c r="B41" s="6" t="inlineStr">
        <is>
          <t>1015442238</t>
        </is>
      </c>
      <c r="C41" s="7" t="inlineStr">
        <is>
          <t>OSORIO PAULA</t>
        </is>
      </c>
      <c r="D41" s="5">
        <f>IF(B41="","",IFERROR(VLOOKUP(B41, PLANTA_BASE!A:R, 5, FALSE), "NO ENCONTRADO EN PLANTA"))</f>
        <v/>
      </c>
      <c r="E41" s="5">
        <f>IF(B41="","",IFERROR(VLOOKUP(B41, PLANTA_BASE!A:R, 6, FALSE), "NO ENCONTRADO EN PLANTA"))</f>
        <v/>
      </c>
      <c r="F41" s="7">
        <f>IF(B41="","",IFERROR(VLOOKUP(B41, PLANTA_BASE!A:R, 8, FALSE), "DOCENTE / FACILITADOR"))</f>
        <v/>
      </c>
      <c r="G41" s="7">
        <f>IF(B41="","",IFERROR(VLOOKUP(B41, PLANTA_BASE!A:R, 9, FALSE), "GENERAL"))</f>
        <v/>
      </c>
      <c r="H41" s="5">
        <f>IF(B41="","",IFERROR(VLOOKUP(B41, PLANTA_BASE!A:R, 17, FALSE), "GENERAL"))</f>
        <v/>
      </c>
    </row>
    <row r="42" ht="20" customHeight="1">
      <c r="A42" s="2">
        <f>IF(B42="","",IFERROR(VLOOKUP(B42, PLANTA_BASE!A:R, 2, FALSE), "NO ENCONTRADO EN PLANTA"))</f>
        <v/>
      </c>
      <c r="B42" s="3" t="inlineStr">
        <is>
          <t>nan</t>
        </is>
      </c>
      <c r="C42" s="4" t="inlineStr">
        <is>
          <t>VARGAS CAMILO</t>
        </is>
      </c>
      <c r="D42" s="2">
        <f>IF(B42="","",IFERROR(VLOOKUP(B42, PLANTA_BASE!A:R, 5, FALSE), "NO ENCONTRADO EN PLANTA"))</f>
        <v/>
      </c>
      <c r="E42" s="2">
        <f>IF(B42="","",IFERROR(VLOOKUP(B42, PLANTA_BASE!A:R, 6, FALSE), "NO ENCONTRADO EN PLANTA"))</f>
        <v/>
      </c>
      <c r="F42" s="4">
        <f>IF(B42="","",IFERROR(VLOOKUP(B42, PLANTA_BASE!A:R, 8, FALSE), "DOCENTE / FACILITADOR"))</f>
        <v/>
      </c>
      <c r="G42" s="4">
        <f>IF(B42="","",IFERROR(VLOOKUP(B42, PLANTA_BASE!A:R, 9, FALSE), "GENERAL"))</f>
        <v/>
      </c>
      <c r="H42" s="2">
        <f>IF(B42="","",IFERROR(VLOOKUP(B42, PLANTA_BASE!A:R, 17, FALSE), "GENERAL"))</f>
        <v/>
      </c>
    </row>
    <row r="43" ht="20" customHeight="1">
      <c r="A43" s="5">
        <f>IF(B43="","",IFERROR(VLOOKUP(B43, PLANTA_BASE!A:R, 2, FALSE), "NO ENCONTRADO EN PLANTA"))</f>
        <v/>
      </c>
      <c r="B43" s="6" t="inlineStr"/>
      <c r="C43" s="7">
        <f>IF(B43="","",IFERROR(VLOOKUP(B43, PLANTA_BASE!A:R, 3, FALSE), ""))</f>
        <v/>
      </c>
      <c r="D43" s="5">
        <f>IF(B43="","",IFERROR(VLOOKUP(B43, PLANTA_BASE!A:R, 5, FALSE), "NO ENCONTRADO EN PLANTA"))</f>
        <v/>
      </c>
      <c r="E43" s="5">
        <f>IF(B43="","",IFERROR(VLOOKUP(B43, PLANTA_BASE!A:R, 6, FALSE), "NO ENCONTRADO EN PLANTA"))</f>
        <v/>
      </c>
      <c r="F43" s="7">
        <f>IF(B43="","",IFERROR(VLOOKUP(B43, PLANTA_BASE!A:R, 8, FALSE), "DOCENTE / FACILITADOR"))</f>
        <v/>
      </c>
      <c r="G43" s="7">
        <f>IF(B43="","",IFERROR(VLOOKUP(B43, PLANTA_BASE!A:R, 9, FALSE), "GENERAL"))</f>
        <v/>
      </c>
      <c r="H43" s="5">
        <f>IF(B43="","",IFERROR(VLOOKUP(B43, PLANTA_BASE!A:R, 17, FALSE), "GENERAL"))</f>
        <v/>
      </c>
    </row>
    <row r="44" ht="20" customHeight="1">
      <c r="A44" s="2">
        <f>IF(B44="","",IFERROR(VLOOKUP(B44, PLANTA_BASE!A:R, 2, FALSE), "NO ENCONTRADO EN PLANTA"))</f>
        <v/>
      </c>
      <c r="B44" s="3" t="inlineStr"/>
      <c r="C44" s="4">
        <f>IF(B44="","",IFERROR(VLOOKUP(B44, PLANTA_BASE!A:R, 3, FALSE), ""))</f>
        <v/>
      </c>
      <c r="D44" s="2">
        <f>IF(B44="","",IFERROR(VLOOKUP(B44, PLANTA_BASE!A:R, 5, FALSE), "NO ENCONTRADO EN PLANTA"))</f>
        <v/>
      </c>
      <c r="E44" s="2">
        <f>IF(B44="","",IFERROR(VLOOKUP(B44, PLANTA_BASE!A:R, 6, FALSE), "NO ENCONTRADO EN PLANTA"))</f>
        <v/>
      </c>
      <c r="F44" s="4">
        <f>IF(B44="","",IFERROR(VLOOKUP(B44, PLANTA_BASE!A:R, 8, FALSE), "DOCENTE / FACILITADOR"))</f>
        <v/>
      </c>
      <c r="G44" s="4">
        <f>IF(B44="","",IFERROR(VLOOKUP(B44, PLANTA_BASE!A:R, 9, FALSE), "GENERAL"))</f>
        <v/>
      </c>
      <c r="H44" s="2">
        <f>IF(B44="","",IFERROR(VLOOKUP(B44, PLANTA_BASE!A:R, 17, FALSE), "GENERAL"))</f>
        <v/>
      </c>
    </row>
    <row r="45" ht="20" customHeight="1">
      <c r="A45" s="5">
        <f>IF(B45="","",IFERROR(VLOOKUP(B45, PLANTA_BASE!A:R, 2, FALSE), "NO ENCONTRADO EN PLANTA"))</f>
        <v/>
      </c>
      <c r="B45" s="6" t="inlineStr"/>
      <c r="C45" s="7">
        <f>IF(B45="","",IFERROR(VLOOKUP(B45, PLANTA_BASE!A:R, 3, FALSE), ""))</f>
        <v/>
      </c>
      <c r="D45" s="5">
        <f>IF(B45="","",IFERROR(VLOOKUP(B45, PLANTA_BASE!A:R, 5, FALSE), "NO ENCONTRADO EN PLANTA"))</f>
        <v/>
      </c>
      <c r="E45" s="5">
        <f>IF(B45="","",IFERROR(VLOOKUP(B45, PLANTA_BASE!A:R, 6, FALSE), "NO ENCONTRADO EN PLANTA"))</f>
        <v/>
      </c>
      <c r="F45" s="7">
        <f>IF(B45="","",IFERROR(VLOOKUP(B45, PLANTA_BASE!A:R, 8, FALSE), "DOCENTE / FACILITADOR"))</f>
        <v/>
      </c>
      <c r="G45" s="7">
        <f>IF(B45="","",IFERROR(VLOOKUP(B45, PLANTA_BASE!A:R, 9, FALSE), "GENERAL"))</f>
        <v/>
      </c>
      <c r="H45" s="5">
        <f>IF(B45="","",IFERROR(VLOOKUP(B45, PLANTA_BASE!A:R, 17, FALSE), "GENERAL"))</f>
        <v/>
      </c>
    </row>
    <row r="46" ht="20" customHeight="1">
      <c r="A46" s="2">
        <f>IF(B46="","",IFERROR(VLOOKUP(B46, PLANTA_BASE!A:R, 2, FALSE), "NO ENCONTRADO EN PLANTA"))</f>
        <v/>
      </c>
      <c r="B46" s="3" t="inlineStr"/>
      <c r="C46" s="4">
        <f>IF(B46="","",IFERROR(VLOOKUP(B46, PLANTA_BASE!A:R, 3, FALSE), ""))</f>
        <v/>
      </c>
      <c r="D46" s="2">
        <f>IF(B46="","",IFERROR(VLOOKUP(B46, PLANTA_BASE!A:R, 5, FALSE), "NO ENCONTRADO EN PLANTA"))</f>
        <v/>
      </c>
      <c r="E46" s="2">
        <f>IF(B46="","",IFERROR(VLOOKUP(B46, PLANTA_BASE!A:R, 6, FALSE), "NO ENCONTRADO EN PLANTA"))</f>
        <v/>
      </c>
      <c r="F46" s="4">
        <f>IF(B46="","",IFERROR(VLOOKUP(B46, PLANTA_BASE!A:R, 8, FALSE), "DOCENTE / FACILITADOR"))</f>
        <v/>
      </c>
      <c r="G46" s="4">
        <f>IF(B46="","",IFERROR(VLOOKUP(B46, PLANTA_BASE!A:R, 9, FALSE), "GENERAL"))</f>
        <v/>
      </c>
      <c r="H46" s="2">
        <f>IF(B46="","",IFERROR(VLOOKUP(B46, PLANTA_BASE!A:R, 17, FALSE), "GENERAL"))</f>
        <v/>
      </c>
    </row>
    <row r="47" ht="20" customHeight="1">
      <c r="A47" s="5">
        <f>IF(B47="","",IFERROR(VLOOKUP(B47, PLANTA_BASE!A:R, 2, FALSE), "NO ENCONTRADO EN PLANTA"))</f>
        <v/>
      </c>
      <c r="B47" s="6" t="inlineStr"/>
      <c r="C47" s="7">
        <f>IF(B47="","",IFERROR(VLOOKUP(B47, PLANTA_BASE!A:R, 3, FALSE), ""))</f>
        <v/>
      </c>
      <c r="D47" s="5">
        <f>IF(B47="","",IFERROR(VLOOKUP(B47, PLANTA_BASE!A:R, 5, FALSE), "NO ENCONTRADO EN PLANTA"))</f>
        <v/>
      </c>
      <c r="E47" s="5">
        <f>IF(B47="","",IFERROR(VLOOKUP(B47, PLANTA_BASE!A:R, 6, FALSE), "NO ENCONTRADO EN PLANTA"))</f>
        <v/>
      </c>
      <c r="F47" s="7">
        <f>IF(B47="","",IFERROR(VLOOKUP(B47, PLANTA_BASE!A:R, 8, FALSE), "DOCENTE / FACILITADOR"))</f>
        <v/>
      </c>
      <c r="G47" s="7">
        <f>IF(B47="","",IFERROR(VLOOKUP(B47, PLANTA_BASE!A:R, 9, FALSE), "GENERAL"))</f>
        <v/>
      </c>
      <c r="H47" s="5">
        <f>IF(B47="","",IFERROR(VLOOKUP(B47, PLANTA_BASE!A:R, 17, FALSE), "GENERAL"))</f>
        <v/>
      </c>
    </row>
    <row r="48" ht="20" customHeight="1">
      <c r="A48" s="2">
        <f>IF(B48="","",IFERROR(VLOOKUP(B48, PLANTA_BASE!A:R, 2, FALSE), "NO ENCONTRADO EN PLANTA"))</f>
        <v/>
      </c>
      <c r="B48" s="3" t="inlineStr"/>
      <c r="C48" s="4">
        <f>IF(B48="","",IFERROR(VLOOKUP(B48, PLANTA_BASE!A:R, 3, FALSE), ""))</f>
        <v/>
      </c>
      <c r="D48" s="2">
        <f>IF(B48="","",IFERROR(VLOOKUP(B48, PLANTA_BASE!A:R, 5, FALSE), "NO ENCONTRADO EN PLANTA"))</f>
        <v/>
      </c>
      <c r="E48" s="2">
        <f>IF(B48="","",IFERROR(VLOOKUP(B48, PLANTA_BASE!A:R, 6, FALSE), "NO ENCONTRADO EN PLANTA"))</f>
        <v/>
      </c>
      <c r="F48" s="4">
        <f>IF(B48="","",IFERROR(VLOOKUP(B48, PLANTA_BASE!A:R, 8, FALSE), "DOCENTE / FACILITADOR"))</f>
        <v/>
      </c>
      <c r="G48" s="4">
        <f>IF(B48="","",IFERROR(VLOOKUP(B48, PLANTA_BASE!A:R, 9, FALSE), "GENERAL"))</f>
        <v/>
      </c>
      <c r="H48" s="2">
        <f>IF(B48="","",IFERROR(VLOOKUP(B48, PLANTA_BASE!A:R, 17, FALSE), "GENERAL"))</f>
        <v/>
      </c>
    </row>
    <row r="49" ht="20" customHeight="1">
      <c r="A49" s="5">
        <f>IF(B49="","",IFERROR(VLOOKUP(B49, PLANTA_BASE!A:R, 2, FALSE), "NO ENCONTRADO EN PLANTA"))</f>
        <v/>
      </c>
      <c r="B49" s="6" t="inlineStr"/>
      <c r="C49" s="7">
        <f>IF(B49="","",IFERROR(VLOOKUP(B49, PLANTA_BASE!A:R, 3, FALSE), ""))</f>
        <v/>
      </c>
      <c r="D49" s="5">
        <f>IF(B49="","",IFERROR(VLOOKUP(B49, PLANTA_BASE!A:R, 5, FALSE), "NO ENCONTRADO EN PLANTA"))</f>
        <v/>
      </c>
      <c r="E49" s="5">
        <f>IF(B49="","",IFERROR(VLOOKUP(B49, PLANTA_BASE!A:R, 6, FALSE), "NO ENCONTRADO EN PLANTA"))</f>
        <v/>
      </c>
      <c r="F49" s="7">
        <f>IF(B49="","",IFERROR(VLOOKUP(B49, PLANTA_BASE!A:R, 8, FALSE), "DOCENTE / FACILITADOR"))</f>
        <v/>
      </c>
      <c r="G49" s="7">
        <f>IF(B49="","",IFERROR(VLOOKUP(B49, PLANTA_BASE!A:R, 9, FALSE), "GENERAL"))</f>
        <v/>
      </c>
      <c r="H49" s="5">
        <f>IF(B49="","",IFERROR(VLOOKUP(B49, PLANTA_BASE!A:R, 17, FALSE), "GENERAL"))</f>
        <v/>
      </c>
    </row>
    <row r="50" ht="20" customHeight="1">
      <c r="A50" s="2">
        <f>IF(B50="","",IFERROR(VLOOKUP(B50, PLANTA_BASE!A:R, 2, FALSE), "NO ENCONTRADO EN PLANTA"))</f>
        <v/>
      </c>
      <c r="B50" s="3" t="inlineStr"/>
      <c r="C50" s="4">
        <f>IF(B50="","",IFERROR(VLOOKUP(B50, PLANTA_BASE!A:R, 3, FALSE), ""))</f>
        <v/>
      </c>
      <c r="D50" s="2">
        <f>IF(B50="","",IFERROR(VLOOKUP(B50, PLANTA_BASE!A:R, 5, FALSE), "NO ENCONTRADO EN PLANTA"))</f>
        <v/>
      </c>
      <c r="E50" s="2">
        <f>IF(B50="","",IFERROR(VLOOKUP(B50, PLANTA_BASE!A:R, 6, FALSE), "NO ENCONTRADO EN PLANTA"))</f>
        <v/>
      </c>
      <c r="F50" s="4">
        <f>IF(B50="","",IFERROR(VLOOKUP(B50, PLANTA_BASE!A:R, 8, FALSE), "DOCENTE / FACILITADOR"))</f>
        <v/>
      </c>
      <c r="G50" s="4">
        <f>IF(B50="","",IFERROR(VLOOKUP(B50, PLANTA_BASE!A:R, 9, FALSE), "GENERAL"))</f>
        <v/>
      </c>
      <c r="H50" s="2">
        <f>IF(B50="","",IFERROR(VLOOKUP(B50, PLANTA_BASE!A:R, 17, FALSE), "GENERAL"))</f>
        <v/>
      </c>
    </row>
    <row r="51" ht="20" customHeight="1">
      <c r="A51" s="5">
        <f>IF(B51="","",IFERROR(VLOOKUP(B51, PLANTA_BASE!A:R, 2, FALSE), "NO ENCONTRADO EN PLANTA"))</f>
        <v/>
      </c>
      <c r="B51" s="6" t="inlineStr"/>
      <c r="C51" s="7">
        <f>IF(B51="","",IFERROR(VLOOKUP(B51, PLANTA_BASE!A:R, 3, FALSE), ""))</f>
        <v/>
      </c>
      <c r="D51" s="5">
        <f>IF(B51="","",IFERROR(VLOOKUP(B51, PLANTA_BASE!A:R, 5, FALSE), "NO ENCONTRADO EN PLANTA"))</f>
        <v/>
      </c>
      <c r="E51" s="5">
        <f>IF(B51="","",IFERROR(VLOOKUP(B51, PLANTA_BASE!A:R, 6, FALSE), "NO ENCONTRADO EN PLANTA"))</f>
        <v/>
      </c>
      <c r="F51" s="7">
        <f>IF(B51="","",IFERROR(VLOOKUP(B51, PLANTA_BASE!A:R, 8, FALSE), "DOCENTE / FACILITADOR"))</f>
        <v/>
      </c>
      <c r="G51" s="7">
        <f>IF(B51="","",IFERROR(VLOOKUP(B51, PLANTA_BASE!A:R, 9, FALSE), "GENERAL"))</f>
        <v/>
      </c>
      <c r="H51" s="5">
        <f>IF(B51="","",IFERROR(VLOOKUP(B51, PLANTA_BASE!A:R, 17, FALSE), "GENERAL"))</f>
        <v/>
      </c>
    </row>
    <row r="52" ht="20" customHeight="1">
      <c r="A52" s="2">
        <f>IF(B52="","",IFERROR(VLOOKUP(B52, PLANTA_BASE!A:R, 2, FALSE), "NO ENCONTRADO EN PLANTA"))</f>
        <v/>
      </c>
      <c r="B52" s="3" t="inlineStr"/>
      <c r="C52" s="4">
        <f>IF(B52="","",IFERROR(VLOOKUP(B52, PLANTA_BASE!A:R, 3, FALSE), ""))</f>
        <v/>
      </c>
      <c r="D52" s="2">
        <f>IF(B52="","",IFERROR(VLOOKUP(B52, PLANTA_BASE!A:R, 5, FALSE), "NO ENCONTRADO EN PLANTA"))</f>
        <v/>
      </c>
      <c r="E52" s="2">
        <f>IF(B52="","",IFERROR(VLOOKUP(B52, PLANTA_BASE!A:R, 6, FALSE), "NO ENCONTRADO EN PLANTA"))</f>
        <v/>
      </c>
      <c r="F52" s="4">
        <f>IF(B52="","",IFERROR(VLOOKUP(B52, PLANTA_BASE!A:R, 8, FALSE), "DOCENTE / FACILITADOR"))</f>
        <v/>
      </c>
      <c r="G52" s="4">
        <f>IF(B52="","",IFERROR(VLOOKUP(B52, PLANTA_BASE!A:R, 9, FALSE), "GENERAL"))</f>
        <v/>
      </c>
      <c r="H52" s="2">
        <f>IF(B52="","",IFERROR(VLOOKUP(B52, PLANTA_BASE!A:R, 17, FALSE), "GENERAL"))</f>
        <v/>
      </c>
    </row>
    <row r="53" ht="20" customHeight="1">
      <c r="A53" s="5">
        <f>IF(B53="","",IFERROR(VLOOKUP(B53, PLANTA_BASE!A:R, 2, FALSE), "NO ENCONTRADO EN PLANTA"))</f>
        <v/>
      </c>
      <c r="B53" s="6" t="inlineStr"/>
      <c r="C53" s="7">
        <f>IF(B53="","",IFERROR(VLOOKUP(B53, PLANTA_BASE!A:R, 3, FALSE), ""))</f>
        <v/>
      </c>
      <c r="D53" s="5">
        <f>IF(B53="","",IFERROR(VLOOKUP(B53, PLANTA_BASE!A:R, 5, FALSE), "NO ENCONTRADO EN PLANTA"))</f>
        <v/>
      </c>
      <c r="E53" s="5">
        <f>IF(B53="","",IFERROR(VLOOKUP(B53, PLANTA_BASE!A:R, 6, FALSE), "NO ENCONTRADO EN PLANTA"))</f>
        <v/>
      </c>
      <c r="F53" s="7">
        <f>IF(B53="","",IFERROR(VLOOKUP(B53, PLANTA_BASE!A:R, 8, FALSE), "DOCENTE / FACILITADOR"))</f>
        <v/>
      </c>
      <c r="G53" s="7">
        <f>IF(B53="","",IFERROR(VLOOKUP(B53, PLANTA_BASE!A:R, 9, FALSE), "GENERAL"))</f>
        <v/>
      </c>
      <c r="H53" s="5">
        <f>IF(B53="","",IFERROR(VLOOKUP(B53, PLANTA_BASE!A:R, 17, FALSE), "GENERAL"))</f>
        <v/>
      </c>
    </row>
    <row r="54" ht="20" customHeight="1">
      <c r="A54" s="2">
        <f>IF(B54="","",IFERROR(VLOOKUP(B54, PLANTA_BASE!A:R, 2, FALSE), "NO ENCONTRADO EN PLANTA"))</f>
        <v/>
      </c>
      <c r="B54" s="3" t="inlineStr"/>
      <c r="C54" s="4">
        <f>IF(B54="","",IFERROR(VLOOKUP(B54, PLANTA_BASE!A:R, 3, FALSE), ""))</f>
        <v/>
      </c>
      <c r="D54" s="2">
        <f>IF(B54="","",IFERROR(VLOOKUP(B54, PLANTA_BASE!A:R, 5, FALSE), "NO ENCONTRADO EN PLANTA"))</f>
        <v/>
      </c>
      <c r="E54" s="2">
        <f>IF(B54="","",IFERROR(VLOOKUP(B54, PLANTA_BASE!A:R, 6, FALSE), "NO ENCONTRADO EN PLANTA"))</f>
        <v/>
      </c>
      <c r="F54" s="4">
        <f>IF(B54="","",IFERROR(VLOOKUP(B54, PLANTA_BASE!A:R, 8, FALSE), "DOCENTE / FACILITADOR"))</f>
        <v/>
      </c>
      <c r="G54" s="4">
        <f>IF(B54="","",IFERROR(VLOOKUP(B54, PLANTA_BASE!A:R, 9, FALSE), "GENERAL"))</f>
        <v/>
      </c>
      <c r="H54" s="2">
        <f>IF(B54="","",IFERROR(VLOOKUP(B54, PLANTA_BASE!A:R, 17, FALSE), "GENERAL"))</f>
        <v/>
      </c>
    </row>
    <row r="55" ht="20" customHeight="1">
      <c r="A55" s="5">
        <f>IF(B55="","",IFERROR(VLOOKUP(B55, PLANTA_BASE!A:R, 2, FALSE), "NO ENCONTRADO EN PLANTA"))</f>
        <v/>
      </c>
      <c r="B55" s="6" t="inlineStr"/>
      <c r="C55" s="7">
        <f>IF(B55="","",IFERROR(VLOOKUP(B55, PLANTA_BASE!A:R, 3, FALSE), ""))</f>
        <v/>
      </c>
      <c r="D55" s="5">
        <f>IF(B55="","",IFERROR(VLOOKUP(B55, PLANTA_BASE!A:R, 5, FALSE), "NO ENCONTRADO EN PLANTA"))</f>
        <v/>
      </c>
      <c r="E55" s="5">
        <f>IF(B55="","",IFERROR(VLOOKUP(B55, PLANTA_BASE!A:R, 6, FALSE), "NO ENCONTRADO EN PLANTA"))</f>
        <v/>
      </c>
      <c r="F55" s="7">
        <f>IF(B55="","",IFERROR(VLOOKUP(B55, PLANTA_BASE!A:R, 8, FALSE), "DOCENTE / FACILITADOR"))</f>
        <v/>
      </c>
      <c r="G55" s="7">
        <f>IF(B55="","",IFERROR(VLOOKUP(B55, PLANTA_BASE!A:R, 9, FALSE), "GENERAL"))</f>
        <v/>
      </c>
      <c r="H55" s="5">
        <f>IF(B55="","",IFERROR(VLOOKUP(B55, PLANTA_BASE!A:R, 17, FALSE), "GENERAL"))</f>
        <v/>
      </c>
    </row>
    <row r="56" ht="20" customHeight="1">
      <c r="A56" s="2">
        <f>IF(B56="","",IFERROR(VLOOKUP(B56, PLANTA_BASE!A:R, 2, FALSE), "NO ENCONTRADO EN PLANTA"))</f>
        <v/>
      </c>
      <c r="B56" s="3" t="inlineStr"/>
      <c r="C56" s="4">
        <f>IF(B56="","",IFERROR(VLOOKUP(B56, PLANTA_BASE!A:R, 3, FALSE), ""))</f>
        <v/>
      </c>
      <c r="D56" s="2">
        <f>IF(B56="","",IFERROR(VLOOKUP(B56, PLANTA_BASE!A:R, 5, FALSE), "NO ENCONTRADO EN PLANTA"))</f>
        <v/>
      </c>
      <c r="E56" s="2">
        <f>IF(B56="","",IFERROR(VLOOKUP(B56, PLANTA_BASE!A:R, 6, FALSE), "NO ENCONTRADO EN PLANTA"))</f>
        <v/>
      </c>
      <c r="F56" s="4">
        <f>IF(B56="","",IFERROR(VLOOKUP(B56, PLANTA_BASE!A:R, 8, FALSE), "DOCENTE / FACILITADOR"))</f>
        <v/>
      </c>
      <c r="G56" s="4">
        <f>IF(B56="","",IFERROR(VLOOKUP(B56, PLANTA_BASE!A:R, 9, FALSE), "GENERAL"))</f>
        <v/>
      </c>
      <c r="H56" s="2">
        <f>IF(B56="","",IFERROR(VLOOKUP(B56, PLANTA_BASE!A:R, 17, FALSE), "GENERAL"))</f>
        <v/>
      </c>
    </row>
    <row r="57" ht="20" customHeight="1">
      <c r="A57" s="5">
        <f>IF(B57="","",IFERROR(VLOOKUP(B57, PLANTA_BASE!A:R, 2, FALSE), "NO ENCONTRADO EN PLANTA"))</f>
        <v/>
      </c>
      <c r="B57" s="6" t="inlineStr"/>
      <c r="C57" s="7">
        <f>IF(B57="","",IFERROR(VLOOKUP(B57, PLANTA_BASE!A:R, 3, FALSE), ""))</f>
        <v/>
      </c>
      <c r="D57" s="5">
        <f>IF(B57="","",IFERROR(VLOOKUP(B57, PLANTA_BASE!A:R, 5, FALSE), "NO ENCONTRADO EN PLANTA"))</f>
        <v/>
      </c>
      <c r="E57" s="5">
        <f>IF(B57="","",IFERROR(VLOOKUP(B57, PLANTA_BASE!A:R, 6, FALSE), "NO ENCONTRADO EN PLANTA"))</f>
        <v/>
      </c>
      <c r="F57" s="7">
        <f>IF(B57="","",IFERROR(VLOOKUP(B57, PLANTA_BASE!A:R, 8, FALSE), "DOCENTE / FACILITADOR"))</f>
        <v/>
      </c>
      <c r="G57" s="7">
        <f>IF(B57="","",IFERROR(VLOOKUP(B57, PLANTA_BASE!A:R, 9, FALSE), "GENERAL"))</f>
        <v/>
      </c>
      <c r="H57" s="5">
        <f>IF(B57="","",IFERROR(VLOOKUP(B57, PLANTA_BASE!A:R, 17, FALSE), "GENERAL"))</f>
        <v/>
      </c>
    </row>
    <row r="58" ht="20" customHeight="1">
      <c r="A58" s="2">
        <f>IF(B58="","",IFERROR(VLOOKUP(B58, PLANTA_BASE!A:R, 2, FALSE), "NO ENCONTRADO EN PLANTA"))</f>
        <v/>
      </c>
      <c r="B58" s="3" t="inlineStr"/>
      <c r="C58" s="4">
        <f>IF(B58="","",IFERROR(VLOOKUP(B58, PLANTA_BASE!A:R, 3, FALSE), ""))</f>
        <v/>
      </c>
      <c r="D58" s="2">
        <f>IF(B58="","",IFERROR(VLOOKUP(B58, PLANTA_BASE!A:R, 5, FALSE), "NO ENCONTRADO EN PLANTA"))</f>
        <v/>
      </c>
      <c r="E58" s="2">
        <f>IF(B58="","",IFERROR(VLOOKUP(B58, PLANTA_BASE!A:R, 6, FALSE), "NO ENCONTRADO EN PLANTA"))</f>
        <v/>
      </c>
      <c r="F58" s="4">
        <f>IF(B58="","",IFERROR(VLOOKUP(B58, PLANTA_BASE!A:R, 8, FALSE), "DOCENTE / FACILITADOR"))</f>
        <v/>
      </c>
      <c r="G58" s="4">
        <f>IF(B58="","",IFERROR(VLOOKUP(B58, PLANTA_BASE!A:R, 9, FALSE), "GENERAL"))</f>
        <v/>
      </c>
      <c r="H58" s="2">
        <f>IF(B58="","",IFERROR(VLOOKUP(B58, PLANTA_BASE!A:R, 17, FALSE), "GENERAL"))</f>
        <v/>
      </c>
    </row>
    <row r="59" ht="20" customHeight="1">
      <c r="A59" s="5">
        <f>IF(B59="","",IFERROR(VLOOKUP(B59, PLANTA_BASE!A:R, 2, FALSE), "NO ENCONTRADO EN PLANTA"))</f>
        <v/>
      </c>
      <c r="B59" s="6" t="inlineStr"/>
      <c r="C59" s="7">
        <f>IF(B59="","",IFERROR(VLOOKUP(B59, PLANTA_BASE!A:R, 3, FALSE), ""))</f>
        <v/>
      </c>
      <c r="D59" s="5">
        <f>IF(B59="","",IFERROR(VLOOKUP(B59, PLANTA_BASE!A:R, 5, FALSE), "NO ENCONTRADO EN PLANTA"))</f>
        <v/>
      </c>
      <c r="E59" s="5">
        <f>IF(B59="","",IFERROR(VLOOKUP(B59, PLANTA_BASE!A:R, 6, FALSE), "NO ENCONTRADO EN PLANTA"))</f>
        <v/>
      </c>
      <c r="F59" s="7">
        <f>IF(B59="","",IFERROR(VLOOKUP(B59, PLANTA_BASE!A:R, 8, FALSE), "DOCENTE / FACILITADOR"))</f>
        <v/>
      </c>
      <c r="G59" s="7">
        <f>IF(B59="","",IFERROR(VLOOKUP(B59, PLANTA_BASE!A:R, 9, FALSE), "GENERAL"))</f>
        <v/>
      </c>
      <c r="H59" s="5">
        <f>IF(B59="","",IFERROR(VLOOKUP(B59, PLANTA_BASE!A:R, 17, FALSE), "GENERAL"))</f>
        <v/>
      </c>
    </row>
    <row r="60" ht="20" customHeight="1">
      <c r="A60" s="2">
        <f>IF(B60="","",IFERROR(VLOOKUP(B60, PLANTA_BASE!A:R, 2, FALSE), "NO ENCONTRADO EN PLANTA"))</f>
        <v/>
      </c>
      <c r="B60" s="3" t="inlineStr"/>
      <c r="C60" s="4">
        <f>IF(B60="","",IFERROR(VLOOKUP(B60, PLANTA_BASE!A:R, 3, FALSE), ""))</f>
        <v/>
      </c>
      <c r="D60" s="2">
        <f>IF(B60="","",IFERROR(VLOOKUP(B60, PLANTA_BASE!A:R, 5, FALSE), "NO ENCONTRADO EN PLANTA"))</f>
        <v/>
      </c>
      <c r="E60" s="2">
        <f>IF(B60="","",IFERROR(VLOOKUP(B60, PLANTA_BASE!A:R, 6, FALSE), "NO ENCONTRADO EN PLANTA"))</f>
        <v/>
      </c>
      <c r="F60" s="4">
        <f>IF(B60="","",IFERROR(VLOOKUP(B60, PLANTA_BASE!A:R, 8, FALSE), "DOCENTE / FACILITADOR"))</f>
        <v/>
      </c>
      <c r="G60" s="4">
        <f>IF(B60="","",IFERROR(VLOOKUP(B60, PLANTA_BASE!A:R, 9, FALSE), "GENERAL"))</f>
        <v/>
      </c>
      <c r="H60" s="2">
        <f>IF(B60="","",IFERROR(VLOOKUP(B60, PLANTA_BASE!A:R, 17, FALSE), "GENERAL"))</f>
        <v/>
      </c>
    </row>
    <row r="61" ht="20" customHeight="1">
      <c r="A61" s="5">
        <f>IF(B61="","",IFERROR(VLOOKUP(B61, PLANTA_BASE!A:R, 2, FALSE), "NO ENCONTRADO EN PLANTA"))</f>
        <v/>
      </c>
      <c r="B61" s="6" t="inlineStr"/>
      <c r="C61" s="7">
        <f>IF(B61="","",IFERROR(VLOOKUP(B61, PLANTA_BASE!A:R, 3, FALSE), ""))</f>
        <v/>
      </c>
      <c r="D61" s="5">
        <f>IF(B61="","",IFERROR(VLOOKUP(B61, PLANTA_BASE!A:R, 5, FALSE), "NO ENCONTRADO EN PLANTA"))</f>
        <v/>
      </c>
      <c r="E61" s="5">
        <f>IF(B61="","",IFERROR(VLOOKUP(B61, PLANTA_BASE!A:R, 6, FALSE), "NO ENCONTRADO EN PLANTA"))</f>
        <v/>
      </c>
      <c r="F61" s="7">
        <f>IF(B61="","",IFERROR(VLOOKUP(B61, PLANTA_BASE!A:R, 8, FALSE), "DOCENTE / FACILITADOR"))</f>
        <v/>
      </c>
      <c r="G61" s="7">
        <f>IF(B61="","",IFERROR(VLOOKUP(B61, PLANTA_BASE!A:R, 9, FALSE), "GENERAL"))</f>
        <v/>
      </c>
      <c r="H61" s="5">
        <f>IF(B61="","",IFERROR(VLOOKUP(B61, PLANTA_BASE!A:R, 17, FALSE), "GENERAL"))</f>
        <v/>
      </c>
    </row>
    <row r="62" ht="20" customHeight="1">
      <c r="A62" s="2">
        <f>IF(B62="","",IFERROR(VLOOKUP(B62, PLANTA_BASE!A:R, 2, FALSE), "NO ENCONTRADO EN PLANTA"))</f>
        <v/>
      </c>
      <c r="B62" s="3" t="inlineStr"/>
      <c r="C62" s="4">
        <f>IF(B62="","",IFERROR(VLOOKUP(B62, PLANTA_BASE!A:R, 3, FALSE), ""))</f>
        <v/>
      </c>
      <c r="D62" s="2">
        <f>IF(B62="","",IFERROR(VLOOKUP(B62, PLANTA_BASE!A:R, 5, FALSE), "NO ENCONTRADO EN PLANTA"))</f>
        <v/>
      </c>
      <c r="E62" s="2">
        <f>IF(B62="","",IFERROR(VLOOKUP(B62, PLANTA_BASE!A:R, 6, FALSE), "NO ENCONTRADO EN PLANTA"))</f>
        <v/>
      </c>
      <c r="F62" s="4">
        <f>IF(B62="","",IFERROR(VLOOKUP(B62, PLANTA_BASE!A:R, 8, FALSE), "DOCENTE / FACILITADOR"))</f>
        <v/>
      </c>
      <c r="G62" s="4">
        <f>IF(B62="","",IFERROR(VLOOKUP(B62, PLANTA_BASE!A:R, 9, FALSE), "GENERAL"))</f>
        <v/>
      </c>
      <c r="H62" s="2">
        <f>IF(B62="","",IFERROR(VLOOKUP(B62, PLANTA_BASE!A:R, 17, FALSE), "GENERAL"))</f>
        <v/>
      </c>
    </row>
    <row r="63" ht="20" customHeight="1">
      <c r="A63" s="5">
        <f>IF(B63="","",IFERROR(VLOOKUP(B63, PLANTA_BASE!A:R, 2, FALSE), "NO ENCONTRADO EN PLANTA"))</f>
        <v/>
      </c>
      <c r="B63" s="6" t="inlineStr"/>
      <c r="C63" s="7">
        <f>IF(B63="","",IFERROR(VLOOKUP(B63, PLANTA_BASE!A:R, 3, FALSE), ""))</f>
        <v/>
      </c>
      <c r="D63" s="5">
        <f>IF(B63="","",IFERROR(VLOOKUP(B63, PLANTA_BASE!A:R, 5, FALSE), "NO ENCONTRADO EN PLANTA"))</f>
        <v/>
      </c>
      <c r="E63" s="5">
        <f>IF(B63="","",IFERROR(VLOOKUP(B63, PLANTA_BASE!A:R, 6, FALSE), "NO ENCONTRADO EN PLANTA"))</f>
        <v/>
      </c>
      <c r="F63" s="7">
        <f>IF(B63="","",IFERROR(VLOOKUP(B63, PLANTA_BASE!A:R, 8, FALSE), "DOCENTE / FACILITADOR"))</f>
        <v/>
      </c>
      <c r="G63" s="7">
        <f>IF(B63="","",IFERROR(VLOOKUP(B63, PLANTA_BASE!A:R, 9, FALSE), "GENERAL"))</f>
        <v/>
      </c>
      <c r="H63" s="5">
        <f>IF(B63="","",IFERROR(VLOOKUP(B63, PLANTA_BASE!A:R, 17, FALSE), "GENERAL"))</f>
        <v/>
      </c>
    </row>
    <row r="64" ht="20" customHeight="1">
      <c r="A64" s="2">
        <f>IF(B64="","",IFERROR(VLOOKUP(B64, PLANTA_BASE!A:R, 2, FALSE), "NO ENCONTRADO EN PLANTA"))</f>
        <v/>
      </c>
      <c r="B64" s="3" t="inlineStr"/>
      <c r="C64" s="4">
        <f>IF(B64="","",IFERROR(VLOOKUP(B64, PLANTA_BASE!A:R, 3, FALSE), ""))</f>
        <v/>
      </c>
      <c r="D64" s="2">
        <f>IF(B64="","",IFERROR(VLOOKUP(B64, PLANTA_BASE!A:R, 5, FALSE), "NO ENCONTRADO EN PLANTA"))</f>
        <v/>
      </c>
      <c r="E64" s="2">
        <f>IF(B64="","",IFERROR(VLOOKUP(B64, PLANTA_BASE!A:R, 6, FALSE), "NO ENCONTRADO EN PLANTA"))</f>
        <v/>
      </c>
      <c r="F64" s="4">
        <f>IF(B64="","",IFERROR(VLOOKUP(B64, PLANTA_BASE!A:R, 8, FALSE), "DOCENTE / FACILITADOR"))</f>
        <v/>
      </c>
      <c r="G64" s="4">
        <f>IF(B64="","",IFERROR(VLOOKUP(B64, PLANTA_BASE!A:R, 9, FALSE), "GENERAL"))</f>
        <v/>
      </c>
      <c r="H64" s="2">
        <f>IF(B64="","",IFERROR(VLOOKUP(B64, PLANTA_BASE!A:R, 17, FALSE), "GENERAL"))</f>
        <v/>
      </c>
    </row>
    <row r="65" ht="20" customHeight="1">
      <c r="A65" s="5">
        <f>IF(B65="","",IFERROR(VLOOKUP(B65, PLANTA_BASE!A:R, 2, FALSE), "NO ENCONTRADO EN PLANTA"))</f>
        <v/>
      </c>
      <c r="B65" s="6" t="inlineStr"/>
      <c r="C65" s="7">
        <f>IF(B65="","",IFERROR(VLOOKUP(B65, PLANTA_BASE!A:R, 3, FALSE), ""))</f>
        <v/>
      </c>
      <c r="D65" s="5">
        <f>IF(B65="","",IFERROR(VLOOKUP(B65, PLANTA_BASE!A:R, 5, FALSE), "NO ENCONTRADO EN PLANTA"))</f>
        <v/>
      </c>
      <c r="E65" s="5">
        <f>IF(B65="","",IFERROR(VLOOKUP(B65, PLANTA_BASE!A:R, 6, FALSE), "NO ENCONTRADO EN PLANTA"))</f>
        <v/>
      </c>
      <c r="F65" s="7">
        <f>IF(B65="","",IFERROR(VLOOKUP(B65, PLANTA_BASE!A:R, 8, FALSE), "DOCENTE / FACILITADOR"))</f>
        <v/>
      </c>
      <c r="G65" s="7">
        <f>IF(B65="","",IFERROR(VLOOKUP(B65, PLANTA_BASE!A:R, 9, FALSE), "GENERAL"))</f>
        <v/>
      </c>
      <c r="H65" s="5">
        <f>IF(B65="","",IFERROR(VLOOKUP(B65, PLANTA_BASE!A:R, 17, FALSE), "GENERAL"))</f>
        <v/>
      </c>
    </row>
    <row r="66" ht="20" customHeight="1">
      <c r="A66" s="2">
        <f>IF(B66="","",IFERROR(VLOOKUP(B66, PLANTA_BASE!A:R, 2, FALSE), "NO ENCONTRADO EN PLANTA"))</f>
        <v/>
      </c>
      <c r="B66" s="3" t="inlineStr"/>
      <c r="C66" s="4">
        <f>IF(B66="","",IFERROR(VLOOKUP(B66, PLANTA_BASE!A:R, 3, FALSE), ""))</f>
        <v/>
      </c>
      <c r="D66" s="2">
        <f>IF(B66="","",IFERROR(VLOOKUP(B66, PLANTA_BASE!A:R, 5, FALSE), "NO ENCONTRADO EN PLANTA"))</f>
        <v/>
      </c>
      <c r="E66" s="2">
        <f>IF(B66="","",IFERROR(VLOOKUP(B66, PLANTA_BASE!A:R, 6, FALSE), "NO ENCONTRADO EN PLANTA"))</f>
        <v/>
      </c>
      <c r="F66" s="4">
        <f>IF(B66="","",IFERROR(VLOOKUP(B66, PLANTA_BASE!A:R, 8, FALSE), "DOCENTE / FACILITADOR"))</f>
        <v/>
      </c>
      <c r="G66" s="4">
        <f>IF(B66="","",IFERROR(VLOOKUP(B66, PLANTA_BASE!A:R, 9, FALSE), "GENERAL"))</f>
        <v/>
      </c>
      <c r="H66" s="2">
        <f>IF(B66="","",IFERROR(VLOOKUP(B66, PLANTA_BASE!A:R, 17, FALSE), "GENERAL"))</f>
        <v/>
      </c>
    </row>
    <row r="67" ht="20" customHeight="1">
      <c r="A67" s="5">
        <f>IF(B67="","",IFERROR(VLOOKUP(B67, PLANTA_BASE!A:R, 2, FALSE), "NO ENCONTRADO EN PLANTA"))</f>
        <v/>
      </c>
      <c r="B67" s="6" t="inlineStr"/>
      <c r="C67" s="7">
        <f>IF(B67="","",IFERROR(VLOOKUP(B67, PLANTA_BASE!A:R, 3, FALSE), ""))</f>
        <v/>
      </c>
      <c r="D67" s="5">
        <f>IF(B67="","",IFERROR(VLOOKUP(B67, PLANTA_BASE!A:R, 5, FALSE), "NO ENCONTRADO EN PLANTA"))</f>
        <v/>
      </c>
      <c r="E67" s="5">
        <f>IF(B67="","",IFERROR(VLOOKUP(B67, PLANTA_BASE!A:R, 6, FALSE), "NO ENCONTRADO EN PLANTA"))</f>
        <v/>
      </c>
      <c r="F67" s="7">
        <f>IF(B67="","",IFERROR(VLOOKUP(B67, PLANTA_BASE!A:R, 8, FALSE), "DOCENTE / FACILITADOR"))</f>
        <v/>
      </c>
      <c r="G67" s="7">
        <f>IF(B67="","",IFERROR(VLOOKUP(B67, PLANTA_BASE!A:R, 9, FALSE), "GENERAL"))</f>
        <v/>
      </c>
      <c r="H67" s="5">
        <f>IF(B67="","",IFERROR(VLOOKUP(B67, PLANTA_BASE!A:R, 17, FALSE), "GENERAL"))</f>
        <v/>
      </c>
    </row>
    <row r="68" ht="20" customHeight="1">
      <c r="A68" s="2">
        <f>IF(B68="","",IFERROR(VLOOKUP(B68, PLANTA_BASE!A:R, 2, FALSE), "NO ENCONTRADO EN PLANTA"))</f>
        <v/>
      </c>
      <c r="B68" s="3" t="inlineStr"/>
      <c r="C68" s="4">
        <f>IF(B68="","",IFERROR(VLOOKUP(B68, PLANTA_BASE!A:R, 3, FALSE), ""))</f>
        <v/>
      </c>
      <c r="D68" s="2">
        <f>IF(B68="","",IFERROR(VLOOKUP(B68, PLANTA_BASE!A:R, 5, FALSE), "NO ENCONTRADO EN PLANTA"))</f>
        <v/>
      </c>
      <c r="E68" s="2">
        <f>IF(B68="","",IFERROR(VLOOKUP(B68, PLANTA_BASE!A:R, 6, FALSE), "NO ENCONTRADO EN PLANTA"))</f>
        <v/>
      </c>
      <c r="F68" s="4">
        <f>IF(B68="","",IFERROR(VLOOKUP(B68, PLANTA_BASE!A:R, 8, FALSE), "DOCENTE / FACILITADOR"))</f>
        <v/>
      </c>
      <c r="G68" s="4">
        <f>IF(B68="","",IFERROR(VLOOKUP(B68, PLANTA_BASE!A:R, 9, FALSE), "GENERAL"))</f>
        <v/>
      </c>
      <c r="H68" s="2">
        <f>IF(B68="","",IFERROR(VLOOKUP(B68, PLANTA_BASE!A:R, 17, FALSE), "GENERAL"))</f>
        <v/>
      </c>
    </row>
    <row r="69" ht="20" customHeight="1">
      <c r="A69" s="5">
        <f>IF(B69="","",IFERROR(VLOOKUP(B69, PLANTA_BASE!A:R, 2, FALSE), "NO ENCONTRADO EN PLANTA"))</f>
        <v/>
      </c>
      <c r="B69" s="6" t="inlineStr"/>
      <c r="C69" s="7">
        <f>IF(B69="","",IFERROR(VLOOKUP(B69, PLANTA_BASE!A:R, 3, FALSE), ""))</f>
        <v/>
      </c>
      <c r="D69" s="5">
        <f>IF(B69="","",IFERROR(VLOOKUP(B69, PLANTA_BASE!A:R, 5, FALSE), "NO ENCONTRADO EN PLANTA"))</f>
        <v/>
      </c>
      <c r="E69" s="5">
        <f>IF(B69="","",IFERROR(VLOOKUP(B69, PLANTA_BASE!A:R, 6, FALSE), "NO ENCONTRADO EN PLANTA"))</f>
        <v/>
      </c>
      <c r="F69" s="7">
        <f>IF(B69="","",IFERROR(VLOOKUP(B69, PLANTA_BASE!A:R, 8, FALSE), "DOCENTE / FACILITADOR"))</f>
        <v/>
      </c>
      <c r="G69" s="7">
        <f>IF(B69="","",IFERROR(VLOOKUP(B69, PLANTA_BASE!A:R, 9, FALSE), "GENERAL"))</f>
        <v/>
      </c>
      <c r="H69" s="5">
        <f>IF(B69="","",IFERROR(VLOOKUP(B69, PLANTA_BASE!A:R, 17, FALSE), "GENERAL"))</f>
        <v/>
      </c>
    </row>
    <row r="70" ht="20" customHeight="1">
      <c r="A70" s="2">
        <f>IF(B70="","",IFERROR(VLOOKUP(B70, PLANTA_BASE!A:R, 2, FALSE), "NO ENCONTRADO EN PLANTA"))</f>
        <v/>
      </c>
      <c r="B70" s="3" t="inlineStr"/>
      <c r="C70" s="4">
        <f>IF(B70="","",IFERROR(VLOOKUP(B70, PLANTA_BASE!A:R, 3, FALSE), ""))</f>
        <v/>
      </c>
      <c r="D70" s="2">
        <f>IF(B70="","",IFERROR(VLOOKUP(B70, PLANTA_BASE!A:R, 5, FALSE), "NO ENCONTRADO EN PLANTA"))</f>
        <v/>
      </c>
      <c r="E70" s="2">
        <f>IF(B70="","",IFERROR(VLOOKUP(B70, PLANTA_BASE!A:R, 6, FALSE), "NO ENCONTRADO EN PLANTA"))</f>
        <v/>
      </c>
      <c r="F70" s="4">
        <f>IF(B70="","",IFERROR(VLOOKUP(B70, PLANTA_BASE!A:R, 8, FALSE), "DOCENTE / FACILITADOR"))</f>
        <v/>
      </c>
      <c r="G70" s="4">
        <f>IF(B70="","",IFERROR(VLOOKUP(B70, PLANTA_BASE!A:R, 9, FALSE), "GENERAL"))</f>
        <v/>
      </c>
      <c r="H70" s="2">
        <f>IF(B70="","",IFERROR(VLOOKUP(B70, PLANTA_BASE!A:R, 17, FALSE), "GENERAL"))</f>
        <v/>
      </c>
    </row>
    <row r="71" ht="20" customHeight="1">
      <c r="A71" s="5">
        <f>IF(B71="","",IFERROR(VLOOKUP(B71, PLANTA_BASE!A:R, 2, FALSE), "NO ENCONTRADO EN PLANTA"))</f>
        <v/>
      </c>
      <c r="B71" s="6" t="inlineStr"/>
      <c r="C71" s="7">
        <f>IF(B71="","",IFERROR(VLOOKUP(B71, PLANTA_BASE!A:R, 3, FALSE), ""))</f>
        <v/>
      </c>
      <c r="D71" s="5">
        <f>IF(B71="","",IFERROR(VLOOKUP(B71, PLANTA_BASE!A:R, 5, FALSE), "NO ENCONTRADO EN PLANTA"))</f>
        <v/>
      </c>
      <c r="E71" s="5">
        <f>IF(B71="","",IFERROR(VLOOKUP(B71, PLANTA_BASE!A:R, 6, FALSE), "NO ENCONTRADO EN PLANTA"))</f>
        <v/>
      </c>
      <c r="F71" s="7">
        <f>IF(B71="","",IFERROR(VLOOKUP(B71, PLANTA_BASE!A:R, 8, FALSE), "DOCENTE / FACILITADOR"))</f>
        <v/>
      </c>
      <c r="G71" s="7">
        <f>IF(B71="","",IFERROR(VLOOKUP(B71, PLANTA_BASE!A:R, 9, FALSE), "GENERAL"))</f>
        <v/>
      </c>
      <c r="H71" s="5">
        <f>IF(B71="","",IFERROR(VLOOKUP(B71, PLANTA_BASE!A:R, 17, FALSE), "GENERAL"))</f>
        <v/>
      </c>
    </row>
    <row r="72" ht="20" customHeight="1">
      <c r="A72" s="2">
        <f>IF(B72="","",IFERROR(VLOOKUP(B72, PLANTA_BASE!A:R, 2, FALSE), "NO ENCONTRADO EN PLANTA"))</f>
        <v/>
      </c>
      <c r="B72" s="3" t="inlineStr"/>
      <c r="C72" s="4">
        <f>IF(B72="","",IFERROR(VLOOKUP(B72, PLANTA_BASE!A:R, 3, FALSE), ""))</f>
        <v/>
      </c>
      <c r="D72" s="2">
        <f>IF(B72="","",IFERROR(VLOOKUP(B72, PLANTA_BASE!A:R, 5, FALSE), "NO ENCONTRADO EN PLANTA"))</f>
        <v/>
      </c>
      <c r="E72" s="2">
        <f>IF(B72="","",IFERROR(VLOOKUP(B72, PLANTA_BASE!A:R, 6, FALSE), "NO ENCONTRADO EN PLANTA"))</f>
        <v/>
      </c>
      <c r="F72" s="4">
        <f>IF(B72="","",IFERROR(VLOOKUP(B72, PLANTA_BASE!A:R, 8, FALSE), "DOCENTE / FACILITADOR"))</f>
        <v/>
      </c>
      <c r="G72" s="4">
        <f>IF(B72="","",IFERROR(VLOOKUP(B72, PLANTA_BASE!A:R, 9, FALSE), "GENERAL"))</f>
        <v/>
      </c>
      <c r="H72" s="2">
        <f>IF(B72="","",IFERROR(VLOOKUP(B72, PLANTA_BASE!A:R, 17, FALSE), "GENERAL"))</f>
        <v/>
      </c>
    </row>
    <row r="73" ht="20" customHeight="1">
      <c r="A73" s="5">
        <f>IF(B73="","",IFERROR(VLOOKUP(B73, PLANTA_BASE!A:R, 2, FALSE), "NO ENCONTRADO EN PLANTA"))</f>
        <v/>
      </c>
      <c r="B73" s="6" t="inlineStr"/>
      <c r="C73" s="7">
        <f>IF(B73="","",IFERROR(VLOOKUP(B73, PLANTA_BASE!A:R, 3, FALSE), ""))</f>
        <v/>
      </c>
      <c r="D73" s="5">
        <f>IF(B73="","",IFERROR(VLOOKUP(B73, PLANTA_BASE!A:R, 5, FALSE), "NO ENCONTRADO EN PLANTA"))</f>
        <v/>
      </c>
      <c r="E73" s="5">
        <f>IF(B73="","",IFERROR(VLOOKUP(B73, PLANTA_BASE!A:R, 6, FALSE), "NO ENCONTRADO EN PLANTA"))</f>
        <v/>
      </c>
      <c r="F73" s="7">
        <f>IF(B73="","",IFERROR(VLOOKUP(B73, PLANTA_BASE!A:R, 8, FALSE), "DOCENTE / FACILITADOR"))</f>
        <v/>
      </c>
      <c r="G73" s="7">
        <f>IF(B73="","",IFERROR(VLOOKUP(B73, PLANTA_BASE!A:R, 9, FALSE), "GENERAL"))</f>
        <v/>
      </c>
      <c r="H73" s="5">
        <f>IF(B73="","",IFERROR(VLOOKUP(B73, PLANTA_BASE!A:R, 17, FALSE), "GENERAL"))</f>
        <v/>
      </c>
    </row>
    <row r="74" ht="20" customHeight="1">
      <c r="A74" s="2">
        <f>IF(B74="","",IFERROR(VLOOKUP(B74, PLANTA_BASE!A:R, 2, FALSE), "NO ENCONTRADO EN PLANTA"))</f>
        <v/>
      </c>
      <c r="B74" s="3" t="inlineStr"/>
      <c r="C74" s="4">
        <f>IF(B74="","",IFERROR(VLOOKUP(B74, PLANTA_BASE!A:R, 3, FALSE), ""))</f>
        <v/>
      </c>
      <c r="D74" s="2">
        <f>IF(B74="","",IFERROR(VLOOKUP(B74, PLANTA_BASE!A:R, 5, FALSE), "NO ENCONTRADO EN PLANTA"))</f>
        <v/>
      </c>
      <c r="E74" s="2">
        <f>IF(B74="","",IFERROR(VLOOKUP(B74, PLANTA_BASE!A:R, 6, FALSE), "NO ENCONTRADO EN PLANTA"))</f>
        <v/>
      </c>
      <c r="F74" s="4">
        <f>IF(B74="","",IFERROR(VLOOKUP(B74, PLANTA_BASE!A:R, 8, FALSE), "DOCENTE / FACILITADOR"))</f>
        <v/>
      </c>
      <c r="G74" s="4">
        <f>IF(B74="","",IFERROR(VLOOKUP(B74, PLANTA_BASE!A:R, 9, FALSE), "GENERAL"))</f>
        <v/>
      </c>
      <c r="H74" s="2">
        <f>IF(B74="","",IFERROR(VLOOKUP(B74, PLANTA_BASE!A:R, 17, FALSE), "GENERAL"))</f>
        <v/>
      </c>
    </row>
    <row r="75" ht="20" customHeight="1">
      <c r="A75" s="5">
        <f>IF(B75="","",IFERROR(VLOOKUP(B75, PLANTA_BASE!A:R, 2, FALSE), "NO ENCONTRADO EN PLANTA"))</f>
        <v/>
      </c>
      <c r="B75" s="6" t="inlineStr"/>
      <c r="C75" s="7">
        <f>IF(B75="","",IFERROR(VLOOKUP(B75, PLANTA_BASE!A:R, 3, FALSE), ""))</f>
        <v/>
      </c>
      <c r="D75" s="5">
        <f>IF(B75="","",IFERROR(VLOOKUP(B75, PLANTA_BASE!A:R, 5, FALSE), "NO ENCONTRADO EN PLANTA"))</f>
        <v/>
      </c>
      <c r="E75" s="5">
        <f>IF(B75="","",IFERROR(VLOOKUP(B75, PLANTA_BASE!A:R, 6, FALSE), "NO ENCONTRADO EN PLANTA"))</f>
        <v/>
      </c>
      <c r="F75" s="7">
        <f>IF(B75="","",IFERROR(VLOOKUP(B75, PLANTA_BASE!A:R, 8, FALSE), "DOCENTE / FACILITADOR"))</f>
        <v/>
      </c>
      <c r="G75" s="7">
        <f>IF(B75="","",IFERROR(VLOOKUP(B75, PLANTA_BASE!A:R, 9, FALSE), "GENERAL"))</f>
        <v/>
      </c>
      <c r="H75" s="5">
        <f>IF(B75="","",IFERROR(VLOOKUP(B75, PLANTA_BASE!A:R, 17, FALSE), "GENERAL"))</f>
        <v/>
      </c>
    </row>
    <row r="76" ht="20" customHeight="1">
      <c r="A76" s="2">
        <f>IF(B76="","",IFERROR(VLOOKUP(B76, PLANTA_BASE!A:R, 2, FALSE), "NO ENCONTRADO EN PLANTA"))</f>
        <v/>
      </c>
      <c r="B76" s="3" t="inlineStr"/>
      <c r="C76" s="4">
        <f>IF(B76="","",IFERROR(VLOOKUP(B76, PLANTA_BASE!A:R, 3, FALSE), ""))</f>
        <v/>
      </c>
      <c r="D76" s="2">
        <f>IF(B76="","",IFERROR(VLOOKUP(B76, PLANTA_BASE!A:R, 5, FALSE), "NO ENCONTRADO EN PLANTA"))</f>
        <v/>
      </c>
      <c r="E76" s="2">
        <f>IF(B76="","",IFERROR(VLOOKUP(B76, PLANTA_BASE!A:R, 6, FALSE), "NO ENCONTRADO EN PLANTA"))</f>
        <v/>
      </c>
      <c r="F76" s="4">
        <f>IF(B76="","",IFERROR(VLOOKUP(B76, PLANTA_BASE!A:R, 8, FALSE), "DOCENTE / FACILITADOR"))</f>
        <v/>
      </c>
      <c r="G76" s="4">
        <f>IF(B76="","",IFERROR(VLOOKUP(B76, PLANTA_BASE!A:R, 9, FALSE), "GENERAL"))</f>
        <v/>
      </c>
      <c r="H76" s="2">
        <f>IF(B76="","",IFERROR(VLOOKUP(B76, PLANTA_BASE!A:R, 17, FALSE), "GENERAL"))</f>
        <v/>
      </c>
    </row>
    <row r="77" ht="20" customHeight="1">
      <c r="A77" s="5">
        <f>IF(B77="","",IFERROR(VLOOKUP(B77, PLANTA_BASE!A:R, 2, FALSE), "NO ENCONTRADO EN PLANTA"))</f>
        <v/>
      </c>
      <c r="B77" s="6" t="inlineStr"/>
      <c r="C77" s="7">
        <f>IF(B77="","",IFERROR(VLOOKUP(B77, PLANTA_BASE!A:R, 3, FALSE), ""))</f>
        <v/>
      </c>
      <c r="D77" s="5">
        <f>IF(B77="","",IFERROR(VLOOKUP(B77, PLANTA_BASE!A:R, 5, FALSE), "NO ENCONTRADO EN PLANTA"))</f>
        <v/>
      </c>
      <c r="E77" s="5">
        <f>IF(B77="","",IFERROR(VLOOKUP(B77, PLANTA_BASE!A:R, 6, FALSE), "NO ENCONTRADO EN PLANTA"))</f>
        <v/>
      </c>
      <c r="F77" s="7">
        <f>IF(B77="","",IFERROR(VLOOKUP(B77, PLANTA_BASE!A:R, 8, FALSE), "DOCENTE / FACILITADOR"))</f>
        <v/>
      </c>
      <c r="G77" s="7">
        <f>IF(B77="","",IFERROR(VLOOKUP(B77, PLANTA_BASE!A:R, 9, FALSE), "GENERAL"))</f>
        <v/>
      </c>
      <c r="H77" s="5">
        <f>IF(B77="","",IFERROR(VLOOKUP(B77, PLANTA_BASE!A:R, 17, FALSE), "GENERAL"))</f>
        <v/>
      </c>
    </row>
    <row r="78" ht="20" customHeight="1">
      <c r="A78" s="2">
        <f>IF(B78="","",IFERROR(VLOOKUP(B78, PLANTA_BASE!A:R, 2, FALSE), "NO ENCONTRADO EN PLANTA"))</f>
        <v/>
      </c>
      <c r="B78" s="3" t="inlineStr"/>
      <c r="C78" s="4">
        <f>IF(B78="","",IFERROR(VLOOKUP(B78, PLANTA_BASE!A:R, 3, FALSE), ""))</f>
        <v/>
      </c>
      <c r="D78" s="2">
        <f>IF(B78="","",IFERROR(VLOOKUP(B78, PLANTA_BASE!A:R, 5, FALSE), "NO ENCONTRADO EN PLANTA"))</f>
        <v/>
      </c>
      <c r="E78" s="2">
        <f>IF(B78="","",IFERROR(VLOOKUP(B78, PLANTA_BASE!A:R, 6, FALSE), "NO ENCONTRADO EN PLANTA"))</f>
        <v/>
      </c>
      <c r="F78" s="4">
        <f>IF(B78="","",IFERROR(VLOOKUP(B78, PLANTA_BASE!A:R, 8, FALSE), "DOCENTE / FACILITADOR"))</f>
        <v/>
      </c>
      <c r="G78" s="4">
        <f>IF(B78="","",IFERROR(VLOOKUP(B78, PLANTA_BASE!A:R, 9, FALSE), "GENERAL"))</f>
        <v/>
      </c>
      <c r="H78" s="2">
        <f>IF(B78="","",IFERROR(VLOOKUP(B78, PLANTA_BASE!A:R, 17, FALSE), "GENERAL"))</f>
        <v/>
      </c>
    </row>
    <row r="79" ht="20" customHeight="1">
      <c r="A79" s="5">
        <f>IF(B79="","",IFERROR(VLOOKUP(B79, PLANTA_BASE!A:R, 2, FALSE), "NO ENCONTRADO EN PLANTA"))</f>
        <v/>
      </c>
      <c r="B79" s="6" t="inlineStr"/>
      <c r="C79" s="7">
        <f>IF(B79="","",IFERROR(VLOOKUP(B79, PLANTA_BASE!A:R, 3, FALSE), ""))</f>
        <v/>
      </c>
      <c r="D79" s="5">
        <f>IF(B79="","",IFERROR(VLOOKUP(B79, PLANTA_BASE!A:R, 5, FALSE), "NO ENCONTRADO EN PLANTA"))</f>
        <v/>
      </c>
      <c r="E79" s="5">
        <f>IF(B79="","",IFERROR(VLOOKUP(B79, PLANTA_BASE!A:R, 6, FALSE), "NO ENCONTRADO EN PLANTA"))</f>
        <v/>
      </c>
      <c r="F79" s="7">
        <f>IF(B79="","",IFERROR(VLOOKUP(B79, PLANTA_BASE!A:R, 8, FALSE), "DOCENTE / FACILITADOR"))</f>
        <v/>
      </c>
      <c r="G79" s="7">
        <f>IF(B79="","",IFERROR(VLOOKUP(B79, PLANTA_BASE!A:R, 9, FALSE), "GENERAL"))</f>
        <v/>
      </c>
      <c r="H79" s="5">
        <f>IF(B79="","",IFERROR(VLOOKUP(B79, PLANTA_BASE!A:R, 17, FALSE), "GENERAL"))</f>
        <v/>
      </c>
    </row>
    <row r="80" ht="20" customHeight="1">
      <c r="A80" s="2">
        <f>IF(B80="","",IFERROR(VLOOKUP(B80, PLANTA_BASE!A:R, 2, FALSE), "NO ENCONTRADO EN PLANTA"))</f>
        <v/>
      </c>
      <c r="B80" s="3" t="inlineStr"/>
      <c r="C80" s="4">
        <f>IF(B80="","",IFERROR(VLOOKUP(B80, PLANTA_BASE!A:R, 3, FALSE), ""))</f>
        <v/>
      </c>
      <c r="D80" s="2">
        <f>IF(B80="","",IFERROR(VLOOKUP(B80, PLANTA_BASE!A:R, 5, FALSE), "NO ENCONTRADO EN PLANTA"))</f>
        <v/>
      </c>
      <c r="E80" s="2">
        <f>IF(B80="","",IFERROR(VLOOKUP(B80, PLANTA_BASE!A:R, 6, FALSE), "NO ENCONTRADO EN PLANTA"))</f>
        <v/>
      </c>
      <c r="F80" s="4">
        <f>IF(B80="","",IFERROR(VLOOKUP(B80, PLANTA_BASE!A:R, 8, FALSE), "DOCENTE / FACILITADOR"))</f>
        <v/>
      </c>
      <c r="G80" s="4">
        <f>IF(B80="","",IFERROR(VLOOKUP(B80, PLANTA_BASE!A:R, 9, FALSE), "GENERAL"))</f>
        <v/>
      </c>
      <c r="H80" s="2">
        <f>IF(B80="","",IFERROR(VLOOKUP(B80, PLANTA_BASE!A:R, 17, FALSE), "GENERAL"))</f>
        <v/>
      </c>
    </row>
    <row r="81" ht="20" customHeight="1">
      <c r="A81" s="5">
        <f>IF(B81="","",IFERROR(VLOOKUP(B81, PLANTA_BASE!A:R, 2, FALSE), "NO ENCONTRADO EN PLANTA"))</f>
        <v/>
      </c>
      <c r="B81" s="6" t="inlineStr"/>
      <c r="C81" s="7">
        <f>IF(B81="","",IFERROR(VLOOKUP(B81, PLANTA_BASE!A:R, 3, FALSE), ""))</f>
        <v/>
      </c>
      <c r="D81" s="5">
        <f>IF(B81="","",IFERROR(VLOOKUP(B81, PLANTA_BASE!A:R, 5, FALSE), "NO ENCONTRADO EN PLANTA"))</f>
        <v/>
      </c>
      <c r="E81" s="5">
        <f>IF(B81="","",IFERROR(VLOOKUP(B81, PLANTA_BASE!A:R, 6, FALSE), "NO ENCONTRADO EN PLANTA"))</f>
        <v/>
      </c>
      <c r="F81" s="7">
        <f>IF(B81="","",IFERROR(VLOOKUP(B81, PLANTA_BASE!A:R, 8, FALSE), "DOCENTE / FACILITADOR"))</f>
        <v/>
      </c>
      <c r="G81" s="7">
        <f>IF(B81="","",IFERROR(VLOOKUP(B81, PLANTA_BASE!A:R, 9, FALSE), "GENERAL"))</f>
        <v/>
      </c>
      <c r="H81" s="5">
        <f>IF(B81="","",IFERROR(VLOOKUP(B81, PLANTA_BASE!A:R, 17, FALSE), "GENERAL"))</f>
        <v/>
      </c>
    </row>
    <row r="82" ht="20" customHeight="1">
      <c r="A82" s="2">
        <f>IF(B82="","",IFERROR(VLOOKUP(B82, PLANTA_BASE!A:R, 2, FALSE), "NO ENCONTRADO EN PLANTA"))</f>
        <v/>
      </c>
      <c r="B82" s="3" t="inlineStr"/>
      <c r="C82" s="4">
        <f>IF(B82="","",IFERROR(VLOOKUP(B82, PLANTA_BASE!A:R, 3, FALSE), ""))</f>
        <v/>
      </c>
      <c r="D82" s="2">
        <f>IF(B82="","",IFERROR(VLOOKUP(B82, PLANTA_BASE!A:R, 5, FALSE), "NO ENCONTRADO EN PLANTA"))</f>
        <v/>
      </c>
      <c r="E82" s="2">
        <f>IF(B82="","",IFERROR(VLOOKUP(B82, PLANTA_BASE!A:R, 6, FALSE), "NO ENCONTRADO EN PLANTA"))</f>
        <v/>
      </c>
      <c r="F82" s="4">
        <f>IF(B82="","",IFERROR(VLOOKUP(B82, PLANTA_BASE!A:R, 8, FALSE), "DOCENTE / FACILITADOR"))</f>
        <v/>
      </c>
      <c r="G82" s="4">
        <f>IF(B82="","",IFERROR(VLOOKUP(B82, PLANTA_BASE!A:R, 9, FALSE), "GENERAL"))</f>
        <v/>
      </c>
      <c r="H82" s="2">
        <f>IF(B82="","",IFERROR(VLOOKUP(B82, PLANTA_BASE!A:R, 17, FALSE), "GENERAL"))</f>
        <v/>
      </c>
    </row>
    <row r="83" ht="20" customHeight="1">
      <c r="A83" s="5">
        <f>IF(B83="","",IFERROR(VLOOKUP(B83, PLANTA_BASE!A:R, 2, FALSE), "NO ENCONTRADO EN PLANTA"))</f>
        <v/>
      </c>
      <c r="B83" s="6" t="inlineStr"/>
      <c r="C83" s="7">
        <f>IF(B83="","",IFERROR(VLOOKUP(B83, PLANTA_BASE!A:R, 3, FALSE), ""))</f>
        <v/>
      </c>
      <c r="D83" s="5">
        <f>IF(B83="","",IFERROR(VLOOKUP(B83, PLANTA_BASE!A:R, 5, FALSE), "NO ENCONTRADO EN PLANTA"))</f>
        <v/>
      </c>
      <c r="E83" s="5">
        <f>IF(B83="","",IFERROR(VLOOKUP(B83, PLANTA_BASE!A:R, 6, FALSE), "NO ENCONTRADO EN PLANTA"))</f>
        <v/>
      </c>
      <c r="F83" s="7">
        <f>IF(B83="","",IFERROR(VLOOKUP(B83, PLANTA_BASE!A:R, 8, FALSE), "DOCENTE / FACILITADOR"))</f>
        <v/>
      </c>
      <c r="G83" s="7">
        <f>IF(B83="","",IFERROR(VLOOKUP(B83, PLANTA_BASE!A:R, 9, FALSE), "GENERAL"))</f>
        <v/>
      </c>
      <c r="H83" s="5">
        <f>IF(B83="","",IFERROR(VLOOKUP(B83, PLANTA_BASE!A:R, 17, FALSE), "GENERAL"))</f>
        <v/>
      </c>
    </row>
    <row r="84" ht="20" customHeight="1">
      <c r="A84" s="2">
        <f>IF(B84="","",IFERROR(VLOOKUP(B84, PLANTA_BASE!A:R, 2, FALSE), "NO ENCONTRADO EN PLANTA"))</f>
        <v/>
      </c>
      <c r="B84" s="3" t="inlineStr"/>
      <c r="C84" s="4">
        <f>IF(B84="","",IFERROR(VLOOKUP(B84, PLANTA_BASE!A:R, 3, FALSE), ""))</f>
        <v/>
      </c>
      <c r="D84" s="2">
        <f>IF(B84="","",IFERROR(VLOOKUP(B84, PLANTA_BASE!A:R, 5, FALSE), "NO ENCONTRADO EN PLANTA"))</f>
        <v/>
      </c>
      <c r="E84" s="2">
        <f>IF(B84="","",IFERROR(VLOOKUP(B84, PLANTA_BASE!A:R, 6, FALSE), "NO ENCONTRADO EN PLANTA"))</f>
        <v/>
      </c>
      <c r="F84" s="4">
        <f>IF(B84="","",IFERROR(VLOOKUP(B84, PLANTA_BASE!A:R, 8, FALSE), "DOCENTE / FACILITADOR"))</f>
        <v/>
      </c>
      <c r="G84" s="4">
        <f>IF(B84="","",IFERROR(VLOOKUP(B84, PLANTA_BASE!A:R, 9, FALSE), "GENERAL"))</f>
        <v/>
      </c>
      <c r="H84" s="2">
        <f>IF(B84="","",IFERROR(VLOOKUP(B84, PLANTA_BASE!A:R, 17, FALSE), "GENERAL"))</f>
        <v/>
      </c>
    </row>
    <row r="85" ht="20" customHeight="1">
      <c r="A85" s="5">
        <f>IF(B85="","",IFERROR(VLOOKUP(B85, PLANTA_BASE!A:R, 2, FALSE), "NO ENCONTRADO EN PLANTA"))</f>
        <v/>
      </c>
      <c r="B85" s="6" t="inlineStr"/>
      <c r="C85" s="7">
        <f>IF(B85="","",IFERROR(VLOOKUP(B85, PLANTA_BASE!A:R, 3, FALSE), ""))</f>
        <v/>
      </c>
      <c r="D85" s="5">
        <f>IF(B85="","",IFERROR(VLOOKUP(B85, PLANTA_BASE!A:R, 5, FALSE), "NO ENCONTRADO EN PLANTA"))</f>
        <v/>
      </c>
      <c r="E85" s="5">
        <f>IF(B85="","",IFERROR(VLOOKUP(B85, PLANTA_BASE!A:R, 6, FALSE), "NO ENCONTRADO EN PLANTA"))</f>
        <v/>
      </c>
      <c r="F85" s="7">
        <f>IF(B85="","",IFERROR(VLOOKUP(B85, PLANTA_BASE!A:R, 8, FALSE), "DOCENTE / FACILITADOR"))</f>
        <v/>
      </c>
      <c r="G85" s="7">
        <f>IF(B85="","",IFERROR(VLOOKUP(B85, PLANTA_BASE!A:R, 9, FALSE), "GENERAL"))</f>
        <v/>
      </c>
      <c r="H85" s="5">
        <f>IF(B85="","",IFERROR(VLOOKUP(B85, PLANTA_BASE!A:R, 17, FALSE), "GENERAL"))</f>
        <v/>
      </c>
    </row>
    <row r="86" ht="20" customHeight="1">
      <c r="A86" s="2">
        <f>IF(B86="","",IFERROR(VLOOKUP(B86, PLANTA_BASE!A:R, 2, FALSE), "NO ENCONTRADO EN PLANTA"))</f>
        <v/>
      </c>
      <c r="B86" s="3" t="inlineStr"/>
      <c r="C86" s="4">
        <f>IF(B86="","",IFERROR(VLOOKUP(B86, PLANTA_BASE!A:R, 3, FALSE), ""))</f>
        <v/>
      </c>
      <c r="D86" s="2">
        <f>IF(B86="","",IFERROR(VLOOKUP(B86, PLANTA_BASE!A:R, 5, FALSE), "NO ENCONTRADO EN PLANTA"))</f>
        <v/>
      </c>
      <c r="E86" s="2">
        <f>IF(B86="","",IFERROR(VLOOKUP(B86, PLANTA_BASE!A:R, 6, FALSE), "NO ENCONTRADO EN PLANTA"))</f>
        <v/>
      </c>
      <c r="F86" s="4">
        <f>IF(B86="","",IFERROR(VLOOKUP(B86, PLANTA_BASE!A:R, 8, FALSE), "DOCENTE / FACILITADOR"))</f>
        <v/>
      </c>
      <c r="G86" s="4">
        <f>IF(B86="","",IFERROR(VLOOKUP(B86, PLANTA_BASE!A:R, 9, FALSE), "GENERAL"))</f>
        <v/>
      </c>
      <c r="H86" s="2">
        <f>IF(B86="","",IFERROR(VLOOKUP(B86, PLANTA_BASE!A:R, 17, FALSE), "GENERAL"))</f>
        <v/>
      </c>
    </row>
    <row r="87" ht="20" customHeight="1">
      <c r="A87" s="5">
        <f>IF(B87="","",IFERROR(VLOOKUP(B87, PLANTA_BASE!A:R, 2, FALSE), "NO ENCONTRADO EN PLANTA"))</f>
        <v/>
      </c>
      <c r="B87" s="6" t="inlineStr"/>
      <c r="C87" s="7">
        <f>IF(B87="","",IFERROR(VLOOKUP(B87, PLANTA_BASE!A:R, 3, FALSE), ""))</f>
        <v/>
      </c>
      <c r="D87" s="5">
        <f>IF(B87="","",IFERROR(VLOOKUP(B87, PLANTA_BASE!A:R, 5, FALSE), "NO ENCONTRADO EN PLANTA"))</f>
        <v/>
      </c>
      <c r="E87" s="5">
        <f>IF(B87="","",IFERROR(VLOOKUP(B87, PLANTA_BASE!A:R, 6, FALSE), "NO ENCONTRADO EN PLANTA"))</f>
        <v/>
      </c>
      <c r="F87" s="7">
        <f>IF(B87="","",IFERROR(VLOOKUP(B87, PLANTA_BASE!A:R, 8, FALSE), "DOCENTE / FACILITADOR"))</f>
        <v/>
      </c>
      <c r="G87" s="7">
        <f>IF(B87="","",IFERROR(VLOOKUP(B87, PLANTA_BASE!A:R, 9, FALSE), "GENERAL"))</f>
        <v/>
      </c>
      <c r="H87" s="5">
        <f>IF(B87="","",IFERROR(VLOOKUP(B87, PLANTA_BASE!A:R, 17, FALSE), "GENERAL"))</f>
        <v/>
      </c>
    </row>
    <row r="88" ht="20" customHeight="1">
      <c r="A88" s="2">
        <f>IF(B88="","",IFERROR(VLOOKUP(B88, PLANTA_BASE!A:R, 2, FALSE), "NO ENCONTRADO EN PLANTA"))</f>
        <v/>
      </c>
      <c r="B88" s="3" t="inlineStr"/>
      <c r="C88" s="4">
        <f>IF(B88="","",IFERROR(VLOOKUP(B88, PLANTA_BASE!A:R, 3, FALSE), ""))</f>
        <v/>
      </c>
      <c r="D88" s="2">
        <f>IF(B88="","",IFERROR(VLOOKUP(B88, PLANTA_BASE!A:R, 5, FALSE), "NO ENCONTRADO EN PLANTA"))</f>
        <v/>
      </c>
      <c r="E88" s="2">
        <f>IF(B88="","",IFERROR(VLOOKUP(B88, PLANTA_BASE!A:R, 6, FALSE), "NO ENCONTRADO EN PLANTA"))</f>
        <v/>
      </c>
      <c r="F88" s="4">
        <f>IF(B88="","",IFERROR(VLOOKUP(B88, PLANTA_BASE!A:R, 8, FALSE), "DOCENTE / FACILITADOR"))</f>
        <v/>
      </c>
      <c r="G88" s="4">
        <f>IF(B88="","",IFERROR(VLOOKUP(B88, PLANTA_BASE!A:R, 9, FALSE), "GENERAL"))</f>
        <v/>
      </c>
      <c r="H88" s="2">
        <f>IF(B88="","",IFERROR(VLOOKUP(B88, PLANTA_BASE!A:R, 17, FALSE), "GENERAL"))</f>
        <v/>
      </c>
    </row>
    <row r="89" ht="20" customHeight="1">
      <c r="A89" s="5">
        <f>IF(B89="","",IFERROR(VLOOKUP(B89, PLANTA_BASE!A:R, 2, FALSE), "NO ENCONTRADO EN PLANTA"))</f>
        <v/>
      </c>
      <c r="B89" s="6" t="inlineStr"/>
      <c r="C89" s="7">
        <f>IF(B89="","",IFERROR(VLOOKUP(B89, PLANTA_BASE!A:R, 3, FALSE), ""))</f>
        <v/>
      </c>
      <c r="D89" s="5">
        <f>IF(B89="","",IFERROR(VLOOKUP(B89, PLANTA_BASE!A:R, 5, FALSE), "NO ENCONTRADO EN PLANTA"))</f>
        <v/>
      </c>
      <c r="E89" s="5">
        <f>IF(B89="","",IFERROR(VLOOKUP(B89, PLANTA_BASE!A:R, 6, FALSE), "NO ENCONTRADO EN PLANTA"))</f>
        <v/>
      </c>
      <c r="F89" s="7">
        <f>IF(B89="","",IFERROR(VLOOKUP(B89, PLANTA_BASE!A:R, 8, FALSE), "DOCENTE / FACILITADOR"))</f>
        <v/>
      </c>
      <c r="G89" s="7">
        <f>IF(B89="","",IFERROR(VLOOKUP(B89, PLANTA_BASE!A:R, 9, FALSE), "GENERAL"))</f>
        <v/>
      </c>
      <c r="H89" s="5">
        <f>IF(B89="","",IFERROR(VLOOKUP(B89, PLANTA_BASE!A:R, 17, FALSE), "GENERAL"))</f>
        <v/>
      </c>
    </row>
    <row r="90" ht="20" customHeight="1">
      <c r="A90" s="2">
        <f>IF(B90="","",IFERROR(VLOOKUP(B90, PLANTA_BASE!A:R, 2, FALSE), "NO ENCONTRADO EN PLANTA"))</f>
        <v/>
      </c>
      <c r="B90" s="3" t="inlineStr"/>
      <c r="C90" s="4">
        <f>IF(B90="","",IFERROR(VLOOKUP(B90, PLANTA_BASE!A:R, 3, FALSE), ""))</f>
        <v/>
      </c>
      <c r="D90" s="2">
        <f>IF(B90="","",IFERROR(VLOOKUP(B90, PLANTA_BASE!A:R, 5, FALSE), "NO ENCONTRADO EN PLANTA"))</f>
        <v/>
      </c>
      <c r="E90" s="2">
        <f>IF(B90="","",IFERROR(VLOOKUP(B90, PLANTA_BASE!A:R, 6, FALSE), "NO ENCONTRADO EN PLANTA"))</f>
        <v/>
      </c>
      <c r="F90" s="4">
        <f>IF(B90="","",IFERROR(VLOOKUP(B90, PLANTA_BASE!A:R, 8, FALSE), "DOCENTE / FACILITADOR"))</f>
        <v/>
      </c>
      <c r="G90" s="4">
        <f>IF(B90="","",IFERROR(VLOOKUP(B90, PLANTA_BASE!A:R, 9, FALSE), "GENERAL"))</f>
        <v/>
      </c>
      <c r="H90" s="2">
        <f>IF(B90="","",IFERROR(VLOOKUP(B90, PLANTA_BASE!A:R, 17, FALSE), "GENERAL"))</f>
        <v/>
      </c>
    </row>
    <row r="91" ht="20" customHeight="1">
      <c r="A91" s="5">
        <f>IF(B91="","",IFERROR(VLOOKUP(B91, PLANTA_BASE!A:R, 2, FALSE), "NO ENCONTRADO EN PLANTA"))</f>
        <v/>
      </c>
      <c r="B91" s="6" t="inlineStr"/>
      <c r="C91" s="7">
        <f>IF(B91="","",IFERROR(VLOOKUP(B91, PLANTA_BASE!A:R, 3, FALSE), ""))</f>
        <v/>
      </c>
      <c r="D91" s="5">
        <f>IF(B91="","",IFERROR(VLOOKUP(B91, PLANTA_BASE!A:R, 5, FALSE), "NO ENCONTRADO EN PLANTA"))</f>
        <v/>
      </c>
      <c r="E91" s="5">
        <f>IF(B91="","",IFERROR(VLOOKUP(B91, PLANTA_BASE!A:R, 6, FALSE), "NO ENCONTRADO EN PLANTA"))</f>
        <v/>
      </c>
      <c r="F91" s="7">
        <f>IF(B91="","",IFERROR(VLOOKUP(B91, PLANTA_BASE!A:R, 8, FALSE), "DOCENTE / FACILITADOR"))</f>
        <v/>
      </c>
      <c r="G91" s="7">
        <f>IF(B91="","",IFERROR(VLOOKUP(B91, PLANTA_BASE!A:R, 9, FALSE), "GENERAL"))</f>
        <v/>
      </c>
      <c r="H91" s="5">
        <f>IF(B91="","",IFERROR(VLOOKUP(B91, PLANTA_BASE!A:R, 17, FALSE), "GENERAL"))</f>
        <v/>
      </c>
    </row>
    <row r="92" ht="20" customHeight="1">
      <c r="A92" s="2">
        <f>IF(B92="","",IFERROR(VLOOKUP(B92, PLANTA_BASE!A:R, 2, FALSE), "NO ENCONTRADO EN PLANTA"))</f>
        <v/>
      </c>
      <c r="B92" s="3" t="inlineStr"/>
      <c r="C92" s="4">
        <f>IF(B92="","",IFERROR(VLOOKUP(B92, PLANTA_BASE!A:R, 3, FALSE), ""))</f>
        <v/>
      </c>
      <c r="D92" s="2">
        <f>IF(B92="","",IFERROR(VLOOKUP(B92, PLANTA_BASE!A:R, 5, FALSE), "NO ENCONTRADO EN PLANTA"))</f>
        <v/>
      </c>
      <c r="E92" s="2">
        <f>IF(B92="","",IFERROR(VLOOKUP(B92, PLANTA_BASE!A:R, 6, FALSE), "NO ENCONTRADO EN PLANTA"))</f>
        <v/>
      </c>
      <c r="F92" s="4">
        <f>IF(B92="","",IFERROR(VLOOKUP(B92, PLANTA_BASE!A:R, 8, FALSE), "DOCENTE / FACILITADOR"))</f>
        <v/>
      </c>
      <c r="G92" s="4">
        <f>IF(B92="","",IFERROR(VLOOKUP(B92, PLANTA_BASE!A:R, 9, FALSE), "GENERAL"))</f>
        <v/>
      </c>
      <c r="H92" s="2">
        <f>IF(B92="","",IFERROR(VLOOKUP(B92, PLANTA_BASE!A:R, 17, FALSE), "GENERAL"))</f>
        <v/>
      </c>
    </row>
    <row r="93" ht="20" customHeight="1">
      <c r="A93" s="5">
        <f>IF(B93="","",IFERROR(VLOOKUP(B93, PLANTA_BASE!A:R, 2, FALSE), "NO ENCONTRADO EN PLANTA"))</f>
        <v/>
      </c>
      <c r="B93" s="6" t="inlineStr"/>
      <c r="C93" s="7">
        <f>IF(B93="","",IFERROR(VLOOKUP(B93, PLANTA_BASE!A:R, 3, FALSE), ""))</f>
        <v/>
      </c>
      <c r="D93" s="5">
        <f>IF(B93="","",IFERROR(VLOOKUP(B93, PLANTA_BASE!A:R, 5, FALSE), "NO ENCONTRADO EN PLANTA"))</f>
        <v/>
      </c>
      <c r="E93" s="5">
        <f>IF(B93="","",IFERROR(VLOOKUP(B93, PLANTA_BASE!A:R, 6, FALSE), "NO ENCONTRADO EN PLANTA"))</f>
        <v/>
      </c>
      <c r="F93" s="7">
        <f>IF(B93="","",IFERROR(VLOOKUP(B93, PLANTA_BASE!A:R, 8, FALSE), "DOCENTE / FACILITADOR"))</f>
        <v/>
      </c>
      <c r="G93" s="7">
        <f>IF(B93="","",IFERROR(VLOOKUP(B93, PLANTA_BASE!A:R, 9, FALSE), "GENERAL"))</f>
        <v/>
      </c>
      <c r="H93" s="5">
        <f>IF(B93="","",IFERROR(VLOOKUP(B93, PLANTA_BASE!A:R, 17, FALSE), "GENERAL"))</f>
        <v/>
      </c>
    </row>
    <row r="94" ht="20" customHeight="1">
      <c r="A94" s="2">
        <f>IF(B94="","",IFERROR(VLOOKUP(B94, PLANTA_BASE!A:R, 2, FALSE), "NO ENCONTRADO EN PLANTA"))</f>
        <v/>
      </c>
      <c r="B94" s="3" t="inlineStr"/>
      <c r="C94" s="4">
        <f>IF(B94="","",IFERROR(VLOOKUP(B94, PLANTA_BASE!A:R, 3, FALSE), ""))</f>
        <v/>
      </c>
      <c r="D94" s="2">
        <f>IF(B94="","",IFERROR(VLOOKUP(B94, PLANTA_BASE!A:R, 5, FALSE), "NO ENCONTRADO EN PLANTA"))</f>
        <v/>
      </c>
      <c r="E94" s="2">
        <f>IF(B94="","",IFERROR(VLOOKUP(B94, PLANTA_BASE!A:R, 6, FALSE), "NO ENCONTRADO EN PLANTA"))</f>
        <v/>
      </c>
      <c r="F94" s="4">
        <f>IF(B94="","",IFERROR(VLOOKUP(B94, PLANTA_BASE!A:R, 8, FALSE), "DOCENTE / FACILITADOR"))</f>
        <v/>
      </c>
      <c r="G94" s="4">
        <f>IF(B94="","",IFERROR(VLOOKUP(B94, PLANTA_BASE!A:R, 9, FALSE), "GENERAL"))</f>
        <v/>
      </c>
      <c r="H94" s="2">
        <f>IF(B94="","",IFERROR(VLOOKUP(B94, PLANTA_BASE!A:R, 17, FALSE), "GENERAL"))</f>
        <v/>
      </c>
    </row>
    <row r="95" ht="20" customHeight="1">
      <c r="A95" s="5">
        <f>IF(B95="","",IFERROR(VLOOKUP(B95, PLANTA_BASE!A:R, 2, FALSE), "NO ENCONTRADO EN PLANTA"))</f>
        <v/>
      </c>
      <c r="B95" s="6" t="inlineStr"/>
      <c r="C95" s="7">
        <f>IF(B95="","",IFERROR(VLOOKUP(B95, PLANTA_BASE!A:R, 3, FALSE), ""))</f>
        <v/>
      </c>
      <c r="D95" s="5">
        <f>IF(B95="","",IFERROR(VLOOKUP(B95, PLANTA_BASE!A:R, 5, FALSE), "NO ENCONTRADO EN PLANTA"))</f>
        <v/>
      </c>
      <c r="E95" s="5">
        <f>IF(B95="","",IFERROR(VLOOKUP(B95, PLANTA_BASE!A:R, 6, FALSE), "NO ENCONTRADO EN PLANTA"))</f>
        <v/>
      </c>
      <c r="F95" s="7">
        <f>IF(B95="","",IFERROR(VLOOKUP(B95, PLANTA_BASE!A:R, 8, FALSE), "DOCENTE / FACILITADOR"))</f>
        <v/>
      </c>
      <c r="G95" s="7">
        <f>IF(B95="","",IFERROR(VLOOKUP(B95, PLANTA_BASE!A:R, 9, FALSE), "GENERAL"))</f>
        <v/>
      </c>
      <c r="H95" s="5">
        <f>IF(B95="","",IFERROR(VLOOKUP(B95, PLANTA_BASE!A:R, 17, FALSE), "GENERAL"))</f>
        <v/>
      </c>
    </row>
    <row r="96" ht="20" customHeight="1">
      <c r="A96" s="2">
        <f>IF(B96="","",IFERROR(VLOOKUP(B96, PLANTA_BASE!A:R, 2, FALSE), "NO ENCONTRADO EN PLANTA"))</f>
        <v/>
      </c>
      <c r="B96" s="3" t="inlineStr"/>
      <c r="C96" s="4">
        <f>IF(B96="","",IFERROR(VLOOKUP(B96, PLANTA_BASE!A:R, 3, FALSE), ""))</f>
        <v/>
      </c>
      <c r="D96" s="2">
        <f>IF(B96="","",IFERROR(VLOOKUP(B96, PLANTA_BASE!A:R, 5, FALSE), "NO ENCONTRADO EN PLANTA"))</f>
        <v/>
      </c>
      <c r="E96" s="2">
        <f>IF(B96="","",IFERROR(VLOOKUP(B96, PLANTA_BASE!A:R, 6, FALSE), "NO ENCONTRADO EN PLANTA"))</f>
        <v/>
      </c>
      <c r="F96" s="4">
        <f>IF(B96="","",IFERROR(VLOOKUP(B96, PLANTA_BASE!A:R, 8, FALSE), "DOCENTE / FACILITADOR"))</f>
        <v/>
      </c>
      <c r="G96" s="4">
        <f>IF(B96="","",IFERROR(VLOOKUP(B96, PLANTA_BASE!A:R, 9, FALSE), "GENERAL"))</f>
        <v/>
      </c>
      <c r="H96" s="2">
        <f>IF(B96="","",IFERROR(VLOOKUP(B96, PLANTA_BASE!A:R, 17, FALSE), "GENERAL"))</f>
        <v/>
      </c>
    </row>
    <row r="97" ht="20" customHeight="1">
      <c r="A97" s="5">
        <f>IF(B97="","",IFERROR(VLOOKUP(B97, PLANTA_BASE!A:R, 2, FALSE), "NO ENCONTRADO EN PLANTA"))</f>
        <v/>
      </c>
      <c r="B97" s="6" t="inlineStr"/>
      <c r="C97" s="7">
        <f>IF(B97="","",IFERROR(VLOOKUP(B97, PLANTA_BASE!A:R, 3, FALSE), ""))</f>
        <v/>
      </c>
      <c r="D97" s="5">
        <f>IF(B97="","",IFERROR(VLOOKUP(B97, PLANTA_BASE!A:R, 5, FALSE), "NO ENCONTRADO EN PLANTA"))</f>
        <v/>
      </c>
      <c r="E97" s="5">
        <f>IF(B97="","",IFERROR(VLOOKUP(B97, PLANTA_BASE!A:R, 6, FALSE), "NO ENCONTRADO EN PLANTA"))</f>
        <v/>
      </c>
      <c r="F97" s="7">
        <f>IF(B97="","",IFERROR(VLOOKUP(B97, PLANTA_BASE!A:R, 8, FALSE), "DOCENTE / FACILITADOR"))</f>
        <v/>
      </c>
      <c r="G97" s="7">
        <f>IF(B97="","",IFERROR(VLOOKUP(B97, PLANTA_BASE!A:R, 9, FALSE), "GENERAL"))</f>
        <v/>
      </c>
      <c r="H97" s="5">
        <f>IF(B97="","",IFERROR(VLOOKUP(B97, PLANTA_BASE!A:R, 17, FALSE), "GENERAL"))</f>
        <v/>
      </c>
    </row>
    <row r="98" ht="20" customHeight="1">
      <c r="A98" s="2">
        <f>IF(B98="","",IFERROR(VLOOKUP(B98, PLANTA_BASE!A:R, 2, FALSE), "NO ENCONTRADO EN PLANTA"))</f>
        <v/>
      </c>
      <c r="B98" s="3" t="inlineStr"/>
      <c r="C98" s="4">
        <f>IF(B98="","",IFERROR(VLOOKUP(B98, PLANTA_BASE!A:R, 3, FALSE), ""))</f>
        <v/>
      </c>
      <c r="D98" s="2">
        <f>IF(B98="","",IFERROR(VLOOKUP(B98, PLANTA_BASE!A:R, 5, FALSE), "NO ENCONTRADO EN PLANTA"))</f>
        <v/>
      </c>
      <c r="E98" s="2">
        <f>IF(B98="","",IFERROR(VLOOKUP(B98, PLANTA_BASE!A:R, 6, FALSE), "NO ENCONTRADO EN PLANTA"))</f>
        <v/>
      </c>
      <c r="F98" s="4">
        <f>IF(B98="","",IFERROR(VLOOKUP(B98, PLANTA_BASE!A:R, 8, FALSE), "DOCENTE / FACILITADOR"))</f>
        <v/>
      </c>
      <c r="G98" s="4">
        <f>IF(B98="","",IFERROR(VLOOKUP(B98, PLANTA_BASE!A:R, 9, FALSE), "GENERAL"))</f>
        <v/>
      </c>
      <c r="H98" s="2">
        <f>IF(B98="","",IFERROR(VLOOKUP(B98, PLANTA_BASE!A:R, 17, FALSE), "GENERAL"))</f>
        <v/>
      </c>
    </row>
    <row r="99" ht="20" customHeight="1">
      <c r="A99" s="5">
        <f>IF(B99="","",IFERROR(VLOOKUP(B99, PLANTA_BASE!A:R, 2, FALSE), "NO ENCONTRADO EN PLANTA"))</f>
        <v/>
      </c>
      <c r="B99" s="6" t="inlineStr"/>
      <c r="C99" s="7">
        <f>IF(B99="","",IFERROR(VLOOKUP(B99, PLANTA_BASE!A:R, 3, FALSE), ""))</f>
        <v/>
      </c>
      <c r="D99" s="5">
        <f>IF(B99="","",IFERROR(VLOOKUP(B99, PLANTA_BASE!A:R, 5, FALSE), "NO ENCONTRADO EN PLANTA"))</f>
        <v/>
      </c>
      <c r="E99" s="5">
        <f>IF(B99="","",IFERROR(VLOOKUP(B99, PLANTA_BASE!A:R, 6, FALSE), "NO ENCONTRADO EN PLANTA"))</f>
        <v/>
      </c>
      <c r="F99" s="7">
        <f>IF(B99="","",IFERROR(VLOOKUP(B99, PLANTA_BASE!A:R, 8, FALSE), "DOCENTE / FACILITADOR"))</f>
        <v/>
      </c>
      <c r="G99" s="7">
        <f>IF(B99="","",IFERROR(VLOOKUP(B99, PLANTA_BASE!A:R, 9, FALSE), "GENERAL"))</f>
        <v/>
      </c>
      <c r="H99" s="5">
        <f>IF(B99="","",IFERROR(VLOOKUP(B99, PLANTA_BASE!A:R, 17, FALSE), "GENERAL"))</f>
        <v/>
      </c>
    </row>
    <row r="100" ht="20" customHeight="1">
      <c r="A100" s="2">
        <f>IF(B100="","",IFERROR(VLOOKUP(B100, PLANTA_BASE!A:R, 2, FALSE), "NO ENCONTRADO EN PLANTA"))</f>
        <v/>
      </c>
      <c r="B100" s="3" t="inlineStr"/>
      <c r="C100" s="4">
        <f>IF(B100="","",IFERROR(VLOOKUP(B100, PLANTA_BASE!A:R, 3, FALSE), ""))</f>
        <v/>
      </c>
      <c r="D100" s="2">
        <f>IF(B100="","",IFERROR(VLOOKUP(B100, PLANTA_BASE!A:R, 5, FALSE), "NO ENCONTRADO EN PLANTA"))</f>
        <v/>
      </c>
      <c r="E100" s="2">
        <f>IF(B100="","",IFERROR(VLOOKUP(B100, PLANTA_BASE!A:R, 6, FALSE), "NO ENCONTRADO EN PLANTA"))</f>
        <v/>
      </c>
      <c r="F100" s="4">
        <f>IF(B100="","",IFERROR(VLOOKUP(B100, PLANTA_BASE!A:R, 8, FALSE), "DOCENTE / FACILITADOR"))</f>
        <v/>
      </c>
      <c r="G100" s="4">
        <f>IF(B100="","",IFERROR(VLOOKUP(B100, PLANTA_BASE!A:R, 9, FALSE), "GENERAL"))</f>
        <v/>
      </c>
      <c r="H100" s="2">
        <f>IF(B100="","",IFERROR(VLOOKUP(B100, PLANTA_BASE!A:R, 17, FALSE), "GENERAL"))</f>
        <v/>
      </c>
    </row>
    <row r="101" ht="20" customHeight="1">
      <c r="A101" s="5">
        <f>IF(B101="","",IFERROR(VLOOKUP(B101, PLANTA_BASE!A:R, 2, FALSE), "NO ENCONTRADO EN PLANTA"))</f>
        <v/>
      </c>
      <c r="B101" s="6" t="inlineStr"/>
      <c r="C101" s="7">
        <f>IF(B101="","",IFERROR(VLOOKUP(B101, PLANTA_BASE!A:R, 3, FALSE), ""))</f>
        <v/>
      </c>
      <c r="D101" s="5">
        <f>IF(B101="","",IFERROR(VLOOKUP(B101, PLANTA_BASE!A:R, 5, FALSE), "NO ENCONTRADO EN PLANTA"))</f>
        <v/>
      </c>
      <c r="E101" s="5">
        <f>IF(B101="","",IFERROR(VLOOKUP(B101, PLANTA_BASE!A:R, 6, FALSE), "NO ENCONTRADO EN PLANTA"))</f>
        <v/>
      </c>
      <c r="F101" s="7">
        <f>IF(B101="","",IFERROR(VLOOKUP(B101, PLANTA_BASE!A:R, 8, FALSE), "DOCENTE / FACILITADOR"))</f>
        <v/>
      </c>
      <c r="G101" s="7">
        <f>IF(B101="","",IFERROR(VLOOKUP(B101, PLANTA_BASE!A:R, 9, FALSE), "GENERAL"))</f>
        <v/>
      </c>
      <c r="H101" s="5">
        <f>IF(B101="","",IFERROR(VLOOKUP(B101, PLANTA_BASE!A:R, 17, FALSE), "GENERAL"))</f>
        <v/>
      </c>
    </row>
    <row r="102" ht="20" customHeight="1">
      <c r="A102" s="2">
        <f>IF(B102="","",IFERROR(VLOOKUP(B102, PLANTA_BASE!A:R, 2, FALSE), "NO ENCONTRADO EN PLANTA"))</f>
        <v/>
      </c>
      <c r="B102" s="3" t="inlineStr"/>
      <c r="C102" s="4">
        <f>IF(B102="","",IFERROR(VLOOKUP(B102, PLANTA_BASE!A:R, 3, FALSE), ""))</f>
        <v/>
      </c>
      <c r="D102" s="2">
        <f>IF(B102="","",IFERROR(VLOOKUP(B102, PLANTA_BASE!A:R, 5, FALSE), "NO ENCONTRADO EN PLANTA"))</f>
        <v/>
      </c>
      <c r="E102" s="2">
        <f>IF(B102="","",IFERROR(VLOOKUP(B102, PLANTA_BASE!A:R, 6, FALSE), "NO ENCONTRADO EN PLANTA"))</f>
        <v/>
      </c>
      <c r="F102" s="4">
        <f>IF(B102="","",IFERROR(VLOOKUP(B102, PLANTA_BASE!A:R, 8, FALSE), "DOCENTE / FACILITADOR"))</f>
        <v/>
      </c>
      <c r="G102" s="4">
        <f>IF(B102="","",IFERROR(VLOOKUP(B102, PLANTA_BASE!A:R, 9, FALSE), "GENERAL"))</f>
        <v/>
      </c>
      <c r="H102" s="2">
        <f>IF(B102="","",IFERROR(VLOOKUP(B102, PLANTA_BASE!A:R, 17, FALSE), "GENERAL"))</f>
        <v/>
      </c>
    </row>
    <row r="103" ht="20" customHeight="1">
      <c r="A103" s="5">
        <f>IF(B103="","",IFERROR(VLOOKUP(B103, PLANTA_BASE!A:R, 2, FALSE), "NO ENCONTRADO EN PLANTA"))</f>
        <v/>
      </c>
      <c r="B103" s="6" t="inlineStr"/>
      <c r="C103" s="7">
        <f>IF(B103="","",IFERROR(VLOOKUP(B103, PLANTA_BASE!A:R, 3, FALSE), ""))</f>
        <v/>
      </c>
      <c r="D103" s="5">
        <f>IF(B103="","",IFERROR(VLOOKUP(B103, PLANTA_BASE!A:R, 5, FALSE), "NO ENCONTRADO EN PLANTA"))</f>
        <v/>
      </c>
      <c r="E103" s="5">
        <f>IF(B103="","",IFERROR(VLOOKUP(B103, PLANTA_BASE!A:R, 6, FALSE), "NO ENCONTRADO EN PLANTA"))</f>
        <v/>
      </c>
      <c r="F103" s="7">
        <f>IF(B103="","",IFERROR(VLOOKUP(B103, PLANTA_BASE!A:R, 8, FALSE), "DOCENTE / FACILITADOR"))</f>
        <v/>
      </c>
      <c r="G103" s="7">
        <f>IF(B103="","",IFERROR(VLOOKUP(B103, PLANTA_BASE!A:R, 9, FALSE), "GENERAL"))</f>
        <v/>
      </c>
      <c r="H103" s="5">
        <f>IF(B103="","",IFERROR(VLOOKUP(B103, PLANTA_BASE!A:R, 17, FALSE), "GENERAL"))</f>
        <v/>
      </c>
    </row>
    <row r="104" ht="20" customHeight="1">
      <c r="A104" s="2">
        <f>IF(B104="","",IFERROR(VLOOKUP(B104, PLANTA_BASE!A:R, 2, FALSE), "NO ENCONTRADO EN PLANTA"))</f>
        <v/>
      </c>
      <c r="B104" s="3" t="inlineStr"/>
      <c r="C104" s="4">
        <f>IF(B104="","",IFERROR(VLOOKUP(B104, PLANTA_BASE!A:R, 3, FALSE), ""))</f>
        <v/>
      </c>
      <c r="D104" s="2">
        <f>IF(B104="","",IFERROR(VLOOKUP(B104, PLANTA_BASE!A:R, 5, FALSE), "NO ENCONTRADO EN PLANTA"))</f>
        <v/>
      </c>
      <c r="E104" s="2">
        <f>IF(B104="","",IFERROR(VLOOKUP(B104, PLANTA_BASE!A:R, 6, FALSE), "NO ENCONTRADO EN PLANTA"))</f>
        <v/>
      </c>
      <c r="F104" s="4">
        <f>IF(B104="","",IFERROR(VLOOKUP(B104, PLANTA_BASE!A:R, 8, FALSE), "DOCENTE / FACILITADOR"))</f>
        <v/>
      </c>
      <c r="G104" s="4">
        <f>IF(B104="","",IFERROR(VLOOKUP(B104, PLANTA_BASE!A:R, 9, FALSE), "GENERAL"))</f>
        <v/>
      </c>
      <c r="H104" s="2">
        <f>IF(B104="","",IFERROR(VLOOKUP(B104, PLANTA_BASE!A:R, 17, FALSE), "GENERAL"))</f>
        <v/>
      </c>
    </row>
    <row r="105" ht="20" customHeight="1">
      <c r="A105" s="5">
        <f>IF(B105="","",IFERROR(VLOOKUP(B105, PLANTA_BASE!A:R, 2, FALSE), "NO ENCONTRADO EN PLANTA"))</f>
        <v/>
      </c>
      <c r="B105" s="6" t="inlineStr"/>
      <c r="C105" s="7">
        <f>IF(B105="","",IFERROR(VLOOKUP(B105, PLANTA_BASE!A:R, 3, FALSE), ""))</f>
        <v/>
      </c>
      <c r="D105" s="5">
        <f>IF(B105="","",IFERROR(VLOOKUP(B105, PLANTA_BASE!A:R, 5, FALSE), "NO ENCONTRADO EN PLANTA"))</f>
        <v/>
      </c>
      <c r="E105" s="5">
        <f>IF(B105="","",IFERROR(VLOOKUP(B105, PLANTA_BASE!A:R, 6, FALSE), "NO ENCONTRADO EN PLANTA"))</f>
        <v/>
      </c>
      <c r="F105" s="7">
        <f>IF(B105="","",IFERROR(VLOOKUP(B105, PLANTA_BASE!A:R, 8, FALSE), "DOCENTE / FACILITADOR"))</f>
        <v/>
      </c>
      <c r="G105" s="7">
        <f>IF(B105="","",IFERROR(VLOOKUP(B105, PLANTA_BASE!A:R, 9, FALSE), "GENERAL"))</f>
        <v/>
      </c>
      <c r="H105" s="5">
        <f>IF(B105="","",IFERROR(VLOOKUP(B105, PLANTA_BASE!A:R, 17, FALSE), "GENERAL"))</f>
        <v/>
      </c>
    </row>
    <row r="106" ht="20" customHeight="1">
      <c r="A106" s="2">
        <f>IF(B106="","",IFERROR(VLOOKUP(B106, PLANTA_BASE!A:R, 2, FALSE), "NO ENCONTRADO EN PLANTA"))</f>
        <v/>
      </c>
      <c r="B106" s="3" t="inlineStr"/>
      <c r="C106" s="4">
        <f>IF(B106="","",IFERROR(VLOOKUP(B106, PLANTA_BASE!A:R, 3, FALSE), ""))</f>
        <v/>
      </c>
      <c r="D106" s="2">
        <f>IF(B106="","",IFERROR(VLOOKUP(B106, PLANTA_BASE!A:R, 5, FALSE), "NO ENCONTRADO EN PLANTA"))</f>
        <v/>
      </c>
      <c r="E106" s="2">
        <f>IF(B106="","",IFERROR(VLOOKUP(B106, PLANTA_BASE!A:R, 6, FALSE), "NO ENCONTRADO EN PLANTA"))</f>
        <v/>
      </c>
      <c r="F106" s="4">
        <f>IF(B106="","",IFERROR(VLOOKUP(B106, PLANTA_BASE!A:R, 8, FALSE), "DOCENTE / FACILITADOR"))</f>
        <v/>
      </c>
      <c r="G106" s="4">
        <f>IF(B106="","",IFERROR(VLOOKUP(B106, PLANTA_BASE!A:R, 9, FALSE), "GENERAL"))</f>
        <v/>
      </c>
      <c r="H106" s="2">
        <f>IF(B106="","",IFERROR(VLOOKUP(B106, PLANTA_BASE!A:R, 17, FALSE), "GENERAL"))</f>
        <v/>
      </c>
    </row>
    <row r="107" ht="20" customHeight="1">
      <c r="A107" s="5">
        <f>IF(B107="","",IFERROR(VLOOKUP(B107, PLANTA_BASE!A:R, 2, FALSE), "NO ENCONTRADO EN PLANTA"))</f>
        <v/>
      </c>
      <c r="B107" s="6" t="inlineStr"/>
      <c r="C107" s="7">
        <f>IF(B107="","",IFERROR(VLOOKUP(B107, PLANTA_BASE!A:R, 3, FALSE), ""))</f>
        <v/>
      </c>
      <c r="D107" s="5">
        <f>IF(B107="","",IFERROR(VLOOKUP(B107, PLANTA_BASE!A:R, 5, FALSE), "NO ENCONTRADO EN PLANTA"))</f>
        <v/>
      </c>
      <c r="E107" s="5">
        <f>IF(B107="","",IFERROR(VLOOKUP(B107, PLANTA_BASE!A:R, 6, FALSE), "NO ENCONTRADO EN PLANTA"))</f>
        <v/>
      </c>
      <c r="F107" s="7">
        <f>IF(B107="","",IFERROR(VLOOKUP(B107, PLANTA_BASE!A:R, 8, FALSE), "DOCENTE / FACILITADOR"))</f>
        <v/>
      </c>
      <c r="G107" s="7">
        <f>IF(B107="","",IFERROR(VLOOKUP(B107, PLANTA_BASE!A:R, 9, FALSE), "GENERAL"))</f>
        <v/>
      </c>
      <c r="H107" s="5">
        <f>IF(B107="","",IFERROR(VLOOKUP(B107, PLANTA_BASE!A:R, 17, FALSE), "GENERAL"))</f>
        <v/>
      </c>
    </row>
    <row r="108" ht="20" customHeight="1">
      <c r="A108" s="2">
        <f>IF(B108="","",IFERROR(VLOOKUP(B108, PLANTA_BASE!A:R, 2, FALSE), "NO ENCONTRADO EN PLANTA"))</f>
        <v/>
      </c>
      <c r="B108" s="3" t="inlineStr"/>
      <c r="C108" s="4">
        <f>IF(B108="","",IFERROR(VLOOKUP(B108, PLANTA_BASE!A:R, 3, FALSE), ""))</f>
        <v/>
      </c>
      <c r="D108" s="2">
        <f>IF(B108="","",IFERROR(VLOOKUP(B108, PLANTA_BASE!A:R, 5, FALSE), "NO ENCONTRADO EN PLANTA"))</f>
        <v/>
      </c>
      <c r="E108" s="2">
        <f>IF(B108="","",IFERROR(VLOOKUP(B108, PLANTA_BASE!A:R, 6, FALSE), "NO ENCONTRADO EN PLANTA"))</f>
        <v/>
      </c>
      <c r="F108" s="4">
        <f>IF(B108="","",IFERROR(VLOOKUP(B108, PLANTA_BASE!A:R, 8, FALSE), "DOCENTE / FACILITADOR"))</f>
        <v/>
      </c>
      <c r="G108" s="4">
        <f>IF(B108="","",IFERROR(VLOOKUP(B108, PLANTA_BASE!A:R, 9, FALSE), "GENERAL"))</f>
        <v/>
      </c>
      <c r="H108" s="2">
        <f>IF(B108="","",IFERROR(VLOOKUP(B108, PLANTA_BASE!A:R, 17, FALSE), "GENERAL"))</f>
        <v/>
      </c>
    </row>
    <row r="109" ht="20" customHeight="1">
      <c r="A109" s="5">
        <f>IF(B109="","",IFERROR(VLOOKUP(B109, PLANTA_BASE!A:R, 2, FALSE), "NO ENCONTRADO EN PLANTA"))</f>
        <v/>
      </c>
      <c r="B109" s="6" t="inlineStr"/>
      <c r="C109" s="7">
        <f>IF(B109="","",IFERROR(VLOOKUP(B109, PLANTA_BASE!A:R, 3, FALSE), ""))</f>
        <v/>
      </c>
      <c r="D109" s="5">
        <f>IF(B109="","",IFERROR(VLOOKUP(B109, PLANTA_BASE!A:R, 5, FALSE), "NO ENCONTRADO EN PLANTA"))</f>
        <v/>
      </c>
      <c r="E109" s="5">
        <f>IF(B109="","",IFERROR(VLOOKUP(B109, PLANTA_BASE!A:R, 6, FALSE), "NO ENCONTRADO EN PLANTA"))</f>
        <v/>
      </c>
      <c r="F109" s="7">
        <f>IF(B109="","",IFERROR(VLOOKUP(B109, PLANTA_BASE!A:R, 8, FALSE), "DOCENTE / FACILITADOR"))</f>
        <v/>
      </c>
      <c r="G109" s="7">
        <f>IF(B109="","",IFERROR(VLOOKUP(B109, PLANTA_BASE!A:R, 9, FALSE), "GENERAL"))</f>
        <v/>
      </c>
      <c r="H109" s="5">
        <f>IF(B109="","",IFERROR(VLOOKUP(B109, PLANTA_BASE!A:R, 17, FALSE), "GENERAL"))</f>
        <v/>
      </c>
    </row>
    <row r="110" ht="20" customHeight="1">
      <c r="A110" s="2">
        <f>IF(B110="","",IFERROR(VLOOKUP(B110, PLANTA_BASE!A:R, 2, FALSE), "NO ENCONTRADO EN PLANTA"))</f>
        <v/>
      </c>
      <c r="B110" s="3" t="inlineStr"/>
      <c r="C110" s="4">
        <f>IF(B110="","",IFERROR(VLOOKUP(B110, PLANTA_BASE!A:R, 3, FALSE), ""))</f>
        <v/>
      </c>
      <c r="D110" s="2">
        <f>IF(B110="","",IFERROR(VLOOKUP(B110, PLANTA_BASE!A:R, 5, FALSE), "NO ENCONTRADO EN PLANTA"))</f>
        <v/>
      </c>
      <c r="E110" s="2">
        <f>IF(B110="","",IFERROR(VLOOKUP(B110, PLANTA_BASE!A:R, 6, FALSE), "NO ENCONTRADO EN PLANTA"))</f>
        <v/>
      </c>
      <c r="F110" s="4">
        <f>IF(B110="","",IFERROR(VLOOKUP(B110, PLANTA_BASE!A:R, 8, FALSE), "DOCENTE / FACILITADOR"))</f>
        <v/>
      </c>
      <c r="G110" s="4">
        <f>IF(B110="","",IFERROR(VLOOKUP(B110, PLANTA_BASE!A:R, 9, FALSE), "GENERAL"))</f>
        <v/>
      </c>
      <c r="H110" s="2">
        <f>IF(B110="","",IFERROR(VLOOKUP(B110, PLANTA_BASE!A:R, 17, FALSE), "GENERAL"))</f>
        <v/>
      </c>
    </row>
    <row r="111" ht="20" customHeight="1">
      <c r="A111" s="5">
        <f>IF(B111="","",IFERROR(VLOOKUP(B111, PLANTA_BASE!A:R, 2, FALSE), "NO ENCONTRADO EN PLANTA"))</f>
        <v/>
      </c>
      <c r="B111" s="6" t="inlineStr"/>
      <c r="C111" s="7">
        <f>IF(B111="","",IFERROR(VLOOKUP(B111, PLANTA_BASE!A:R, 3, FALSE), ""))</f>
        <v/>
      </c>
      <c r="D111" s="5">
        <f>IF(B111="","",IFERROR(VLOOKUP(B111, PLANTA_BASE!A:R, 5, FALSE), "NO ENCONTRADO EN PLANTA"))</f>
        <v/>
      </c>
      <c r="E111" s="5">
        <f>IF(B111="","",IFERROR(VLOOKUP(B111, PLANTA_BASE!A:R, 6, FALSE), "NO ENCONTRADO EN PLANTA"))</f>
        <v/>
      </c>
      <c r="F111" s="7">
        <f>IF(B111="","",IFERROR(VLOOKUP(B111, PLANTA_BASE!A:R, 8, FALSE), "DOCENTE / FACILITADOR"))</f>
        <v/>
      </c>
      <c r="G111" s="7">
        <f>IF(B111="","",IFERROR(VLOOKUP(B111, PLANTA_BASE!A:R, 9, FALSE), "GENERAL"))</f>
        <v/>
      </c>
      <c r="H111" s="5">
        <f>IF(B111="","",IFERROR(VLOOKUP(B111, PLANTA_BASE!A:R, 17, FALSE), "GENERAL"))</f>
        <v/>
      </c>
    </row>
    <row r="112" ht="20" customHeight="1">
      <c r="A112" s="2">
        <f>IF(B112="","",IFERROR(VLOOKUP(B112, PLANTA_BASE!A:R, 2, FALSE), "NO ENCONTRADO EN PLANTA"))</f>
        <v/>
      </c>
      <c r="B112" s="3" t="inlineStr"/>
      <c r="C112" s="4">
        <f>IF(B112="","",IFERROR(VLOOKUP(B112, PLANTA_BASE!A:R, 3, FALSE), ""))</f>
        <v/>
      </c>
      <c r="D112" s="2">
        <f>IF(B112="","",IFERROR(VLOOKUP(B112, PLANTA_BASE!A:R, 5, FALSE), "NO ENCONTRADO EN PLANTA"))</f>
        <v/>
      </c>
      <c r="E112" s="2">
        <f>IF(B112="","",IFERROR(VLOOKUP(B112, PLANTA_BASE!A:R, 6, FALSE), "NO ENCONTRADO EN PLANTA"))</f>
        <v/>
      </c>
      <c r="F112" s="4">
        <f>IF(B112="","",IFERROR(VLOOKUP(B112, PLANTA_BASE!A:R, 8, FALSE), "DOCENTE / FACILITADOR"))</f>
        <v/>
      </c>
      <c r="G112" s="4">
        <f>IF(B112="","",IFERROR(VLOOKUP(B112, PLANTA_BASE!A:R, 9, FALSE), "GENERAL"))</f>
        <v/>
      </c>
      <c r="H112" s="2">
        <f>IF(B112="","",IFERROR(VLOOKUP(B112, PLANTA_BASE!A:R, 17, FALSE), "GENERAL"))</f>
        <v/>
      </c>
    </row>
    <row r="113" ht="20" customHeight="1">
      <c r="A113" s="5">
        <f>IF(B113="","",IFERROR(VLOOKUP(B113, PLANTA_BASE!A:R, 2, FALSE), "NO ENCONTRADO EN PLANTA"))</f>
        <v/>
      </c>
      <c r="B113" s="6" t="inlineStr"/>
      <c r="C113" s="7">
        <f>IF(B113="","",IFERROR(VLOOKUP(B113, PLANTA_BASE!A:R, 3, FALSE), ""))</f>
        <v/>
      </c>
      <c r="D113" s="5">
        <f>IF(B113="","",IFERROR(VLOOKUP(B113, PLANTA_BASE!A:R, 5, FALSE), "NO ENCONTRADO EN PLANTA"))</f>
        <v/>
      </c>
      <c r="E113" s="5">
        <f>IF(B113="","",IFERROR(VLOOKUP(B113, PLANTA_BASE!A:R, 6, FALSE), "NO ENCONTRADO EN PLANTA"))</f>
        <v/>
      </c>
      <c r="F113" s="7">
        <f>IF(B113="","",IFERROR(VLOOKUP(B113, PLANTA_BASE!A:R, 8, FALSE), "DOCENTE / FACILITADOR"))</f>
        <v/>
      </c>
      <c r="G113" s="7">
        <f>IF(B113="","",IFERROR(VLOOKUP(B113, PLANTA_BASE!A:R, 9, FALSE), "GENERAL"))</f>
        <v/>
      </c>
      <c r="H113" s="5">
        <f>IF(B113="","",IFERROR(VLOOKUP(B113, PLANTA_BASE!A:R, 17, FALSE), "GENERAL"))</f>
        <v/>
      </c>
    </row>
    <row r="114" ht="20" customHeight="1">
      <c r="A114" s="2">
        <f>IF(B114="","",IFERROR(VLOOKUP(B114, PLANTA_BASE!A:R, 2, FALSE), "NO ENCONTRADO EN PLANTA"))</f>
        <v/>
      </c>
      <c r="B114" s="3" t="inlineStr"/>
      <c r="C114" s="4">
        <f>IF(B114="","",IFERROR(VLOOKUP(B114, PLANTA_BASE!A:R, 3, FALSE), ""))</f>
        <v/>
      </c>
      <c r="D114" s="2">
        <f>IF(B114="","",IFERROR(VLOOKUP(B114, PLANTA_BASE!A:R, 5, FALSE), "NO ENCONTRADO EN PLANTA"))</f>
        <v/>
      </c>
      <c r="E114" s="2">
        <f>IF(B114="","",IFERROR(VLOOKUP(B114, PLANTA_BASE!A:R, 6, FALSE), "NO ENCONTRADO EN PLANTA"))</f>
        <v/>
      </c>
      <c r="F114" s="4">
        <f>IF(B114="","",IFERROR(VLOOKUP(B114, PLANTA_BASE!A:R, 8, FALSE), "DOCENTE / FACILITADOR"))</f>
        <v/>
      </c>
      <c r="G114" s="4">
        <f>IF(B114="","",IFERROR(VLOOKUP(B114, PLANTA_BASE!A:R, 9, FALSE), "GENERAL"))</f>
        <v/>
      </c>
      <c r="H114" s="2">
        <f>IF(B114="","",IFERROR(VLOOKUP(B114, PLANTA_BASE!A:R, 17, FALSE), "GENERAL"))</f>
        <v/>
      </c>
    </row>
    <row r="115" ht="20" customHeight="1">
      <c r="A115" s="5">
        <f>IF(B115="","",IFERROR(VLOOKUP(B115, PLANTA_BASE!A:R, 2, FALSE), "NO ENCONTRADO EN PLANTA"))</f>
        <v/>
      </c>
      <c r="B115" s="6" t="inlineStr"/>
      <c r="C115" s="7">
        <f>IF(B115="","",IFERROR(VLOOKUP(B115, PLANTA_BASE!A:R, 3, FALSE), ""))</f>
        <v/>
      </c>
      <c r="D115" s="5">
        <f>IF(B115="","",IFERROR(VLOOKUP(B115, PLANTA_BASE!A:R, 5, FALSE), "NO ENCONTRADO EN PLANTA"))</f>
        <v/>
      </c>
      <c r="E115" s="5">
        <f>IF(B115="","",IFERROR(VLOOKUP(B115, PLANTA_BASE!A:R, 6, FALSE), "NO ENCONTRADO EN PLANTA"))</f>
        <v/>
      </c>
      <c r="F115" s="7">
        <f>IF(B115="","",IFERROR(VLOOKUP(B115, PLANTA_BASE!A:R, 8, FALSE), "DOCENTE / FACILITADOR"))</f>
        <v/>
      </c>
      <c r="G115" s="7">
        <f>IF(B115="","",IFERROR(VLOOKUP(B115, PLANTA_BASE!A:R, 9, FALSE), "GENERAL"))</f>
        <v/>
      </c>
      <c r="H115" s="5">
        <f>IF(B115="","",IFERROR(VLOOKUP(B115, PLANTA_BASE!A:R, 17, FALSE), "GENERAL"))</f>
        <v/>
      </c>
    </row>
    <row r="116" ht="20" customHeight="1">
      <c r="A116" s="2">
        <f>IF(B116="","",IFERROR(VLOOKUP(B116, PLANTA_BASE!A:R, 2, FALSE), "NO ENCONTRADO EN PLANTA"))</f>
        <v/>
      </c>
      <c r="B116" s="3" t="inlineStr"/>
      <c r="C116" s="4">
        <f>IF(B116="","",IFERROR(VLOOKUP(B116, PLANTA_BASE!A:R, 3, FALSE), ""))</f>
        <v/>
      </c>
      <c r="D116" s="2">
        <f>IF(B116="","",IFERROR(VLOOKUP(B116, PLANTA_BASE!A:R, 5, FALSE), "NO ENCONTRADO EN PLANTA"))</f>
        <v/>
      </c>
      <c r="E116" s="2">
        <f>IF(B116="","",IFERROR(VLOOKUP(B116, PLANTA_BASE!A:R, 6, FALSE), "NO ENCONTRADO EN PLANTA"))</f>
        <v/>
      </c>
      <c r="F116" s="4">
        <f>IF(B116="","",IFERROR(VLOOKUP(B116, PLANTA_BASE!A:R, 8, FALSE), "DOCENTE / FACILITADOR"))</f>
        <v/>
      </c>
      <c r="G116" s="4">
        <f>IF(B116="","",IFERROR(VLOOKUP(B116, PLANTA_BASE!A:R, 9, FALSE), "GENERAL"))</f>
        <v/>
      </c>
      <c r="H116" s="2">
        <f>IF(B116="","",IFERROR(VLOOKUP(B116, PLANTA_BASE!A:R, 17, FALSE), "GENERAL"))</f>
        <v/>
      </c>
    </row>
    <row r="117" ht="20" customHeight="1">
      <c r="A117" s="5">
        <f>IF(B117="","",IFERROR(VLOOKUP(B117, PLANTA_BASE!A:R, 2, FALSE), "NO ENCONTRADO EN PLANTA"))</f>
        <v/>
      </c>
      <c r="B117" s="6" t="inlineStr"/>
      <c r="C117" s="7">
        <f>IF(B117="","",IFERROR(VLOOKUP(B117, PLANTA_BASE!A:R, 3, FALSE), ""))</f>
        <v/>
      </c>
      <c r="D117" s="5">
        <f>IF(B117="","",IFERROR(VLOOKUP(B117, PLANTA_BASE!A:R, 5, FALSE), "NO ENCONTRADO EN PLANTA"))</f>
        <v/>
      </c>
      <c r="E117" s="5">
        <f>IF(B117="","",IFERROR(VLOOKUP(B117, PLANTA_BASE!A:R, 6, FALSE), "NO ENCONTRADO EN PLANTA"))</f>
        <v/>
      </c>
      <c r="F117" s="7">
        <f>IF(B117="","",IFERROR(VLOOKUP(B117, PLANTA_BASE!A:R, 8, FALSE), "DOCENTE / FACILITADOR"))</f>
        <v/>
      </c>
      <c r="G117" s="7">
        <f>IF(B117="","",IFERROR(VLOOKUP(B117, PLANTA_BASE!A:R, 9, FALSE), "GENERAL"))</f>
        <v/>
      </c>
      <c r="H117" s="5">
        <f>IF(B117="","",IFERROR(VLOOKUP(B117, PLANTA_BASE!A:R, 17, FALSE), "GENERAL"))</f>
        <v/>
      </c>
    </row>
    <row r="118" ht="20" customHeight="1">
      <c r="A118" s="2">
        <f>IF(B118="","",IFERROR(VLOOKUP(B118, PLANTA_BASE!A:R, 2, FALSE), "NO ENCONTRADO EN PLANTA"))</f>
        <v/>
      </c>
      <c r="B118" s="3" t="inlineStr"/>
      <c r="C118" s="4">
        <f>IF(B118="","",IFERROR(VLOOKUP(B118, PLANTA_BASE!A:R, 3, FALSE), ""))</f>
        <v/>
      </c>
      <c r="D118" s="2">
        <f>IF(B118="","",IFERROR(VLOOKUP(B118, PLANTA_BASE!A:R, 5, FALSE), "NO ENCONTRADO EN PLANTA"))</f>
        <v/>
      </c>
      <c r="E118" s="2">
        <f>IF(B118="","",IFERROR(VLOOKUP(B118, PLANTA_BASE!A:R, 6, FALSE), "NO ENCONTRADO EN PLANTA"))</f>
        <v/>
      </c>
      <c r="F118" s="4">
        <f>IF(B118="","",IFERROR(VLOOKUP(B118, PLANTA_BASE!A:R, 8, FALSE), "DOCENTE / FACILITADOR"))</f>
        <v/>
      </c>
      <c r="G118" s="4">
        <f>IF(B118="","",IFERROR(VLOOKUP(B118, PLANTA_BASE!A:R, 9, FALSE), "GENERAL"))</f>
        <v/>
      </c>
      <c r="H118" s="2">
        <f>IF(B118="","",IFERROR(VLOOKUP(B118, PLANTA_BASE!A:R, 17, FALSE), "GENERAL"))</f>
        <v/>
      </c>
    </row>
    <row r="119" ht="20" customHeight="1">
      <c r="A119" s="5">
        <f>IF(B119="","",IFERROR(VLOOKUP(B119, PLANTA_BASE!A:R, 2, FALSE), "NO ENCONTRADO EN PLANTA"))</f>
        <v/>
      </c>
      <c r="B119" s="6" t="inlineStr"/>
      <c r="C119" s="7">
        <f>IF(B119="","",IFERROR(VLOOKUP(B119, PLANTA_BASE!A:R, 3, FALSE), ""))</f>
        <v/>
      </c>
      <c r="D119" s="5">
        <f>IF(B119="","",IFERROR(VLOOKUP(B119, PLANTA_BASE!A:R, 5, FALSE), "NO ENCONTRADO EN PLANTA"))</f>
        <v/>
      </c>
      <c r="E119" s="5">
        <f>IF(B119="","",IFERROR(VLOOKUP(B119, PLANTA_BASE!A:R, 6, FALSE), "NO ENCONTRADO EN PLANTA"))</f>
        <v/>
      </c>
      <c r="F119" s="7">
        <f>IF(B119="","",IFERROR(VLOOKUP(B119, PLANTA_BASE!A:R, 8, FALSE), "DOCENTE / FACILITADOR"))</f>
        <v/>
      </c>
      <c r="G119" s="7">
        <f>IF(B119="","",IFERROR(VLOOKUP(B119, PLANTA_BASE!A:R, 9, FALSE), "GENERAL"))</f>
        <v/>
      </c>
      <c r="H119" s="5">
        <f>IF(B119="","",IFERROR(VLOOKUP(B119, PLANTA_BASE!A:R, 17, FALSE), "GENERAL"))</f>
        <v/>
      </c>
    </row>
    <row r="120" ht="20" customHeight="1">
      <c r="A120" s="2">
        <f>IF(B120="","",IFERROR(VLOOKUP(B120, PLANTA_BASE!A:R, 2, FALSE), "NO ENCONTRADO EN PLANTA"))</f>
        <v/>
      </c>
      <c r="B120" s="3" t="inlineStr"/>
      <c r="C120" s="4">
        <f>IF(B120="","",IFERROR(VLOOKUP(B120, PLANTA_BASE!A:R, 3, FALSE), ""))</f>
        <v/>
      </c>
      <c r="D120" s="2">
        <f>IF(B120="","",IFERROR(VLOOKUP(B120, PLANTA_BASE!A:R, 5, FALSE), "NO ENCONTRADO EN PLANTA"))</f>
        <v/>
      </c>
      <c r="E120" s="2">
        <f>IF(B120="","",IFERROR(VLOOKUP(B120, PLANTA_BASE!A:R, 6, FALSE), "NO ENCONTRADO EN PLANTA"))</f>
        <v/>
      </c>
      <c r="F120" s="4">
        <f>IF(B120="","",IFERROR(VLOOKUP(B120, PLANTA_BASE!A:R, 8, FALSE), "DOCENTE / FACILITADOR"))</f>
        <v/>
      </c>
      <c r="G120" s="4">
        <f>IF(B120="","",IFERROR(VLOOKUP(B120, PLANTA_BASE!A:R, 9, FALSE), "GENERAL"))</f>
        <v/>
      </c>
      <c r="H120" s="2">
        <f>IF(B120="","",IFERROR(VLOOKUP(B120, PLANTA_BASE!A:R, 17, FALSE), "GENERAL"))</f>
        <v/>
      </c>
    </row>
    <row r="121" ht="20" customHeight="1">
      <c r="A121" s="5">
        <f>IF(B121="","",IFERROR(VLOOKUP(B121, PLANTA_BASE!A:R, 2, FALSE), "NO ENCONTRADO EN PLANTA"))</f>
        <v/>
      </c>
      <c r="B121" s="6" t="inlineStr"/>
      <c r="C121" s="7">
        <f>IF(B121="","",IFERROR(VLOOKUP(B121, PLANTA_BASE!A:R, 3, FALSE), ""))</f>
        <v/>
      </c>
      <c r="D121" s="5">
        <f>IF(B121="","",IFERROR(VLOOKUP(B121, PLANTA_BASE!A:R, 5, FALSE), "NO ENCONTRADO EN PLANTA"))</f>
        <v/>
      </c>
      <c r="E121" s="5">
        <f>IF(B121="","",IFERROR(VLOOKUP(B121, PLANTA_BASE!A:R, 6, FALSE), "NO ENCONTRADO EN PLANTA"))</f>
        <v/>
      </c>
      <c r="F121" s="7">
        <f>IF(B121="","",IFERROR(VLOOKUP(B121, PLANTA_BASE!A:R, 8, FALSE), "DOCENTE / FACILITADOR"))</f>
        <v/>
      </c>
      <c r="G121" s="7">
        <f>IF(B121="","",IFERROR(VLOOKUP(B121, PLANTA_BASE!A:R, 9, FALSE), "GENERAL"))</f>
        <v/>
      </c>
      <c r="H121" s="5">
        <f>IF(B121="","",IFERROR(VLOOKUP(B121, PLANTA_BASE!A:R, 17, FALSE), "GENERAL"))</f>
        <v/>
      </c>
    </row>
    <row r="122" ht="20" customHeight="1">
      <c r="A122" s="2">
        <f>IF(B122="","",IFERROR(VLOOKUP(B122, PLANTA_BASE!A:R, 2, FALSE), "NO ENCONTRADO EN PLANTA"))</f>
        <v/>
      </c>
      <c r="B122" s="3" t="inlineStr"/>
      <c r="C122" s="4">
        <f>IF(B122="","",IFERROR(VLOOKUP(B122, PLANTA_BASE!A:R, 3, FALSE), ""))</f>
        <v/>
      </c>
      <c r="D122" s="2">
        <f>IF(B122="","",IFERROR(VLOOKUP(B122, PLANTA_BASE!A:R, 5, FALSE), "NO ENCONTRADO EN PLANTA"))</f>
        <v/>
      </c>
      <c r="E122" s="2">
        <f>IF(B122="","",IFERROR(VLOOKUP(B122, PLANTA_BASE!A:R, 6, FALSE), "NO ENCONTRADO EN PLANTA"))</f>
        <v/>
      </c>
      <c r="F122" s="4">
        <f>IF(B122="","",IFERROR(VLOOKUP(B122, PLANTA_BASE!A:R, 8, FALSE), "DOCENTE / FACILITADOR"))</f>
        <v/>
      </c>
      <c r="G122" s="4">
        <f>IF(B122="","",IFERROR(VLOOKUP(B122, PLANTA_BASE!A:R, 9, FALSE), "GENERAL"))</f>
        <v/>
      </c>
      <c r="H122" s="2">
        <f>IF(B122="","",IFERROR(VLOOKUP(B122, PLANTA_BASE!A:R, 17, FALSE), "GENERAL"))</f>
        <v/>
      </c>
    </row>
    <row r="123" ht="20" customHeight="1">
      <c r="A123" s="5">
        <f>IF(B123="","",IFERROR(VLOOKUP(B123, PLANTA_BASE!A:R, 2, FALSE), "NO ENCONTRADO EN PLANTA"))</f>
        <v/>
      </c>
      <c r="B123" s="6" t="inlineStr"/>
      <c r="C123" s="7">
        <f>IF(B123="","",IFERROR(VLOOKUP(B123, PLANTA_BASE!A:R, 3, FALSE), ""))</f>
        <v/>
      </c>
      <c r="D123" s="5">
        <f>IF(B123="","",IFERROR(VLOOKUP(B123, PLANTA_BASE!A:R, 5, FALSE), "NO ENCONTRADO EN PLANTA"))</f>
        <v/>
      </c>
      <c r="E123" s="5">
        <f>IF(B123="","",IFERROR(VLOOKUP(B123, PLANTA_BASE!A:R, 6, FALSE), "NO ENCONTRADO EN PLANTA"))</f>
        <v/>
      </c>
      <c r="F123" s="7">
        <f>IF(B123="","",IFERROR(VLOOKUP(B123, PLANTA_BASE!A:R, 8, FALSE), "DOCENTE / FACILITADOR"))</f>
        <v/>
      </c>
      <c r="G123" s="7">
        <f>IF(B123="","",IFERROR(VLOOKUP(B123, PLANTA_BASE!A:R, 9, FALSE), "GENERAL"))</f>
        <v/>
      </c>
      <c r="H123" s="5">
        <f>IF(B123="","",IFERROR(VLOOKUP(B123, PLANTA_BASE!A:R, 17, FALSE), "GENERAL"))</f>
        <v/>
      </c>
    </row>
    <row r="124" ht="20" customHeight="1">
      <c r="A124" s="2">
        <f>IF(B124="","",IFERROR(VLOOKUP(B124, PLANTA_BASE!A:R, 2, FALSE), "NO ENCONTRADO EN PLANTA"))</f>
        <v/>
      </c>
      <c r="B124" s="3" t="inlineStr"/>
      <c r="C124" s="4">
        <f>IF(B124="","",IFERROR(VLOOKUP(B124, PLANTA_BASE!A:R, 3, FALSE), ""))</f>
        <v/>
      </c>
      <c r="D124" s="2">
        <f>IF(B124="","",IFERROR(VLOOKUP(B124, PLANTA_BASE!A:R, 5, FALSE), "NO ENCONTRADO EN PLANTA"))</f>
        <v/>
      </c>
      <c r="E124" s="2">
        <f>IF(B124="","",IFERROR(VLOOKUP(B124, PLANTA_BASE!A:R, 6, FALSE), "NO ENCONTRADO EN PLANTA"))</f>
        <v/>
      </c>
      <c r="F124" s="4">
        <f>IF(B124="","",IFERROR(VLOOKUP(B124, PLANTA_BASE!A:R, 8, FALSE), "DOCENTE / FACILITADOR"))</f>
        <v/>
      </c>
      <c r="G124" s="4">
        <f>IF(B124="","",IFERROR(VLOOKUP(B124, PLANTA_BASE!A:R, 9, FALSE), "GENERAL"))</f>
        <v/>
      </c>
      <c r="H124" s="2">
        <f>IF(B124="","",IFERROR(VLOOKUP(B124, PLANTA_BASE!A:R, 17, FALSE), "GENERAL"))</f>
        <v/>
      </c>
    </row>
    <row r="125" ht="20" customHeight="1">
      <c r="A125" s="5">
        <f>IF(B125="","",IFERROR(VLOOKUP(B125, PLANTA_BASE!A:R, 2, FALSE), "NO ENCONTRADO EN PLANTA"))</f>
        <v/>
      </c>
      <c r="B125" s="6" t="inlineStr"/>
      <c r="C125" s="7">
        <f>IF(B125="","",IFERROR(VLOOKUP(B125, PLANTA_BASE!A:R, 3, FALSE), ""))</f>
        <v/>
      </c>
      <c r="D125" s="5">
        <f>IF(B125="","",IFERROR(VLOOKUP(B125, PLANTA_BASE!A:R, 5, FALSE), "NO ENCONTRADO EN PLANTA"))</f>
        <v/>
      </c>
      <c r="E125" s="5">
        <f>IF(B125="","",IFERROR(VLOOKUP(B125, PLANTA_BASE!A:R, 6, FALSE), "NO ENCONTRADO EN PLANTA"))</f>
        <v/>
      </c>
      <c r="F125" s="7">
        <f>IF(B125="","",IFERROR(VLOOKUP(B125, PLANTA_BASE!A:R, 8, FALSE), "DOCENTE / FACILITADOR"))</f>
        <v/>
      </c>
      <c r="G125" s="7">
        <f>IF(B125="","",IFERROR(VLOOKUP(B125, PLANTA_BASE!A:R, 9, FALSE), "GENERAL"))</f>
        <v/>
      </c>
      <c r="H125" s="5">
        <f>IF(B125="","",IFERROR(VLOOKUP(B125, PLANTA_BASE!A:R, 17, FALSE), "GENERAL"))</f>
        <v/>
      </c>
    </row>
    <row r="126" ht="20" customHeight="1">
      <c r="A126" s="2">
        <f>IF(B126="","",IFERROR(VLOOKUP(B126, PLANTA_BASE!A:R, 2, FALSE), "NO ENCONTRADO EN PLANTA"))</f>
        <v/>
      </c>
      <c r="B126" s="3" t="inlineStr"/>
      <c r="C126" s="4">
        <f>IF(B126="","",IFERROR(VLOOKUP(B126, PLANTA_BASE!A:R, 3, FALSE), ""))</f>
        <v/>
      </c>
      <c r="D126" s="2">
        <f>IF(B126="","",IFERROR(VLOOKUP(B126, PLANTA_BASE!A:R, 5, FALSE), "NO ENCONTRADO EN PLANTA"))</f>
        <v/>
      </c>
      <c r="E126" s="2">
        <f>IF(B126="","",IFERROR(VLOOKUP(B126, PLANTA_BASE!A:R, 6, FALSE), "NO ENCONTRADO EN PLANTA"))</f>
        <v/>
      </c>
      <c r="F126" s="4">
        <f>IF(B126="","",IFERROR(VLOOKUP(B126, PLANTA_BASE!A:R, 8, FALSE), "DOCENTE / FACILITADOR"))</f>
        <v/>
      </c>
      <c r="G126" s="4">
        <f>IF(B126="","",IFERROR(VLOOKUP(B126, PLANTA_BASE!A:R, 9, FALSE), "GENERAL"))</f>
        <v/>
      </c>
      <c r="H126" s="2">
        <f>IF(B126="","",IFERROR(VLOOKUP(B126, PLANTA_BASE!A:R, 17, FALSE), "GENERAL"))</f>
        <v/>
      </c>
    </row>
    <row r="127" ht="20" customHeight="1">
      <c r="A127" s="5">
        <f>IF(B127="","",IFERROR(VLOOKUP(B127, PLANTA_BASE!A:R, 2, FALSE), "NO ENCONTRADO EN PLANTA"))</f>
        <v/>
      </c>
      <c r="B127" s="6" t="inlineStr"/>
      <c r="C127" s="7">
        <f>IF(B127="","",IFERROR(VLOOKUP(B127, PLANTA_BASE!A:R, 3, FALSE), ""))</f>
        <v/>
      </c>
      <c r="D127" s="5">
        <f>IF(B127="","",IFERROR(VLOOKUP(B127, PLANTA_BASE!A:R, 5, FALSE), "NO ENCONTRADO EN PLANTA"))</f>
        <v/>
      </c>
      <c r="E127" s="5">
        <f>IF(B127="","",IFERROR(VLOOKUP(B127, PLANTA_BASE!A:R, 6, FALSE), "NO ENCONTRADO EN PLANTA"))</f>
        <v/>
      </c>
      <c r="F127" s="7">
        <f>IF(B127="","",IFERROR(VLOOKUP(B127, PLANTA_BASE!A:R, 8, FALSE), "DOCENTE / FACILITADOR"))</f>
        <v/>
      </c>
      <c r="G127" s="7">
        <f>IF(B127="","",IFERROR(VLOOKUP(B127, PLANTA_BASE!A:R, 9, FALSE), "GENERAL"))</f>
        <v/>
      </c>
      <c r="H127" s="5">
        <f>IF(B127="","",IFERROR(VLOOKUP(B127, PLANTA_BASE!A:R, 17, FALSE), "GENERAL"))</f>
        <v/>
      </c>
    </row>
    <row r="128" ht="20" customHeight="1">
      <c r="A128" s="2">
        <f>IF(B128="","",IFERROR(VLOOKUP(B128, PLANTA_BASE!A:R, 2, FALSE), "NO ENCONTRADO EN PLANTA"))</f>
        <v/>
      </c>
      <c r="B128" s="3" t="inlineStr"/>
      <c r="C128" s="4">
        <f>IF(B128="","",IFERROR(VLOOKUP(B128, PLANTA_BASE!A:R, 3, FALSE), ""))</f>
        <v/>
      </c>
      <c r="D128" s="2">
        <f>IF(B128="","",IFERROR(VLOOKUP(B128, PLANTA_BASE!A:R, 5, FALSE), "NO ENCONTRADO EN PLANTA"))</f>
        <v/>
      </c>
      <c r="E128" s="2">
        <f>IF(B128="","",IFERROR(VLOOKUP(B128, PLANTA_BASE!A:R, 6, FALSE), "NO ENCONTRADO EN PLANTA"))</f>
        <v/>
      </c>
      <c r="F128" s="4">
        <f>IF(B128="","",IFERROR(VLOOKUP(B128, PLANTA_BASE!A:R, 8, FALSE), "DOCENTE / FACILITADOR"))</f>
        <v/>
      </c>
      <c r="G128" s="4">
        <f>IF(B128="","",IFERROR(VLOOKUP(B128, PLANTA_BASE!A:R, 9, FALSE), "GENERAL"))</f>
        <v/>
      </c>
      <c r="H128" s="2">
        <f>IF(B128="","",IFERROR(VLOOKUP(B128, PLANTA_BASE!A:R, 17, FALSE), "GENERAL"))</f>
        <v/>
      </c>
    </row>
    <row r="129" ht="20" customHeight="1">
      <c r="A129" s="5">
        <f>IF(B129="","",IFERROR(VLOOKUP(B129, PLANTA_BASE!A:R, 2, FALSE), "NO ENCONTRADO EN PLANTA"))</f>
        <v/>
      </c>
      <c r="B129" s="6" t="inlineStr"/>
      <c r="C129" s="7">
        <f>IF(B129="","",IFERROR(VLOOKUP(B129, PLANTA_BASE!A:R, 3, FALSE), ""))</f>
        <v/>
      </c>
      <c r="D129" s="5">
        <f>IF(B129="","",IFERROR(VLOOKUP(B129, PLANTA_BASE!A:R, 5, FALSE), "NO ENCONTRADO EN PLANTA"))</f>
        <v/>
      </c>
      <c r="E129" s="5">
        <f>IF(B129="","",IFERROR(VLOOKUP(B129, PLANTA_BASE!A:R, 6, FALSE), "NO ENCONTRADO EN PLANTA"))</f>
        <v/>
      </c>
      <c r="F129" s="7">
        <f>IF(B129="","",IFERROR(VLOOKUP(B129, PLANTA_BASE!A:R, 8, FALSE), "DOCENTE / FACILITADOR"))</f>
        <v/>
      </c>
      <c r="G129" s="7">
        <f>IF(B129="","",IFERROR(VLOOKUP(B129, PLANTA_BASE!A:R, 9, FALSE), "GENERAL"))</f>
        <v/>
      </c>
      <c r="H129" s="5">
        <f>IF(B129="","",IFERROR(VLOOKUP(B129, PLANTA_BASE!A:R, 17, FALSE), "GENERAL"))</f>
        <v/>
      </c>
    </row>
    <row r="130" ht="20" customHeight="1">
      <c r="A130" s="2">
        <f>IF(B130="","",IFERROR(VLOOKUP(B130, PLANTA_BASE!A:R, 2, FALSE), "NO ENCONTRADO EN PLANTA"))</f>
        <v/>
      </c>
      <c r="B130" s="3" t="inlineStr"/>
      <c r="C130" s="4">
        <f>IF(B130="","",IFERROR(VLOOKUP(B130, PLANTA_BASE!A:R, 3, FALSE), ""))</f>
        <v/>
      </c>
      <c r="D130" s="2">
        <f>IF(B130="","",IFERROR(VLOOKUP(B130, PLANTA_BASE!A:R, 5, FALSE), "NO ENCONTRADO EN PLANTA"))</f>
        <v/>
      </c>
      <c r="E130" s="2">
        <f>IF(B130="","",IFERROR(VLOOKUP(B130, PLANTA_BASE!A:R, 6, FALSE), "NO ENCONTRADO EN PLANTA"))</f>
        <v/>
      </c>
      <c r="F130" s="4">
        <f>IF(B130="","",IFERROR(VLOOKUP(B130, PLANTA_BASE!A:R, 8, FALSE), "DOCENTE / FACILITADOR"))</f>
        <v/>
      </c>
      <c r="G130" s="4">
        <f>IF(B130="","",IFERROR(VLOOKUP(B130, PLANTA_BASE!A:R, 9, FALSE), "GENERAL"))</f>
        <v/>
      </c>
      <c r="H130" s="2">
        <f>IF(B130="","",IFERROR(VLOOKUP(B130, PLANTA_BASE!A:R, 17, FALSE), "GENERAL"))</f>
        <v/>
      </c>
    </row>
    <row r="131" ht="20" customHeight="1">
      <c r="A131" s="5">
        <f>IF(B131="","",IFERROR(VLOOKUP(B131, PLANTA_BASE!A:R, 2, FALSE), "NO ENCONTRADO EN PLANTA"))</f>
        <v/>
      </c>
      <c r="B131" s="6" t="inlineStr"/>
      <c r="C131" s="7">
        <f>IF(B131="","",IFERROR(VLOOKUP(B131, PLANTA_BASE!A:R, 3, FALSE), ""))</f>
        <v/>
      </c>
      <c r="D131" s="5">
        <f>IF(B131="","",IFERROR(VLOOKUP(B131, PLANTA_BASE!A:R, 5, FALSE), "NO ENCONTRADO EN PLANTA"))</f>
        <v/>
      </c>
      <c r="E131" s="5">
        <f>IF(B131="","",IFERROR(VLOOKUP(B131, PLANTA_BASE!A:R, 6, FALSE), "NO ENCONTRADO EN PLANTA"))</f>
        <v/>
      </c>
      <c r="F131" s="7">
        <f>IF(B131="","",IFERROR(VLOOKUP(B131, PLANTA_BASE!A:R, 8, FALSE), "DOCENTE / FACILITADOR"))</f>
        <v/>
      </c>
      <c r="G131" s="7">
        <f>IF(B131="","",IFERROR(VLOOKUP(B131, PLANTA_BASE!A:R, 9, FALSE), "GENERAL"))</f>
        <v/>
      </c>
      <c r="H131" s="5">
        <f>IF(B131="","",IFERROR(VLOOKUP(B131, PLANTA_BASE!A:R, 17, FALSE), "GENERAL"))</f>
        <v/>
      </c>
    </row>
    <row r="132" ht="20" customHeight="1">
      <c r="A132" s="2">
        <f>IF(B132="","",IFERROR(VLOOKUP(B132, PLANTA_BASE!A:R, 2, FALSE), "NO ENCONTRADO EN PLANTA"))</f>
        <v/>
      </c>
      <c r="B132" s="3" t="inlineStr"/>
      <c r="C132" s="4">
        <f>IF(B132="","",IFERROR(VLOOKUP(B132, PLANTA_BASE!A:R, 3, FALSE), ""))</f>
        <v/>
      </c>
      <c r="D132" s="2">
        <f>IF(B132="","",IFERROR(VLOOKUP(B132, PLANTA_BASE!A:R, 5, FALSE), "NO ENCONTRADO EN PLANTA"))</f>
        <v/>
      </c>
      <c r="E132" s="2">
        <f>IF(B132="","",IFERROR(VLOOKUP(B132, PLANTA_BASE!A:R, 6, FALSE), "NO ENCONTRADO EN PLANTA"))</f>
        <v/>
      </c>
      <c r="F132" s="4">
        <f>IF(B132="","",IFERROR(VLOOKUP(B132, PLANTA_BASE!A:R, 8, FALSE), "DOCENTE / FACILITADOR"))</f>
        <v/>
      </c>
      <c r="G132" s="4">
        <f>IF(B132="","",IFERROR(VLOOKUP(B132, PLANTA_BASE!A:R, 9, FALSE), "GENERAL"))</f>
        <v/>
      </c>
      <c r="H132" s="2">
        <f>IF(B132="","",IFERROR(VLOOKUP(B132, PLANTA_BASE!A:R, 17, FALSE), "GENERAL"))</f>
        <v/>
      </c>
    </row>
    <row r="133" ht="20" customHeight="1">
      <c r="A133" s="5">
        <f>IF(B133="","",IFERROR(VLOOKUP(B133, PLANTA_BASE!A:R, 2, FALSE), "NO ENCONTRADO EN PLANTA"))</f>
        <v/>
      </c>
      <c r="B133" s="6" t="inlineStr"/>
      <c r="C133" s="7">
        <f>IF(B133="","",IFERROR(VLOOKUP(B133, PLANTA_BASE!A:R, 3, FALSE), ""))</f>
        <v/>
      </c>
      <c r="D133" s="5">
        <f>IF(B133="","",IFERROR(VLOOKUP(B133, PLANTA_BASE!A:R, 5, FALSE), "NO ENCONTRADO EN PLANTA"))</f>
        <v/>
      </c>
      <c r="E133" s="5">
        <f>IF(B133="","",IFERROR(VLOOKUP(B133, PLANTA_BASE!A:R, 6, FALSE), "NO ENCONTRADO EN PLANTA"))</f>
        <v/>
      </c>
      <c r="F133" s="7">
        <f>IF(B133="","",IFERROR(VLOOKUP(B133, PLANTA_BASE!A:R, 8, FALSE), "DOCENTE / FACILITADOR"))</f>
        <v/>
      </c>
      <c r="G133" s="7">
        <f>IF(B133="","",IFERROR(VLOOKUP(B133, PLANTA_BASE!A:R, 9, FALSE), "GENERAL"))</f>
        <v/>
      </c>
      <c r="H133" s="5">
        <f>IF(B133="","",IFERROR(VLOOKUP(B133, PLANTA_BASE!A:R, 17, FALSE), "GENERAL"))</f>
        <v/>
      </c>
    </row>
    <row r="134" ht="20" customHeight="1">
      <c r="A134" s="2">
        <f>IF(B134="","",IFERROR(VLOOKUP(B134, PLANTA_BASE!A:R, 2, FALSE), "NO ENCONTRADO EN PLANTA"))</f>
        <v/>
      </c>
      <c r="B134" s="3" t="inlineStr"/>
      <c r="C134" s="4">
        <f>IF(B134="","",IFERROR(VLOOKUP(B134, PLANTA_BASE!A:R, 3, FALSE), ""))</f>
        <v/>
      </c>
      <c r="D134" s="2">
        <f>IF(B134="","",IFERROR(VLOOKUP(B134, PLANTA_BASE!A:R, 5, FALSE), "NO ENCONTRADO EN PLANTA"))</f>
        <v/>
      </c>
      <c r="E134" s="2">
        <f>IF(B134="","",IFERROR(VLOOKUP(B134, PLANTA_BASE!A:R, 6, FALSE), "NO ENCONTRADO EN PLANTA"))</f>
        <v/>
      </c>
      <c r="F134" s="4">
        <f>IF(B134="","",IFERROR(VLOOKUP(B134, PLANTA_BASE!A:R, 8, FALSE), "DOCENTE / FACILITADOR"))</f>
        <v/>
      </c>
      <c r="G134" s="4">
        <f>IF(B134="","",IFERROR(VLOOKUP(B134, PLANTA_BASE!A:R, 9, FALSE), "GENERAL"))</f>
        <v/>
      </c>
      <c r="H134" s="2">
        <f>IF(B134="","",IFERROR(VLOOKUP(B134, PLANTA_BASE!A:R, 17, FALSE), "GENERAL"))</f>
        <v/>
      </c>
    </row>
    <row r="135" ht="20" customHeight="1">
      <c r="A135" s="5">
        <f>IF(B135="","",IFERROR(VLOOKUP(B135, PLANTA_BASE!A:R, 2, FALSE), "NO ENCONTRADO EN PLANTA"))</f>
        <v/>
      </c>
      <c r="B135" s="6" t="inlineStr"/>
      <c r="C135" s="7">
        <f>IF(B135="","",IFERROR(VLOOKUP(B135, PLANTA_BASE!A:R, 3, FALSE), ""))</f>
        <v/>
      </c>
      <c r="D135" s="5">
        <f>IF(B135="","",IFERROR(VLOOKUP(B135, PLANTA_BASE!A:R, 5, FALSE), "NO ENCONTRADO EN PLANTA"))</f>
        <v/>
      </c>
      <c r="E135" s="5">
        <f>IF(B135="","",IFERROR(VLOOKUP(B135, PLANTA_BASE!A:R, 6, FALSE), "NO ENCONTRADO EN PLANTA"))</f>
        <v/>
      </c>
      <c r="F135" s="7">
        <f>IF(B135="","",IFERROR(VLOOKUP(B135, PLANTA_BASE!A:R, 8, FALSE), "DOCENTE / FACILITADOR"))</f>
        <v/>
      </c>
      <c r="G135" s="7">
        <f>IF(B135="","",IFERROR(VLOOKUP(B135, PLANTA_BASE!A:R, 9, FALSE), "GENERAL"))</f>
        <v/>
      </c>
      <c r="H135" s="5">
        <f>IF(B135="","",IFERROR(VLOOKUP(B135, PLANTA_BASE!A:R, 17, FALSE), "GENERAL"))</f>
        <v/>
      </c>
    </row>
    <row r="136" ht="20" customHeight="1">
      <c r="A136" s="2">
        <f>IF(B136="","",IFERROR(VLOOKUP(B136, PLANTA_BASE!A:R, 2, FALSE), "NO ENCONTRADO EN PLANTA"))</f>
        <v/>
      </c>
      <c r="B136" s="3" t="inlineStr"/>
      <c r="C136" s="4">
        <f>IF(B136="","",IFERROR(VLOOKUP(B136, PLANTA_BASE!A:R, 3, FALSE), ""))</f>
        <v/>
      </c>
      <c r="D136" s="2">
        <f>IF(B136="","",IFERROR(VLOOKUP(B136, PLANTA_BASE!A:R, 5, FALSE), "NO ENCONTRADO EN PLANTA"))</f>
        <v/>
      </c>
      <c r="E136" s="2">
        <f>IF(B136="","",IFERROR(VLOOKUP(B136, PLANTA_BASE!A:R, 6, FALSE), "NO ENCONTRADO EN PLANTA"))</f>
        <v/>
      </c>
      <c r="F136" s="4">
        <f>IF(B136="","",IFERROR(VLOOKUP(B136, PLANTA_BASE!A:R, 8, FALSE), "DOCENTE / FACILITADOR"))</f>
        <v/>
      </c>
      <c r="G136" s="4">
        <f>IF(B136="","",IFERROR(VLOOKUP(B136, PLANTA_BASE!A:R, 9, FALSE), "GENERAL"))</f>
        <v/>
      </c>
      <c r="H136" s="2">
        <f>IF(B136="","",IFERROR(VLOOKUP(B136, PLANTA_BASE!A:R, 17, FALSE), "GENERAL"))</f>
        <v/>
      </c>
    </row>
    <row r="137" ht="20" customHeight="1">
      <c r="A137" s="5">
        <f>IF(B137="","",IFERROR(VLOOKUP(B137, PLANTA_BASE!A:R, 2, FALSE), "NO ENCONTRADO EN PLANTA"))</f>
        <v/>
      </c>
      <c r="B137" s="6" t="inlineStr"/>
      <c r="C137" s="7">
        <f>IF(B137="","",IFERROR(VLOOKUP(B137, PLANTA_BASE!A:R, 3, FALSE), ""))</f>
        <v/>
      </c>
      <c r="D137" s="5">
        <f>IF(B137="","",IFERROR(VLOOKUP(B137, PLANTA_BASE!A:R, 5, FALSE), "NO ENCONTRADO EN PLANTA"))</f>
        <v/>
      </c>
      <c r="E137" s="5">
        <f>IF(B137="","",IFERROR(VLOOKUP(B137, PLANTA_BASE!A:R, 6, FALSE), "NO ENCONTRADO EN PLANTA"))</f>
        <v/>
      </c>
      <c r="F137" s="7">
        <f>IF(B137="","",IFERROR(VLOOKUP(B137, PLANTA_BASE!A:R, 8, FALSE), "DOCENTE / FACILITADOR"))</f>
        <v/>
      </c>
      <c r="G137" s="7">
        <f>IF(B137="","",IFERROR(VLOOKUP(B137, PLANTA_BASE!A:R, 9, FALSE), "GENERAL"))</f>
        <v/>
      </c>
      <c r="H137" s="5">
        <f>IF(B137="","",IFERROR(VLOOKUP(B137, PLANTA_BASE!A:R, 17, FALSE), "GENERAL"))</f>
        <v/>
      </c>
    </row>
    <row r="138" ht="20" customHeight="1">
      <c r="A138" s="2">
        <f>IF(B138="","",IFERROR(VLOOKUP(B138, PLANTA_BASE!A:R, 2, FALSE), "NO ENCONTRADO EN PLANTA"))</f>
        <v/>
      </c>
      <c r="B138" s="3" t="inlineStr"/>
      <c r="C138" s="4">
        <f>IF(B138="","",IFERROR(VLOOKUP(B138, PLANTA_BASE!A:R, 3, FALSE), ""))</f>
        <v/>
      </c>
      <c r="D138" s="2">
        <f>IF(B138="","",IFERROR(VLOOKUP(B138, PLANTA_BASE!A:R, 5, FALSE), "NO ENCONTRADO EN PLANTA"))</f>
        <v/>
      </c>
      <c r="E138" s="2">
        <f>IF(B138="","",IFERROR(VLOOKUP(B138, PLANTA_BASE!A:R, 6, FALSE), "NO ENCONTRADO EN PLANTA"))</f>
        <v/>
      </c>
      <c r="F138" s="4">
        <f>IF(B138="","",IFERROR(VLOOKUP(B138, PLANTA_BASE!A:R, 8, FALSE), "DOCENTE / FACILITADOR"))</f>
        <v/>
      </c>
      <c r="G138" s="4">
        <f>IF(B138="","",IFERROR(VLOOKUP(B138, PLANTA_BASE!A:R, 9, FALSE), "GENERAL"))</f>
        <v/>
      </c>
      <c r="H138" s="2">
        <f>IF(B138="","",IFERROR(VLOOKUP(B138, PLANTA_BASE!A:R, 17, FALSE), "GENERAL"))</f>
        <v/>
      </c>
    </row>
    <row r="139" ht="20" customHeight="1">
      <c r="A139" s="5">
        <f>IF(B139="","",IFERROR(VLOOKUP(B139, PLANTA_BASE!A:R, 2, FALSE), "NO ENCONTRADO EN PLANTA"))</f>
        <v/>
      </c>
      <c r="B139" s="6" t="inlineStr"/>
      <c r="C139" s="7">
        <f>IF(B139="","",IFERROR(VLOOKUP(B139, PLANTA_BASE!A:R, 3, FALSE), ""))</f>
        <v/>
      </c>
      <c r="D139" s="5">
        <f>IF(B139="","",IFERROR(VLOOKUP(B139, PLANTA_BASE!A:R, 5, FALSE), "NO ENCONTRADO EN PLANTA"))</f>
        <v/>
      </c>
      <c r="E139" s="5">
        <f>IF(B139="","",IFERROR(VLOOKUP(B139, PLANTA_BASE!A:R, 6, FALSE), "NO ENCONTRADO EN PLANTA"))</f>
        <v/>
      </c>
      <c r="F139" s="7">
        <f>IF(B139="","",IFERROR(VLOOKUP(B139, PLANTA_BASE!A:R, 8, FALSE), "DOCENTE / FACILITADOR"))</f>
        <v/>
      </c>
      <c r="G139" s="7">
        <f>IF(B139="","",IFERROR(VLOOKUP(B139, PLANTA_BASE!A:R, 9, FALSE), "GENERAL"))</f>
        <v/>
      </c>
      <c r="H139" s="5">
        <f>IF(B139="","",IFERROR(VLOOKUP(B139, PLANTA_BASE!A:R, 17, FALSE), "GENERAL"))</f>
        <v/>
      </c>
    </row>
    <row r="140" ht="20" customHeight="1">
      <c r="A140" s="2">
        <f>IF(B140="","",IFERROR(VLOOKUP(B140, PLANTA_BASE!A:R, 2, FALSE), "NO ENCONTRADO EN PLANTA"))</f>
        <v/>
      </c>
      <c r="B140" s="3" t="inlineStr"/>
      <c r="C140" s="4">
        <f>IF(B140="","",IFERROR(VLOOKUP(B140, PLANTA_BASE!A:R, 3, FALSE), ""))</f>
        <v/>
      </c>
      <c r="D140" s="2">
        <f>IF(B140="","",IFERROR(VLOOKUP(B140, PLANTA_BASE!A:R, 5, FALSE), "NO ENCONTRADO EN PLANTA"))</f>
        <v/>
      </c>
      <c r="E140" s="2">
        <f>IF(B140="","",IFERROR(VLOOKUP(B140, PLANTA_BASE!A:R, 6, FALSE), "NO ENCONTRADO EN PLANTA"))</f>
        <v/>
      </c>
      <c r="F140" s="4">
        <f>IF(B140="","",IFERROR(VLOOKUP(B140, PLANTA_BASE!A:R, 8, FALSE), "DOCENTE / FACILITADOR"))</f>
        <v/>
      </c>
      <c r="G140" s="4">
        <f>IF(B140="","",IFERROR(VLOOKUP(B140, PLANTA_BASE!A:R, 9, FALSE), "GENERAL"))</f>
        <v/>
      </c>
      <c r="H140" s="2">
        <f>IF(B140="","",IFERROR(VLOOKUP(B140, PLANTA_BASE!A:R, 17, FALSE), "GENERAL"))</f>
        <v/>
      </c>
    </row>
    <row r="141" ht="20" customHeight="1">
      <c r="A141" s="5">
        <f>IF(B141="","",IFERROR(VLOOKUP(B141, PLANTA_BASE!A:R, 2, FALSE), "NO ENCONTRADO EN PLANTA"))</f>
        <v/>
      </c>
      <c r="B141" s="6" t="inlineStr"/>
      <c r="C141" s="7">
        <f>IF(B141="","",IFERROR(VLOOKUP(B141, PLANTA_BASE!A:R, 3, FALSE), ""))</f>
        <v/>
      </c>
      <c r="D141" s="5">
        <f>IF(B141="","",IFERROR(VLOOKUP(B141, PLANTA_BASE!A:R, 5, FALSE), "NO ENCONTRADO EN PLANTA"))</f>
        <v/>
      </c>
      <c r="E141" s="5">
        <f>IF(B141="","",IFERROR(VLOOKUP(B141, PLANTA_BASE!A:R, 6, FALSE), "NO ENCONTRADO EN PLANTA"))</f>
        <v/>
      </c>
      <c r="F141" s="7">
        <f>IF(B141="","",IFERROR(VLOOKUP(B141, PLANTA_BASE!A:R, 8, FALSE), "DOCENTE / FACILITADOR"))</f>
        <v/>
      </c>
      <c r="G141" s="7">
        <f>IF(B141="","",IFERROR(VLOOKUP(B141, PLANTA_BASE!A:R, 9, FALSE), "GENERAL"))</f>
        <v/>
      </c>
      <c r="H141" s="5">
        <f>IF(B141="","",IFERROR(VLOOKUP(B141, PLANTA_BASE!A:R, 17, FALSE), "GENERAL"))</f>
        <v/>
      </c>
    </row>
    <row r="142" ht="20" customHeight="1">
      <c r="A142" s="2">
        <f>IF(B142="","",IFERROR(VLOOKUP(B142, PLANTA_BASE!A:R, 2, FALSE), "NO ENCONTRADO EN PLANTA"))</f>
        <v/>
      </c>
      <c r="B142" s="3" t="inlineStr"/>
      <c r="C142" s="4">
        <f>IF(B142="","",IFERROR(VLOOKUP(B142, PLANTA_BASE!A:R, 3, FALSE), ""))</f>
        <v/>
      </c>
      <c r="D142" s="2">
        <f>IF(B142="","",IFERROR(VLOOKUP(B142, PLANTA_BASE!A:R, 5, FALSE), "NO ENCONTRADO EN PLANTA"))</f>
        <v/>
      </c>
      <c r="E142" s="2">
        <f>IF(B142="","",IFERROR(VLOOKUP(B142, PLANTA_BASE!A:R, 6, FALSE), "NO ENCONTRADO EN PLANTA"))</f>
        <v/>
      </c>
      <c r="F142" s="4">
        <f>IF(B142="","",IFERROR(VLOOKUP(B142, PLANTA_BASE!A:R, 8, FALSE), "DOCENTE / FACILITADOR"))</f>
        <v/>
      </c>
      <c r="G142" s="4">
        <f>IF(B142="","",IFERROR(VLOOKUP(B142, PLANTA_BASE!A:R, 9, FALSE), "GENERAL"))</f>
        <v/>
      </c>
      <c r="H142" s="2">
        <f>IF(B142="","",IFERROR(VLOOKUP(B142, PLANTA_BASE!A:R, 17, FALSE), "GENERAL"))</f>
        <v/>
      </c>
    </row>
    <row r="143" ht="20" customHeight="1">
      <c r="A143" s="5">
        <f>IF(B143="","",IFERROR(VLOOKUP(B143, PLANTA_BASE!A:R, 2, FALSE), "NO ENCONTRADO EN PLANTA"))</f>
        <v/>
      </c>
      <c r="B143" s="6" t="inlineStr"/>
      <c r="C143" s="7">
        <f>IF(B143="","",IFERROR(VLOOKUP(B143, PLANTA_BASE!A:R, 3, FALSE), ""))</f>
        <v/>
      </c>
      <c r="D143" s="5">
        <f>IF(B143="","",IFERROR(VLOOKUP(B143, PLANTA_BASE!A:R, 5, FALSE), "NO ENCONTRADO EN PLANTA"))</f>
        <v/>
      </c>
      <c r="E143" s="5">
        <f>IF(B143="","",IFERROR(VLOOKUP(B143, PLANTA_BASE!A:R, 6, FALSE), "NO ENCONTRADO EN PLANTA"))</f>
        <v/>
      </c>
      <c r="F143" s="7">
        <f>IF(B143="","",IFERROR(VLOOKUP(B143, PLANTA_BASE!A:R, 8, FALSE), "DOCENTE / FACILITADOR"))</f>
        <v/>
      </c>
      <c r="G143" s="7">
        <f>IF(B143="","",IFERROR(VLOOKUP(B143, PLANTA_BASE!A:R, 9, FALSE), "GENERAL"))</f>
        <v/>
      </c>
      <c r="H143" s="5">
        <f>IF(B143="","",IFERROR(VLOOKUP(B143, PLANTA_BASE!A:R, 17, FALSE), "GENERAL"))</f>
        <v/>
      </c>
    </row>
    <row r="144" ht="20" customHeight="1">
      <c r="A144" s="2">
        <f>IF(B144="","",IFERROR(VLOOKUP(B144, PLANTA_BASE!A:R, 2, FALSE), "NO ENCONTRADO EN PLANTA"))</f>
        <v/>
      </c>
      <c r="B144" s="3" t="inlineStr"/>
      <c r="C144" s="4">
        <f>IF(B144="","",IFERROR(VLOOKUP(B144, PLANTA_BASE!A:R, 3, FALSE), ""))</f>
        <v/>
      </c>
      <c r="D144" s="2">
        <f>IF(B144="","",IFERROR(VLOOKUP(B144, PLANTA_BASE!A:R, 5, FALSE), "NO ENCONTRADO EN PLANTA"))</f>
        <v/>
      </c>
      <c r="E144" s="2">
        <f>IF(B144="","",IFERROR(VLOOKUP(B144, PLANTA_BASE!A:R, 6, FALSE), "NO ENCONTRADO EN PLANTA"))</f>
        <v/>
      </c>
      <c r="F144" s="4">
        <f>IF(B144="","",IFERROR(VLOOKUP(B144, PLANTA_BASE!A:R, 8, FALSE), "DOCENTE / FACILITADOR"))</f>
        <v/>
      </c>
      <c r="G144" s="4">
        <f>IF(B144="","",IFERROR(VLOOKUP(B144, PLANTA_BASE!A:R, 9, FALSE), "GENERAL"))</f>
        <v/>
      </c>
      <c r="H144" s="2">
        <f>IF(B144="","",IFERROR(VLOOKUP(B144, PLANTA_BASE!A:R, 17, FALSE), "GENERAL"))</f>
        <v/>
      </c>
    </row>
    <row r="145" ht="20" customHeight="1">
      <c r="A145" s="5">
        <f>IF(B145="","",IFERROR(VLOOKUP(B145, PLANTA_BASE!A:R, 2, FALSE), "NO ENCONTRADO EN PLANTA"))</f>
        <v/>
      </c>
      <c r="B145" s="6" t="inlineStr"/>
      <c r="C145" s="7">
        <f>IF(B145="","",IFERROR(VLOOKUP(B145, PLANTA_BASE!A:R, 3, FALSE), ""))</f>
        <v/>
      </c>
      <c r="D145" s="5">
        <f>IF(B145="","",IFERROR(VLOOKUP(B145, PLANTA_BASE!A:R, 5, FALSE), "NO ENCONTRADO EN PLANTA"))</f>
        <v/>
      </c>
      <c r="E145" s="5">
        <f>IF(B145="","",IFERROR(VLOOKUP(B145, PLANTA_BASE!A:R, 6, FALSE), "NO ENCONTRADO EN PLANTA"))</f>
        <v/>
      </c>
      <c r="F145" s="7">
        <f>IF(B145="","",IFERROR(VLOOKUP(B145, PLANTA_BASE!A:R, 8, FALSE), "DOCENTE / FACILITADOR"))</f>
        <v/>
      </c>
      <c r="G145" s="7">
        <f>IF(B145="","",IFERROR(VLOOKUP(B145, PLANTA_BASE!A:R, 9, FALSE), "GENERAL"))</f>
        <v/>
      </c>
      <c r="H145" s="5">
        <f>IF(B145="","",IFERROR(VLOOKUP(B145, PLANTA_BASE!A:R, 17, FALSE), "GENERAL"))</f>
        <v/>
      </c>
    </row>
    <row r="146" ht="20" customHeight="1">
      <c r="A146" s="2">
        <f>IF(B146="","",IFERROR(VLOOKUP(B146, PLANTA_BASE!A:R, 2, FALSE), "NO ENCONTRADO EN PLANTA"))</f>
        <v/>
      </c>
      <c r="B146" s="3" t="inlineStr"/>
      <c r="C146" s="4">
        <f>IF(B146="","",IFERROR(VLOOKUP(B146, PLANTA_BASE!A:R, 3, FALSE), ""))</f>
        <v/>
      </c>
      <c r="D146" s="2">
        <f>IF(B146="","",IFERROR(VLOOKUP(B146, PLANTA_BASE!A:R, 5, FALSE), "NO ENCONTRADO EN PLANTA"))</f>
        <v/>
      </c>
      <c r="E146" s="2">
        <f>IF(B146="","",IFERROR(VLOOKUP(B146, PLANTA_BASE!A:R, 6, FALSE), "NO ENCONTRADO EN PLANTA"))</f>
        <v/>
      </c>
      <c r="F146" s="4">
        <f>IF(B146="","",IFERROR(VLOOKUP(B146, PLANTA_BASE!A:R, 8, FALSE), "DOCENTE / FACILITADOR"))</f>
        <v/>
      </c>
      <c r="G146" s="4">
        <f>IF(B146="","",IFERROR(VLOOKUP(B146, PLANTA_BASE!A:R, 9, FALSE), "GENERAL"))</f>
        <v/>
      </c>
      <c r="H146" s="2">
        <f>IF(B146="","",IFERROR(VLOOKUP(B146, PLANTA_BASE!A:R, 17, FALSE), "GENERAL"))</f>
        <v/>
      </c>
    </row>
    <row r="147" ht="20" customHeight="1">
      <c r="A147" s="5">
        <f>IF(B147="","",IFERROR(VLOOKUP(B147, PLANTA_BASE!A:R, 2, FALSE), "NO ENCONTRADO EN PLANTA"))</f>
        <v/>
      </c>
      <c r="B147" s="6" t="inlineStr"/>
      <c r="C147" s="7">
        <f>IF(B147="","",IFERROR(VLOOKUP(B147, PLANTA_BASE!A:R, 3, FALSE), ""))</f>
        <v/>
      </c>
      <c r="D147" s="5">
        <f>IF(B147="","",IFERROR(VLOOKUP(B147, PLANTA_BASE!A:R, 5, FALSE), "NO ENCONTRADO EN PLANTA"))</f>
        <v/>
      </c>
      <c r="E147" s="5">
        <f>IF(B147="","",IFERROR(VLOOKUP(B147, PLANTA_BASE!A:R, 6, FALSE), "NO ENCONTRADO EN PLANTA"))</f>
        <v/>
      </c>
      <c r="F147" s="7">
        <f>IF(B147="","",IFERROR(VLOOKUP(B147, PLANTA_BASE!A:R, 8, FALSE), "DOCENTE / FACILITADOR"))</f>
        <v/>
      </c>
      <c r="G147" s="7">
        <f>IF(B147="","",IFERROR(VLOOKUP(B147, PLANTA_BASE!A:R, 9, FALSE), "GENERAL"))</f>
        <v/>
      </c>
      <c r="H147" s="5">
        <f>IF(B147="","",IFERROR(VLOOKUP(B147, PLANTA_BASE!A:R, 17, FALSE), "GENERAL"))</f>
        <v/>
      </c>
    </row>
    <row r="148" ht="20" customHeight="1">
      <c r="A148" s="2">
        <f>IF(B148="","",IFERROR(VLOOKUP(B148, PLANTA_BASE!A:R, 2, FALSE), "NO ENCONTRADO EN PLANTA"))</f>
        <v/>
      </c>
      <c r="B148" s="3" t="inlineStr"/>
      <c r="C148" s="4">
        <f>IF(B148="","",IFERROR(VLOOKUP(B148, PLANTA_BASE!A:R, 3, FALSE), ""))</f>
        <v/>
      </c>
      <c r="D148" s="2">
        <f>IF(B148="","",IFERROR(VLOOKUP(B148, PLANTA_BASE!A:R, 5, FALSE), "NO ENCONTRADO EN PLANTA"))</f>
        <v/>
      </c>
      <c r="E148" s="2">
        <f>IF(B148="","",IFERROR(VLOOKUP(B148, PLANTA_BASE!A:R, 6, FALSE), "NO ENCONTRADO EN PLANTA"))</f>
        <v/>
      </c>
      <c r="F148" s="4">
        <f>IF(B148="","",IFERROR(VLOOKUP(B148, PLANTA_BASE!A:R, 8, FALSE), "DOCENTE / FACILITADOR"))</f>
        <v/>
      </c>
      <c r="G148" s="4">
        <f>IF(B148="","",IFERROR(VLOOKUP(B148, PLANTA_BASE!A:R, 9, FALSE), "GENERAL"))</f>
        <v/>
      </c>
      <c r="H148" s="2">
        <f>IF(B148="","",IFERROR(VLOOKUP(B148, PLANTA_BASE!A:R, 17, FALSE), "GENERAL"))</f>
        <v/>
      </c>
    </row>
    <row r="149" ht="20" customHeight="1">
      <c r="A149" s="5">
        <f>IF(B149="","",IFERROR(VLOOKUP(B149, PLANTA_BASE!A:R, 2, FALSE), "NO ENCONTRADO EN PLANTA"))</f>
        <v/>
      </c>
      <c r="B149" s="6" t="inlineStr"/>
      <c r="C149" s="7">
        <f>IF(B149="","",IFERROR(VLOOKUP(B149, PLANTA_BASE!A:R, 3, FALSE), ""))</f>
        <v/>
      </c>
      <c r="D149" s="5">
        <f>IF(B149="","",IFERROR(VLOOKUP(B149, PLANTA_BASE!A:R, 5, FALSE), "NO ENCONTRADO EN PLANTA"))</f>
        <v/>
      </c>
      <c r="E149" s="5">
        <f>IF(B149="","",IFERROR(VLOOKUP(B149, PLANTA_BASE!A:R, 6, FALSE), "NO ENCONTRADO EN PLANTA"))</f>
        <v/>
      </c>
      <c r="F149" s="7">
        <f>IF(B149="","",IFERROR(VLOOKUP(B149, PLANTA_BASE!A:R, 8, FALSE), "DOCENTE / FACILITADOR"))</f>
        <v/>
      </c>
      <c r="G149" s="7">
        <f>IF(B149="","",IFERROR(VLOOKUP(B149, PLANTA_BASE!A:R, 9, FALSE), "GENERAL"))</f>
        <v/>
      </c>
      <c r="H149" s="5">
        <f>IF(B149="","",IFERROR(VLOOKUP(B149, PLANTA_BASE!A:R, 17, FALSE), "GENERAL"))</f>
        <v/>
      </c>
    </row>
    <row r="150" ht="20" customHeight="1">
      <c r="A150" s="2">
        <f>IF(B150="","",IFERROR(VLOOKUP(B150, PLANTA_BASE!A:R, 2, FALSE), "NO ENCONTRADO EN PLANTA"))</f>
        <v/>
      </c>
      <c r="B150" s="3" t="inlineStr"/>
      <c r="C150" s="4">
        <f>IF(B150="","",IFERROR(VLOOKUP(B150, PLANTA_BASE!A:R, 3, FALSE), ""))</f>
        <v/>
      </c>
      <c r="D150" s="2">
        <f>IF(B150="","",IFERROR(VLOOKUP(B150, PLANTA_BASE!A:R, 5, FALSE), "NO ENCONTRADO EN PLANTA"))</f>
        <v/>
      </c>
      <c r="E150" s="2">
        <f>IF(B150="","",IFERROR(VLOOKUP(B150, PLANTA_BASE!A:R, 6, FALSE), "NO ENCONTRADO EN PLANTA"))</f>
        <v/>
      </c>
      <c r="F150" s="4">
        <f>IF(B150="","",IFERROR(VLOOKUP(B150, PLANTA_BASE!A:R, 8, FALSE), "DOCENTE / FACILITADOR"))</f>
        <v/>
      </c>
      <c r="G150" s="4">
        <f>IF(B150="","",IFERROR(VLOOKUP(B150, PLANTA_BASE!A:R, 9, FALSE), "GENERAL"))</f>
        <v/>
      </c>
      <c r="H150" s="2">
        <f>IF(B150="","",IFERROR(VLOOKUP(B150, PLANTA_BASE!A:R, 17, FALSE), "GENERAL"))</f>
        <v/>
      </c>
    </row>
    <row r="151" ht="20" customHeight="1">
      <c r="A151" s="5">
        <f>IF(B151="","",IFERROR(VLOOKUP(B151, PLANTA_BASE!A:R, 2, FALSE), "NO ENCONTRADO EN PLANTA"))</f>
        <v/>
      </c>
      <c r="B151" s="6" t="inlineStr"/>
      <c r="C151" s="7">
        <f>IF(B151="","",IFERROR(VLOOKUP(B151, PLANTA_BASE!A:R, 3, FALSE), ""))</f>
        <v/>
      </c>
      <c r="D151" s="5">
        <f>IF(B151="","",IFERROR(VLOOKUP(B151, PLANTA_BASE!A:R, 5, FALSE), "NO ENCONTRADO EN PLANTA"))</f>
        <v/>
      </c>
      <c r="E151" s="5">
        <f>IF(B151="","",IFERROR(VLOOKUP(B151, PLANTA_BASE!A:R, 6, FALSE), "NO ENCONTRADO EN PLANTA"))</f>
        <v/>
      </c>
      <c r="F151" s="7">
        <f>IF(B151="","",IFERROR(VLOOKUP(B151, PLANTA_BASE!A:R, 8, FALSE), "DOCENTE / FACILITADOR"))</f>
        <v/>
      </c>
      <c r="G151" s="7">
        <f>IF(B151="","",IFERROR(VLOOKUP(B151, PLANTA_BASE!A:R, 9, FALSE), "GENERAL"))</f>
        <v/>
      </c>
      <c r="H151" s="5">
        <f>IF(B151="","",IFERROR(VLOOKUP(B151, PLANTA_BASE!A:R, 17, FALSE), "GENERAL"))</f>
        <v/>
      </c>
    </row>
    <row r="152" ht="20" customHeight="1">
      <c r="A152" s="2">
        <f>IF(B152="","",IFERROR(VLOOKUP(B152, PLANTA_BASE!A:R, 2, FALSE), "NO ENCONTRADO EN PLANTA"))</f>
        <v/>
      </c>
      <c r="B152" s="3" t="inlineStr"/>
      <c r="C152" s="4">
        <f>IF(B152="","",IFERROR(VLOOKUP(B152, PLANTA_BASE!A:R, 3, FALSE), ""))</f>
        <v/>
      </c>
      <c r="D152" s="2">
        <f>IF(B152="","",IFERROR(VLOOKUP(B152, PLANTA_BASE!A:R, 5, FALSE), "NO ENCONTRADO EN PLANTA"))</f>
        <v/>
      </c>
      <c r="E152" s="2">
        <f>IF(B152="","",IFERROR(VLOOKUP(B152, PLANTA_BASE!A:R, 6, FALSE), "NO ENCONTRADO EN PLANTA"))</f>
        <v/>
      </c>
      <c r="F152" s="4">
        <f>IF(B152="","",IFERROR(VLOOKUP(B152, PLANTA_BASE!A:R, 8, FALSE), "DOCENTE / FACILITADOR"))</f>
        <v/>
      </c>
      <c r="G152" s="4">
        <f>IF(B152="","",IFERROR(VLOOKUP(B152, PLANTA_BASE!A:R, 9, FALSE), "GENERAL"))</f>
        <v/>
      </c>
      <c r="H152" s="2">
        <f>IF(B152="","",IFERROR(VLOOKUP(B152, PLANTA_BASE!A:R, 17, FALSE), "GENERAL"))</f>
        <v/>
      </c>
    </row>
    <row r="153" ht="20" customHeight="1">
      <c r="A153" s="5">
        <f>IF(B153="","",IFERROR(VLOOKUP(B153, PLANTA_BASE!A:R, 2, FALSE), "NO ENCONTRADO EN PLANTA"))</f>
        <v/>
      </c>
      <c r="B153" s="6" t="inlineStr"/>
      <c r="C153" s="7">
        <f>IF(B153="","",IFERROR(VLOOKUP(B153, PLANTA_BASE!A:R, 3, FALSE), ""))</f>
        <v/>
      </c>
      <c r="D153" s="5">
        <f>IF(B153="","",IFERROR(VLOOKUP(B153, PLANTA_BASE!A:R, 5, FALSE), "NO ENCONTRADO EN PLANTA"))</f>
        <v/>
      </c>
      <c r="E153" s="5">
        <f>IF(B153="","",IFERROR(VLOOKUP(B153, PLANTA_BASE!A:R, 6, FALSE), "NO ENCONTRADO EN PLANTA"))</f>
        <v/>
      </c>
      <c r="F153" s="7">
        <f>IF(B153="","",IFERROR(VLOOKUP(B153, PLANTA_BASE!A:R, 8, FALSE), "DOCENTE / FACILITADOR"))</f>
        <v/>
      </c>
      <c r="G153" s="7">
        <f>IF(B153="","",IFERROR(VLOOKUP(B153, PLANTA_BASE!A:R, 9, FALSE), "GENERAL"))</f>
        <v/>
      </c>
      <c r="H153" s="5">
        <f>IF(B153="","",IFERROR(VLOOKUP(B153, PLANTA_BASE!A:R, 17, FALSE), "GENERAL"))</f>
        <v/>
      </c>
    </row>
    <row r="154" ht="20" customHeight="1">
      <c r="A154" s="2">
        <f>IF(B154="","",IFERROR(VLOOKUP(B154, PLANTA_BASE!A:R, 2, FALSE), "NO ENCONTRADO EN PLANTA"))</f>
        <v/>
      </c>
      <c r="B154" s="3" t="inlineStr"/>
      <c r="C154" s="4">
        <f>IF(B154="","",IFERROR(VLOOKUP(B154, PLANTA_BASE!A:R, 3, FALSE), ""))</f>
        <v/>
      </c>
      <c r="D154" s="2">
        <f>IF(B154="","",IFERROR(VLOOKUP(B154, PLANTA_BASE!A:R, 5, FALSE), "NO ENCONTRADO EN PLANTA"))</f>
        <v/>
      </c>
      <c r="E154" s="2">
        <f>IF(B154="","",IFERROR(VLOOKUP(B154, PLANTA_BASE!A:R, 6, FALSE), "NO ENCONTRADO EN PLANTA"))</f>
        <v/>
      </c>
      <c r="F154" s="4">
        <f>IF(B154="","",IFERROR(VLOOKUP(B154, PLANTA_BASE!A:R, 8, FALSE), "DOCENTE / FACILITADOR"))</f>
        <v/>
      </c>
      <c r="G154" s="4">
        <f>IF(B154="","",IFERROR(VLOOKUP(B154, PLANTA_BASE!A:R, 9, FALSE), "GENERAL"))</f>
        <v/>
      </c>
      <c r="H154" s="2">
        <f>IF(B154="","",IFERROR(VLOOKUP(B154, PLANTA_BASE!A:R, 17, FALSE), "GENERAL"))</f>
        <v/>
      </c>
    </row>
    <row r="155" ht="20" customHeight="1">
      <c r="A155" s="5">
        <f>IF(B155="","",IFERROR(VLOOKUP(B155, PLANTA_BASE!A:R, 2, FALSE), "NO ENCONTRADO EN PLANTA"))</f>
        <v/>
      </c>
      <c r="B155" s="6" t="inlineStr"/>
      <c r="C155" s="7">
        <f>IF(B155="","",IFERROR(VLOOKUP(B155, PLANTA_BASE!A:R, 3, FALSE), ""))</f>
        <v/>
      </c>
      <c r="D155" s="5">
        <f>IF(B155="","",IFERROR(VLOOKUP(B155, PLANTA_BASE!A:R, 5, FALSE), "NO ENCONTRADO EN PLANTA"))</f>
        <v/>
      </c>
      <c r="E155" s="5">
        <f>IF(B155="","",IFERROR(VLOOKUP(B155, PLANTA_BASE!A:R, 6, FALSE), "NO ENCONTRADO EN PLANTA"))</f>
        <v/>
      </c>
      <c r="F155" s="7">
        <f>IF(B155="","",IFERROR(VLOOKUP(B155, PLANTA_BASE!A:R, 8, FALSE), "DOCENTE / FACILITADOR"))</f>
        <v/>
      </c>
      <c r="G155" s="7">
        <f>IF(B155="","",IFERROR(VLOOKUP(B155, PLANTA_BASE!A:R, 9, FALSE), "GENERAL"))</f>
        <v/>
      </c>
      <c r="H155" s="5">
        <f>IF(B155="","",IFERROR(VLOOKUP(B155, PLANTA_BASE!A:R, 17, FALSE), "GENERAL"))</f>
        <v/>
      </c>
    </row>
    <row r="156" ht="20" customHeight="1">
      <c r="A156" s="2">
        <f>IF(B156="","",IFERROR(VLOOKUP(B156, PLANTA_BASE!A:R, 2, FALSE), "NO ENCONTRADO EN PLANTA"))</f>
        <v/>
      </c>
      <c r="B156" s="3" t="inlineStr"/>
      <c r="C156" s="4">
        <f>IF(B156="","",IFERROR(VLOOKUP(B156, PLANTA_BASE!A:R, 3, FALSE), ""))</f>
        <v/>
      </c>
      <c r="D156" s="2">
        <f>IF(B156="","",IFERROR(VLOOKUP(B156, PLANTA_BASE!A:R, 5, FALSE), "NO ENCONTRADO EN PLANTA"))</f>
        <v/>
      </c>
      <c r="E156" s="2">
        <f>IF(B156="","",IFERROR(VLOOKUP(B156, PLANTA_BASE!A:R, 6, FALSE), "NO ENCONTRADO EN PLANTA"))</f>
        <v/>
      </c>
      <c r="F156" s="4">
        <f>IF(B156="","",IFERROR(VLOOKUP(B156, PLANTA_BASE!A:R, 8, FALSE), "DOCENTE / FACILITADOR"))</f>
        <v/>
      </c>
      <c r="G156" s="4">
        <f>IF(B156="","",IFERROR(VLOOKUP(B156, PLANTA_BASE!A:R, 9, FALSE), "GENERAL"))</f>
        <v/>
      </c>
      <c r="H156" s="2">
        <f>IF(B156="","",IFERROR(VLOOKUP(B156, PLANTA_BASE!A:R, 17, FALSE), "GENERAL"))</f>
        <v/>
      </c>
    </row>
    <row r="157" ht="20" customHeight="1">
      <c r="A157" s="5">
        <f>IF(B157="","",IFERROR(VLOOKUP(B157, PLANTA_BASE!A:R, 2, FALSE), "NO ENCONTRADO EN PLANTA"))</f>
        <v/>
      </c>
      <c r="B157" s="6" t="inlineStr"/>
      <c r="C157" s="7">
        <f>IF(B157="","",IFERROR(VLOOKUP(B157, PLANTA_BASE!A:R, 3, FALSE), ""))</f>
        <v/>
      </c>
      <c r="D157" s="5">
        <f>IF(B157="","",IFERROR(VLOOKUP(B157, PLANTA_BASE!A:R, 5, FALSE), "NO ENCONTRADO EN PLANTA"))</f>
        <v/>
      </c>
      <c r="E157" s="5">
        <f>IF(B157="","",IFERROR(VLOOKUP(B157, PLANTA_BASE!A:R, 6, FALSE), "NO ENCONTRADO EN PLANTA"))</f>
        <v/>
      </c>
      <c r="F157" s="7">
        <f>IF(B157="","",IFERROR(VLOOKUP(B157, PLANTA_BASE!A:R, 8, FALSE), "DOCENTE / FACILITADOR"))</f>
        <v/>
      </c>
      <c r="G157" s="7">
        <f>IF(B157="","",IFERROR(VLOOKUP(B157, PLANTA_BASE!A:R, 9, FALSE), "GENERAL"))</f>
        <v/>
      </c>
      <c r="H157" s="5">
        <f>IF(B157="","",IFERROR(VLOOKUP(B157, PLANTA_BASE!A:R, 17, FALSE), "GENERAL"))</f>
        <v/>
      </c>
    </row>
    <row r="158" ht="20" customHeight="1">
      <c r="A158" s="2">
        <f>IF(B158="","",IFERROR(VLOOKUP(B158, PLANTA_BASE!A:R, 2, FALSE), "NO ENCONTRADO EN PLANTA"))</f>
        <v/>
      </c>
      <c r="B158" s="3" t="inlineStr"/>
      <c r="C158" s="4">
        <f>IF(B158="","",IFERROR(VLOOKUP(B158, PLANTA_BASE!A:R, 3, FALSE), ""))</f>
        <v/>
      </c>
      <c r="D158" s="2">
        <f>IF(B158="","",IFERROR(VLOOKUP(B158, PLANTA_BASE!A:R, 5, FALSE), "NO ENCONTRADO EN PLANTA"))</f>
        <v/>
      </c>
      <c r="E158" s="2">
        <f>IF(B158="","",IFERROR(VLOOKUP(B158, PLANTA_BASE!A:R, 6, FALSE), "NO ENCONTRADO EN PLANTA"))</f>
        <v/>
      </c>
      <c r="F158" s="4">
        <f>IF(B158="","",IFERROR(VLOOKUP(B158, PLANTA_BASE!A:R, 8, FALSE), "DOCENTE / FACILITADOR"))</f>
        <v/>
      </c>
      <c r="G158" s="4">
        <f>IF(B158="","",IFERROR(VLOOKUP(B158, PLANTA_BASE!A:R, 9, FALSE), "GENERAL"))</f>
        <v/>
      </c>
      <c r="H158" s="2">
        <f>IF(B158="","",IFERROR(VLOOKUP(B158, PLANTA_BASE!A:R, 17, FALSE), "GENERAL"))</f>
        <v/>
      </c>
    </row>
    <row r="159" ht="20" customHeight="1">
      <c r="A159" s="5">
        <f>IF(B159="","",IFERROR(VLOOKUP(B159, PLANTA_BASE!A:R, 2, FALSE), "NO ENCONTRADO EN PLANTA"))</f>
        <v/>
      </c>
      <c r="B159" s="6" t="inlineStr"/>
      <c r="C159" s="7">
        <f>IF(B159="","",IFERROR(VLOOKUP(B159, PLANTA_BASE!A:R, 3, FALSE), ""))</f>
        <v/>
      </c>
      <c r="D159" s="5">
        <f>IF(B159="","",IFERROR(VLOOKUP(B159, PLANTA_BASE!A:R, 5, FALSE), "NO ENCONTRADO EN PLANTA"))</f>
        <v/>
      </c>
      <c r="E159" s="5">
        <f>IF(B159="","",IFERROR(VLOOKUP(B159, PLANTA_BASE!A:R, 6, FALSE), "NO ENCONTRADO EN PLANTA"))</f>
        <v/>
      </c>
      <c r="F159" s="7">
        <f>IF(B159="","",IFERROR(VLOOKUP(B159, PLANTA_BASE!A:R, 8, FALSE), "DOCENTE / FACILITADOR"))</f>
        <v/>
      </c>
      <c r="G159" s="7">
        <f>IF(B159="","",IFERROR(VLOOKUP(B159, PLANTA_BASE!A:R, 9, FALSE), "GENERAL"))</f>
        <v/>
      </c>
      <c r="H159" s="5">
        <f>IF(B159="","",IFERROR(VLOOKUP(B159, PLANTA_BASE!A:R, 17, FALSE), "GENERAL"))</f>
        <v/>
      </c>
    </row>
    <row r="160" ht="20" customHeight="1">
      <c r="A160" s="2">
        <f>IF(B160="","",IFERROR(VLOOKUP(B160, PLANTA_BASE!A:R, 2, FALSE), "NO ENCONTRADO EN PLANTA"))</f>
        <v/>
      </c>
      <c r="B160" s="3" t="inlineStr"/>
      <c r="C160" s="4">
        <f>IF(B160="","",IFERROR(VLOOKUP(B160, PLANTA_BASE!A:R, 3, FALSE), ""))</f>
        <v/>
      </c>
      <c r="D160" s="2">
        <f>IF(B160="","",IFERROR(VLOOKUP(B160, PLANTA_BASE!A:R, 5, FALSE), "NO ENCONTRADO EN PLANTA"))</f>
        <v/>
      </c>
      <c r="E160" s="2">
        <f>IF(B160="","",IFERROR(VLOOKUP(B160, PLANTA_BASE!A:R, 6, FALSE), "NO ENCONTRADO EN PLANTA"))</f>
        <v/>
      </c>
      <c r="F160" s="4">
        <f>IF(B160="","",IFERROR(VLOOKUP(B160, PLANTA_BASE!A:R, 8, FALSE), "DOCENTE / FACILITADOR"))</f>
        <v/>
      </c>
      <c r="G160" s="4">
        <f>IF(B160="","",IFERROR(VLOOKUP(B160, PLANTA_BASE!A:R, 9, FALSE), "GENERAL"))</f>
        <v/>
      </c>
      <c r="H160" s="2">
        <f>IF(B160="","",IFERROR(VLOOKUP(B160, PLANTA_BASE!A:R, 17, FALSE), "GENERAL"))</f>
        <v/>
      </c>
    </row>
    <row r="161" ht="20" customHeight="1">
      <c r="A161" s="5">
        <f>IF(B161="","",IFERROR(VLOOKUP(B161, PLANTA_BASE!A:R, 2, FALSE), "NO ENCONTRADO EN PLANTA"))</f>
        <v/>
      </c>
      <c r="B161" s="6" t="inlineStr"/>
      <c r="C161" s="7">
        <f>IF(B161="","",IFERROR(VLOOKUP(B161, PLANTA_BASE!A:R, 3, FALSE), ""))</f>
        <v/>
      </c>
      <c r="D161" s="5">
        <f>IF(B161="","",IFERROR(VLOOKUP(B161, PLANTA_BASE!A:R, 5, FALSE), "NO ENCONTRADO EN PLANTA"))</f>
        <v/>
      </c>
      <c r="E161" s="5">
        <f>IF(B161="","",IFERROR(VLOOKUP(B161, PLANTA_BASE!A:R, 6, FALSE), "NO ENCONTRADO EN PLANTA"))</f>
        <v/>
      </c>
      <c r="F161" s="7">
        <f>IF(B161="","",IFERROR(VLOOKUP(B161, PLANTA_BASE!A:R, 8, FALSE), "DOCENTE / FACILITADOR"))</f>
        <v/>
      </c>
      <c r="G161" s="7">
        <f>IF(B161="","",IFERROR(VLOOKUP(B161, PLANTA_BASE!A:R, 9, FALSE), "GENERAL"))</f>
        <v/>
      </c>
      <c r="H161" s="5">
        <f>IF(B161="","",IFERROR(VLOOKUP(B161, PLANTA_BASE!A:R, 17, FALSE), "GENERAL"))</f>
        <v/>
      </c>
    </row>
    <row r="162" ht="20" customHeight="1">
      <c r="A162" s="2">
        <f>IF(B162="","",IFERROR(VLOOKUP(B162, PLANTA_BASE!A:R, 2, FALSE), "NO ENCONTRADO EN PLANTA"))</f>
        <v/>
      </c>
      <c r="B162" s="3" t="inlineStr"/>
      <c r="C162" s="4">
        <f>IF(B162="","",IFERROR(VLOOKUP(B162, PLANTA_BASE!A:R, 3, FALSE), ""))</f>
        <v/>
      </c>
      <c r="D162" s="2">
        <f>IF(B162="","",IFERROR(VLOOKUP(B162, PLANTA_BASE!A:R, 5, FALSE), "NO ENCONTRADO EN PLANTA"))</f>
        <v/>
      </c>
      <c r="E162" s="2">
        <f>IF(B162="","",IFERROR(VLOOKUP(B162, PLANTA_BASE!A:R, 6, FALSE), "NO ENCONTRADO EN PLANTA"))</f>
        <v/>
      </c>
      <c r="F162" s="4">
        <f>IF(B162="","",IFERROR(VLOOKUP(B162, PLANTA_BASE!A:R, 8, FALSE), "DOCENTE / FACILITADOR"))</f>
        <v/>
      </c>
      <c r="G162" s="4">
        <f>IF(B162="","",IFERROR(VLOOKUP(B162, PLANTA_BASE!A:R, 9, FALSE), "GENERAL"))</f>
        <v/>
      </c>
      <c r="H162" s="2">
        <f>IF(B162="","",IFERROR(VLOOKUP(B162, PLANTA_BASE!A:R, 17, FALSE), "GENERAL"))</f>
        <v/>
      </c>
    </row>
    <row r="163" ht="20" customHeight="1">
      <c r="A163" s="5">
        <f>IF(B163="","",IFERROR(VLOOKUP(B163, PLANTA_BASE!A:R, 2, FALSE), "NO ENCONTRADO EN PLANTA"))</f>
        <v/>
      </c>
      <c r="B163" s="6" t="inlineStr"/>
      <c r="C163" s="7">
        <f>IF(B163="","",IFERROR(VLOOKUP(B163, PLANTA_BASE!A:R, 3, FALSE), ""))</f>
        <v/>
      </c>
      <c r="D163" s="5">
        <f>IF(B163="","",IFERROR(VLOOKUP(B163, PLANTA_BASE!A:R, 5, FALSE), "NO ENCONTRADO EN PLANTA"))</f>
        <v/>
      </c>
      <c r="E163" s="5">
        <f>IF(B163="","",IFERROR(VLOOKUP(B163, PLANTA_BASE!A:R, 6, FALSE), "NO ENCONTRADO EN PLANTA"))</f>
        <v/>
      </c>
      <c r="F163" s="7">
        <f>IF(B163="","",IFERROR(VLOOKUP(B163, PLANTA_BASE!A:R, 8, FALSE), "DOCENTE / FACILITADOR"))</f>
        <v/>
      </c>
      <c r="G163" s="7">
        <f>IF(B163="","",IFERROR(VLOOKUP(B163, PLANTA_BASE!A:R, 9, FALSE), "GENERAL"))</f>
        <v/>
      </c>
      <c r="H163" s="5">
        <f>IF(B163="","",IFERROR(VLOOKUP(B163, PLANTA_BASE!A:R, 17, FALSE), "GENERAL"))</f>
        <v/>
      </c>
    </row>
    <row r="164" ht="20" customHeight="1">
      <c r="A164" s="2">
        <f>IF(B164="","",IFERROR(VLOOKUP(B164, PLANTA_BASE!A:R, 2, FALSE), "NO ENCONTRADO EN PLANTA"))</f>
        <v/>
      </c>
      <c r="B164" s="3" t="inlineStr"/>
      <c r="C164" s="4">
        <f>IF(B164="","",IFERROR(VLOOKUP(B164, PLANTA_BASE!A:R, 3, FALSE), ""))</f>
        <v/>
      </c>
      <c r="D164" s="2">
        <f>IF(B164="","",IFERROR(VLOOKUP(B164, PLANTA_BASE!A:R, 5, FALSE), "NO ENCONTRADO EN PLANTA"))</f>
        <v/>
      </c>
      <c r="E164" s="2">
        <f>IF(B164="","",IFERROR(VLOOKUP(B164, PLANTA_BASE!A:R, 6, FALSE), "NO ENCONTRADO EN PLANTA"))</f>
        <v/>
      </c>
      <c r="F164" s="4">
        <f>IF(B164="","",IFERROR(VLOOKUP(B164, PLANTA_BASE!A:R, 8, FALSE), "DOCENTE / FACILITADOR"))</f>
        <v/>
      </c>
      <c r="G164" s="4">
        <f>IF(B164="","",IFERROR(VLOOKUP(B164, PLANTA_BASE!A:R, 9, FALSE), "GENERAL"))</f>
        <v/>
      </c>
      <c r="H164" s="2">
        <f>IF(B164="","",IFERROR(VLOOKUP(B164, PLANTA_BASE!A:R, 17, FALSE), "GENERAL"))</f>
        <v/>
      </c>
    </row>
    <row r="165" ht="20" customHeight="1">
      <c r="A165" s="5">
        <f>IF(B165="","",IFERROR(VLOOKUP(B165, PLANTA_BASE!A:R, 2, FALSE), "NO ENCONTRADO EN PLANTA"))</f>
        <v/>
      </c>
      <c r="B165" s="6" t="inlineStr"/>
      <c r="C165" s="7">
        <f>IF(B165="","",IFERROR(VLOOKUP(B165, PLANTA_BASE!A:R, 3, FALSE), ""))</f>
        <v/>
      </c>
      <c r="D165" s="5">
        <f>IF(B165="","",IFERROR(VLOOKUP(B165, PLANTA_BASE!A:R, 5, FALSE), "NO ENCONTRADO EN PLANTA"))</f>
        <v/>
      </c>
      <c r="E165" s="5">
        <f>IF(B165="","",IFERROR(VLOOKUP(B165, PLANTA_BASE!A:R, 6, FALSE), "NO ENCONTRADO EN PLANTA"))</f>
        <v/>
      </c>
      <c r="F165" s="7">
        <f>IF(B165="","",IFERROR(VLOOKUP(B165, PLANTA_BASE!A:R, 8, FALSE), "DOCENTE / FACILITADOR"))</f>
        <v/>
      </c>
      <c r="G165" s="7">
        <f>IF(B165="","",IFERROR(VLOOKUP(B165, PLANTA_BASE!A:R, 9, FALSE), "GENERAL"))</f>
        <v/>
      </c>
      <c r="H165" s="5">
        <f>IF(B165="","",IFERROR(VLOOKUP(B165, PLANTA_BASE!A:R, 17, FALSE), "GENERAL"))</f>
        <v/>
      </c>
    </row>
    <row r="166" ht="20" customHeight="1">
      <c r="A166" s="2">
        <f>IF(B166="","",IFERROR(VLOOKUP(B166, PLANTA_BASE!A:R, 2, FALSE), "NO ENCONTRADO EN PLANTA"))</f>
        <v/>
      </c>
      <c r="B166" s="3" t="inlineStr"/>
      <c r="C166" s="4">
        <f>IF(B166="","",IFERROR(VLOOKUP(B166, PLANTA_BASE!A:R, 3, FALSE), ""))</f>
        <v/>
      </c>
      <c r="D166" s="2">
        <f>IF(B166="","",IFERROR(VLOOKUP(B166, PLANTA_BASE!A:R, 5, FALSE), "NO ENCONTRADO EN PLANTA"))</f>
        <v/>
      </c>
      <c r="E166" s="2">
        <f>IF(B166="","",IFERROR(VLOOKUP(B166, PLANTA_BASE!A:R, 6, FALSE), "NO ENCONTRADO EN PLANTA"))</f>
        <v/>
      </c>
      <c r="F166" s="4">
        <f>IF(B166="","",IFERROR(VLOOKUP(B166, PLANTA_BASE!A:R, 8, FALSE), "DOCENTE / FACILITADOR"))</f>
        <v/>
      </c>
      <c r="G166" s="4">
        <f>IF(B166="","",IFERROR(VLOOKUP(B166, PLANTA_BASE!A:R, 9, FALSE), "GENERAL"))</f>
        <v/>
      </c>
      <c r="H166" s="2">
        <f>IF(B166="","",IFERROR(VLOOKUP(B166, PLANTA_BASE!A:R, 17, FALSE), "GENERAL"))</f>
        <v/>
      </c>
    </row>
    <row r="167" ht="20" customHeight="1">
      <c r="A167" s="5">
        <f>IF(B167="","",IFERROR(VLOOKUP(B167, PLANTA_BASE!A:R, 2, FALSE), "NO ENCONTRADO EN PLANTA"))</f>
        <v/>
      </c>
      <c r="B167" s="6" t="inlineStr"/>
      <c r="C167" s="7">
        <f>IF(B167="","",IFERROR(VLOOKUP(B167, PLANTA_BASE!A:R, 3, FALSE), ""))</f>
        <v/>
      </c>
      <c r="D167" s="5">
        <f>IF(B167="","",IFERROR(VLOOKUP(B167, PLANTA_BASE!A:R, 5, FALSE), "NO ENCONTRADO EN PLANTA"))</f>
        <v/>
      </c>
      <c r="E167" s="5">
        <f>IF(B167="","",IFERROR(VLOOKUP(B167, PLANTA_BASE!A:R, 6, FALSE), "NO ENCONTRADO EN PLANTA"))</f>
        <v/>
      </c>
      <c r="F167" s="7">
        <f>IF(B167="","",IFERROR(VLOOKUP(B167, PLANTA_BASE!A:R, 8, FALSE), "DOCENTE / FACILITADOR"))</f>
        <v/>
      </c>
      <c r="G167" s="7">
        <f>IF(B167="","",IFERROR(VLOOKUP(B167, PLANTA_BASE!A:R, 9, FALSE), "GENERAL"))</f>
        <v/>
      </c>
      <c r="H167" s="5">
        <f>IF(B167="","",IFERROR(VLOOKUP(B167, PLANTA_BASE!A:R, 17, FALSE), "GENERAL"))</f>
        <v/>
      </c>
    </row>
    <row r="168" ht="20" customHeight="1">
      <c r="A168" s="2">
        <f>IF(B168="","",IFERROR(VLOOKUP(B168, PLANTA_BASE!A:R, 2, FALSE), "NO ENCONTRADO EN PLANTA"))</f>
        <v/>
      </c>
      <c r="B168" s="3" t="inlineStr"/>
      <c r="C168" s="4">
        <f>IF(B168="","",IFERROR(VLOOKUP(B168, PLANTA_BASE!A:R, 3, FALSE), ""))</f>
        <v/>
      </c>
      <c r="D168" s="2">
        <f>IF(B168="","",IFERROR(VLOOKUP(B168, PLANTA_BASE!A:R, 5, FALSE), "NO ENCONTRADO EN PLANTA"))</f>
        <v/>
      </c>
      <c r="E168" s="2">
        <f>IF(B168="","",IFERROR(VLOOKUP(B168, PLANTA_BASE!A:R, 6, FALSE), "NO ENCONTRADO EN PLANTA"))</f>
        <v/>
      </c>
      <c r="F168" s="4">
        <f>IF(B168="","",IFERROR(VLOOKUP(B168, PLANTA_BASE!A:R, 8, FALSE), "DOCENTE / FACILITADOR"))</f>
        <v/>
      </c>
      <c r="G168" s="4">
        <f>IF(B168="","",IFERROR(VLOOKUP(B168, PLANTA_BASE!A:R, 9, FALSE), "GENERAL"))</f>
        <v/>
      </c>
      <c r="H168" s="2">
        <f>IF(B168="","",IFERROR(VLOOKUP(B168, PLANTA_BASE!A:R, 17, FALSE), "GENERAL"))</f>
        <v/>
      </c>
    </row>
    <row r="169" ht="20" customHeight="1">
      <c r="A169" s="5">
        <f>IF(B169="","",IFERROR(VLOOKUP(B169, PLANTA_BASE!A:R, 2, FALSE), "NO ENCONTRADO EN PLANTA"))</f>
        <v/>
      </c>
      <c r="B169" s="6" t="inlineStr"/>
      <c r="C169" s="7">
        <f>IF(B169="","",IFERROR(VLOOKUP(B169, PLANTA_BASE!A:R, 3, FALSE), ""))</f>
        <v/>
      </c>
      <c r="D169" s="5">
        <f>IF(B169="","",IFERROR(VLOOKUP(B169, PLANTA_BASE!A:R, 5, FALSE), "NO ENCONTRADO EN PLANTA"))</f>
        <v/>
      </c>
      <c r="E169" s="5">
        <f>IF(B169="","",IFERROR(VLOOKUP(B169, PLANTA_BASE!A:R, 6, FALSE), "NO ENCONTRADO EN PLANTA"))</f>
        <v/>
      </c>
      <c r="F169" s="7">
        <f>IF(B169="","",IFERROR(VLOOKUP(B169, PLANTA_BASE!A:R, 8, FALSE), "DOCENTE / FACILITADOR"))</f>
        <v/>
      </c>
      <c r="G169" s="7">
        <f>IF(B169="","",IFERROR(VLOOKUP(B169, PLANTA_BASE!A:R, 9, FALSE), "GENERAL"))</f>
        <v/>
      </c>
      <c r="H169" s="5">
        <f>IF(B169="","",IFERROR(VLOOKUP(B169, PLANTA_BASE!A:R, 17, FALSE), "GENERAL"))</f>
        <v/>
      </c>
    </row>
    <row r="170" ht="20" customHeight="1">
      <c r="A170" s="2">
        <f>IF(B170="","",IFERROR(VLOOKUP(B170, PLANTA_BASE!A:R, 2, FALSE), "NO ENCONTRADO EN PLANTA"))</f>
        <v/>
      </c>
      <c r="B170" s="3" t="inlineStr"/>
      <c r="C170" s="4">
        <f>IF(B170="","",IFERROR(VLOOKUP(B170, PLANTA_BASE!A:R, 3, FALSE), ""))</f>
        <v/>
      </c>
      <c r="D170" s="2">
        <f>IF(B170="","",IFERROR(VLOOKUP(B170, PLANTA_BASE!A:R, 5, FALSE), "NO ENCONTRADO EN PLANTA"))</f>
        <v/>
      </c>
      <c r="E170" s="2">
        <f>IF(B170="","",IFERROR(VLOOKUP(B170, PLANTA_BASE!A:R, 6, FALSE), "NO ENCONTRADO EN PLANTA"))</f>
        <v/>
      </c>
      <c r="F170" s="4">
        <f>IF(B170="","",IFERROR(VLOOKUP(B170, PLANTA_BASE!A:R, 8, FALSE), "DOCENTE / FACILITADOR"))</f>
        <v/>
      </c>
      <c r="G170" s="4">
        <f>IF(B170="","",IFERROR(VLOOKUP(B170, PLANTA_BASE!A:R, 9, FALSE), "GENERAL"))</f>
        <v/>
      </c>
      <c r="H170" s="2">
        <f>IF(B170="","",IFERROR(VLOOKUP(B170, PLANTA_BASE!A:R, 17, FALSE), "GENERAL"))</f>
        <v/>
      </c>
    </row>
    <row r="171" ht="20" customHeight="1">
      <c r="A171" s="5">
        <f>IF(B171="","",IFERROR(VLOOKUP(B171, PLANTA_BASE!A:R, 2, FALSE), "NO ENCONTRADO EN PLANTA"))</f>
        <v/>
      </c>
      <c r="B171" s="6" t="inlineStr"/>
      <c r="C171" s="7">
        <f>IF(B171="","",IFERROR(VLOOKUP(B171, PLANTA_BASE!A:R, 3, FALSE), ""))</f>
        <v/>
      </c>
      <c r="D171" s="5">
        <f>IF(B171="","",IFERROR(VLOOKUP(B171, PLANTA_BASE!A:R, 5, FALSE), "NO ENCONTRADO EN PLANTA"))</f>
        <v/>
      </c>
      <c r="E171" s="5">
        <f>IF(B171="","",IFERROR(VLOOKUP(B171, PLANTA_BASE!A:R, 6, FALSE), "NO ENCONTRADO EN PLANTA"))</f>
        <v/>
      </c>
      <c r="F171" s="7">
        <f>IF(B171="","",IFERROR(VLOOKUP(B171, PLANTA_BASE!A:R, 8, FALSE), "DOCENTE / FACILITADOR"))</f>
        <v/>
      </c>
      <c r="G171" s="7">
        <f>IF(B171="","",IFERROR(VLOOKUP(B171, PLANTA_BASE!A:R, 9, FALSE), "GENERAL"))</f>
        <v/>
      </c>
      <c r="H171" s="5">
        <f>IF(B171="","",IFERROR(VLOOKUP(B171, PLANTA_BASE!A:R, 17, FALSE), "GENERAL"))</f>
        <v/>
      </c>
    </row>
    <row r="172" ht="20" customHeight="1">
      <c r="A172" s="2">
        <f>IF(B172="","",IFERROR(VLOOKUP(B172, PLANTA_BASE!A:R, 2, FALSE), "NO ENCONTRADO EN PLANTA"))</f>
        <v/>
      </c>
      <c r="B172" s="3" t="inlineStr"/>
      <c r="C172" s="4">
        <f>IF(B172="","",IFERROR(VLOOKUP(B172, PLANTA_BASE!A:R, 3, FALSE), ""))</f>
        <v/>
      </c>
      <c r="D172" s="2">
        <f>IF(B172="","",IFERROR(VLOOKUP(B172, PLANTA_BASE!A:R, 5, FALSE), "NO ENCONTRADO EN PLANTA"))</f>
        <v/>
      </c>
      <c r="E172" s="2">
        <f>IF(B172="","",IFERROR(VLOOKUP(B172, PLANTA_BASE!A:R, 6, FALSE), "NO ENCONTRADO EN PLANTA"))</f>
        <v/>
      </c>
      <c r="F172" s="4">
        <f>IF(B172="","",IFERROR(VLOOKUP(B172, PLANTA_BASE!A:R, 8, FALSE), "DOCENTE / FACILITADOR"))</f>
        <v/>
      </c>
      <c r="G172" s="4">
        <f>IF(B172="","",IFERROR(VLOOKUP(B172, PLANTA_BASE!A:R, 9, FALSE), "GENERAL"))</f>
        <v/>
      </c>
      <c r="H172" s="2">
        <f>IF(B172="","",IFERROR(VLOOKUP(B172, PLANTA_BASE!A:R, 17, FALSE), "GENERAL"))</f>
        <v/>
      </c>
    </row>
    <row r="173" ht="20" customHeight="1">
      <c r="A173" s="5">
        <f>IF(B173="","",IFERROR(VLOOKUP(B173, PLANTA_BASE!A:R, 2, FALSE), "NO ENCONTRADO EN PLANTA"))</f>
        <v/>
      </c>
      <c r="B173" s="6" t="inlineStr"/>
      <c r="C173" s="7">
        <f>IF(B173="","",IFERROR(VLOOKUP(B173, PLANTA_BASE!A:R, 3, FALSE), ""))</f>
        <v/>
      </c>
      <c r="D173" s="5">
        <f>IF(B173="","",IFERROR(VLOOKUP(B173, PLANTA_BASE!A:R, 5, FALSE), "NO ENCONTRADO EN PLANTA"))</f>
        <v/>
      </c>
      <c r="E173" s="5">
        <f>IF(B173="","",IFERROR(VLOOKUP(B173, PLANTA_BASE!A:R, 6, FALSE), "NO ENCONTRADO EN PLANTA"))</f>
        <v/>
      </c>
      <c r="F173" s="7">
        <f>IF(B173="","",IFERROR(VLOOKUP(B173, PLANTA_BASE!A:R, 8, FALSE), "DOCENTE / FACILITADOR"))</f>
        <v/>
      </c>
      <c r="G173" s="7">
        <f>IF(B173="","",IFERROR(VLOOKUP(B173, PLANTA_BASE!A:R, 9, FALSE), "GENERAL"))</f>
        <v/>
      </c>
      <c r="H173" s="5">
        <f>IF(B173="","",IFERROR(VLOOKUP(B173, PLANTA_BASE!A:R, 17, FALSE), "GENERAL"))</f>
        <v/>
      </c>
    </row>
    <row r="174" ht="20" customHeight="1">
      <c r="A174" s="2">
        <f>IF(B174="","",IFERROR(VLOOKUP(B174, PLANTA_BASE!A:R, 2, FALSE), "NO ENCONTRADO EN PLANTA"))</f>
        <v/>
      </c>
      <c r="B174" s="3" t="inlineStr"/>
      <c r="C174" s="4">
        <f>IF(B174="","",IFERROR(VLOOKUP(B174, PLANTA_BASE!A:R, 3, FALSE), ""))</f>
        <v/>
      </c>
      <c r="D174" s="2">
        <f>IF(B174="","",IFERROR(VLOOKUP(B174, PLANTA_BASE!A:R, 5, FALSE), "NO ENCONTRADO EN PLANTA"))</f>
        <v/>
      </c>
      <c r="E174" s="2">
        <f>IF(B174="","",IFERROR(VLOOKUP(B174, PLANTA_BASE!A:R, 6, FALSE), "NO ENCONTRADO EN PLANTA"))</f>
        <v/>
      </c>
      <c r="F174" s="4">
        <f>IF(B174="","",IFERROR(VLOOKUP(B174, PLANTA_BASE!A:R, 8, FALSE), "DOCENTE / FACILITADOR"))</f>
        <v/>
      </c>
      <c r="G174" s="4">
        <f>IF(B174="","",IFERROR(VLOOKUP(B174, PLANTA_BASE!A:R, 9, FALSE), "GENERAL"))</f>
        <v/>
      </c>
      <c r="H174" s="2">
        <f>IF(B174="","",IFERROR(VLOOKUP(B174, PLANTA_BASE!A:R, 17, FALSE), "GENERAL"))</f>
        <v/>
      </c>
    </row>
    <row r="175" ht="20" customHeight="1">
      <c r="A175" s="5">
        <f>IF(B175="","",IFERROR(VLOOKUP(B175, PLANTA_BASE!A:R, 2, FALSE), "NO ENCONTRADO EN PLANTA"))</f>
        <v/>
      </c>
      <c r="B175" s="6" t="inlineStr"/>
      <c r="C175" s="7">
        <f>IF(B175="","",IFERROR(VLOOKUP(B175, PLANTA_BASE!A:R, 3, FALSE), ""))</f>
        <v/>
      </c>
      <c r="D175" s="5">
        <f>IF(B175="","",IFERROR(VLOOKUP(B175, PLANTA_BASE!A:R, 5, FALSE), "NO ENCONTRADO EN PLANTA"))</f>
        <v/>
      </c>
      <c r="E175" s="5">
        <f>IF(B175="","",IFERROR(VLOOKUP(B175, PLANTA_BASE!A:R, 6, FALSE), "NO ENCONTRADO EN PLANTA"))</f>
        <v/>
      </c>
      <c r="F175" s="7">
        <f>IF(B175="","",IFERROR(VLOOKUP(B175, PLANTA_BASE!A:R, 8, FALSE), "DOCENTE / FACILITADOR"))</f>
        <v/>
      </c>
      <c r="G175" s="7">
        <f>IF(B175="","",IFERROR(VLOOKUP(B175, PLANTA_BASE!A:R, 9, FALSE), "GENERAL"))</f>
        <v/>
      </c>
      <c r="H175" s="5">
        <f>IF(B175="","",IFERROR(VLOOKUP(B175, PLANTA_BASE!A:R, 17, FALSE), "GENERAL"))</f>
        <v/>
      </c>
    </row>
    <row r="176" ht="20" customHeight="1">
      <c r="A176" s="2">
        <f>IF(B176="","",IFERROR(VLOOKUP(B176, PLANTA_BASE!A:R, 2, FALSE), "NO ENCONTRADO EN PLANTA"))</f>
        <v/>
      </c>
      <c r="B176" s="3" t="inlineStr"/>
      <c r="C176" s="4">
        <f>IF(B176="","",IFERROR(VLOOKUP(B176, PLANTA_BASE!A:R, 3, FALSE), ""))</f>
        <v/>
      </c>
      <c r="D176" s="2">
        <f>IF(B176="","",IFERROR(VLOOKUP(B176, PLANTA_BASE!A:R, 5, FALSE), "NO ENCONTRADO EN PLANTA"))</f>
        <v/>
      </c>
      <c r="E176" s="2">
        <f>IF(B176="","",IFERROR(VLOOKUP(B176, PLANTA_BASE!A:R, 6, FALSE), "NO ENCONTRADO EN PLANTA"))</f>
        <v/>
      </c>
      <c r="F176" s="4">
        <f>IF(B176="","",IFERROR(VLOOKUP(B176, PLANTA_BASE!A:R, 8, FALSE), "DOCENTE / FACILITADOR"))</f>
        <v/>
      </c>
      <c r="G176" s="4">
        <f>IF(B176="","",IFERROR(VLOOKUP(B176, PLANTA_BASE!A:R, 9, FALSE), "GENERAL"))</f>
        <v/>
      </c>
      <c r="H176" s="2">
        <f>IF(B176="","",IFERROR(VLOOKUP(B176, PLANTA_BASE!A:R, 17, FALSE), "GENERAL"))</f>
        <v/>
      </c>
    </row>
    <row r="177" ht="20" customHeight="1">
      <c r="A177" s="5">
        <f>IF(B177="","",IFERROR(VLOOKUP(B177, PLANTA_BASE!A:R, 2, FALSE), "NO ENCONTRADO EN PLANTA"))</f>
        <v/>
      </c>
      <c r="B177" s="6" t="inlineStr"/>
      <c r="C177" s="7">
        <f>IF(B177="","",IFERROR(VLOOKUP(B177, PLANTA_BASE!A:R, 3, FALSE), ""))</f>
        <v/>
      </c>
      <c r="D177" s="5">
        <f>IF(B177="","",IFERROR(VLOOKUP(B177, PLANTA_BASE!A:R, 5, FALSE), "NO ENCONTRADO EN PLANTA"))</f>
        <v/>
      </c>
      <c r="E177" s="5">
        <f>IF(B177="","",IFERROR(VLOOKUP(B177, PLANTA_BASE!A:R, 6, FALSE), "NO ENCONTRADO EN PLANTA"))</f>
        <v/>
      </c>
      <c r="F177" s="7">
        <f>IF(B177="","",IFERROR(VLOOKUP(B177, PLANTA_BASE!A:R, 8, FALSE), "DOCENTE / FACILITADOR"))</f>
        <v/>
      </c>
      <c r="G177" s="7">
        <f>IF(B177="","",IFERROR(VLOOKUP(B177, PLANTA_BASE!A:R, 9, FALSE), "GENERAL"))</f>
        <v/>
      </c>
      <c r="H177" s="5">
        <f>IF(B177="","",IFERROR(VLOOKUP(B177, PLANTA_BASE!A:R, 17, FALSE), "GENERAL"))</f>
        <v/>
      </c>
    </row>
    <row r="178" ht="20" customHeight="1">
      <c r="A178" s="2">
        <f>IF(B178="","",IFERROR(VLOOKUP(B178, PLANTA_BASE!A:R, 2, FALSE), "NO ENCONTRADO EN PLANTA"))</f>
        <v/>
      </c>
      <c r="B178" s="3" t="inlineStr"/>
      <c r="C178" s="4">
        <f>IF(B178="","",IFERROR(VLOOKUP(B178, PLANTA_BASE!A:R, 3, FALSE), ""))</f>
        <v/>
      </c>
      <c r="D178" s="2">
        <f>IF(B178="","",IFERROR(VLOOKUP(B178, PLANTA_BASE!A:R, 5, FALSE), "NO ENCONTRADO EN PLANTA"))</f>
        <v/>
      </c>
      <c r="E178" s="2">
        <f>IF(B178="","",IFERROR(VLOOKUP(B178, PLANTA_BASE!A:R, 6, FALSE), "NO ENCONTRADO EN PLANTA"))</f>
        <v/>
      </c>
      <c r="F178" s="4">
        <f>IF(B178="","",IFERROR(VLOOKUP(B178, PLANTA_BASE!A:R, 8, FALSE), "DOCENTE / FACILITADOR"))</f>
        <v/>
      </c>
      <c r="G178" s="4">
        <f>IF(B178="","",IFERROR(VLOOKUP(B178, PLANTA_BASE!A:R, 9, FALSE), "GENERAL"))</f>
        <v/>
      </c>
      <c r="H178" s="2">
        <f>IF(B178="","",IFERROR(VLOOKUP(B178, PLANTA_BASE!A:R, 17, FALSE), "GENERAL"))</f>
        <v/>
      </c>
    </row>
    <row r="179" ht="20" customHeight="1">
      <c r="A179" s="5">
        <f>IF(B179="","",IFERROR(VLOOKUP(B179, PLANTA_BASE!A:R, 2, FALSE), "NO ENCONTRADO EN PLANTA"))</f>
        <v/>
      </c>
      <c r="B179" s="6" t="inlineStr"/>
      <c r="C179" s="7">
        <f>IF(B179="","",IFERROR(VLOOKUP(B179, PLANTA_BASE!A:R, 3, FALSE), ""))</f>
        <v/>
      </c>
      <c r="D179" s="5">
        <f>IF(B179="","",IFERROR(VLOOKUP(B179, PLANTA_BASE!A:R, 5, FALSE), "NO ENCONTRADO EN PLANTA"))</f>
        <v/>
      </c>
      <c r="E179" s="5">
        <f>IF(B179="","",IFERROR(VLOOKUP(B179, PLANTA_BASE!A:R, 6, FALSE), "NO ENCONTRADO EN PLANTA"))</f>
        <v/>
      </c>
      <c r="F179" s="7">
        <f>IF(B179="","",IFERROR(VLOOKUP(B179, PLANTA_BASE!A:R, 8, FALSE), "DOCENTE / FACILITADOR"))</f>
        <v/>
      </c>
      <c r="G179" s="7">
        <f>IF(B179="","",IFERROR(VLOOKUP(B179, PLANTA_BASE!A:R, 9, FALSE), "GENERAL"))</f>
        <v/>
      </c>
      <c r="H179" s="5">
        <f>IF(B179="","",IFERROR(VLOOKUP(B179, PLANTA_BASE!A:R, 17, FALSE), "GENERAL"))</f>
        <v/>
      </c>
    </row>
    <row r="180" ht="20" customHeight="1">
      <c r="A180" s="2">
        <f>IF(B180="","",IFERROR(VLOOKUP(B180, PLANTA_BASE!A:R, 2, FALSE), "NO ENCONTRADO EN PLANTA"))</f>
        <v/>
      </c>
      <c r="B180" s="3" t="inlineStr"/>
      <c r="C180" s="4">
        <f>IF(B180="","",IFERROR(VLOOKUP(B180, PLANTA_BASE!A:R, 3, FALSE), ""))</f>
        <v/>
      </c>
      <c r="D180" s="2">
        <f>IF(B180="","",IFERROR(VLOOKUP(B180, PLANTA_BASE!A:R, 5, FALSE), "NO ENCONTRADO EN PLANTA"))</f>
        <v/>
      </c>
      <c r="E180" s="2">
        <f>IF(B180="","",IFERROR(VLOOKUP(B180, PLANTA_BASE!A:R, 6, FALSE), "NO ENCONTRADO EN PLANTA"))</f>
        <v/>
      </c>
      <c r="F180" s="4">
        <f>IF(B180="","",IFERROR(VLOOKUP(B180, PLANTA_BASE!A:R, 8, FALSE), "DOCENTE / FACILITADOR"))</f>
        <v/>
      </c>
      <c r="G180" s="4">
        <f>IF(B180="","",IFERROR(VLOOKUP(B180, PLANTA_BASE!A:R, 9, FALSE), "GENERAL"))</f>
        <v/>
      </c>
      <c r="H180" s="2">
        <f>IF(B180="","",IFERROR(VLOOKUP(B180, PLANTA_BASE!A:R, 17, FALSE), "GENERAL"))</f>
        <v/>
      </c>
    </row>
    <row r="181" ht="20" customHeight="1">
      <c r="A181" s="5">
        <f>IF(B181="","",IFERROR(VLOOKUP(B181, PLANTA_BASE!A:R, 2, FALSE), "NO ENCONTRADO EN PLANTA"))</f>
        <v/>
      </c>
      <c r="B181" s="6" t="inlineStr"/>
      <c r="C181" s="7">
        <f>IF(B181="","",IFERROR(VLOOKUP(B181, PLANTA_BASE!A:R, 3, FALSE), ""))</f>
        <v/>
      </c>
      <c r="D181" s="5">
        <f>IF(B181="","",IFERROR(VLOOKUP(B181, PLANTA_BASE!A:R, 5, FALSE), "NO ENCONTRADO EN PLANTA"))</f>
        <v/>
      </c>
      <c r="E181" s="5">
        <f>IF(B181="","",IFERROR(VLOOKUP(B181, PLANTA_BASE!A:R, 6, FALSE), "NO ENCONTRADO EN PLANTA"))</f>
        <v/>
      </c>
      <c r="F181" s="7">
        <f>IF(B181="","",IFERROR(VLOOKUP(B181, PLANTA_BASE!A:R, 8, FALSE), "DOCENTE / FACILITADOR"))</f>
        <v/>
      </c>
      <c r="G181" s="7">
        <f>IF(B181="","",IFERROR(VLOOKUP(B181, PLANTA_BASE!A:R, 9, FALSE), "GENERAL"))</f>
        <v/>
      </c>
      <c r="H181" s="5">
        <f>IF(B181="","",IFERROR(VLOOKUP(B181, PLANTA_BASE!A:R, 17, FALSE), "GENERAL"))</f>
        <v/>
      </c>
    </row>
    <row r="182" ht="20" customHeight="1">
      <c r="A182" s="2">
        <f>IF(B182="","",IFERROR(VLOOKUP(B182, PLANTA_BASE!A:R, 2, FALSE), "NO ENCONTRADO EN PLANTA"))</f>
        <v/>
      </c>
      <c r="B182" s="3" t="inlineStr"/>
      <c r="C182" s="4">
        <f>IF(B182="","",IFERROR(VLOOKUP(B182, PLANTA_BASE!A:R, 3, FALSE), ""))</f>
        <v/>
      </c>
      <c r="D182" s="2">
        <f>IF(B182="","",IFERROR(VLOOKUP(B182, PLANTA_BASE!A:R, 5, FALSE), "NO ENCONTRADO EN PLANTA"))</f>
        <v/>
      </c>
      <c r="E182" s="2">
        <f>IF(B182="","",IFERROR(VLOOKUP(B182, PLANTA_BASE!A:R, 6, FALSE), "NO ENCONTRADO EN PLANTA"))</f>
        <v/>
      </c>
      <c r="F182" s="4">
        <f>IF(B182="","",IFERROR(VLOOKUP(B182, PLANTA_BASE!A:R, 8, FALSE), "DOCENTE / FACILITADOR"))</f>
        <v/>
      </c>
      <c r="G182" s="4">
        <f>IF(B182="","",IFERROR(VLOOKUP(B182, PLANTA_BASE!A:R, 9, FALSE), "GENERAL"))</f>
        <v/>
      </c>
      <c r="H182" s="2">
        <f>IF(B182="","",IFERROR(VLOOKUP(B182, PLANTA_BASE!A:R, 17, FALSE), "GENERAL"))</f>
        <v/>
      </c>
    </row>
    <row r="183" ht="20" customHeight="1">
      <c r="A183" s="5">
        <f>IF(B183="","",IFERROR(VLOOKUP(B183, PLANTA_BASE!A:R, 2, FALSE), "NO ENCONTRADO EN PLANTA"))</f>
        <v/>
      </c>
      <c r="B183" s="6" t="inlineStr"/>
      <c r="C183" s="7">
        <f>IF(B183="","",IFERROR(VLOOKUP(B183, PLANTA_BASE!A:R, 3, FALSE), ""))</f>
        <v/>
      </c>
      <c r="D183" s="5">
        <f>IF(B183="","",IFERROR(VLOOKUP(B183, PLANTA_BASE!A:R, 5, FALSE), "NO ENCONTRADO EN PLANTA"))</f>
        <v/>
      </c>
      <c r="E183" s="5">
        <f>IF(B183="","",IFERROR(VLOOKUP(B183, PLANTA_BASE!A:R, 6, FALSE), "NO ENCONTRADO EN PLANTA"))</f>
        <v/>
      </c>
      <c r="F183" s="7">
        <f>IF(B183="","",IFERROR(VLOOKUP(B183, PLANTA_BASE!A:R, 8, FALSE), "DOCENTE / FACILITADOR"))</f>
        <v/>
      </c>
      <c r="G183" s="7">
        <f>IF(B183="","",IFERROR(VLOOKUP(B183, PLANTA_BASE!A:R, 9, FALSE), "GENERAL"))</f>
        <v/>
      </c>
      <c r="H183" s="5">
        <f>IF(B183="","",IFERROR(VLOOKUP(B183, PLANTA_BASE!A:R, 17, FALSE), "GENERAL"))</f>
        <v/>
      </c>
    </row>
    <row r="184" ht="20" customHeight="1">
      <c r="A184" s="2">
        <f>IF(B184="","",IFERROR(VLOOKUP(B184, PLANTA_BASE!A:R, 2, FALSE), "NO ENCONTRADO EN PLANTA"))</f>
        <v/>
      </c>
      <c r="B184" s="3" t="inlineStr"/>
      <c r="C184" s="4">
        <f>IF(B184="","",IFERROR(VLOOKUP(B184, PLANTA_BASE!A:R, 3, FALSE), ""))</f>
        <v/>
      </c>
      <c r="D184" s="2">
        <f>IF(B184="","",IFERROR(VLOOKUP(B184, PLANTA_BASE!A:R, 5, FALSE), "NO ENCONTRADO EN PLANTA"))</f>
        <v/>
      </c>
      <c r="E184" s="2">
        <f>IF(B184="","",IFERROR(VLOOKUP(B184, PLANTA_BASE!A:R, 6, FALSE), "NO ENCONTRADO EN PLANTA"))</f>
        <v/>
      </c>
      <c r="F184" s="4">
        <f>IF(B184="","",IFERROR(VLOOKUP(B184, PLANTA_BASE!A:R, 8, FALSE), "DOCENTE / FACILITADOR"))</f>
        <v/>
      </c>
      <c r="G184" s="4">
        <f>IF(B184="","",IFERROR(VLOOKUP(B184, PLANTA_BASE!A:R, 9, FALSE), "GENERAL"))</f>
        <v/>
      </c>
      <c r="H184" s="2">
        <f>IF(B184="","",IFERROR(VLOOKUP(B184, PLANTA_BASE!A:R, 17, FALSE), "GENERAL"))</f>
        <v/>
      </c>
    </row>
    <row r="185" ht="20" customHeight="1">
      <c r="A185" s="5">
        <f>IF(B185="","",IFERROR(VLOOKUP(B185, PLANTA_BASE!A:R, 2, FALSE), "NO ENCONTRADO EN PLANTA"))</f>
        <v/>
      </c>
      <c r="B185" s="6" t="inlineStr"/>
      <c r="C185" s="7">
        <f>IF(B185="","",IFERROR(VLOOKUP(B185, PLANTA_BASE!A:R, 3, FALSE), ""))</f>
        <v/>
      </c>
      <c r="D185" s="5">
        <f>IF(B185="","",IFERROR(VLOOKUP(B185, PLANTA_BASE!A:R, 5, FALSE), "NO ENCONTRADO EN PLANTA"))</f>
        <v/>
      </c>
      <c r="E185" s="5">
        <f>IF(B185="","",IFERROR(VLOOKUP(B185, PLANTA_BASE!A:R, 6, FALSE), "NO ENCONTRADO EN PLANTA"))</f>
        <v/>
      </c>
      <c r="F185" s="7">
        <f>IF(B185="","",IFERROR(VLOOKUP(B185, PLANTA_BASE!A:R, 8, FALSE), "DOCENTE / FACILITADOR"))</f>
        <v/>
      </c>
      <c r="G185" s="7">
        <f>IF(B185="","",IFERROR(VLOOKUP(B185, PLANTA_BASE!A:R, 9, FALSE), "GENERAL"))</f>
        <v/>
      </c>
      <c r="H185" s="5">
        <f>IF(B185="","",IFERROR(VLOOKUP(B185, PLANTA_BASE!A:R, 17, FALSE), "GENERAL"))</f>
        <v/>
      </c>
    </row>
    <row r="186" ht="20" customHeight="1">
      <c r="A186" s="2">
        <f>IF(B186="","",IFERROR(VLOOKUP(B186, PLANTA_BASE!A:R, 2, FALSE), "NO ENCONTRADO EN PLANTA"))</f>
        <v/>
      </c>
      <c r="B186" s="3" t="inlineStr"/>
      <c r="C186" s="4">
        <f>IF(B186="","",IFERROR(VLOOKUP(B186, PLANTA_BASE!A:R, 3, FALSE), ""))</f>
        <v/>
      </c>
      <c r="D186" s="2">
        <f>IF(B186="","",IFERROR(VLOOKUP(B186, PLANTA_BASE!A:R, 5, FALSE), "NO ENCONTRADO EN PLANTA"))</f>
        <v/>
      </c>
      <c r="E186" s="2">
        <f>IF(B186="","",IFERROR(VLOOKUP(B186, PLANTA_BASE!A:R, 6, FALSE), "NO ENCONTRADO EN PLANTA"))</f>
        <v/>
      </c>
      <c r="F186" s="4">
        <f>IF(B186="","",IFERROR(VLOOKUP(B186, PLANTA_BASE!A:R, 8, FALSE), "DOCENTE / FACILITADOR"))</f>
        <v/>
      </c>
      <c r="G186" s="4">
        <f>IF(B186="","",IFERROR(VLOOKUP(B186, PLANTA_BASE!A:R, 9, FALSE), "GENERAL"))</f>
        <v/>
      </c>
      <c r="H186" s="2">
        <f>IF(B186="","",IFERROR(VLOOKUP(B186, PLANTA_BASE!A:R, 17, FALSE), "GENERAL"))</f>
        <v/>
      </c>
    </row>
    <row r="187" ht="20" customHeight="1">
      <c r="A187" s="5">
        <f>IF(B187="","",IFERROR(VLOOKUP(B187, PLANTA_BASE!A:R, 2, FALSE), "NO ENCONTRADO EN PLANTA"))</f>
        <v/>
      </c>
      <c r="B187" s="6" t="inlineStr"/>
      <c r="C187" s="7">
        <f>IF(B187="","",IFERROR(VLOOKUP(B187, PLANTA_BASE!A:R, 3, FALSE), ""))</f>
        <v/>
      </c>
      <c r="D187" s="5">
        <f>IF(B187="","",IFERROR(VLOOKUP(B187, PLANTA_BASE!A:R, 5, FALSE), "NO ENCONTRADO EN PLANTA"))</f>
        <v/>
      </c>
      <c r="E187" s="5">
        <f>IF(B187="","",IFERROR(VLOOKUP(B187, PLANTA_BASE!A:R, 6, FALSE), "NO ENCONTRADO EN PLANTA"))</f>
        <v/>
      </c>
      <c r="F187" s="7">
        <f>IF(B187="","",IFERROR(VLOOKUP(B187, PLANTA_BASE!A:R, 8, FALSE), "DOCENTE / FACILITADOR"))</f>
        <v/>
      </c>
      <c r="G187" s="7">
        <f>IF(B187="","",IFERROR(VLOOKUP(B187, PLANTA_BASE!A:R, 9, FALSE), "GENERAL"))</f>
        <v/>
      </c>
      <c r="H187" s="5">
        <f>IF(B187="","",IFERROR(VLOOKUP(B187, PLANTA_BASE!A:R, 17, FALSE), "GENERAL"))</f>
        <v/>
      </c>
    </row>
    <row r="188" ht="20" customHeight="1">
      <c r="A188" s="2">
        <f>IF(B188="","",IFERROR(VLOOKUP(B188, PLANTA_BASE!A:R, 2, FALSE), "NO ENCONTRADO EN PLANTA"))</f>
        <v/>
      </c>
      <c r="B188" s="3" t="inlineStr"/>
      <c r="C188" s="4">
        <f>IF(B188="","",IFERROR(VLOOKUP(B188, PLANTA_BASE!A:R, 3, FALSE), ""))</f>
        <v/>
      </c>
      <c r="D188" s="2">
        <f>IF(B188="","",IFERROR(VLOOKUP(B188, PLANTA_BASE!A:R, 5, FALSE), "NO ENCONTRADO EN PLANTA"))</f>
        <v/>
      </c>
      <c r="E188" s="2">
        <f>IF(B188="","",IFERROR(VLOOKUP(B188, PLANTA_BASE!A:R, 6, FALSE), "NO ENCONTRADO EN PLANTA"))</f>
        <v/>
      </c>
      <c r="F188" s="4">
        <f>IF(B188="","",IFERROR(VLOOKUP(B188, PLANTA_BASE!A:R, 8, FALSE), "DOCENTE / FACILITADOR"))</f>
        <v/>
      </c>
      <c r="G188" s="4">
        <f>IF(B188="","",IFERROR(VLOOKUP(B188, PLANTA_BASE!A:R, 9, FALSE), "GENERAL"))</f>
        <v/>
      </c>
      <c r="H188" s="2">
        <f>IF(B188="","",IFERROR(VLOOKUP(B188, PLANTA_BASE!A:R, 17, FALSE), "GENERAL"))</f>
        <v/>
      </c>
    </row>
    <row r="189" ht="20" customHeight="1">
      <c r="A189" s="5">
        <f>IF(B189="","",IFERROR(VLOOKUP(B189, PLANTA_BASE!A:R, 2, FALSE), "NO ENCONTRADO EN PLANTA"))</f>
        <v/>
      </c>
      <c r="B189" s="6" t="inlineStr"/>
      <c r="C189" s="7">
        <f>IF(B189="","",IFERROR(VLOOKUP(B189, PLANTA_BASE!A:R, 3, FALSE), ""))</f>
        <v/>
      </c>
      <c r="D189" s="5">
        <f>IF(B189="","",IFERROR(VLOOKUP(B189, PLANTA_BASE!A:R, 5, FALSE), "NO ENCONTRADO EN PLANTA"))</f>
        <v/>
      </c>
      <c r="E189" s="5">
        <f>IF(B189="","",IFERROR(VLOOKUP(B189, PLANTA_BASE!A:R, 6, FALSE), "NO ENCONTRADO EN PLANTA"))</f>
        <v/>
      </c>
      <c r="F189" s="7">
        <f>IF(B189="","",IFERROR(VLOOKUP(B189, PLANTA_BASE!A:R, 8, FALSE), "DOCENTE / FACILITADOR"))</f>
        <v/>
      </c>
      <c r="G189" s="7">
        <f>IF(B189="","",IFERROR(VLOOKUP(B189, PLANTA_BASE!A:R, 9, FALSE), "GENERAL"))</f>
        <v/>
      </c>
      <c r="H189" s="5">
        <f>IF(B189="","",IFERROR(VLOOKUP(B189, PLANTA_BASE!A:R, 17, FALSE), "GENERAL"))</f>
        <v/>
      </c>
    </row>
    <row r="190" ht="20" customHeight="1">
      <c r="A190" s="2">
        <f>IF(B190="","",IFERROR(VLOOKUP(B190, PLANTA_BASE!A:R, 2, FALSE), "NO ENCONTRADO EN PLANTA"))</f>
        <v/>
      </c>
      <c r="B190" s="3" t="inlineStr"/>
      <c r="C190" s="4">
        <f>IF(B190="","",IFERROR(VLOOKUP(B190, PLANTA_BASE!A:R, 3, FALSE), ""))</f>
        <v/>
      </c>
      <c r="D190" s="2">
        <f>IF(B190="","",IFERROR(VLOOKUP(B190, PLANTA_BASE!A:R, 5, FALSE), "NO ENCONTRADO EN PLANTA"))</f>
        <v/>
      </c>
      <c r="E190" s="2">
        <f>IF(B190="","",IFERROR(VLOOKUP(B190, PLANTA_BASE!A:R, 6, FALSE), "NO ENCONTRADO EN PLANTA"))</f>
        <v/>
      </c>
      <c r="F190" s="4">
        <f>IF(B190="","",IFERROR(VLOOKUP(B190, PLANTA_BASE!A:R, 8, FALSE), "DOCENTE / FACILITADOR"))</f>
        <v/>
      </c>
      <c r="G190" s="4">
        <f>IF(B190="","",IFERROR(VLOOKUP(B190, PLANTA_BASE!A:R, 9, FALSE), "GENERAL"))</f>
        <v/>
      </c>
      <c r="H190" s="2">
        <f>IF(B190="","",IFERROR(VLOOKUP(B190, PLANTA_BASE!A:R, 17, FALSE), "GENERAL"))</f>
        <v/>
      </c>
    </row>
    <row r="191" ht="20" customHeight="1">
      <c r="A191" s="5">
        <f>IF(B191="","",IFERROR(VLOOKUP(B191, PLANTA_BASE!A:R, 2, FALSE), "NO ENCONTRADO EN PLANTA"))</f>
        <v/>
      </c>
      <c r="B191" s="6" t="inlineStr"/>
      <c r="C191" s="7">
        <f>IF(B191="","",IFERROR(VLOOKUP(B191, PLANTA_BASE!A:R, 3, FALSE), ""))</f>
        <v/>
      </c>
      <c r="D191" s="5">
        <f>IF(B191="","",IFERROR(VLOOKUP(B191, PLANTA_BASE!A:R, 5, FALSE), "NO ENCONTRADO EN PLANTA"))</f>
        <v/>
      </c>
      <c r="E191" s="5">
        <f>IF(B191="","",IFERROR(VLOOKUP(B191, PLANTA_BASE!A:R, 6, FALSE), "NO ENCONTRADO EN PLANTA"))</f>
        <v/>
      </c>
      <c r="F191" s="7">
        <f>IF(B191="","",IFERROR(VLOOKUP(B191, PLANTA_BASE!A:R, 8, FALSE), "DOCENTE / FACILITADOR"))</f>
        <v/>
      </c>
      <c r="G191" s="7">
        <f>IF(B191="","",IFERROR(VLOOKUP(B191, PLANTA_BASE!A:R, 9, FALSE), "GENERAL"))</f>
        <v/>
      </c>
      <c r="H191" s="5">
        <f>IF(B191="","",IFERROR(VLOOKUP(B191, PLANTA_BASE!A:R, 17, FALSE), "GENERAL"))</f>
        <v/>
      </c>
    </row>
    <row r="192" ht="20" customHeight="1">
      <c r="A192" s="2">
        <f>IF(B192="","",IFERROR(VLOOKUP(B192, PLANTA_BASE!A:R, 2, FALSE), "NO ENCONTRADO EN PLANTA"))</f>
        <v/>
      </c>
      <c r="B192" s="3" t="inlineStr"/>
      <c r="C192" s="4">
        <f>IF(B192="","",IFERROR(VLOOKUP(B192, PLANTA_BASE!A:R, 3, FALSE), ""))</f>
        <v/>
      </c>
      <c r="D192" s="2">
        <f>IF(B192="","",IFERROR(VLOOKUP(B192, PLANTA_BASE!A:R, 5, FALSE), "NO ENCONTRADO EN PLANTA"))</f>
        <v/>
      </c>
      <c r="E192" s="2">
        <f>IF(B192="","",IFERROR(VLOOKUP(B192, PLANTA_BASE!A:R, 6, FALSE), "NO ENCONTRADO EN PLANTA"))</f>
        <v/>
      </c>
      <c r="F192" s="4">
        <f>IF(B192="","",IFERROR(VLOOKUP(B192, PLANTA_BASE!A:R, 8, FALSE), "DOCENTE / FACILITADOR"))</f>
        <v/>
      </c>
      <c r="G192" s="4">
        <f>IF(B192="","",IFERROR(VLOOKUP(B192, PLANTA_BASE!A:R, 9, FALSE), "GENERAL"))</f>
        <v/>
      </c>
      <c r="H192" s="2">
        <f>IF(B192="","",IFERROR(VLOOKUP(B192, PLANTA_BASE!A:R, 17, FALSE), "GENERAL"))</f>
        <v/>
      </c>
    </row>
    <row r="193" ht="20" customHeight="1">
      <c r="A193" s="5">
        <f>IF(B193="","",IFERROR(VLOOKUP(B193, PLANTA_BASE!A:R, 2, FALSE), "NO ENCONTRADO EN PLANTA"))</f>
        <v/>
      </c>
      <c r="B193" s="6" t="inlineStr"/>
      <c r="C193" s="7">
        <f>IF(B193="","",IFERROR(VLOOKUP(B193, PLANTA_BASE!A:R, 3, FALSE), ""))</f>
        <v/>
      </c>
      <c r="D193" s="5">
        <f>IF(B193="","",IFERROR(VLOOKUP(B193, PLANTA_BASE!A:R, 5, FALSE), "NO ENCONTRADO EN PLANTA"))</f>
        <v/>
      </c>
      <c r="E193" s="5">
        <f>IF(B193="","",IFERROR(VLOOKUP(B193, PLANTA_BASE!A:R, 6, FALSE), "NO ENCONTRADO EN PLANTA"))</f>
        <v/>
      </c>
      <c r="F193" s="7">
        <f>IF(B193="","",IFERROR(VLOOKUP(B193, PLANTA_BASE!A:R, 8, FALSE), "DOCENTE / FACILITADOR"))</f>
        <v/>
      </c>
      <c r="G193" s="7">
        <f>IF(B193="","",IFERROR(VLOOKUP(B193, PLANTA_BASE!A:R, 9, FALSE), "GENERAL"))</f>
        <v/>
      </c>
      <c r="H193" s="5">
        <f>IF(B193="","",IFERROR(VLOOKUP(B193, PLANTA_BASE!A:R, 17, FALSE), "GENERAL"))</f>
        <v/>
      </c>
    </row>
    <row r="194" ht="20" customHeight="1">
      <c r="A194" s="2">
        <f>IF(B194="","",IFERROR(VLOOKUP(B194, PLANTA_BASE!A:R, 2, FALSE), "NO ENCONTRADO EN PLANTA"))</f>
        <v/>
      </c>
      <c r="B194" s="3" t="inlineStr"/>
      <c r="C194" s="4">
        <f>IF(B194="","",IFERROR(VLOOKUP(B194, PLANTA_BASE!A:R, 3, FALSE), ""))</f>
        <v/>
      </c>
      <c r="D194" s="2">
        <f>IF(B194="","",IFERROR(VLOOKUP(B194, PLANTA_BASE!A:R, 5, FALSE), "NO ENCONTRADO EN PLANTA"))</f>
        <v/>
      </c>
      <c r="E194" s="2">
        <f>IF(B194="","",IFERROR(VLOOKUP(B194, PLANTA_BASE!A:R, 6, FALSE), "NO ENCONTRADO EN PLANTA"))</f>
        <v/>
      </c>
      <c r="F194" s="4">
        <f>IF(B194="","",IFERROR(VLOOKUP(B194, PLANTA_BASE!A:R, 8, FALSE), "DOCENTE / FACILITADOR"))</f>
        <v/>
      </c>
      <c r="G194" s="4">
        <f>IF(B194="","",IFERROR(VLOOKUP(B194, PLANTA_BASE!A:R, 9, FALSE), "GENERAL"))</f>
        <v/>
      </c>
      <c r="H194" s="2">
        <f>IF(B194="","",IFERROR(VLOOKUP(B194, PLANTA_BASE!A:R, 17, FALSE), "GENERAL"))</f>
        <v/>
      </c>
    </row>
    <row r="195" ht="20" customHeight="1">
      <c r="A195" s="5">
        <f>IF(B195="","",IFERROR(VLOOKUP(B195, PLANTA_BASE!A:R, 2, FALSE), "NO ENCONTRADO EN PLANTA"))</f>
        <v/>
      </c>
      <c r="B195" s="6" t="inlineStr"/>
      <c r="C195" s="7">
        <f>IF(B195="","",IFERROR(VLOOKUP(B195, PLANTA_BASE!A:R, 3, FALSE), ""))</f>
        <v/>
      </c>
      <c r="D195" s="5">
        <f>IF(B195="","",IFERROR(VLOOKUP(B195, PLANTA_BASE!A:R, 5, FALSE), "NO ENCONTRADO EN PLANTA"))</f>
        <v/>
      </c>
      <c r="E195" s="5">
        <f>IF(B195="","",IFERROR(VLOOKUP(B195, PLANTA_BASE!A:R, 6, FALSE), "NO ENCONTRADO EN PLANTA"))</f>
        <v/>
      </c>
      <c r="F195" s="7">
        <f>IF(B195="","",IFERROR(VLOOKUP(B195, PLANTA_BASE!A:R, 8, FALSE), "DOCENTE / FACILITADOR"))</f>
        <v/>
      </c>
      <c r="G195" s="7">
        <f>IF(B195="","",IFERROR(VLOOKUP(B195, PLANTA_BASE!A:R, 9, FALSE), "GENERAL"))</f>
        <v/>
      </c>
      <c r="H195" s="5">
        <f>IF(B195="","",IFERROR(VLOOKUP(B195, PLANTA_BASE!A:R, 17, FALSE), "GENERAL"))</f>
        <v/>
      </c>
    </row>
    <row r="196" ht="20" customHeight="1">
      <c r="A196" s="2">
        <f>IF(B196="","",IFERROR(VLOOKUP(B196, PLANTA_BASE!A:R, 2, FALSE), "NO ENCONTRADO EN PLANTA"))</f>
        <v/>
      </c>
      <c r="B196" s="3" t="inlineStr"/>
      <c r="C196" s="4">
        <f>IF(B196="","",IFERROR(VLOOKUP(B196, PLANTA_BASE!A:R, 3, FALSE), ""))</f>
        <v/>
      </c>
      <c r="D196" s="2">
        <f>IF(B196="","",IFERROR(VLOOKUP(B196, PLANTA_BASE!A:R, 5, FALSE), "NO ENCONTRADO EN PLANTA"))</f>
        <v/>
      </c>
      <c r="E196" s="2">
        <f>IF(B196="","",IFERROR(VLOOKUP(B196, PLANTA_BASE!A:R, 6, FALSE), "NO ENCONTRADO EN PLANTA"))</f>
        <v/>
      </c>
      <c r="F196" s="4">
        <f>IF(B196="","",IFERROR(VLOOKUP(B196, PLANTA_BASE!A:R, 8, FALSE), "DOCENTE / FACILITADOR"))</f>
        <v/>
      </c>
      <c r="G196" s="4">
        <f>IF(B196="","",IFERROR(VLOOKUP(B196, PLANTA_BASE!A:R, 9, FALSE), "GENERAL"))</f>
        <v/>
      </c>
      <c r="H196" s="2">
        <f>IF(B196="","",IFERROR(VLOOKUP(B196, PLANTA_BASE!A:R, 17, FALSE), "GENERAL"))</f>
        <v/>
      </c>
    </row>
    <row r="197" ht="20" customHeight="1">
      <c r="A197" s="5">
        <f>IF(B197="","",IFERROR(VLOOKUP(B197, PLANTA_BASE!A:R, 2, FALSE), "NO ENCONTRADO EN PLANTA"))</f>
        <v/>
      </c>
      <c r="B197" s="6" t="inlineStr"/>
      <c r="C197" s="7">
        <f>IF(B197="","",IFERROR(VLOOKUP(B197, PLANTA_BASE!A:R, 3, FALSE), ""))</f>
        <v/>
      </c>
      <c r="D197" s="5">
        <f>IF(B197="","",IFERROR(VLOOKUP(B197, PLANTA_BASE!A:R, 5, FALSE), "NO ENCONTRADO EN PLANTA"))</f>
        <v/>
      </c>
      <c r="E197" s="5">
        <f>IF(B197="","",IFERROR(VLOOKUP(B197, PLANTA_BASE!A:R, 6, FALSE), "NO ENCONTRADO EN PLANTA"))</f>
        <v/>
      </c>
      <c r="F197" s="7">
        <f>IF(B197="","",IFERROR(VLOOKUP(B197, PLANTA_BASE!A:R, 8, FALSE), "DOCENTE / FACILITADOR"))</f>
        <v/>
      </c>
      <c r="G197" s="7">
        <f>IF(B197="","",IFERROR(VLOOKUP(B197, PLANTA_BASE!A:R, 9, FALSE), "GENERAL"))</f>
        <v/>
      </c>
      <c r="H197" s="5">
        <f>IF(B197="","",IFERROR(VLOOKUP(B197, PLANTA_BASE!A:R, 17, FALSE), "GENERAL"))</f>
        <v/>
      </c>
    </row>
    <row r="198" ht="20" customHeight="1">
      <c r="A198" s="2">
        <f>IF(B198="","",IFERROR(VLOOKUP(B198, PLANTA_BASE!A:R, 2, FALSE), "NO ENCONTRADO EN PLANTA"))</f>
        <v/>
      </c>
      <c r="B198" s="3" t="inlineStr"/>
      <c r="C198" s="4">
        <f>IF(B198="","",IFERROR(VLOOKUP(B198, PLANTA_BASE!A:R, 3, FALSE), ""))</f>
        <v/>
      </c>
      <c r="D198" s="2">
        <f>IF(B198="","",IFERROR(VLOOKUP(B198, PLANTA_BASE!A:R, 5, FALSE), "NO ENCONTRADO EN PLANTA"))</f>
        <v/>
      </c>
      <c r="E198" s="2">
        <f>IF(B198="","",IFERROR(VLOOKUP(B198, PLANTA_BASE!A:R, 6, FALSE), "NO ENCONTRADO EN PLANTA"))</f>
        <v/>
      </c>
      <c r="F198" s="4">
        <f>IF(B198="","",IFERROR(VLOOKUP(B198, PLANTA_BASE!A:R, 8, FALSE), "DOCENTE / FACILITADOR"))</f>
        <v/>
      </c>
      <c r="G198" s="4">
        <f>IF(B198="","",IFERROR(VLOOKUP(B198, PLANTA_BASE!A:R, 9, FALSE), "GENERAL"))</f>
        <v/>
      </c>
      <c r="H198" s="2">
        <f>IF(B198="","",IFERROR(VLOOKUP(B198, PLANTA_BASE!A:R, 17, FALSE), "GENERAL"))</f>
        <v/>
      </c>
    </row>
    <row r="199" ht="20" customHeight="1">
      <c r="A199" s="5">
        <f>IF(B199="","",IFERROR(VLOOKUP(B199, PLANTA_BASE!A:R, 2, FALSE), "NO ENCONTRADO EN PLANTA"))</f>
        <v/>
      </c>
      <c r="B199" s="6" t="inlineStr"/>
      <c r="C199" s="7">
        <f>IF(B199="","",IFERROR(VLOOKUP(B199, PLANTA_BASE!A:R, 3, FALSE), ""))</f>
        <v/>
      </c>
      <c r="D199" s="5">
        <f>IF(B199="","",IFERROR(VLOOKUP(B199, PLANTA_BASE!A:R, 5, FALSE), "NO ENCONTRADO EN PLANTA"))</f>
        <v/>
      </c>
      <c r="E199" s="5">
        <f>IF(B199="","",IFERROR(VLOOKUP(B199, PLANTA_BASE!A:R, 6, FALSE), "NO ENCONTRADO EN PLANTA"))</f>
        <v/>
      </c>
      <c r="F199" s="7">
        <f>IF(B199="","",IFERROR(VLOOKUP(B199, PLANTA_BASE!A:R, 8, FALSE), "DOCENTE / FACILITADOR"))</f>
        <v/>
      </c>
      <c r="G199" s="7">
        <f>IF(B199="","",IFERROR(VLOOKUP(B199, PLANTA_BASE!A:R, 9, FALSE), "GENERAL"))</f>
        <v/>
      </c>
      <c r="H199" s="5">
        <f>IF(B199="","",IFERROR(VLOOKUP(B199, PLANTA_BASE!A:R, 17, FALSE), "GENERAL"))</f>
        <v/>
      </c>
    </row>
    <row r="200" ht="20" customHeight="1">
      <c r="A200" s="2">
        <f>IF(B200="","",IFERROR(VLOOKUP(B200, PLANTA_BASE!A:R, 2, FALSE), "NO ENCONTRADO EN PLANTA"))</f>
        <v/>
      </c>
      <c r="B200" s="3" t="inlineStr"/>
      <c r="C200" s="4">
        <f>IF(B200="","",IFERROR(VLOOKUP(B200, PLANTA_BASE!A:R, 3, FALSE), ""))</f>
        <v/>
      </c>
      <c r="D200" s="2">
        <f>IF(B200="","",IFERROR(VLOOKUP(B200, PLANTA_BASE!A:R, 5, FALSE), "NO ENCONTRADO EN PLANTA"))</f>
        <v/>
      </c>
      <c r="E200" s="2">
        <f>IF(B200="","",IFERROR(VLOOKUP(B200, PLANTA_BASE!A:R, 6, FALSE), "NO ENCONTRADO EN PLANTA"))</f>
        <v/>
      </c>
      <c r="F200" s="4">
        <f>IF(B200="","",IFERROR(VLOOKUP(B200, PLANTA_BASE!A:R, 8, FALSE), "DOCENTE / FACILITADOR"))</f>
        <v/>
      </c>
      <c r="G200" s="4">
        <f>IF(B200="","",IFERROR(VLOOKUP(B200, PLANTA_BASE!A:R, 9, FALSE), "GENERAL"))</f>
        <v/>
      </c>
      <c r="H200" s="2">
        <f>IF(B200="","",IFERROR(VLOOKUP(B200, PLANTA_BASE!A:R, 17, FALSE), "GENERAL"))</f>
        <v/>
      </c>
    </row>
    <row r="201" ht="20" customHeight="1">
      <c r="A201" s="5">
        <f>IF(B201="","",IFERROR(VLOOKUP(B201, PLANTA_BASE!A:R, 2, FALSE), "NO ENCONTRADO EN PLANTA"))</f>
        <v/>
      </c>
      <c r="B201" s="6" t="inlineStr"/>
      <c r="C201" s="7">
        <f>IF(B201="","",IFERROR(VLOOKUP(B201, PLANTA_BASE!A:R, 3, FALSE), ""))</f>
        <v/>
      </c>
      <c r="D201" s="5">
        <f>IF(B201="","",IFERROR(VLOOKUP(B201, PLANTA_BASE!A:R, 5, FALSE), "NO ENCONTRADO EN PLANTA"))</f>
        <v/>
      </c>
      <c r="E201" s="5">
        <f>IF(B201="","",IFERROR(VLOOKUP(B201, PLANTA_BASE!A:R, 6, FALSE), "NO ENCONTRADO EN PLANTA"))</f>
        <v/>
      </c>
      <c r="F201" s="7">
        <f>IF(B201="","",IFERROR(VLOOKUP(B201, PLANTA_BASE!A:R, 8, FALSE), "DOCENTE / FACILITADOR"))</f>
        <v/>
      </c>
      <c r="G201" s="7">
        <f>IF(B201="","",IFERROR(VLOOKUP(B201, PLANTA_BASE!A:R, 9, FALSE), "GENERAL"))</f>
        <v/>
      </c>
      <c r="H201" s="5">
        <f>IF(B201="","",IFERROR(VLOOKUP(B201, PLANTA_BASE!A:R, 17, FALSE), "GENERAL"))</f>
        <v/>
      </c>
    </row>
    <row r="202" ht="20" customHeight="1">
      <c r="A202" s="2">
        <f>IF(B202="","",IFERROR(VLOOKUP(B202, PLANTA_BASE!A:R, 2, FALSE), "NO ENCONTRADO EN PLANTA"))</f>
        <v/>
      </c>
      <c r="B202" s="3" t="inlineStr"/>
      <c r="C202" s="4">
        <f>IF(B202="","",IFERROR(VLOOKUP(B202, PLANTA_BASE!A:R, 3, FALSE), ""))</f>
        <v/>
      </c>
      <c r="D202" s="2">
        <f>IF(B202="","",IFERROR(VLOOKUP(B202, PLANTA_BASE!A:R, 5, FALSE), "NO ENCONTRADO EN PLANTA"))</f>
        <v/>
      </c>
      <c r="E202" s="2">
        <f>IF(B202="","",IFERROR(VLOOKUP(B202, PLANTA_BASE!A:R, 6, FALSE), "NO ENCONTRADO EN PLANTA"))</f>
        <v/>
      </c>
      <c r="F202" s="4">
        <f>IF(B202="","",IFERROR(VLOOKUP(B202, PLANTA_BASE!A:R, 8, FALSE), "DOCENTE / FACILITADOR"))</f>
        <v/>
      </c>
      <c r="G202" s="4">
        <f>IF(B202="","",IFERROR(VLOOKUP(B202, PLANTA_BASE!A:R, 9, FALSE), "GENERAL"))</f>
        <v/>
      </c>
      <c r="H202" s="2">
        <f>IF(B202="","",IFERROR(VLOOKUP(B202, PLANTA_BASE!A:R, 17, FALSE), "GENERAL"))</f>
        <v/>
      </c>
    </row>
    <row r="203" ht="20" customHeight="1">
      <c r="A203" s="5">
        <f>IF(B203="","",IFERROR(VLOOKUP(B203, PLANTA_BASE!A:R, 2, FALSE), "NO ENCONTRADO EN PLANTA"))</f>
        <v/>
      </c>
      <c r="B203" s="6" t="inlineStr"/>
      <c r="C203" s="7">
        <f>IF(B203="","",IFERROR(VLOOKUP(B203, PLANTA_BASE!A:R, 3, FALSE), ""))</f>
        <v/>
      </c>
      <c r="D203" s="5">
        <f>IF(B203="","",IFERROR(VLOOKUP(B203, PLANTA_BASE!A:R, 5, FALSE), "NO ENCONTRADO EN PLANTA"))</f>
        <v/>
      </c>
      <c r="E203" s="5">
        <f>IF(B203="","",IFERROR(VLOOKUP(B203, PLANTA_BASE!A:R, 6, FALSE), "NO ENCONTRADO EN PLANTA"))</f>
        <v/>
      </c>
      <c r="F203" s="7">
        <f>IF(B203="","",IFERROR(VLOOKUP(B203, PLANTA_BASE!A:R, 8, FALSE), "DOCENTE / FACILITADOR"))</f>
        <v/>
      </c>
      <c r="G203" s="7">
        <f>IF(B203="","",IFERROR(VLOOKUP(B203, PLANTA_BASE!A:R, 9, FALSE), "GENERAL"))</f>
        <v/>
      </c>
      <c r="H203" s="5">
        <f>IF(B203="","",IFERROR(VLOOKUP(B203, PLANTA_BASE!A:R, 17, FALSE), "GENERAL"))</f>
        <v/>
      </c>
    </row>
    <row r="204" ht="20" customHeight="1">
      <c r="A204" s="2">
        <f>IF(B204="","",IFERROR(VLOOKUP(B204, PLANTA_BASE!A:R, 2, FALSE), "NO ENCONTRADO EN PLANTA"))</f>
        <v/>
      </c>
      <c r="B204" s="3" t="inlineStr"/>
      <c r="C204" s="4">
        <f>IF(B204="","",IFERROR(VLOOKUP(B204, PLANTA_BASE!A:R, 3, FALSE), ""))</f>
        <v/>
      </c>
      <c r="D204" s="2">
        <f>IF(B204="","",IFERROR(VLOOKUP(B204, PLANTA_BASE!A:R, 5, FALSE), "NO ENCONTRADO EN PLANTA"))</f>
        <v/>
      </c>
      <c r="E204" s="2">
        <f>IF(B204="","",IFERROR(VLOOKUP(B204, PLANTA_BASE!A:R, 6, FALSE), "NO ENCONTRADO EN PLANTA"))</f>
        <v/>
      </c>
      <c r="F204" s="4">
        <f>IF(B204="","",IFERROR(VLOOKUP(B204, PLANTA_BASE!A:R, 8, FALSE), "DOCENTE / FACILITADOR"))</f>
        <v/>
      </c>
      <c r="G204" s="4">
        <f>IF(B204="","",IFERROR(VLOOKUP(B204, PLANTA_BASE!A:R, 9, FALSE), "GENERAL"))</f>
        <v/>
      </c>
      <c r="H204" s="2">
        <f>IF(B204="","",IFERROR(VLOOKUP(B204, PLANTA_BASE!A:R, 17, FALSE), "GENERAL"))</f>
        <v/>
      </c>
    </row>
    <row r="205" ht="20" customHeight="1">
      <c r="A205" s="5">
        <f>IF(B205="","",IFERROR(VLOOKUP(B205, PLANTA_BASE!A:R, 2, FALSE), "NO ENCONTRADO EN PLANTA"))</f>
        <v/>
      </c>
      <c r="B205" s="6" t="inlineStr"/>
      <c r="C205" s="7">
        <f>IF(B205="","",IFERROR(VLOOKUP(B205, PLANTA_BASE!A:R, 3, FALSE), ""))</f>
        <v/>
      </c>
      <c r="D205" s="5">
        <f>IF(B205="","",IFERROR(VLOOKUP(B205, PLANTA_BASE!A:R, 5, FALSE), "NO ENCONTRADO EN PLANTA"))</f>
        <v/>
      </c>
      <c r="E205" s="5">
        <f>IF(B205="","",IFERROR(VLOOKUP(B205, PLANTA_BASE!A:R, 6, FALSE), "NO ENCONTRADO EN PLANTA"))</f>
        <v/>
      </c>
      <c r="F205" s="7">
        <f>IF(B205="","",IFERROR(VLOOKUP(B205, PLANTA_BASE!A:R, 8, FALSE), "DOCENTE / FACILITADOR"))</f>
        <v/>
      </c>
      <c r="G205" s="7">
        <f>IF(B205="","",IFERROR(VLOOKUP(B205, PLANTA_BASE!A:R, 9, FALSE), "GENERAL"))</f>
        <v/>
      </c>
      <c r="H205" s="5">
        <f>IF(B205="","",IFERROR(VLOOKUP(B205, PLANTA_BASE!A:R, 17, FALSE), "GENERAL"))</f>
        <v/>
      </c>
    </row>
    <row r="206" ht="20" customHeight="1">
      <c r="A206" s="2">
        <f>IF(B206="","",IFERROR(VLOOKUP(B206, PLANTA_BASE!A:R, 2, FALSE), "NO ENCONTRADO EN PLANTA"))</f>
        <v/>
      </c>
      <c r="B206" s="3" t="inlineStr"/>
      <c r="C206" s="4">
        <f>IF(B206="","",IFERROR(VLOOKUP(B206, PLANTA_BASE!A:R, 3, FALSE), ""))</f>
        <v/>
      </c>
      <c r="D206" s="2">
        <f>IF(B206="","",IFERROR(VLOOKUP(B206, PLANTA_BASE!A:R, 5, FALSE), "NO ENCONTRADO EN PLANTA"))</f>
        <v/>
      </c>
      <c r="E206" s="2">
        <f>IF(B206="","",IFERROR(VLOOKUP(B206, PLANTA_BASE!A:R, 6, FALSE), "NO ENCONTRADO EN PLANTA"))</f>
        <v/>
      </c>
      <c r="F206" s="4">
        <f>IF(B206="","",IFERROR(VLOOKUP(B206, PLANTA_BASE!A:R, 8, FALSE), "DOCENTE / FACILITADOR"))</f>
        <v/>
      </c>
      <c r="G206" s="4">
        <f>IF(B206="","",IFERROR(VLOOKUP(B206, PLANTA_BASE!A:R, 9, FALSE), "GENERAL"))</f>
        <v/>
      </c>
      <c r="H206" s="2">
        <f>IF(B206="","",IFERROR(VLOOKUP(B206, PLANTA_BASE!A:R, 17, FALSE), "GENERAL"))</f>
        <v/>
      </c>
    </row>
    <row r="207" ht="20" customHeight="1">
      <c r="A207" s="5">
        <f>IF(B207="","",IFERROR(VLOOKUP(B207, PLANTA_BASE!A:R, 2, FALSE), "NO ENCONTRADO EN PLANTA"))</f>
        <v/>
      </c>
      <c r="B207" s="6" t="inlineStr"/>
      <c r="C207" s="7">
        <f>IF(B207="","",IFERROR(VLOOKUP(B207, PLANTA_BASE!A:R, 3, FALSE), ""))</f>
        <v/>
      </c>
      <c r="D207" s="5">
        <f>IF(B207="","",IFERROR(VLOOKUP(B207, PLANTA_BASE!A:R, 5, FALSE), "NO ENCONTRADO EN PLANTA"))</f>
        <v/>
      </c>
      <c r="E207" s="5">
        <f>IF(B207="","",IFERROR(VLOOKUP(B207, PLANTA_BASE!A:R, 6, FALSE), "NO ENCONTRADO EN PLANTA"))</f>
        <v/>
      </c>
      <c r="F207" s="7">
        <f>IF(B207="","",IFERROR(VLOOKUP(B207, PLANTA_BASE!A:R, 8, FALSE), "DOCENTE / FACILITADOR"))</f>
        <v/>
      </c>
      <c r="G207" s="7">
        <f>IF(B207="","",IFERROR(VLOOKUP(B207, PLANTA_BASE!A:R, 9, FALSE), "GENERAL"))</f>
        <v/>
      </c>
      <c r="H207" s="5">
        <f>IF(B207="","",IFERROR(VLOOKUP(B207, PLANTA_BASE!A:R, 17, FALSE), "GENERAL"))</f>
        <v/>
      </c>
    </row>
    <row r="208" ht="20" customHeight="1">
      <c r="A208" s="2">
        <f>IF(B208="","",IFERROR(VLOOKUP(B208, PLANTA_BASE!A:R, 2, FALSE), "NO ENCONTRADO EN PLANTA"))</f>
        <v/>
      </c>
      <c r="B208" s="3" t="inlineStr"/>
      <c r="C208" s="4">
        <f>IF(B208="","",IFERROR(VLOOKUP(B208, PLANTA_BASE!A:R, 3, FALSE), ""))</f>
        <v/>
      </c>
      <c r="D208" s="2">
        <f>IF(B208="","",IFERROR(VLOOKUP(B208, PLANTA_BASE!A:R, 5, FALSE), "NO ENCONTRADO EN PLANTA"))</f>
        <v/>
      </c>
      <c r="E208" s="2">
        <f>IF(B208="","",IFERROR(VLOOKUP(B208, PLANTA_BASE!A:R, 6, FALSE), "NO ENCONTRADO EN PLANTA"))</f>
        <v/>
      </c>
      <c r="F208" s="4">
        <f>IF(B208="","",IFERROR(VLOOKUP(B208, PLANTA_BASE!A:R, 8, FALSE), "DOCENTE / FACILITADOR"))</f>
        <v/>
      </c>
      <c r="G208" s="4">
        <f>IF(B208="","",IFERROR(VLOOKUP(B208, PLANTA_BASE!A:R, 9, FALSE), "GENERAL"))</f>
        <v/>
      </c>
      <c r="H208" s="2">
        <f>IF(B208="","",IFERROR(VLOOKUP(B208, PLANTA_BASE!A:R, 17, FALSE), "GENERAL"))</f>
        <v/>
      </c>
    </row>
    <row r="209" ht="20" customHeight="1">
      <c r="A209" s="5">
        <f>IF(B209="","",IFERROR(VLOOKUP(B209, PLANTA_BASE!A:R, 2, FALSE), "NO ENCONTRADO EN PLANTA"))</f>
        <v/>
      </c>
      <c r="B209" s="6" t="inlineStr"/>
      <c r="C209" s="7">
        <f>IF(B209="","",IFERROR(VLOOKUP(B209, PLANTA_BASE!A:R, 3, FALSE), ""))</f>
        <v/>
      </c>
      <c r="D209" s="5">
        <f>IF(B209="","",IFERROR(VLOOKUP(B209, PLANTA_BASE!A:R, 5, FALSE), "NO ENCONTRADO EN PLANTA"))</f>
        <v/>
      </c>
      <c r="E209" s="5">
        <f>IF(B209="","",IFERROR(VLOOKUP(B209, PLANTA_BASE!A:R, 6, FALSE), "NO ENCONTRADO EN PLANTA"))</f>
        <v/>
      </c>
      <c r="F209" s="7">
        <f>IF(B209="","",IFERROR(VLOOKUP(B209, PLANTA_BASE!A:R, 8, FALSE), "DOCENTE / FACILITADOR"))</f>
        <v/>
      </c>
      <c r="G209" s="7">
        <f>IF(B209="","",IFERROR(VLOOKUP(B209, PLANTA_BASE!A:R, 9, FALSE), "GENERAL"))</f>
        <v/>
      </c>
      <c r="H209" s="5">
        <f>IF(B209="","",IFERROR(VLOOKUP(B209, PLANTA_BASE!A:R, 17, FALSE), "GENERAL"))</f>
        <v/>
      </c>
    </row>
    <row r="210" ht="20" customHeight="1">
      <c r="A210" s="2">
        <f>IF(B210="","",IFERROR(VLOOKUP(B210, PLANTA_BASE!A:R, 2, FALSE), "NO ENCONTRADO EN PLANTA"))</f>
        <v/>
      </c>
      <c r="B210" s="3" t="inlineStr"/>
      <c r="C210" s="4">
        <f>IF(B210="","",IFERROR(VLOOKUP(B210, PLANTA_BASE!A:R, 3, FALSE), ""))</f>
        <v/>
      </c>
      <c r="D210" s="2">
        <f>IF(B210="","",IFERROR(VLOOKUP(B210, PLANTA_BASE!A:R, 5, FALSE), "NO ENCONTRADO EN PLANTA"))</f>
        <v/>
      </c>
      <c r="E210" s="2">
        <f>IF(B210="","",IFERROR(VLOOKUP(B210, PLANTA_BASE!A:R, 6, FALSE), "NO ENCONTRADO EN PLANTA"))</f>
        <v/>
      </c>
      <c r="F210" s="4">
        <f>IF(B210="","",IFERROR(VLOOKUP(B210, PLANTA_BASE!A:R, 8, FALSE), "DOCENTE / FACILITADOR"))</f>
        <v/>
      </c>
      <c r="G210" s="4">
        <f>IF(B210="","",IFERROR(VLOOKUP(B210, PLANTA_BASE!A:R, 9, FALSE), "GENERAL"))</f>
        <v/>
      </c>
      <c r="H210" s="2">
        <f>IF(B210="","",IFERROR(VLOOKUP(B210, PLANTA_BASE!A:R, 17, FALSE), "GENERAL"))</f>
        <v/>
      </c>
    </row>
    <row r="211" ht="20" customHeight="1">
      <c r="A211" s="5">
        <f>IF(B211="","",IFERROR(VLOOKUP(B211, PLANTA_BASE!A:R, 2, FALSE), "NO ENCONTRADO EN PLANTA"))</f>
        <v/>
      </c>
      <c r="B211" s="6" t="inlineStr"/>
      <c r="C211" s="7">
        <f>IF(B211="","",IFERROR(VLOOKUP(B211, PLANTA_BASE!A:R, 3, FALSE), ""))</f>
        <v/>
      </c>
      <c r="D211" s="5">
        <f>IF(B211="","",IFERROR(VLOOKUP(B211, PLANTA_BASE!A:R, 5, FALSE), "NO ENCONTRADO EN PLANTA"))</f>
        <v/>
      </c>
      <c r="E211" s="5">
        <f>IF(B211="","",IFERROR(VLOOKUP(B211, PLANTA_BASE!A:R, 6, FALSE), "NO ENCONTRADO EN PLANTA"))</f>
        <v/>
      </c>
      <c r="F211" s="7">
        <f>IF(B211="","",IFERROR(VLOOKUP(B211, PLANTA_BASE!A:R, 8, FALSE), "DOCENTE / FACILITADOR"))</f>
        <v/>
      </c>
      <c r="G211" s="7">
        <f>IF(B211="","",IFERROR(VLOOKUP(B211, PLANTA_BASE!A:R, 9, FALSE), "GENERAL"))</f>
        <v/>
      </c>
      <c r="H211" s="5">
        <f>IF(B211="","",IFERROR(VLOOKUP(B211, PLANTA_BASE!A:R, 17, FALSE), "GENERAL"))</f>
        <v/>
      </c>
    </row>
    <row r="212" ht="20" customHeight="1">
      <c r="A212" s="2">
        <f>IF(B212="","",IFERROR(VLOOKUP(B212, PLANTA_BASE!A:R, 2, FALSE), "NO ENCONTRADO EN PLANTA"))</f>
        <v/>
      </c>
      <c r="B212" s="3" t="inlineStr"/>
      <c r="C212" s="4">
        <f>IF(B212="","",IFERROR(VLOOKUP(B212, PLANTA_BASE!A:R, 3, FALSE), ""))</f>
        <v/>
      </c>
      <c r="D212" s="2">
        <f>IF(B212="","",IFERROR(VLOOKUP(B212, PLANTA_BASE!A:R, 5, FALSE), "NO ENCONTRADO EN PLANTA"))</f>
        <v/>
      </c>
      <c r="E212" s="2">
        <f>IF(B212="","",IFERROR(VLOOKUP(B212, PLANTA_BASE!A:R, 6, FALSE), "NO ENCONTRADO EN PLANTA"))</f>
        <v/>
      </c>
      <c r="F212" s="4">
        <f>IF(B212="","",IFERROR(VLOOKUP(B212, PLANTA_BASE!A:R, 8, FALSE), "DOCENTE / FACILITADOR"))</f>
        <v/>
      </c>
      <c r="G212" s="4">
        <f>IF(B212="","",IFERROR(VLOOKUP(B212, PLANTA_BASE!A:R, 9, FALSE), "GENERAL"))</f>
        <v/>
      </c>
      <c r="H212" s="2">
        <f>IF(B212="","",IFERROR(VLOOKUP(B212, PLANTA_BASE!A:R, 17, FALSE), "GENERAL"))</f>
        <v/>
      </c>
    </row>
    <row r="213" ht="20" customHeight="1">
      <c r="A213" s="5">
        <f>IF(B213="","",IFERROR(VLOOKUP(B213, PLANTA_BASE!A:R, 2, FALSE), "NO ENCONTRADO EN PLANTA"))</f>
        <v/>
      </c>
      <c r="B213" s="6" t="inlineStr"/>
      <c r="C213" s="7">
        <f>IF(B213="","",IFERROR(VLOOKUP(B213, PLANTA_BASE!A:R, 3, FALSE), ""))</f>
        <v/>
      </c>
      <c r="D213" s="5">
        <f>IF(B213="","",IFERROR(VLOOKUP(B213, PLANTA_BASE!A:R, 5, FALSE), "NO ENCONTRADO EN PLANTA"))</f>
        <v/>
      </c>
      <c r="E213" s="5">
        <f>IF(B213="","",IFERROR(VLOOKUP(B213, PLANTA_BASE!A:R, 6, FALSE), "NO ENCONTRADO EN PLANTA"))</f>
        <v/>
      </c>
      <c r="F213" s="7">
        <f>IF(B213="","",IFERROR(VLOOKUP(B213, PLANTA_BASE!A:R, 8, FALSE), "DOCENTE / FACILITADOR"))</f>
        <v/>
      </c>
      <c r="G213" s="7">
        <f>IF(B213="","",IFERROR(VLOOKUP(B213, PLANTA_BASE!A:R, 9, FALSE), "GENERAL"))</f>
        <v/>
      </c>
      <c r="H213" s="5">
        <f>IF(B213="","",IFERROR(VLOOKUP(B213, PLANTA_BASE!A:R, 17, FALSE), "GENERAL"))</f>
        <v/>
      </c>
    </row>
    <row r="214" ht="20" customHeight="1">
      <c r="A214" s="2">
        <f>IF(B214="","",IFERROR(VLOOKUP(B214, PLANTA_BASE!A:R, 2, FALSE), "NO ENCONTRADO EN PLANTA"))</f>
        <v/>
      </c>
      <c r="B214" s="3" t="inlineStr"/>
      <c r="C214" s="4">
        <f>IF(B214="","",IFERROR(VLOOKUP(B214, PLANTA_BASE!A:R, 3, FALSE), ""))</f>
        <v/>
      </c>
      <c r="D214" s="2">
        <f>IF(B214="","",IFERROR(VLOOKUP(B214, PLANTA_BASE!A:R, 5, FALSE), "NO ENCONTRADO EN PLANTA"))</f>
        <v/>
      </c>
      <c r="E214" s="2">
        <f>IF(B214="","",IFERROR(VLOOKUP(B214, PLANTA_BASE!A:R, 6, FALSE), "NO ENCONTRADO EN PLANTA"))</f>
        <v/>
      </c>
      <c r="F214" s="4">
        <f>IF(B214="","",IFERROR(VLOOKUP(B214, PLANTA_BASE!A:R, 8, FALSE), "DOCENTE / FACILITADOR"))</f>
        <v/>
      </c>
      <c r="G214" s="4">
        <f>IF(B214="","",IFERROR(VLOOKUP(B214, PLANTA_BASE!A:R, 9, FALSE), "GENERAL"))</f>
        <v/>
      </c>
      <c r="H214" s="2">
        <f>IF(B214="","",IFERROR(VLOOKUP(B214, PLANTA_BASE!A:R, 17, FALSE), "GENERAL"))</f>
        <v/>
      </c>
    </row>
    <row r="215" ht="20" customHeight="1">
      <c r="A215" s="5">
        <f>IF(B215="","",IFERROR(VLOOKUP(B215, PLANTA_BASE!A:R, 2, FALSE), "NO ENCONTRADO EN PLANTA"))</f>
        <v/>
      </c>
      <c r="B215" s="6" t="inlineStr"/>
      <c r="C215" s="7">
        <f>IF(B215="","",IFERROR(VLOOKUP(B215, PLANTA_BASE!A:R, 3, FALSE), ""))</f>
        <v/>
      </c>
      <c r="D215" s="5">
        <f>IF(B215="","",IFERROR(VLOOKUP(B215, PLANTA_BASE!A:R, 5, FALSE), "NO ENCONTRADO EN PLANTA"))</f>
        <v/>
      </c>
      <c r="E215" s="5">
        <f>IF(B215="","",IFERROR(VLOOKUP(B215, PLANTA_BASE!A:R, 6, FALSE), "NO ENCONTRADO EN PLANTA"))</f>
        <v/>
      </c>
      <c r="F215" s="7">
        <f>IF(B215="","",IFERROR(VLOOKUP(B215, PLANTA_BASE!A:R, 8, FALSE), "DOCENTE / FACILITADOR"))</f>
        <v/>
      </c>
      <c r="G215" s="7">
        <f>IF(B215="","",IFERROR(VLOOKUP(B215, PLANTA_BASE!A:R, 9, FALSE), "GENERAL"))</f>
        <v/>
      </c>
      <c r="H215" s="5">
        <f>IF(B215="","",IFERROR(VLOOKUP(B215, PLANTA_BASE!A:R, 17, FALSE), "GENERAL"))</f>
        <v/>
      </c>
    </row>
    <row r="216" ht="20" customHeight="1">
      <c r="A216" s="2">
        <f>IF(B216="","",IFERROR(VLOOKUP(B216, PLANTA_BASE!A:R, 2, FALSE), "NO ENCONTRADO EN PLANTA"))</f>
        <v/>
      </c>
      <c r="B216" s="3" t="inlineStr"/>
      <c r="C216" s="4">
        <f>IF(B216="","",IFERROR(VLOOKUP(B216, PLANTA_BASE!A:R, 3, FALSE), ""))</f>
        <v/>
      </c>
      <c r="D216" s="2">
        <f>IF(B216="","",IFERROR(VLOOKUP(B216, PLANTA_BASE!A:R, 5, FALSE), "NO ENCONTRADO EN PLANTA"))</f>
        <v/>
      </c>
      <c r="E216" s="2">
        <f>IF(B216="","",IFERROR(VLOOKUP(B216, PLANTA_BASE!A:R, 6, FALSE), "NO ENCONTRADO EN PLANTA"))</f>
        <v/>
      </c>
      <c r="F216" s="4">
        <f>IF(B216="","",IFERROR(VLOOKUP(B216, PLANTA_BASE!A:R, 8, FALSE), "DOCENTE / FACILITADOR"))</f>
        <v/>
      </c>
      <c r="G216" s="4">
        <f>IF(B216="","",IFERROR(VLOOKUP(B216, PLANTA_BASE!A:R, 9, FALSE), "GENERAL"))</f>
        <v/>
      </c>
      <c r="H216" s="2">
        <f>IF(B216="","",IFERROR(VLOOKUP(B216, PLANTA_BASE!A:R, 17, FALSE), "GENERAL"))</f>
        <v/>
      </c>
    </row>
    <row r="217" ht="20" customHeight="1">
      <c r="A217" s="5">
        <f>IF(B217="","",IFERROR(VLOOKUP(B217, PLANTA_BASE!A:R, 2, FALSE), "NO ENCONTRADO EN PLANTA"))</f>
        <v/>
      </c>
      <c r="B217" s="6" t="inlineStr"/>
      <c r="C217" s="7">
        <f>IF(B217="","",IFERROR(VLOOKUP(B217, PLANTA_BASE!A:R, 3, FALSE), ""))</f>
        <v/>
      </c>
      <c r="D217" s="5">
        <f>IF(B217="","",IFERROR(VLOOKUP(B217, PLANTA_BASE!A:R, 5, FALSE), "NO ENCONTRADO EN PLANTA"))</f>
        <v/>
      </c>
      <c r="E217" s="5">
        <f>IF(B217="","",IFERROR(VLOOKUP(B217, PLANTA_BASE!A:R, 6, FALSE), "NO ENCONTRADO EN PLANTA"))</f>
        <v/>
      </c>
      <c r="F217" s="7">
        <f>IF(B217="","",IFERROR(VLOOKUP(B217, PLANTA_BASE!A:R, 8, FALSE), "DOCENTE / FACILITADOR"))</f>
        <v/>
      </c>
      <c r="G217" s="7">
        <f>IF(B217="","",IFERROR(VLOOKUP(B217, PLANTA_BASE!A:R, 9, FALSE), "GENERAL"))</f>
        <v/>
      </c>
      <c r="H217" s="5">
        <f>IF(B217="","",IFERROR(VLOOKUP(B217, PLANTA_BASE!A:R, 17, FALSE), "GENERAL"))</f>
        <v/>
      </c>
    </row>
    <row r="218" ht="20" customHeight="1">
      <c r="A218" s="2">
        <f>IF(B218="","",IFERROR(VLOOKUP(B218, PLANTA_BASE!A:R, 2, FALSE), "NO ENCONTRADO EN PLANTA"))</f>
        <v/>
      </c>
      <c r="B218" s="3" t="inlineStr"/>
      <c r="C218" s="4">
        <f>IF(B218="","",IFERROR(VLOOKUP(B218, PLANTA_BASE!A:R, 3, FALSE), ""))</f>
        <v/>
      </c>
      <c r="D218" s="2">
        <f>IF(B218="","",IFERROR(VLOOKUP(B218, PLANTA_BASE!A:R, 5, FALSE), "NO ENCONTRADO EN PLANTA"))</f>
        <v/>
      </c>
      <c r="E218" s="2">
        <f>IF(B218="","",IFERROR(VLOOKUP(B218, PLANTA_BASE!A:R, 6, FALSE), "NO ENCONTRADO EN PLANTA"))</f>
        <v/>
      </c>
      <c r="F218" s="4">
        <f>IF(B218="","",IFERROR(VLOOKUP(B218, PLANTA_BASE!A:R, 8, FALSE), "DOCENTE / FACILITADOR"))</f>
        <v/>
      </c>
      <c r="G218" s="4">
        <f>IF(B218="","",IFERROR(VLOOKUP(B218, PLANTA_BASE!A:R, 9, FALSE), "GENERAL"))</f>
        <v/>
      </c>
      <c r="H218" s="2">
        <f>IF(B218="","",IFERROR(VLOOKUP(B218, PLANTA_BASE!A:R, 17, FALSE), "GENERAL"))</f>
        <v/>
      </c>
    </row>
    <row r="219" ht="20" customHeight="1">
      <c r="A219" s="5">
        <f>IF(B219="","",IFERROR(VLOOKUP(B219, PLANTA_BASE!A:R, 2, FALSE), "NO ENCONTRADO EN PLANTA"))</f>
        <v/>
      </c>
      <c r="B219" s="6" t="inlineStr"/>
      <c r="C219" s="7">
        <f>IF(B219="","",IFERROR(VLOOKUP(B219, PLANTA_BASE!A:R, 3, FALSE), ""))</f>
        <v/>
      </c>
      <c r="D219" s="5">
        <f>IF(B219="","",IFERROR(VLOOKUP(B219, PLANTA_BASE!A:R, 5, FALSE), "NO ENCONTRADO EN PLANTA"))</f>
        <v/>
      </c>
      <c r="E219" s="5">
        <f>IF(B219="","",IFERROR(VLOOKUP(B219, PLANTA_BASE!A:R, 6, FALSE), "NO ENCONTRADO EN PLANTA"))</f>
        <v/>
      </c>
      <c r="F219" s="7">
        <f>IF(B219="","",IFERROR(VLOOKUP(B219, PLANTA_BASE!A:R, 8, FALSE), "DOCENTE / FACILITADOR"))</f>
        <v/>
      </c>
      <c r="G219" s="7">
        <f>IF(B219="","",IFERROR(VLOOKUP(B219, PLANTA_BASE!A:R, 9, FALSE), "GENERAL"))</f>
        <v/>
      </c>
      <c r="H219" s="5">
        <f>IF(B219="","",IFERROR(VLOOKUP(B219, PLANTA_BASE!A:R, 17, FALSE), "GENERAL"))</f>
        <v/>
      </c>
    </row>
    <row r="220" ht="20" customHeight="1">
      <c r="A220" s="2">
        <f>IF(B220="","",IFERROR(VLOOKUP(B220, PLANTA_BASE!A:R, 2, FALSE), "NO ENCONTRADO EN PLANTA"))</f>
        <v/>
      </c>
      <c r="B220" s="3" t="inlineStr"/>
      <c r="C220" s="4">
        <f>IF(B220="","",IFERROR(VLOOKUP(B220, PLANTA_BASE!A:R, 3, FALSE), ""))</f>
        <v/>
      </c>
      <c r="D220" s="2">
        <f>IF(B220="","",IFERROR(VLOOKUP(B220, PLANTA_BASE!A:R, 5, FALSE), "NO ENCONTRADO EN PLANTA"))</f>
        <v/>
      </c>
      <c r="E220" s="2">
        <f>IF(B220="","",IFERROR(VLOOKUP(B220, PLANTA_BASE!A:R, 6, FALSE), "NO ENCONTRADO EN PLANTA"))</f>
        <v/>
      </c>
      <c r="F220" s="4">
        <f>IF(B220="","",IFERROR(VLOOKUP(B220, PLANTA_BASE!A:R, 8, FALSE), "DOCENTE / FACILITADOR"))</f>
        <v/>
      </c>
      <c r="G220" s="4">
        <f>IF(B220="","",IFERROR(VLOOKUP(B220, PLANTA_BASE!A:R, 9, FALSE), "GENERAL"))</f>
        <v/>
      </c>
      <c r="H220" s="2">
        <f>IF(B220="","",IFERROR(VLOOKUP(B220, PLANTA_BASE!A:R, 17, FALSE), "GENERAL"))</f>
        <v/>
      </c>
    </row>
    <row r="221" ht="20" customHeight="1">
      <c r="A221" s="5">
        <f>IF(B221="","",IFERROR(VLOOKUP(B221, PLANTA_BASE!A:R, 2, FALSE), "NO ENCONTRADO EN PLANTA"))</f>
        <v/>
      </c>
      <c r="B221" s="6" t="inlineStr"/>
      <c r="C221" s="7">
        <f>IF(B221="","",IFERROR(VLOOKUP(B221, PLANTA_BASE!A:R, 3, FALSE), ""))</f>
        <v/>
      </c>
      <c r="D221" s="5">
        <f>IF(B221="","",IFERROR(VLOOKUP(B221, PLANTA_BASE!A:R, 5, FALSE), "NO ENCONTRADO EN PLANTA"))</f>
        <v/>
      </c>
      <c r="E221" s="5">
        <f>IF(B221="","",IFERROR(VLOOKUP(B221, PLANTA_BASE!A:R, 6, FALSE), "NO ENCONTRADO EN PLANTA"))</f>
        <v/>
      </c>
      <c r="F221" s="7">
        <f>IF(B221="","",IFERROR(VLOOKUP(B221, PLANTA_BASE!A:R, 8, FALSE), "DOCENTE / FACILITADOR"))</f>
        <v/>
      </c>
      <c r="G221" s="7">
        <f>IF(B221="","",IFERROR(VLOOKUP(B221, PLANTA_BASE!A:R, 9, FALSE), "GENERAL"))</f>
        <v/>
      </c>
      <c r="H221" s="5">
        <f>IF(B221="","",IFERROR(VLOOKUP(B221, PLANTA_BASE!A:R, 17, FALSE), "GENERAL"))</f>
        <v/>
      </c>
    </row>
    <row r="222" ht="20" customHeight="1">
      <c r="A222" s="2">
        <f>IF(B222="","",IFERROR(VLOOKUP(B222, PLANTA_BASE!A:R, 2, FALSE), "NO ENCONTRADO EN PLANTA"))</f>
        <v/>
      </c>
      <c r="B222" s="3" t="inlineStr"/>
      <c r="C222" s="4">
        <f>IF(B222="","",IFERROR(VLOOKUP(B222, PLANTA_BASE!A:R, 3, FALSE), ""))</f>
        <v/>
      </c>
      <c r="D222" s="2">
        <f>IF(B222="","",IFERROR(VLOOKUP(B222, PLANTA_BASE!A:R, 5, FALSE), "NO ENCONTRADO EN PLANTA"))</f>
        <v/>
      </c>
      <c r="E222" s="2">
        <f>IF(B222="","",IFERROR(VLOOKUP(B222, PLANTA_BASE!A:R, 6, FALSE), "NO ENCONTRADO EN PLANTA"))</f>
        <v/>
      </c>
      <c r="F222" s="4">
        <f>IF(B222="","",IFERROR(VLOOKUP(B222, PLANTA_BASE!A:R, 8, FALSE), "DOCENTE / FACILITADOR"))</f>
        <v/>
      </c>
      <c r="G222" s="4">
        <f>IF(B222="","",IFERROR(VLOOKUP(B222, PLANTA_BASE!A:R, 9, FALSE), "GENERAL"))</f>
        <v/>
      </c>
      <c r="H222" s="2">
        <f>IF(B222="","",IFERROR(VLOOKUP(B222, PLANTA_BASE!A:R, 17, FALSE), "GENERAL"))</f>
        <v/>
      </c>
    </row>
    <row r="223" ht="20" customHeight="1">
      <c r="A223" s="5">
        <f>IF(B223="","",IFERROR(VLOOKUP(B223, PLANTA_BASE!A:R, 2, FALSE), "NO ENCONTRADO EN PLANTA"))</f>
        <v/>
      </c>
      <c r="B223" s="6" t="inlineStr"/>
      <c r="C223" s="7">
        <f>IF(B223="","",IFERROR(VLOOKUP(B223, PLANTA_BASE!A:R, 3, FALSE), ""))</f>
        <v/>
      </c>
      <c r="D223" s="5">
        <f>IF(B223="","",IFERROR(VLOOKUP(B223, PLANTA_BASE!A:R, 5, FALSE), "NO ENCONTRADO EN PLANTA"))</f>
        <v/>
      </c>
      <c r="E223" s="5">
        <f>IF(B223="","",IFERROR(VLOOKUP(B223, PLANTA_BASE!A:R, 6, FALSE), "NO ENCONTRADO EN PLANTA"))</f>
        <v/>
      </c>
      <c r="F223" s="7">
        <f>IF(B223="","",IFERROR(VLOOKUP(B223, PLANTA_BASE!A:R, 8, FALSE), "DOCENTE / FACILITADOR"))</f>
        <v/>
      </c>
      <c r="G223" s="7">
        <f>IF(B223="","",IFERROR(VLOOKUP(B223, PLANTA_BASE!A:R, 9, FALSE), "GENERAL"))</f>
        <v/>
      </c>
      <c r="H223" s="5">
        <f>IF(B223="","",IFERROR(VLOOKUP(B223, PLANTA_BASE!A:R, 17, FALSE), "GENERAL"))</f>
        <v/>
      </c>
    </row>
    <row r="224" ht="20" customHeight="1">
      <c r="A224" s="2">
        <f>IF(B224="","",IFERROR(VLOOKUP(B224, PLANTA_BASE!A:R, 2, FALSE), "NO ENCONTRADO EN PLANTA"))</f>
        <v/>
      </c>
      <c r="B224" s="3" t="inlineStr"/>
      <c r="C224" s="4">
        <f>IF(B224="","",IFERROR(VLOOKUP(B224, PLANTA_BASE!A:R, 3, FALSE), ""))</f>
        <v/>
      </c>
      <c r="D224" s="2">
        <f>IF(B224="","",IFERROR(VLOOKUP(B224, PLANTA_BASE!A:R, 5, FALSE), "NO ENCONTRADO EN PLANTA"))</f>
        <v/>
      </c>
      <c r="E224" s="2">
        <f>IF(B224="","",IFERROR(VLOOKUP(B224, PLANTA_BASE!A:R, 6, FALSE), "NO ENCONTRADO EN PLANTA"))</f>
        <v/>
      </c>
      <c r="F224" s="4">
        <f>IF(B224="","",IFERROR(VLOOKUP(B224, PLANTA_BASE!A:R, 8, FALSE), "DOCENTE / FACILITADOR"))</f>
        <v/>
      </c>
      <c r="G224" s="4">
        <f>IF(B224="","",IFERROR(VLOOKUP(B224, PLANTA_BASE!A:R, 9, FALSE), "GENERAL"))</f>
        <v/>
      </c>
      <c r="H224" s="2">
        <f>IF(B224="","",IFERROR(VLOOKUP(B224, PLANTA_BASE!A:R, 17, FALSE), "GENERAL"))</f>
        <v/>
      </c>
    </row>
    <row r="225" ht="20" customHeight="1">
      <c r="A225" s="5">
        <f>IF(B225="","",IFERROR(VLOOKUP(B225, PLANTA_BASE!A:R, 2, FALSE), "NO ENCONTRADO EN PLANTA"))</f>
        <v/>
      </c>
      <c r="B225" s="6" t="inlineStr"/>
      <c r="C225" s="7">
        <f>IF(B225="","",IFERROR(VLOOKUP(B225, PLANTA_BASE!A:R, 3, FALSE), ""))</f>
        <v/>
      </c>
      <c r="D225" s="5">
        <f>IF(B225="","",IFERROR(VLOOKUP(B225, PLANTA_BASE!A:R, 5, FALSE), "NO ENCONTRADO EN PLANTA"))</f>
        <v/>
      </c>
      <c r="E225" s="5">
        <f>IF(B225="","",IFERROR(VLOOKUP(B225, PLANTA_BASE!A:R, 6, FALSE), "NO ENCONTRADO EN PLANTA"))</f>
        <v/>
      </c>
      <c r="F225" s="7">
        <f>IF(B225="","",IFERROR(VLOOKUP(B225, PLANTA_BASE!A:R, 8, FALSE), "DOCENTE / FACILITADOR"))</f>
        <v/>
      </c>
      <c r="G225" s="7">
        <f>IF(B225="","",IFERROR(VLOOKUP(B225, PLANTA_BASE!A:R, 9, FALSE), "GENERAL"))</f>
        <v/>
      </c>
      <c r="H225" s="5">
        <f>IF(B225="","",IFERROR(VLOOKUP(B225, PLANTA_BASE!A:R, 17, FALSE), "GENERAL"))</f>
        <v/>
      </c>
    </row>
    <row r="226" ht="20" customHeight="1">
      <c r="A226" s="2">
        <f>IF(B226="","",IFERROR(VLOOKUP(B226, PLANTA_BASE!A:R, 2, FALSE), "NO ENCONTRADO EN PLANTA"))</f>
        <v/>
      </c>
      <c r="B226" s="3" t="inlineStr"/>
      <c r="C226" s="4">
        <f>IF(B226="","",IFERROR(VLOOKUP(B226, PLANTA_BASE!A:R, 3, FALSE), ""))</f>
        <v/>
      </c>
      <c r="D226" s="2">
        <f>IF(B226="","",IFERROR(VLOOKUP(B226, PLANTA_BASE!A:R, 5, FALSE), "NO ENCONTRADO EN PLANTA"))</f>
        <v/>
      </c>
      <c r="E226" s="2">
        <f>IF(B226="","",IFERROR(VLOOKUP(B226, PLANTA_BASE!A:R, 6, FALSE), "NO ENCONTRADO EN PLANTA"))</f>
        <v/>
      </c>
      <c r="F226" s="4">
        <f>IF(B226="","",IFERROR(VLOOKUP(B226, PLANTA_BASE!A:R, 8, FALSE), "DOCENTE / FACILITADOR"))</f>
        <v/>
      </c>
      <c r="G226" s="4">
        <f>IF(B226="","",IFERROR(VLOOKUP(B226, PLANTA_BASE!A:R, 9, FALSE), "GENERAL"))</f>
        <v/>
      </c>
      <c r="H226" s="2">
        <f>IF(B226="","",IFERROR(VLOOKUP(B226, PLANTA_BASE!A:R, 17, FALSE), "GENERAL"))</f>
        <v/>
      </c>
    </row>
    <row r="227" ht="20" customHeight="1">
      <c r="A227" s="5">
        <f>IF(B227="","",IFERROR(VLOOKUP(B227, PLANTA_BASE!A:R, 2, FALSE), "NO ENCONTRADO EN PLANTA"))</f>
        <v/>
      </c>
      <c r="B227" s="6" t="inlineStr"/>
      <c r="C227" s="7">
        <f>IF(B227="","",IFERROR(VLOOKUP(B227, PLANTA_BASE!A:R, 3, FALSE), ""))</f>
        <v/>
      </c>
      <c r="D227" s="5">
        <f>IF(B227="","",IFERROR(VLOOKUP(B227, PLANTA_BASE!A:R, 5, FALSE), "NO ENCONTRADO EN PLANTA"))</f>
        <v/>
      </c>
      <c r="E227" s="5">
        <f>IF(B227="","",IFERROR(VLOOKUP(B227, PLANTA_BASE!A:R, 6, FALSE), "NO ENCONTRADO EN PLANTA"))</f>
        <v/>
      </c>
      <c r="F227" s="7">
        <f>IF(B227="","",IFERROR(VLOOKUP(B227, PLANTA_BASE!A:R, 8, FALSE), "DOCENTE / FACILITADOR"))</f>
        <v/>
      </c>
      <c r="G227" s="7">
        <f>IF(B227="","",IFERROR(VLOOKUP(B227, PLANTA_BASE!A:R, 9, FALSE), "GENERAL"))</f>
        <v/>
      </c>
      <c r="H227" s="5">
        <f>IF(B227="","",IFERROR(VLOOKUP(B227, PLANTA_BASE!A:R, 17, FALSE), "GENERAL"))</f>
        <v/>
      </c>
    </row>
    <row r="228" ht="20" customHeight="1">
      <c r="A228" s="2">
        <f>IF(B228="","",IFERROR(VLOOKUP(B228, PLANTA_BASE!A:R, 2, FALSE), "NO ENCONTRADO EN PLANTA"))</f>
        <v/>
      </c>
      <c r="B228" s="3" t="inlineStr"/>
      <c r="C228" s="4">
        <f>IF(B228="","",IFERROR(VLOOKUP(B228, PLANTA_BASE!A:R, 3, FALSE), ""))</f>
        <v/>
      </c>
      <c r="D228" s="2">
        <f>IF(B228="","",IFERROR(VLOOKUP(B228, PLANTA_BASE!A:R, 5, FALSE), "NO ENCONTRADO EN PLANTA"))</f>
        <v/>
      </c>
      <c r="E228" s="2">
        <f>IF(B228="","",IFERROR(VLOOKUP(B228, PLANTA_BASE!A:R, 6, FALSE), "NO ENCONTRADO EN PLANTA"))</f>
        <v/>
      </c>
      <c r="F228" s="4">
        <f>IF(B228="","",IFERROR(VLOOKUP(B228, PLANTA_BASE!A:R, 8, FALSE), "DOCENTE / FACILITADOR"))</f>
        <v/>
      </c>
      <c r="G228" s="4">
        <f>IF(B228="","",IFERROR(VLOOKUP(B228, PLANTA_BASE!A:R, 9, FALSE), "GENERAL"))</f>
        <v/>
      </c>
      <c r="H228" s="2">
        <f>IF(B228="","",IFERROR(VLOOKUP(B228, PLANTA_BASE!A:R, 17, FALSE), "GENERAL"))</f>
        <v/>
      </c>
    </row>
    <row r="229" ht="20" customHeight="1">
      <c r="A229" s="5">
        <f>IF(B229="","",IFERROR(VLOOKUP(B229, PLANTA_BASE!A:R, 2, FALSE), "NO ENCONTRADO EN PLANTA"))</f>
        <v/>
      </c>
      <c r="B229" s="6" t="inlineStr"/>
      <c r="C229" s="7">
        <f>IF(B229="","",IFERROR(VLOOKUP(B229, PLANTA_BASE!A:R, 3, FALSE), ""))</f>
        <v/>
      </c>
      <c r="D229" s="5">
        <f>IF(B229="","",IFERROR(VLOOKUP(B229, PLANTA_BASE!A:R, 5, FALSE), "NO ENCONTRADO EN PLANTA"))</f>
        <v/>
      </c>
      <c r="E229" s="5">
        <f>IF(B229="","",IFERROR(VLOOKUP(B229, PLANTA_BASE!A:R, 6, FALSE), "NO ENCONTRADO EN PLANTA"))</f>
        <v/>
      </c>
      <c r="F229" s="7">
        <f>IF(B229="","",IFERROR(VLOOKUP(B229, PLANTA_BASE!A:R, 8, FALSE), "DOCENTE / FACILITADOR"))</f>
        <v/>
      </c>
      <c r="G229" s="7">
        <f>IF(B229="","",IFERROR(VLOOKUP(B229, PLANTA_BASE!A:R, 9, FALSE), "GENERAL"))</f>
        <v/>
      </c>
      <c r="H229" s="5">
        <f>IF(B229="","",IFERROR(VLOOKUP(B229, PLANTA_BASE!A:R, 17, FALSE), "GENERAL"))</f>
        <v/>
      </c>
    </row>
    <row r="230" ht="20" customHeight="1">
      <c r="A230" s="2">
        <f>IF(B230="","",IFERROR(VLOOKUP(B230, PLANTA_BASE!A:R, 2, FALSE), "NO ENCONTRADO EN PLANTA"))</f>
        <v/>
      </c>
      <c r="B230" s="3" t="inlineStr"/>
      <c r="C230" s="4">
        <f>IF(B230="","",IFERROR(VLOOKUP(B230, PLANTA_BASE!A:R, 3, FALSE), ""))</f>
        <v/>
      </c>
      <c r="D230" s="2">
        <f>IF(B230="","",IFERROR(VLOOKUP(B230, PLANTA_BASE!A:R, 5, FALSE), "NO ENCONTRADO EN PLANTA"))</f>
        <v/>
      </c>
      <c r="E230" s="2">
        <f>IF(B230="","",IFERROR(VLOOKUP(B230, PLANTA_BASE!A:R, 6, FALSE), "NO ENCONTRADO EN PLANTA"))</f>
        <v/>
      </c>
      <c r="F230" s="4">
        <f>IF(B230="","",IFERROR(VLOOKUP(B230, PLANTA_BASE!A:R, 8, FALSE), "DOCENTE / FACILITADOR"))</f>
        <v/>
      </c>
      <c r="G230" s="4">
        <f>IF(B230="","",IFERROR(VLOOKUP(B230, PLANTA_BASE!A:R, 9, FALSE), "GENERAL"))</f>
        <v/>
      </c>
      <c r="H230" s="2">
        <f>IF(B230="","",IFERROR(VLOOKUP(B230, PLANTA_BASE!A:R, 17, FALSE), "GENERAL"))</f>
        <v/>
      </c>
    </row>
    <row r="231" ht="20" customHeight="1">
      <c r="A231" s="5">
        <f>IF(B231="","",IFERROR(VLOOKUP(B231, PLANTA_BASE!A:R, 2, FALSE), "NO ENCONTRADO EN PLANTA"))</f>
        <v/>
      </c>
      <c r="B231" s="6" t="inlineStr"/>
      <c r="C231" s="7">
        <f>IF(B231="","",IFERROR(VLOOKUP(B231, PLANTA_BASE!A:R, 3, FALSE), ""))</f>
        <v/>
      </c>
      <c r="D231" s="5">
        <f>IF(B231="","",IFERROR(VLOOKUP(B231, PLANTA_BASE!A:R, 5, FALSE), "NO ENCONTRADO EN PLANTA"))</f>
        <v/>
      </c>
      <c r="E231" s="5">
        <f>IF(B231="","",IFERROR(VLOOKUP(B231, PLANTA_BASE!A:R, 6, FALSE), "NO ENCONTRADO EN PLANTA"))</f>
        <v/>
      </c>
      <c r="F231" s="7">
        <f>IF(B231="","",IFERROR(VLOOKUP(B231, PLANTA_BASE!A:R, 8, FALSE), "DOCENTE / FACILITADOR"))</f>
        <v/>
      </c>
      <c r="G231" s="7">
        <f>IF(B231="","",IFERROR(VLOOKUP(B231, PLANTA_BASE!A:R, 9, FALSE), "GENERAL"))</f>
        <v/>
      </c>
      <c r="H231" s="5">
        <f>IF(B231="","",IFERROR(VLOOKUP(B231, PLANTA_BASE!A:R, 17, FALSE), "GENERAL"))</f>
        <v/>
      </c>
    </row>
    <row r="232" ht="20" customHeight="1">
      <c r="A232" s="2">
        <f>IF(B232="","",IFERROR(VLOOKUP(B232, PLANTA_BASE!A:R, 2, FALSE), "NO ENCONTRADO EN PLANTA"))</f>
        <v/>
      </c>
      <c r="B232" s="3" t="inlineStr"/>
      <c r="C232" s="4">
        <f>IF(B232="","",IFERROR(VLOOKUP(B232, PLANTA_BASE!A:R, 3, FALSE), ""))</f>
        <v/>
      </c>
      <c r="D232" s="2">
        <f>IF(B232="","",IFERROR(VLOOKUP(B232, PLANTA_BASE!A:R, 5, FALSE), "NO ENCONTRADO EN PLANTA"))</f>
        <v/>
      </c>
      <c r="E232" s="2">
        <f>IF(B232="","",IFERROR(VLOOKUP(B232, PLANTA_BASE!A:R, 6, FALSE), "NO ENCONTRADO EN PLANTA"))</f>
        <v/>
      </c>
      <c r="F232" s="4">
        <f>IF(B232="","",IFERROR(VLOOKUP(B232, PLANTA_BASE!A:R, 8, FALSE), "DOCENTE / FACILITADOR"))</f>
        <v/>
      </c>
      <c r="G232" s="4">
        <f>IF(B232="","",IFERROR(VLOOKUP(B232, PLANTA_BASE!A:R, 9, FALSE), "GENERAL"))</f>
        <v/>
      </c>
      <c r="H232" s="2">
        <f>IF(B232="","",IFERROR(VLOOKUP(B232, PLANTA_BASE!A:R, 17, FALSE), "GENERAL"))</f>
        <v/>
      </c>
    </row>
    <row r="233" ht="20" customHeight="1">
      <c r="A233" s="5">
        <f>IF(B233="","",IFERROR(VLOOKUP(B233, PLANTA_BASE!A:R, 2, FALSE), "NO ENCONTRADO EN PLANTA"))</f>
        <v/>
      </c>
      <c r="B233" s="6" t="inlineStr"/>
      <c r="C233" s="7">
        <f>IF(B233="","",IFERROR(VLOOKUP(B233, PLANTA_BASE!A:R, 3, FALSE), ""))</f>
        <v/>
      </c>
      <c r="D233" s="5">
        <f>IF(B233="","",IFERROR(VLOOKUP(B233, PLANTA_BASE!A:R, 5, FALSE), "NO ENCONTRADO EN PLANTA"))</f>
        <v/>
      </c>
      <c r="E233" s="5">
        <f>IF(B233="","",IFERROR(VLOOKUP(B233, PLANTA_BASE!A:R, 6, FALSE), "NO ENCONTRADO EN PLANTA"))</f>
        <v/>
      </c>
      <c r="F233" s="7">
        <f>IF(B233="","",IFERROR(VLOOKUP(B233, PLANTA_BASE!A:R, 8, FALSE), "DOCENTE / FACILITADOR"))</f>
        <v/>
      </c>
      <c r="G233" s="7">
        <f>IF(B233="","",IFERROR(VLOOKUP(B233, PLANTA_BASE!A:R, 9, FALSE), "GENERAL"))</f>
        <v/>
      </c>
      <c r="H233" s="5">
        <f>IF(B233="","",IFERROR(VLOOKUP(B233, PLANTA_BASE!A:R, 17, FALSE), "GENERAL"))</f>
        <v/>
      </c>
    </row>
    <row r="234" ht="20" customHeight="1">
      <c r="A234" s="2">
        <f>IF(B234="","",IFERROR(VLOOKUP(B234, PLANTA_BASE!A:R, 2, FALSE), "NO ENCONTRADO EN PLANTA"))</f>
        <v/>
      </c>
      <c r="B234" s="3" t="inlineStr"/>
      <c r="C234" s="4">
        <f>IF(B234="","",IFERROR(VLOOKUP(B234, PLANTA_BASE!A:R, 3, FALSE), ""))</f>
        <v/>
      </c>
      <c r="D234" s="2">
        <f>IF(B234="","",IFERROR(VLOOKUP(B234, PLANTA_BASE!A:R, 5, FALSE), "NO ENCONTRADO EN PLANTA"))</f>
        <v/>
      </c>
      <c r="E234" s="2">
        <f>IF(B234="","",IFERROR(VLOOKUP(B234, PLANTA_BASE!A:R, 6, FALSE), "NO ENCONTRADO EN PLANTA"))</f>
        <v/>
      </c>
      <c r="F234" s="4">
        <f>IF(B234="","",IFERROR(VLOOKUP(B234, PLANTA_BASE!A:R, 8, FALSE), "DOCENTE / FACILITADOR"))</f>
        <v/>
      </c>
      <c r="G234" s="4">
        <f>IF(B234="","",IFERROR(VLOOKUP(B234, PLANTA_BASE!A:R, 9, FALSE), "GENERAL"))</f>
        <v/>
      </c>
      <c r="H234" s="2">
        <f>IF(B234="","",IFERROR(VLOOKUP(B234, PLANTA_BASE!A:R, 17, FALSE), "GENERAL"))</f>
        <v/>
      </c>
    </row>
    <row r="235" ht="20" customHeight="1">
      <c r="A235" s="5">
        <f>IF(B235="","",IFERROR(VLOOKUP(B235, PLANTA_BASE!A:R, 2, FALSE), "NO ENCONTRADO EN PLANTA"))</f>
        <v/>
      </c>
      <c r="B235" s="6" t="inlineStr"/>
      <c r="C235" s="7">
        <f>IF(B235="","",IFERROR(VLOOKUP(B235, PLANTA_BASE!A:R, 3, FALSE), ""))</f>
        <v/>
      </c>
      <c r="D235" s="5">
        <f>IF(B235="","",IFERROR(VLOOKUP(B235, PLANTA_BASE!A:R, 5, FALSE), "NO ENCONTRADO EN PLANTA"))</f>
        <v/>
      </c>
      <c r="E235" s="5">
        <f>IF(B235="","",IFERROR(VLOOKUP(B235, PLANTA_BASE!A:R, 6, FALSE), "NO ENCONTRADO EN PLANTA"))</f>
        <v/>
      </c>
      <c r="F235" s="7">
        <f>IF(B235="","",IFERROR(VLOOKUP(B235, PLANTA_BASE!A:R, 8, FALSE), "DOCENTE / FACILITADOR"))</f>
        <v/>
      </c>
      <c r="G235" s="7">
        <f>IF(B235="","",IFERROR(VLOOKUP(B235, PLANTA_BASE!A:R, 9, FALSE), "GENERAL"))</f>
        <v/>
      </c>
      <c r="H235" s="5">
        <f>IF(B235="","",IFERROR(VLOOKUP(B235, PLANTA_BASE!A:R, 17, FALSE), "GENERAL"))</f>
        <v/>
      </c>
    </row>
    <row r="236" ht="20" customHeight="1">
      <c r="A236" s="2">
        <f>IF(B236="","",IFERROR(VLOOKUP(B236, PLANTA_BASE!A:R, 2, FALSE), "NO ENCONTRADO EN PLANTA"))</f>
        <v/>
      </c>
      <c r="B236" s="3" t="inlineStr"/>
      <c r="C236" s="4">
        <f>IF(B236="","",IFERROR(VLOOKUP(B236, PLANTA_BASE!A:R, 3, FALSE), ""))</f>
        <v/>
      </c>
      <c r="D236" s="2">
        <f>IF(B236="","",IFERROR(VLOOKUP(B236, PLANTA_BASE!A:R, 5, FALSE), "NO ENCONTRADO EN PLANTA"))</f>
        <v/>
      </c>
      <c r="E236" s="2">
        <f>IF(B236="","",IFERROR(VLOOKUP(B236, PLANTA_BASE!A:R, 6, FALSE), "NO ENCONTRADO EN PLANTA"))</f>
        <v/>
      </c>
      <c r="F236" s="4">
        <f>IF(B236="","",IFERROR(VLOOKUP(B236, PLANTA_BASE!A:R, 8, FALSE), "DOCENTE / FACILITADOR"))</f>
        <v/>
      </c>
      <c r="G236" s="4">
        <f>IF(B236="","",IFERROR(VLOOKUP(B236, PLANTA_BASE!A:R, 9, FALSE), "GENERAL"))</f>
        <v/>
      </c>
      <c r="H236" s="2">
        <f>IF(B236="","",IFERROR(VLOOKUP(B236, PLANTA_BASE!A:R, 17, FALSE), "GENERAL"))</f>
        <v/>
      </c>
    </row>
    <row r="237" ht="20" customHeight="1">
      <c r="A237" s="5">
        <f>IF(B237="","",IFERROR(VLOOKUP(B237, PLANTA_BASE!A:R, 2, FALSE), "NO ENCONTRADO EN PLANTA"))</f>
        <v/>
      </c>
      <c r="B237" s="6" t="inlineStr"/>
      <c r="C237" s="7">
        <f>IF(B237="","",IFERROR(VLOOKUP(B237, PLANTA_BASE!A:R, 3, FALSE), ""))</f>
        <v/>
      </c>
      <c r="D237" s="5">
        <f>IF(B237="","",IFERROR(VLOOKUP(B237, PLANTA_BASE!A:R, 5, FALSE), "NO ENCONTRADO EN PLANTA"))</f>
        <v/>
      </c>
      <c r="E237" s="5">
        <f>IF(B237="","",IFERROR(VLOOKUP(B237, PLANTA_BASE!A:R, 6, FALSE), "NO ENCONTRADO EN PLANTA"))</f>
        <v/>
      </c>
      <c r="F237" s="7">
        <f>IF(B237="","",IFERROR(VLOOKUP(B237, PLANTA_BASE!A:R, 8, FALSE), "DOCENTE / FACILITADOR"))</f>
        <v/>
      </c>
      <c r="G237" s="7">
        <f>IF(B237="","",IFERROR(VLOOKUP(B237, PLANTA_BASE!A:R, 9, FALSE), "GENERAL"))</f>
        <v/>
      </c>
      <c r="H237" s="5">
        <f>IF(B237="","",IFERROR(VLOOKUP(B237, PLANTA_BASE!A:R, 17, FALSE), "GENERAL"))</f>
        <v/>
      </c>
    </row>
    <row r="238" ht="20" customHeight="1">
      <c r="A238" s="2">
        <f>IF(B238="","",IFERROR(VLOOKUP(B238, PLANTA_BASE!A:R, 2, FALSE), "NO ENCONTRADO EN PLANTA"))</f>
        <v/>
      </c>
      <c r="B238" s="3" t="inlineStr"/>
      <c r="C238" s="4">
        <f>IF(B238="","",IFERROR(VLOOKUP(B238, PLANTA_BASE!A:R, 3, FALSE), ""))</f>
        <v/>
      </c>
      <c r="D238" s="2">
        <f>IF(B238="","",IFERROR(VLOOKUP(B238, PLANTA_BASE!A:R, 5, FALSE), "NO ENCONTRADO EN PLANTA"))</f>
        <v/>
      </c>
      <c r="E238" s="2">
        <f>IF(B238="","",IFERROR(VLOOKUP(B238, PLANTA_BASE!A:R, 6, FALSE), "NO ENCONTRADO EN PLANTA"))</f>
        <v/>
      </c>
      <c r="F238" s="4">
        <f>IF(B238="","",IFERROR(VLOOKUP(B238, PLANTA_BASE!A:R, 8, FALSE), "DOCENTE / FACILITADOR"))</f>
        <v/>
      </c>
      <c r="G238" s="4">
        <f>IF(B238="","",IFERROR(VLOOKUP(B238, PLANTA_BASE!A:R, 9, FALSE), "GENERAL"))</f>
        <v/>
      </c>
      <c r="H238" s="2">
        <f>IF(B238="","",IFERROR(VLOOKUP(B238, PLANTA_BASE!A:R, 17, FALSE), "GENERAL"))</f>
        <v/>
      </c>
    </row>
    <row r="239" ht="20" customHeight="1">
      <c r="A239" s="5">
        <f>IF(B239="","",IFERROR(VLOOKUP(B239, PLANTA_BASE!A:R, 2, FALSE), "NO ENCONTRADO EN PLANTA"))</f>
        <v/>
      </c>
      <c r="B239" s="6" t="inlineStr"/>
      <c r="C239" s="7">
        <f>IF(B239="","",IFERROR(VLOOKUP(B239, PLANTA_BASE!A:R, 3, FALSE), ""))</f>
        <v/>
      </c>
      <c r="D239" s="5">
        <f>IF(B239="","",IFERROR(VLOOKUP(B239, PLANTA_BASE!A:R, 5, FALSE), "NO ENCONTRADO EN PLANTA"))</f>
        <v/>
      </c>
      <c r="E239" s="5">
        <f>IF(B239="","",IFERROR(VLOOKUP(B239, PLANTA_BASE!A:R, 6, FALSE), "NO ENCONTRADO EN PLANTA"))</f>
        <v/>
      </c>
      <c r="F239" s="7">
        <f>IF(B239="","",IFERROR(VLOOKUP(B239, PLANTA_BASE!A:R, 8, FALSE), "DOCENTE / FACILITADOR"))</f>
        <v/>
      </c>
      <c r="G239" s="7">
        <f>IF(B239="","",IFERROR(VLOOKUP(B239, PLANTA_BASE!A:R, 9, FALSE), "GENERAL"))</f>
        <v/>
      </c>
      <c r="H239" s="5">
        <f>IF(B239="","",IFERROR(VLOOKUP(B239, PLANTA_BASE!A:R, 17, FALSE), "GENERAL"))</f>
        <v/>
      </c>
    </row>
    <row r="240" ht="20" customHeight="1">
      <c r="A240" s="2">
        <f>IF(B240="","",IFERROR(VLOOKUP(B240, PLANTA_BASE!A:R, 2, FALSE), "NO ENCONTRADO EN PLANTA"))</f>
        <v/>
      </c>
      <c r="B240" s="3" t="inlineStr"/>
      <c r="C240" s="4">
        <f>IF(B240="","",IFERROR(VLOOKUP(B240, PLANTA_BASE!A:R, 3, FALSE), ""))</f>
        <v/>
      </c>
      <c r="D240" s="2">
        <f>IF(B240="","",IFERROR(VLOOKUP(B240, PLANTA_BASE!A:R, 5, FALSE), "NO ENCONTRADO EN PLANTA"))</f>
        <v/>
      </c>
      <c r="E240" s="2">
        <f>IF(B240="","",IFERROR(VLOOKUP(B240, PLANTA_BASE!A:R, 6, FALSE), "NO ENCONTRADO EN PLANTA"))</f>
        <v/>
      </c>
      <c r="F240" s="4">
        <f>IF(B240="","",IFERROR(VLOOKUP(B240, PLANTA_BASE!A:R, 8, FALSE), "DOCENTE / FACILITADOR"))</f>
        <v/>
      </c>
      <c r="G240" s="4">
        <f>IF(B240="","",IFERROR(VLOOKUP(B240, PLANTA_BASE!A:R, 9, FALSE), "GENERAL"))</f>
        <v/>
      </c>
      <c r="H240" s="2">
        <f>IF(B240="","",IFERROR(VLOOKUP(B240, PLANTA_BASE!A:R, 17, FALSE), "GENERAL"))</f>
        <v/>
      </c>
    </row>
    <row r="241" ht="20" customHeight="1">
      <c r="A241" s="5">
        <f>IF(B241="","",IFERROR(VLOOKUP(B241, PLANTA_BASE!A:R, 2, FALSE), "NO ENCONTRADO EN PLANTA"))</f>
        <v/>
      </c>
      <c r="B241" s="6" t="inlineStr"/>
      <c r="C241" s="7">
        <f>IF(B241="","",IFERROR(VLOOKUP(B241, PLANTA_BASE!A:R, 3, FALSE), ""))</f>
        <v/>
      </c>
      <c r="D241" s="5">
        <f>IF(B241="","",IFERROR(VLOOKUP(B241, PLANTA_BASE!A:R, 5, FALSE), "NO ENCONTRADO EN PLANTA"))</f>
        <v/>
      </c>
      <c r="E241" s="5">
        <f>IF(B241="","",IFERROR(VLOOKUP(B241, PLANTA_BASE!A:R, 6, FALSE), "NO ENCONTRADO EN PLANTA"))</f>
        <v/>
      </c>
      <c r="F241" s="7">
        <f>IF(B241="","",IFERROR(VLOOKUP(B241, PLANTA_BASE!A:R, 8, FALSE), "DOCENTE / FACILITADOR"))</f>
        <v/>
      </c>
      <c r="G241" s="7">
        <f>IF(B241="","",IFERROR(VLOOKUP(B241, PLANTA_BASE!A:R, 9, FALSE), "GENERAL"))</f>
        <v/>
      </c>
      <c r="H241" s="5">
        <f>IF(B241="","",IFERROR(VLOOKUP(B241, PLANTA_BASE!A:R, 17, FALSE), "GENERAL"))</f>
        <v/>
      </c>
    </row>
    <row r="242" ht="20" customHeight="1">
      <c r="A242" s="2">
        <f>IF(B242="","",IFERROR(VLOOKUP(B242, PLANTA_BASE!A:R, 2, FALSE), "NO ENCONTRADO EN PLANTA"))</f>
        <v/>
      </c>
      <c r="B242" s="3" t="inlineStr"/>
      <c r="C242" s="4">
        <f>IF(B242="","",IFERROR(VLOOKUP(B242, PLANTA_BASE!A:R, 3, FALSE), ""))</f>
        <v/>
      </c>
      <c r="D242" s="2">
        <f>IF(B242="","",IFERROR(VLOOKUP(B242, PLANTA_BASE!A:R, 5, FALSE), "NO ENCONTRADO EN PLANTA"))</f>
        <v/>
      </c>
      <c r="E242" s="2">
        <f>IF(B242="","",IFERROR(VLOOKUP(B242, PLANTA_BASE!A:R, 6, FALSE), "NO ENCONTRADO EN PLANTA"))</f>
        <v/>
      </c>
      <c r="F242" s="4">
        <f>IF(B242="","",IFERROR(VLOOKUP(B242, PLANTA_BASE!A:R, 8, FALSE), "DOCENTE / FACILITADOR"))</f>
        <v/>
      </c>
      <c r="G242" s="4">
        <f>IF(B242="","",IFERROR(VLOOKUP(B242, PLANTA_BASE!A:R, 9, FALSE), "GENERAL"))</f>
        <v/>
      </c>
      <c r="H242" s="2">
        <f>IF(B242="","",IFERROR(VLOOKUP(B242, PLANTA_BASE!A:R, 17, FALSE), "GENERAL"))</f>
        <v/>
      </c>
    </row>
    <row r="243" ht="20" customHeight="1">
      <c r="A243" s="5">
        <f>IF(B243="","",IFERROR(VLOOKUP(B243, PLANTA_BASE!A:R, 2, FALSE), "NO ENCONTRADO EN PLANTA"))</f>
        <v/>
      </c>
      <c r="B243" s="6" t="inlineStr"/>
      <c r="C243" s="7">
        <f>IF(B243="","",IFERROR(VLOOKUP(B243, PLANTA_BASE!A:R, 3, FALSE), ""))</f>
        <v/>
      </c>
      <c r="D243" s="5">
        <f>IF(B243="","",IFERROR(VLOOKUP(B243, PLANTA_BASE!A:R, 5, FALSE), "NO ENCONTRADO EN PLANTA"))</f>
        <v/>
      </c>
      <c r="E243" s="5">
        <f>IF(B243="","",IFERROR(VLOOKUP(B243, PLANTA_BASE!A:R, 6, FALSE), "NO ENCONTRADO EN PLANTA"))</f>
        <v/>
      </c>
      <c r="F243" s="7">
        <f>IF(B243="","",IFERROR(VLOOKUP(B243, PLANTA_BASE!A:R, 8, FALSE), "DOCENTE / FACILITADOR"))</f>
        <v/>
      </c>
      <c r="G243" s="7">
        <f>IF(B243="","",IFERROR(VLOOKUP(B243, PLANTA_BASE!A:R, 9, FALSE), "GENERAL"))</f>
        <v/>
      </c>
      <c r="H243" s="5">
        <f>IF(B243="","",IFERROR(VLOOKUP(B243, PLANTA_BASE!A:R, 17, FALSE), "GENERAL"))</f>
        <v/>
      </c>
    </row>
    <row r="244" ht="20" customHeight="1">
      <c r="A244" s="2">
        <f>IF(B244="","",IFERROR(VLOOKUP(B244, PLANTA_BASE!A:R, 2, FALSE), "NO ENCONTRADO EN PLANTA"))</f>
        <v/>
      </c>
      <c r="B244" s="3" t="inlineStr"/>
      <c r="C244" s="4">
        <f>IF(B244="","",IFERROR(VLOOKUP(B244, PLANTA_BASE!A:R, 3, FALSE), ""))</f>
        <v/>
      </c>
      <c r="D244" s="2">
        <f>IF(B244="","",IFERROR(VLOOKUP(B244, PLANTA_BASE!A:R, 5, FALSE), "NO ENCONTRADO EN PLANTA"))</f>
        <v/>
      </c>
      <c r="E244" s="2">
        <f>IF(B244="","",IFERROR(VLOOKUP(B244, PLANTA_BASE!A:R, 6, FALSE), "NO ENCONTRADO EN PLANTA"))</f>
        <v/>
      </c>
      <c r="F244" s="4">
        <f>IF(B244="","",IFERROR(VLOOKUP(B244, PLANTA_BASE!A:R, 8, FALSE), "DOCENTE / FACILITADOR"))</f>
        <v/>
      </c>
      <c r="G244" s="4">
        <f>IF(B244="","",IFERROR(VLOOKUP(B244, PLANTA_BASE!A:R, 9, FALSE), "GENERAL"))</f>
        <v/>
      </c>
      <c r="H244" s="2">
        <f>IF(B244="","",IFERROR(VLOOKUP(B244, PLANTA_BASE!A:R, 17, FALSE), "GENERAL"))</f>
        <v/>
      </c>
    </row>
    <row r="245" ht="20" customHeight="1">
      <c r="A245" s="5">
        <f>IF(B245="","",IFERROR(VLOOKUP(B245, PLANTA_BASE!A:R, 2, FALSE), "NO ENCONTRADO EN PLANTA"))</f>
        <v/>
      </c>
      <c r="B245" s="6" t="inlineStr"/>
      <c r="C245" s="7">
        <f>IF(B245="","",IFERROR(VLOOKUP(B245, PLANTA_BASE!A:R, 3, FALSE), ""))</f>
        <v/>
      </c>
      <c r="D245" s="5">
        <f>IF(B245="","",IFERROR(VLOOKUP(B245, PLANTA_BASE!A:R, 5, FALSE), "NO ENCONTRADO EN PLANTA"))</f>
        <v/>
      </c>
      <c r="E245" s="5">
        <f>IF(B245="","",IFERROR(VLOOKUP(B245, PLANTA_BASE!A:R, 6, FALSE), "NO ENCONTRADO EN PLANTA"))</f>
        <v/>
      </c>
      <c r="F245" s="7">
        <f>IF(B245="","",IFERROR(VLOOKUP(B245, PLANTA_BASE!A:R, 8, FALSE), "DOCENTE / FACILITADOR"))</f>
        <v/>
      </c>
      <c r="G245" s="7">
        <f>IF(B245="","",IFERROR(VLOOKUP(B245, PLANTA_BASE!A:R, 9, FALSE), "GENERAL"))</f>
        <v/>
      </c>
      <c r="H245" s="5">
        <f>IF(B245="","",IFERROR(VLOOKUP(B245, PLANTA_BASE!A:R, 17, FALSE), "GENERAL"))</f>
        <v/>
      </c>
    </row>
    <row r="246" ht="20" customHeight="1">
      <c r="A246" s="2">
        <f>IF(B246="","",IFERROR(VLOOKUP(B246, PLANTA_BASE!A:R, 2, FALSE), "NO ENCONTRADO EN PLANTA"))</f>
        <v/>
      </c>
      <c r="B246" s="3" t="inlineStr"/>
      <c r="C246" s="4">
        <f>IF(B246="","",IFERROR(VLOOKUP(B246, PLANTA_BASE!A:R, 3, FALSE), ""))</f>
        <v/>
      </c>
      <c r="D246" s="2">
        <f>IF(B246="","",IFERROR(VLOOKUP(B246, PLANTA_BASE!A:R, 5, FALSE), "NO ENCONTRADO EN PLANTA"))</f>
        <v/>
      </c>
      <c r="E246" s="2">
        <f>IF(B246="","",IFERROR(VLOOKUP(B246, PLANTA_BASE!A:R, 6, FALSE), "NO ENCONTRADO EN PLANTA"))</f>
        <v/>
      </c>
      <c r="F246" s="4">
        <f>IF(B246="","",IFERROR(VLOOKUP(B246, PLANTA_BASE!A:R, 8, FALSE), "DOCENTE / FACILITADOR"))</f>
        <v/>
      </c>
      <c r="G246" s="4">
        <f>IF(B246="","",IFERROR(VLOOKUP(B246, PLANTA_BASE!A:R, 9, FALSE), "GENERAL"))</f>
        <v/>
      </c>
      <c r="H246" s="2">
        <f>IF(B246="","",IFERROR(VLOOKUP(B246, PLANTA_BASE!A:R, 17, FALSE), "GENERAL"))</f>
        <v/>
      </c>
    </row>
    <row r="247" ht="20" customHeight="1">
      <c r="A247" s="5">
        <f>IF(B247="","",IFERROR(VLOOKUP(B247, PLANTA_BASE!A:R, 2, FALSE), "NO ENCONTRADO EN PLANTA"))</f>
        <v/>
      </c>
      <c r="B247" s="6" t="inlineStr"/>
      <c r="C247" s="7">
        <f>IF(B247="","",IFERROR(VLOOKUP(B247, PLANTA_BASE!A:R, 3, FALSE), ""))</f>
        <v/>
      </c>
      <c r="D247" s="5">
        <f>IF(B247="","",IFERROR(VLOOKUP(B247, PLANTA_BASE!A:R, 5, FALSE), "NO ENCONTRADO EN PLANTA"))</f>
        <v/>
      </c>
      <c r="E247" s="5">
        <f>IF(B247="","",IFERROR(VLOOKUP(B247, PLANTA_BASE!A:R, 6, FALSE), "NO ENCONTRADO EN PLANTA"))</f>
        <v/>
      </c>
      <c r="F247" s="7">
        <f>IF(B247="","",IFERROR(VLOOKUP(B247, PLANTA_BASE!A:R, 8, FALSE), "DOCENTE / FACILITADOR"))</f>
        <v/>
      </c>
      <c r="G247" s="7">
        <f>IF(B247="","",IFERROR(VLOOKUP(B247, PLANTA_BASE!A:R, 9, FALSE), "GENERAL"))</f>
        <v/>
      </c>
      <c r="H247" s="5">
        <f>IF(B247="","",IFERROR(VLOOKUP(B247, PLANTA_BASE!A:R, 17, FALSE), "GENERAL"))</f>
        <v/>
      </c>
    </row>
    <row r="248" ht="20" customHeight="1">
      <c r="A248" s="2">
        <f>IF(B248="","",IFERROR(VLOOKUP(B248, PLANTA_BASE!A:R, 2, FALSE), "NO ENCONTRADO EN PLANTA"))</f>
        <v/>
      </c>
      <c r="B248" s="3" t="inlineStr"/>
      <c r="C248" s="4">
        <f>IF(B248="","",IFERROR(VLOOKUP(B248, PLANTA_BASE!A:R, 3, FALSE), ""))</f>
        <v/>
      </c>
      <c r="D248" s="2">
        <f>IF(B248="","",IFERROR(VLOOKUP(B248, PLANTA_BASE!A:R, 5, FALSE), "NO ENCONTRADO EN PLANTA"))</f>
        <v/>
      </c>
      <c r="E248" s="2">
        <f>IF(B248="","",IFERROR(VLOOKUP(B248, PLANTA_BASE!A:R, 6, FALSE), "NO ENCONTRADO EN PLANTA"))</f>
        <v/>
      </c>
      <c r="F248" s="4">
        <f>IF(B248="","",IFERROR(VLOOKUP(B248, PLANTA_BASE!A:R, 8, FALSE), "DOCENTE / FACILITADOR"))</f>
        <v/>
      </c>
      <c r="G248" s="4">
        <f>IF(B248="","",IFERROR(VLOOKUP(B248, PLANTA_BASE!A:R, 9, FALSE), "GENERAL"))</f>
        <v/>
      </c>
      <c r="H248" s="2">
        <f>IF(B248="","",IFERROR(VLOOKUP(B248, PLANTA_BASE!A:R, 17, FALSE), "GENERAL"))</f>
        <v/>
      </c>
    </row>
    <row r="249" ht="20" customHeight="1">
      <c r="A249" s="5">
        <f>IF(B249="","",IFERROR(VLOOKUP(B249, PLANTA_BASE!A:R, 2, FALSE), "NO ENCONTRADO EN PLANTA"))</f>
        <v/>
      </c>
      <c r="B249" s="6" t="inlineStr"/>
      <c r="C249" s="7">
        <f>IF(B249="","",IFERROR(VLOOKUP(B249, PLANTA_BASE!A:R, 3, FALSE), ""))</f>
        <v/>
      </c>
      <c r="D249" s="5">
        <f>IF(B249="","",IFERROR(VLOOKUP(B249, PLANTA_BASE!A:R, 5, FALSE), "NO ENCONTRADO EN PLANTA"))</f>
        <v/>
      </c>
      <c r="E249" s="5">
        <f>IF(B249="","",IFERROR(VLOOKUP(B249, PLANTA_BASE!A:R, 6, FALSE), "NO ENCONTRADO EN PLANTA"))</f>
        <v/>
      </c>
      <c r="F249" s="7">
        <f>IF(B249="","",IFERROR(VLOOKUP(B249, PLANTA_BASE!A:R, 8, FALSE), "DOCENTE / FACILITADOR"))</f>
        <v/>
      </c>
      <c r="G249" s="7">
        <f>IF(B249="","",IFERROR(VLOOKUP(B249, PLANTA_BASE!A:R, 9, FALSE), "GENERAL"))</f>
        <v/>
      </c>
      <c r="H249" s="5">
        <f>IF(B249="","",IFERROR(VLOOKUP(B249, PLANTA_BASE!A:R, 17, FALSE), "GENERAL"))</f>
        <v/>
      </c>
    </row>
    <row r="250" ht="20" customHeight="1">
      <c r="A250" s="2">
        <f>IF(B250="","",IFERROR(VLOOKUP(B250, PLANTA_BASE!A:R, 2, FALSE), "NO ENCONTRADO EN PLANTA"))</f>
        <v/>
      </c>
      <c r="B250" s="3" t="inlineStr"/>
      <c r="C250" s="4">
        <f>IF(B250="","",IFERROR(VLOOKUP(B250, PLANTA_BASE!A:R, 3, FALSE), ""))</f>
        <v/>
      </c>
      <c r="D250" s="2">
        <f>IF(B250="","",IFERROR(VLOOKUP(B250, PLANTA_BASE!A:R, 5, FALSE), "NO ENCONTRADO EN PLANTA"))</f>
        <v/>
      </c>
      <c r="E250" s="2">
        <f>IF(B250="","",IFERROR(VLOOKUP(B250, PLANTA_BASE!A:R, 6, FALSE), "NO ENCONTRADO EN PLANTA"))</f>
        <v/>
      </c>
      <c r="F250" s="4">
        <f>IF(B250="","",IFERROR(VLOOKUP(B250, PLANTA_BASE!A:R, 8, FALSE), "DOCENTE / FACILITADOR"))</f>
        <v/>
      </c>
      <c r="G250" s="4">
        <f>IF(B250="","",IFERROR(VLOOKUP(B250, PLANTA_BASE!A:R, 9, FALSE), "GENERAL"))</f>
        <v/>
      </c>
      <c r="H250" s="2">
        <f>IF(B250="","",IFERROR(VLOOKUP(B250, PLANTA_BASE!A:R, 17, FALSE), "GENERAL"))</f>
        <v/>
      </c>
    </row>
    <row r="251" ht="20" customHeight="1">
      <c r="A251" s="5">
        <f>IF(B251="","",IFERROR(VLOOKUP(B251, PLANTA_BASE!A:R, 2, FALSE), "NO ENCONTRADO EN PLANTA"))</f>
        <v/>
      </c>
      <c r="B251" s="6" t="inlineStr"/>
      <c r="C251" s="7">
        <f>IF(B251="","",IFERROR(VLOOKUP(B251, PLANTA_BASE!A:R, 3, FALSE), ""))</f>
        <v/>
      </c>
      <c r="D251" s="5">
        <f>IF(B251="","",IFERROR(VLOOKUP(B251, PLANTA_BASE!A:R, 5, FALSE), "NO ENCONTRADO EN PLANTA"))</f>
        <v/>
      </c>
      <c r="E251" s="5">
        <f>IF(B251="","",IFERROR(VLOOKUP(B251, PLANTA_BASE!A:R, 6, FALSE), "NO ENCONTRADO EN PLANTA"))</f>
        <v/>
      </c>
      <c r="F251" s="7">
        <f>IF(B251="","",IFERROR(VLOOKUP(B251, PLANTA_BASE!A:R, 8, FALSE), "DOCENTE / FACILITADOR"))</f>
        <v/>
      </c>
      <c r="G251" s="7">
        <f>IF(B251="","",IFERROR(VLOOKUP(B251, PLANTA_BASE!A:R, 9, FALSE), "GENERAL"))</f>
        <v/>
      </c>
      <c r="H251" s="5">
        <f>IF(B251="","",IFERROR(VLOOKUP(B251, PLANTA_BASE!A:R, 17, FALSE), "GENERAL"))</f>
        <v/>
      </c>
    </row>
    <row r="252" ht="20" customHeight="1">
      <c r="A252" s="2">
        <f>IF(B252="","",IFERROR(VLOOKUP(B252, PLANTA_BASE!A:R, 2, FALSE), "NO ENCONTRADO EN PLANTA"))</f>
        <v/>
      </c>
      <c r="B252" s="3" t="inlineStr"/>
      <c r="C252" s="4">
        <f>IF(B252="","",IFERROR(VLOOKUP(B252, PLANTA_BASE!A:R, 3, FALSE), ""))</f>
        <v/>
      </c>
      <c r="D252" s="2">
        <f>IF(B252="","",IFERROR(VLOOKUP(B252, PLANTA_BASE!A:R, 5, FALSE), "NO ENCONTRADO EN PLANTA"))</f>
        <v/>
      </c>
      <c r="E252" s="2">
        <f>IF(B252="","",IFERROR(VLOOKUP(B252, PLANTA_BASE!A:R, 6, FALSE), "NO ENCONTRADO EN PLANTA"))</f>
        <v/>
      </c>
      <c r="F252" s="4">
        <f>IF(B252="","",IFERROR(VLOOKUP(B252, PLANTA_BASE!A:R, 8, FALSE), "DOCENTE / FACILITADOR"))</f>
        <v/>
      </c>
      <c r="G252" s="4">
        <f>IF(B252="","",IFERROR(VLOOKUP(B252, PLANTA_BASE!A:R, 9, FALSE), "GENERAL"))</f>
        <v/>
      </c>
      <c r="H252" s="2">
        <f>IF(B252="","",IFERROR(VLOOKUP(B252, PLANTA_BASE!A:R, 17, FALSE), "GENERAL"))</f>
        <v/>
      </c>
    </row>
    <row r="253" ht="20" customHeight="1">
      <c r="A253" s="5">
        <f>IF(B253="","",IFERROR(VLOOKUP(B253, PLANTA_BASE!A:R, 2, FALSE), "NO ENCONTRADO EN PLANTA"))</f>
        <v/>
      </c>
      <c r="B253" s="6" t="inlineStr"/>
      <c r="C253" s="7">
        <f>IF(B253="","",IFERROR(VLOOKUP(B253, PLANTA_BASE!A:R, 3, FALSE), ""))</f>
        <v/>
      </c>
      <c r="D253" s="5">
        <f>IF(B253="","",IFERROR(VLOOKUP(B253, PLANTA_BASE!A:R, 5, FALSE), "NO ENCONTRADO EN PLANTA"))</f>
        <v/>
      </c>
      <c r="E253" s="5">
        <f>IF(B253="","",IFERROR(VLOOKUP(B253, PLANTA_BASE!A:R, 6, FALSE), "NO ENCONTRADO EN PLANTA"))</f>
        <v/>
      </c>
      <c r="F253" s="7">
        <f>IF(B253="","",IFERROR(VLOOKUP(B253, PLANTA_BASE!A:R, 8, FALSE), "DOCENTE / FACILITADOR"))</f>
        <v/>
      </c>
      <c r="G253" s="7">
        <f>IF(B253="","",IFERROR(VLOOKUP(B253, PLANTA_BASE!A:R, 9, FALSE), "GENERAL"))</f>
        <v/>
      </c>
      <c r="H253" s="5">
        <f>IF(B253="","",IFERROR(VLOOKUP(B253, PLANTA_BASE!A:R, 17, FALSE), "GENERAL"))</f>
        <v/>
      </c>
    </row>
    <row r="254" ht="20" customHeight="1">
      <c r="A254" s="2">
        <f>IF(B254="","",IFERROR(VLOOKUP(B254, PLANTA_BASE!A:R, 2, FALSE), "NO ENCONTRADO EN PLANTA"))</f>
        <v/>
      </c>
      <c r="B254" s="3" t="inlineStr"/>
      <c r="C254" s="4">
        <f>IF(B254="","",IFERROR(VLOOKUP(B254, PLANTA_BASE!A:R, 3, FALSE), ""))</f>
        <v/>
      </c>
      <c r="D254" s="2">
        <f>IF(B254="","",IFERROR(VLOOKUP(B254, PLANTA_BASE!A:R, 5, FALSE), "NO ENCONTRADO EN PLANTA"))</f>
        <v/>
      </c>
      <c r="E254" s="2">
        <f>IF(B254="","",IFERROR(VLOOKUP(B254, PLANTA_BASE!A:R, 6, FALSE), "NO ENCONTRADO EN PLANTA"))</f>
        <v/>
      </c>
      <c r="F254" s="4">
        <f>IF(B254="","",IFERROR(VLOOKUP(B254, PLANTA_BASE!A:R, 8, FALSE), "DOCENTE / FACILITADOR"))</f>
        <v/>
      </c>
      <c r="G254" s="4">
        <f>IF(B254="","",IFERROR(VLOOKUP(B254, PLANTA_BASE!A:R, 9, FALSE), "GENERAL"))</f>
        <v/>
      </c>
      <c r="H254" s="2">
        <f>IF(B254="","",IFERROR(VLOOKUP(B254, PLANTA_BASE!A:R, 17, FALSE), "GENERAL"))</f>
        <v/>
      </c>
    </row>
    <row r="255" ht="20" customHeight="1">
      <c r="A255" s="5">
        <f>IF(B255="","",IFERROR(VLOOKUP(B255, PLANTA_BASE!A:R, 2, FALSE), "NO ENCONTRADO EN PLANTA"))</f>
        <v/>
      </c>
      <c r="B255" s="6" t="inlineStr"/>
      <c r="C255" s="7">
        <f>IF(B255="","",IFERROR(VLOOKUP(B255, PLANTA_BASE!A:R, 3, FALSE), ""))</f>
        <v/>
      </c>
      <c r="D255" s="5">
        <f>IF(B255="","",IFERROR(VLOOKUP(B255, PLANTA_BASE!A:R, 5, FALSE), "NO ENCONTRADO EN PLANTA"))</f>
        <v/>
      </c>
      <c r="E255" s="5">
        <f>IF(B255="","",IFERROR(VLOOKUP(B255, PLANTA_BASE!A:R, 6, FALSE), "NO ENCONTRADO EN PLANTA"))</f>
        <v/>
      </c>
      <c r="F255" s="7">
        <f>IF(B255="","",IFERROR(VLOOKUP(B255, PLANTA_BASE!A:R, 8, FALSE), "DOCENTE / FACILITADOR"))</f>
        <v/>
      </c>
      <c r="G255" s="7">
        <f>IF(B255="","",IFERROR(VLOOKUP(B255, PLANTA_BASE!A:R, 9, FALSE), "GENERAL"))</f>
        <v/>
      </c>
      <c r="H255" s="5">
        <f>IF(B255="","",IFERROR(VLOOKUP(B255, PLANTA_BASE!A:R, 17, FALSE), "GENERAL"))</f>
        <v/>
      </c>
    </row>
    <row r="256" ht="20" customHeight="1">
      <c r="A256" s="2">
        <f>IF(B256="","",IFERROR(VLOOKUP(B256, PLANTA_BASE!A:R, 2, FALSE), "NO ENCONTRADO EN PLANTA"))</f>
        <v/>
      </c>
      <c r="B256" s="3" t="inlineStr"/>
      <c r="C256" s="4">
        <f>IF(B256="","",IFERROR(VLOOKUP(B256, PLANTA_BASE!A:R, 3, FALSE), ""))</f>
        <v/>
      </c>
      <c r="D256" s="2">
        <f>IF(B256="","",IFERROR(VLOOKUP(B256, PLANTA_BASE!A:R, 5, FALSE), "NO ENCONTRADO EN PLANTA"))</f>
        <v/>
      </c>
      <c r="E256" s="2">
        <f>IF(B256="","",IFERROR(VLOOKUP(B256, PLANTA_BASE!A:R, 6, FALSE), "NO ENCONTRADO EN PLANTA"))</f>
        <v/>
      </c>
      <c r="F256" s="4">
        <f>IF(B256="","",IFERROR(VLOOKUP(B256, PLANTA_BASE!A:R, 8, FALSE), "DOCENTE / FACILITADOR"))</f>
        <v/>
      </c>
      <c r="G256" s="4">
        <f>IF(B256="","",IFERROR(VLOOKUP(B256, PLANTA_BASE!A:R, 9, FALSE), "GENERAL"))</f>
        <v/>
      </c>
      <c r="H256" s="2">
        <f>IF(B256="","",IFERROR(VLOOKUP(B256, PLANTA_BASE!A:R, 17, FALSE), "GENERAL"))</f>
        <v/>
      </c>
    </row>
    <row r="257" ht="20" customHeight="1">
      <c r="A257" s="5">
        <f>IF(B257="","",IFERROR(VLOOKUP(B257, PLANTA_BASE!A:R, 2, FALSE), "NO ENCONTRADO EN PLANTA"))</f>
        <v/>
      </c>
      <c r="B257" s="6" t="inlineStr"/>
      <c r="C257" s="7">
        <f>IF(B257="","",IFERROR(VLOOKUP(B257, PLANTA_BASE!A:R, 3, FALSE), ""))</f>
        <v/>
      </c>
      <c r="D257" s="5">
        <f>IF(B257="","",IFERROR(VLOOKUP(B257, PLANTA_BASE!A:R, 5, FALSE), "NO ENCONTRADO EN PLANTA"))</f>
        <v/>
      </c>
      <c r="E257" s="5">
        <f>IF(B257="","",IFERROR(VLOOKUP(B257, PLANTA_BASE!A:R, 6, FALSE), "NO ENCONTRADO EN PLANTA"))</f>
        <v/>
      </c>
      <c r="F257" s="7">
        <f>IF(B257="","",IFERROR(VLOOKUP(B257, PLANTA_BASE!A:R, 8, FALSE), "DOCENTE / FACILITADOR"))</f>
        <v/>
      </c>
      <c r="G257" s="7">
        <f>IF(B257="","",IFERROR(VLOOKUP(B257, PLANTA_BASE!A:R, 9, FALSE), "GENERAL"))</f>
        <v/>
      </c>
      <c r="H257" s="5">
        <f>IF(B257="","",IFERROR(VLOOKUP(B257, PLANTA_BASE!A:R, 17, FALSE), "GENERAL"))</f>
        <v/>
      </c>
    </row>
    <row r="258" ht="20" customHeight="1">
      <c r="A258" s="2">
        <f>IF(B258="","",IFERROR(VLOOKUP(B258, PLANTA_BASE!A:R, 2, FALSE), "NO ENCONTRADO EN PLANTA"))</f>
        <v/>
      </c>
      <c r="B258" s="3" t="inlineStr"/>
      <c r="C258" s="4">
        <f>IF(B258="","",IFERROR(VLOOKUP(B258, PLANTA_BASE!A:R, 3, FALSE), ""))</f>
        <v/>
      </c>
      <c r="D258" s="2">
        <f>IF(B258="","",IFERROR(VLOOKUP(B258, PLANTA_BASE!A:R, 5, FALSE), "NO ENCONTRADO EN PLANTA"))</f>
        <v/>
      </c>
      <c r="E258" s="2">
        <f>IF(B258="","",IFERROR(VLOOKUP(B258, PLANTA_BASE!A:R, 6, FALSE), "NO ENCONTRADO EN PLANTA"))</f>
        <v/>
      </c>
      <c r="F258" s="4">
        <f>IF(B258="","",IFERROR(VLOOKUP(B258, PLANTA_BASE!A:R, 8, FALSE), "DOCENTE / FACILITADOR"))</f>
        <v/>
      </c>
      <c r="G258" s="4">
        <f>IF(B258="","",IFERROR(VLOOKUP(B258, PLANTA_BASE!A:R, 9, FALSE), "GENERAL"))</f>
        <v/>
      </c>
      <c r="H258" s="2">
        <f>IF(B258="","",IFERROR(VLOOKUP(B258, PLANTA_BASE!A:R, 17, FALSE), "GENERAL"))</f>
        <v/>
      </c>
    </row>
    <row r="259" ht="20" customHeight="1">
      <c r="A259" s="5">
        <f>IF(B259="","",IFERROR(VLOOKUP(B259, PLANTA_BASE!A:R, 2, FALSE), "NO ENCONTRADO EN PLANTA"))</f>
        <v/>
      </c>
      <c r="B259" s="6" t="inlineStr"/>
      <c r="C259" s="7">
        <f>IF(B259="","",IFERROR(VLOOKUP(B259, PLANTA_BASE!A:R, 3, FALSE), ""))</f>
        <v/>
      </c>
      <c r="D259" s="5">
        <f>IF(B259="","",IFERROR(VLOOKUP(B259, PLANTA_BASE!A:R, 5, FALSE), "NO ENCONTRADO EN PLANTA"))</f>
        <v/>
      </c>
      <c r="E259" s="5">
        <f>IF(B259="","",IFERROR(VLOOKUP(B259, PLANTA_BASE!A:R, 6, FALSE), "NO ENCONTRADO EN PLANTA"))</f>
        <v/>
      </c>
      <c r="F259" s="7">
        <f>IF(B259="","",IFERROR(VLOOKUP(B259, PLANTA_BASE!A:R, 8, FALSE), "DOCENTE / FACILITADOR"))</f>
        <v/>
      </c>
      <c r="G259" s="7">
        <f>IF(B259="","",IFERROR(VLOOKUP(B259, PLANTA_BASE!A:R, 9, FALSE), "GENERAL"))</f>
        <v/>
      </c>
      <c r="H259" s="5">
        <f>IF(B259="","",IFERROR(VLOOKUP(B259, PLANTA_BASE!A:R, 17, FALSE), "GENERAL"))</f>
        <v/>
      </c>
    </row>
    <row r="260" ht="20" customHeight="1">
      <c r="A260" s="2">
        <f>IF(B260="","",IFERROR(VLOOKUP(B260, PLANTA_BASE!A:R, 2, FALSE), "NO ENCONTRADO EN PLANTA"))</f>
        <v/>
      </c>
      <c r="B260" s="3" t="inlineStr"/>
      <c r="C260" s="4">
        <f>IF(B260="","",IFERROR(VLOOKUP(B260, PLANTA_BASE!A:R, 3, FALSE), ""))</f>
        <v/>
      </c>
      <c r="D260" s="2">
        <f>IF(B260="","",IFERROR(VLOOKUP(B260, PLANTA_BASE!A:R, 5, FALSE), "NO ENCONTRADO EN PLANTA"))</f>
        <v/>
      </c>
      <c r="E260" s="2">
        <f>IF(B260="","",IFERROR(VLOOKUP(B260, PLANTA_BASE!A:R, 6, FALSE), "NO ENCONTRADO EN PLANTA"))</f>
        <v/>
      </c>
      <c r="F260" s="4">
        <f>IF(B260="","",IFERROR(VLOOKUP(B260, PLANTA_BASE!A:R, 8, FALSE), "DOCENTE / FACILITADOR"))</f>
        <v/>
      </c>
      <c r="G260" s="4">
        <f>IF(B260="","",IFERROR(VLOOKUP(B260, PLANTA_BASE!A:R, 9, FALSE), "GENERAL"))</f>
        <v/>
      </c>
      <c r="H260" s="2">
        <f>IF(B260="","",IFERROR(VLOOKUP(B260, PLANTA_BASE!A:R, 17, FALSE), "GENERAL"))</f>
        <v/>
      </c>
    </row>
    <row r="261" ht="20" customHeight="1">
      <c r="A261" s="5">
        <f>IF(B261="","",IFERROR(VLOOKUP(B261, PLANTA_BASE!A:R, 2, FALSE), "NO ENCONTRADO EN PLANTA"))</f>
        <v/>
      </c>
      <c r="B261" s="6" t="inlineStr"/>
      <c r="C261" s="7">
        <f>IF(B261="","",IFERROR(VLOOKUP(B261, PLANTA_BASE!A:R, 3, FALSE), ""))</f>
        <v/>
      </c>
      <c r="D261" s="5">
        <f>IF(B261="","",IFERROR(VLOOKUP(B261, PLANTA_BASE!A:R, 5, FALSE), "NO ENCONTRADO EN PLANTA"))</f>
        <v/>
      </c>
      <c r="E261" s="5">
        <f>IF(B261="","",IFERROR(VLOOKUP(B261, PLANTA_BASE!A:R, 6, FALSE), "NO ENCONTRADO EN PLANTA"))</f>
        <v/>
      </c>
      <c r="F261" s="7">
        <f>IF(B261="","",IFERROR(VLOOKUP(B261, PLANTA_BASE!A:R, 8, FALSE), "DOCENTE / FACILITADOR"))</f>
        <v/>
      </c>
      <c r="G261" s="7">
        <f>IF(B261="","",IFERROR(VLOOKUP(B261, PLANTA_BASE!A:R, 9, FALSE), "GENERAL"))</f>
        <v/>
      </c>
      <c r="H261" s="5">
        <f>IF(B261="","",IFERROR(VLOOKUP(B261, PLANTA_BASE!A:R, 17, FALSE), "GENERAL"))</f>
        <v/>
      </c>
    </row>
    <row r="262" ht="20" customHeight="1">
      <c r="A262" s="2">
        <f>IF(B262="","",IFERROR(VLOOKUP(B262, PLANTA_BASE!A:R, 2, FALSE), "NO ENCONTRADO EN PLANTA"))</f>
        <v/>
      </c>
      <c r="B262" s="3" t="inlineStr"/>
      <c r="C262" s="4">
        <f>IF(B262="","",IFERROR(VLOOKUP(B262, PLANTA_BASE!A:R, 3, FALSE), ""))</f>
        <v/>
      </c>
      <c r="D262" s="2">
        <f>IF(B262="","",IFERROR(VLOOKUP(B262, PLANTA_BASE!A:R, 5, FALSE), "NO ENCONTRADO EN PLANTA"))</f>
        <v/>
      </c>
      <c r="E262" s="2">
        <f>IF(B262="","",IFERROR(VLOOKUP(B262, PLANTA_BASE!A:R, 6, FALSE), "NO ENCONTRADO EN PLANTA"))</f>
        <v/>
      </c>
      <c r="F262" s="4">
        <f>IF(B262="","",IFERROR(VLOOKUP(B262, PLANTA_BASE!A:R, 8, FALSE), "DOCENTE / FACILITADOR"))</f>
        <v/>
      </c>
      <c r="G262" s="4">
        <f>IF(B262="","",IFERROR(VLOOKUP(B262, PLANTA_BASE!A:R, 9, FALSE), "GENERAL"))</f>
        <v/>
      </c>
      <c r="H262" s="2">
        <f>IF(B262="","",IFERROR(VLOOKUP(B262, PLANTA_BASE!A:R, 17, FALSE), "GENERAL"))</f>
        <v/>
      </c>
    </row>
    <row r="263" ht="20" customHeight="1">
      <c r="A263" s="5">
        <f>IF(B263="","",IFERROR(VLOOKUP(B263, PLANTA_BASE!A:R, 2, FALSE), "NO ENCONTRADO EN PLANTA"))</f>
        <v/>
      </c>
      <c r="B263" s="6" t="inlineStr"/>
      <c r="C263" s="7">
        <f>IF(B263="","",IFERROR(VLOOKUP(B263, PLANTA_BASE!A:R, 3, FALSE), ""))</f>
        <v/>
      </c>
      <c r="D263" s="5">
        <f>IF(B263="","",IFERROR(VLOOKUP(B263, PLANTA_BASE!A:R, 5, FALSE), "NO ENCONTRADO EN PLANTA"))</f>
        <v/>
      </c>
      <c r="E263" s="5">
        <f>IF(B263="","",IFERROR(VLOOKUP(B263, PLANTA_BASE!A:R, 6, FALSE), "NO ENCONTRADO EN PLANTA"))</f>
        <v/>
      </c>
      <c r="F263" s="7">
        <f>IF(B263="","",IFERROR(VLOOKUP(B263, PLANTA_BASE!A:R, 8, FALSE), "DOCENTE / FACILITADOR"))</f>
        <v/>
      </c>
      <c r="G263" s="7">
        <f>IF(B263="","",IFERROR(VLOOKUP(B263, PLANTA_BASE!A:R, 9, FALSE), "GENERAL"))</f>
        <v/>
      </c>
      <c r="H263" s="5">
        <f>IF(B263="","",IFERROR(VLOOKUP(B263, PLANTA_BASE!A:R, 17, FALSE), "GENERAL"))</f>
        <v/>
      </c>
    </row>
    <row r="264" ht="20" customHeight="1">
      <c r="A264" s="2">
        <f>IF(B264="","",IFERROR(VLOOKUP(B264, PLANTA_BASE!A:R, 2, FALSE), "NO ENCONTRADO EN PLANTA"))</f>
        <v/>
      </c>
      <c r="B264" s="3" t="inlineStr"/>
      <c r="C264" s="4">
        <f>IF(B264="","",IFERROR(VLOOKUP(B264, PLANTA_BASE!A:R, 3, FALSE), ""))</f>
        <v/>
      </c>
      <c r="D264" s="2">
        <f>IF(B264="","",IFERROR(VLOOKUP(B264, PLANTA_BASE!A:R, 5, FALSE), "NO ENCONTRADO EN PLANTA"))</f>
        <v/>
      </c>
      <c r="E264" s="2">
        <f>IF(B264="","",IFERROR(VLOOKUP(B264, PLANTA_BASE!A:R, 6, FALSE), "NO ENCONTRADO EN PLANTA"))</f>
        <v/>
      </c>
      <c r="F264" s="4">
        <f>IF(B264="","",IFERROR(VLOOKUP(B264, PLANTA_BASE!A:R, 8, FALSE), "DOCENTE / FACILITADOR"))</f>
        <v/>
      </c>
      <c r="G264" s="4">
        <f>IF(B264="","",IFERROR(VLOOKUP(B264, PLANTA_BASE!A:R, 9, FALSE), "GENERAL"))</f>
        <v/>
      </c>
      <c r="H264" s="2">
        <f>IF(B264="","",IFERROR(VLOOKUP(B264, PLANTA_BASE!A:R, 17, FALSE), "GENERAL"))</f>
        <v/>
      </c>
    </row>
    <row r="265" ht="20" customHeight="1">
      <c r="A265" s="5">
        <f>IF(B265="","",IFERROR(VLOOKUP(B265, PLANTA_BASE!A:R, 2, FALSE), "NO ENCONTRADO EN PLANTA"))</f>
        <v/>
      </c>
      <c r="B265" s="6" t="inlineStr"/>
      <c r="C265" s="7">
        <f>IF(B265="","",IFERROR(VLOOKUP(B265, PLANTA_BASE!A:R, 3, FALSE), ""))</f>
        <v/>
      </c>
      <c r="D265" s="5">
        <f>IF(B265="","",IFERROR(VLOOKUP(B265, PLANTA_BASE!A:R, 5, FALSE), "NO ENCONTRADO EN PLANTA"))</f>
        <v/>
      </c>
      <c r="E265" s="5">
        <f>IF(B265="","",IFERROR(VLOOKUP(B265, PLANTA_BASE!A:R, 6, FALSE), "NO ENCONTRADO EN PLANTA"))</f>
        <v/>
      </c>
      <c r="F265" s="7">
        <f>IF(B265="","",IFERROR(VLOOKUP(B265, PLANTA_BASE!A:R, 8, FALSE), "DOCENTE / FACILITADOR"))</f>
        <v/>
      </c>
      <c r="G265" s="7">
        <f>IF(B265="","",IFERROR(VLOOKUP(B265, PLANTA_BASE!A:R, 9, FALSE), "GENERAL"))</f>
        <v/>
      </c>
      <c r="H265" s="5">
        <f>IF(B265="","",IFERROR(VLOOKUP(B265, PLANTA_BASE!A:R, 17, FALSE), "GENERAL"))</f>
        <v/>
      </c>
    </row>
    <row r="266" ht="20" customHeight="1">
      <c r="A266" s="2">
        <f>IF(B266="","",IFERROR(VLOOKUP(B266, PLANTA_BASE!A:R, 2, FALSE), "NO ENCONTRADO EN PLANTA"))</f>
        <v/>
      </c>
      <c r="B266" s="3" t="inlineStr"/>
      <c r="C266" s="4">
        <f>IF(B266="","",IFERROR(VLOOKUP(B266, PLANTA_BASE!A:R, 3, FALSE), ""))</f>
        <v/>
      </c>
      <c r="D266" s="2">
        <f>IF(B266="","",IFERROR(VLOOKUP(B266, PLANTA_BASE!A:R, 5, FALSE), "NO ENCONTRADO EN PLANTA"))</f>
        <v/>
      </c>
      <c r="E266" s="2">
        <f>IF(B266="","",IFERROR(VLOOKUP(B266, PLANTA_BASE!A:R, 6, FALSE), "NO ENCONTRADO EN PLANTA"))</f>
        <v/>
      </c>
      <c r="F266" s="4">
        <f>IF(B266="","",IFERROR(VLOOKUP(B266, PLANTA_BASE!A:R, 8, FALSE), "DOCENTE / FACILITADOR"))</f>
        <v/>
      </c>
      <c r="G266" s="4">
        <f>IF(B266="","",IFERROR(VLOOKUP(B266, PLANTA_BASE!A:R, 9, FALSE), "GENERAL"))</f>
        <v/>
      </c>
      <c r="H266" s="2">
        <f>IF(B266="","",IFERROR(VLOOKUP(B266, PLANTA_BASE!A:R, 17, FALSE), "GENERAL"))</f>
        <v/>
      </c>
    </row>
    <row r="267" ht="20" customHeight="1">
      <c r="A267" s="5">
        <f>IF(B267="","",IFERROR(VLOOKUP(B267, PLANTA_BASE!A:R, 2, FALSE), "NO ENCONTRADO EN PLANTA"))</f>
        <v/>
      </c>
      <c r="B267" s="6" t="inlineStr"/>
      <c r="C267" s="7">
        <f>IF(B267="","",IFERROR(VLOOKUP(B267, PLANTA_BASE!A:R, 3, FALSE), ""))</f>
        <v/>
      </c>
      <c r="D267" s="5">
        <f>IF(B267="","",IFERROR(VLOOKUP(B267, PLANTA_BASE!A:R, 5, FALSE), "NO ENCONTRADO EN PLANTA"))</f>
        <v/>
      </c>
      <c r="E267" s="5">
        <f>IF(B267="","",IFERROR(VLOOKUP(B267, PLANTA_BASE!A:R, 6, FALSE), "NO ENCONTRADO EN PLANTA"))</f>
        <v/>
      </c>
      <c r="F267" s="7">
        <f>IF(B267="","",IFERROR(VLOOKUP(B267, PLANTA_BASE!A:R, 8, FALSE), "DOCENTE / FACILITADOR"))</f>
        <v/>
      </c>
      <c r="G267" s="7">
        <f>IF(B267="","",IFERROR(VLOOKUP(B267, PLANTA_BASE!A:R, 9, FALSE), "GENERAL"))</f>
        <v/>
      </c>
      <c r="H267" s="5">
        <f>IF(B267="","",IFERROR(VLOOKUP(B267, PLANTA_BASE!A:R, 17, FALSE), "GENERAL"))</f>
        <v/>
      </c>
    </row>
    <row r="268" ht="20" customHeight="1">
      <c r="A268" s="2">
        <f>IF(B268="","",IFERROR(VLOOKUP(B268, PLANTA_BASE!A:R, 2, FALSE), "NO ENCONTRADO EN PLANTA"))</f>
        <v/>
      </c>
      <c r="B268" s="3" t="inlineStr"/>
      <c r="C268" s="4">
        <f>IF(B268="","",IFERROR(VLOOKUP(B268, PLANTA_BASE!A:R, 3, FALSE), ""))</f>
        <v/>
      </c>
      <c r="D268" s="2">
        <f>IF(B268="","",IFERROR(VLOOKUP(B268, PLANTA_BASE!A:R, 5, FALSE), "NO ENCONTRADO EN PLANTA"))</f>
        <v/>
      </c>
      <c r="E268" s="2">
        <f>IF(B268="","",IFERROR(VLOOKUP(B268, PLANTA_BASE!A:R, 6, FALSE), "NO ENCONTRADO EN PLANTA"))</f>
        <v/>
      </c>
      <c r="F268" s="4">
        <f>IF(B268="","",IFERROR(VLOOKUP(B268, PLANTA_BASE!A:R, 8, FALSE), "DOCENTE / FACILITADOR"))</f>
        <v/>
      </c>
      <c r="G268" s="4">
        <f>IF(B268="","",IFERROR(VLOOKUP(B268, PLANTA_BASE!A:R, 9, FALSE), "GENERAL"))</f>
        <v/>
      </c>
      <c r="H268" s="2">
        <f>IF(B268="","",IFERROR(VLOOKUP(B268, PLANTA_BASE!A:R, 17, FALSE), "GENERAL"))</f>
        <v/>
      </c>
    </row>
    <row r="269" ht="20" customHeight="1">
      <c r="A269" s="5">
        <f>IF(B269="","",IFERROR(VLOOKUP(B269, PLANTA_BASE!A:R, 2, FALSE), "NO ENCONTRADO EN PLANTA"))</f>
        <v/>
      </c>
      <c r="B269" s="6" t="inlineStr"/>
      <c r="C269" s="7">
        <f>IF(B269="","",IFERROR(VLOOKUP(B269, PLANTA_BASE!A:R, 3, FALSE), ""))</f>
        <v/>
      </c>
      <c r="D269" s="5">
        <f>IF(B269="","",IFERROR(VLOOKUP(B269, PLANTA_BASE!A:R, 5, FALSE), "NO ENCONTRADO EN PLANTA"))</f>
        <v/>
      </c>
      <c r="E269" s="5">
        <f>IF(B269="","",IFERROR(VLOOKUP(B269, PLANTA_BASE!A:R, 6, FALSE), "NO ENCONTRADO EN PLANTA"))</f>
        <v/>
      </c>
      <c r="F269" s="7">
        <f>IF(B269="","",IFERROR(VLOOKUP(B269, PLANTA_BASE!A:R, 8, FALSE), "DOCENTE / FACILITADOR"))</f>
        <v/>
      </c>
      <c r="G269" s="7">
        <f>IF(B269="","",IFERROR(VLOOKUP(B269, PLANTA_BASE!A:R, 9, FALSE), "GENERAL"))</f>
        <v/>
      </c>
      <c r="H269" s="5">
        <f>IF(B269="","",IFERROR(VLOOKUP(B269, PLANTA_BASE!A:R, 17, FALSE), "GENERAL"))</f>
        <v/>
      </c>
    </row>
    <row r="270" ht="20" customHeight="1">
      <c r="A270" s="2">
        <f>IF(B270="","",IFERROR(VLOOKUP(B270, PLANTA_BASE!A:R, 2, FALSE), "NO ENCONTRADO EN PLANTA"))</f>
        <v/>
      </c>
      <c r="B270" s="3" t="inlineStr"/>
      <c r="C270" s="4">
        <f>IF(B270="","",IFERROR(VLOOKUP(B270, PLANTA_BASE!A:R, 3, FALSE), ""))</f>
        <v/>
      </c>
      <c r="D270" s="2">
        <f>IF(B270="","",IFERROR(VLOOKUP(B270, PLANTA_BASE!A:R, 5, FALSE), "NO ENCONTRADO EN PLANTA"))</f>
        <v/>
      </c>
      <c r="E270" s="2">
        <f>IF(B270="","",IFERROR(VLOOKUP(B270, PLANTA_BASE!A:R, 6, FALSE), "NO ENCONTRADO EN PLANTA"))</f>
        <v/>
      </c>
      <c r="F270" s="4">
        <f>IF(B270="","",IFERROR(VLOOKUP(B270, PLANTA_BASE!A:R, 8, FALSE), "DOCENTE / FACILITADOR"))</f>
        <v/>
      </c>
      <c r="G270" s="4">
        <f>IF(B270="","",IFERROR(VLOOKUP(B270, PLANTA_BASE!A:R, 9, FALSE), "GENERAL"))</f>
        <v/>
      </c>
      <c r="H270" s="2">
        <f>IF(B270="","",IFERROR(VLOOKUP(B270, PLANTA_BASE!A:R, 17, FALSE), "GENERAL"))</f>
        <v/>
      </c>
    </row>
    <row r="271" ht="20" customHeight="1">
      <c r="A271" s="5">
        <f>IF(B271="","",IFERROR(VLOOKUP(B271, PLANTA_BASE!A:R, 2, FALSE), "NO ENCONTRADO EN PLANTA"))</f>
        <v/>
      </c>
      <c r="B271" s="6" t="inlineStr"/>
      <c r="C271" s="7">
        <f>IF(B271="","",IFERROR(VLOOKUP(B271, PLANTA_BASE!A:R, 3, FALSE), ""))</f>
        <v/>
      </c>
      <c r="D271" s="5">
        <f>IF(B271="","",IFERROR(VLOOKUP(B271, PLANTA_BASE!A:R, 5, FALSE), "NO ENCONTRADO EN PLANTA"))</f>
        <v/>
      </c>
      <c r="E271" s="5">
        <f>IF(B271="","",IFERROR(VLOOKUP(B271, PLANTA_BASE!A:R, 6, FALSE), "NO ENCONTRADO EN PLANTA"))</f>
        <v/>
      </c>
      <c r="F271" s="7">
        <f>IF(B271="","",IFERROR(VLOOKUP(B271, PLANTA_BASE!A:R, 8, FALSE), "DOCENTE / FACILITADOR"))</f>
        <v/>
      </c>
      <c r="G271" s="7">
        <f>IF(B271="","",IFERROR(VLOOKUP(B271, PLANTA_BASE!A:R, 9, FALSE), "GENERAL"))</f>
        <v/>
      </c>
      <c r="H271" s="5">
        <f>IF(B271="","",IFERROR(VLOOKUP(B271, PLANTA_BASE!A:R, 17, FALSE), "GENERAL"))</f>
        <v/>
      </c>
    </row>
    <row r="272" ht="20" customHeight="1">
      <c r="A272" s="2">
        <f>IF(B272="","",IFERROR(VLOOKUP(B272, PLANTA_BASE!A:R, 2, FALSE), "NO ENCONTRADO EN PLANTA"))</f>
        <v/>
      </c>
      <c r="B272" s="3" t="inlineStr"/>
      <c r="C272" s="4">
        <f>IF(B272="","",IFERROR(VLOOKUP(B272, PLANTA_BASE!A:R, 3, FALSE), ""))</f>
        <v/>
      </c>
      <c r="D272" s="2">
        <f>IF(B272="","",IFERROR(VLOOKUP(B272, PLANTA_BASE!A:R, 5, FALSE), "NO ENCONTRADO EN PLANTA"))</f>
        <v/>
      </c>
      <c r="E272" s="2">
        <f>IF(B272="","",IFERROR(VLOOKUP(B272, PLANTA_BASE!A:R, 6, FALSE), "NO ENCONTRADO EN PLANTA"))</f>
        <v/>
      </c>
      <c r="F272" s="4">
        <f>IF(B272="","",IFERROR(VLOOKUP(B272, PLANTA_BASE!A:R, 8, FALSE), "DOCENTE / FACILITADOR"))</f>
        <v/>
      </c>
      <c r="G272" s="4">
        <f>IF(B272="","",IFERROR(VLOOKUP(B272, PLANTA_BASE!A:R, 9, FALSE), "GENERAL"))</f>
        <v/>
      </c>
      <c r="H272" s="2">
        <f>IF(B272="","",IFERROR(VLOOKUP(B272, PLANTA_BASE!A:R, 17, FALSE), "GENERAL"))</f>
        <v/>
      </c>
    </row>
    <row r="273" ht="20" customHeight="1">
      <c r="A273" s="5">
        <f>IF(B273="","",IFERROR(VLOOKUP(B273, PLANTA_BASE!A:R, 2, FALSE), "NO ENCONTRADO EN PLANTA"))</f>
        <v/>
      </c>
      <c r="B273" s="6" t="inlineStr"/>
      <c r="C273" s="7">
        <f>IF(B273="","",IFERROR(VLOOKUP(B273, PLANTA_BASE!A:R, 3, FALSE), ""))</f>
        <v/>
      </c>
      <c r="D273" s="5">
        <f>IF(B273="","",IFERROR(VLOOKUP(B273, PLANTA_BASE!A:R, 5, FALSE), "NO ENCONTRADO EN PLANTA"))</f>
        <v/>
      </c>
      <c r="E273" s="5">
        <f>IF(B273="","",IFERROR(VLOOKUP(B273, PLANTA_BASE!A:R, 6, FALSE), "NO ENCONTRADO EN PLANTA"))</f>
        <v/>
      </c>
      <c r="F273" s="7">
        <f>IF(B273="","",IFERROR(VLOOKUP(B273, PLANTA_BASE!A:R, 8, FALSE), "DOCENTE / FACILITADOR"))</f>
        <v/>
      </c>
      <c r="G273" s="7">
        <f>IF(B273="","",IFERROR(VLOOKUP(B273, PLANTA_BASE!A:R, 9, FALSE), "GENERAL"))</f>
        <v/>
      </c>
      <c r="H273" s="5">
        <f>IF(B273="","",IFERROR(VLOOKUP(B273, PLANTA_BASE!A:R, 17, FALSE), "GENERAL"))</f>
        <v/>
      </c>
    </row>
    <row r="274" ht="20" customHeight="1">
      <c r="A274" s="2">
        <f>IF(B274="","",IFERROR(VLOOKUP(B274, PLANTA_BASE!A:R, 2, FALSE), "NO ENCONTRADO EN PLANTA"))</f>
        <v/>
      </c>
      <c r="B274" s="3" t="inlineStr"/>
      <c r="C274" s="4">
        <f>IF(B274="","",IFERROR(VLOOKUP(B274, PLANTA_BASE!A:R, 3, FALSE), ""))</f>
        <v/>
      </c>
      <c r="D274" s="2">
        <f>IF(B274="","",IFERROR(VLOOKUP(B274, PLANTA_BASE!A:R, 5, FALSE), "NO ENCONTRADO EN PLANTA"))</f>
        <v/>
      </c>
      <c r="E274" s="2">
        <f>IF(B274="","",IFERROR(VLOOKUP(B274, PLANTA_BASE!A:R, 6, FALSE), "NO ENCONTRADO EN PLANTA"))</f>
        <v/>
      </c>
      <c r="F274" s="4">
        <f>IF(B274="","",IFERROR(VLOOKUP(B274, PLANTA_BASE!A:R, 8, FALSE), "DOCENTE / FACILITADOR"))</f>
        <v/>
      </c>
      <c r="G274" s="4">
        <f>IF(B274="","",IFERROR(VLOOKUP(B274, PLANTA_BASE!A:R, 9, FALSE), "GENERAL"))</f>
        <v/>
      </c>
      <c r="H274" s="2">
        <f>IF(B274="","",IFERROR(VLOOKUP(B274, PLANTA_BASE!A:R, 17, FALSE), "GENERAL"))</f>
        <v/>
      </c>
    </row>
    <row r="275" ht="20" customHeight="1">
      <c r="A275" s="5">
        <f>IF(B275="","",IFERROR(VLOOKUP(B275, PLANTA_BASE!A:R, 2, FALSE), "NO ENCONTRADO EN PLANTA"))</f>
        <v/>
      </c>
      <c r="B275" s="6" t="inlineStr"/>
      <c r="C275" s="7">
        <f>IF(B275="","",IFERROR(VLOOKUP(B275, PLANTA_BASE!A:R, 3, FALSE), ""))</f>
        <v/>
      </c>
      <c r="D275" s="5">
        <f>IF(B275="","",IFERROR(VLOOKUP(B275, PLANTA_BASE!A:R, 5, FALSE), "NO ENCONTRADO EN PLANTA"))</f>
        <v/>
      </c>
      <c r="E275" s="5">
        <f>IF(B275="","",IFERROR(VLOOKUP(B275, PLANTA_BASE!A:R, 6, FALSE), "NO ENCONTRADO EN PLANTA"))</f>
        <v/>
      </c>
      <c r="F275" s="7">
        <f>IF(B275="","",IFERROR(VLOOKUP(B275, PLANTA_BASE!A:R, 8, FALSE), "DOCENTE / FACILITADOR"))</f>
        <v/>
      </c>
      <c r="G275" s="7">
        <f>IF(B275="","",IFERROR(VLOOKUP(B275, PLANTA_BASE!A:R, 9, FALSE), "GENERAL"))</f>
        <v/>
      </c>
      <c r="H275" s="5">
        <f>IF(B275="","",IFERROR(VLOOKUP(B275, PLANTA_BASE!A:R, 17, FALSE), "GENERAL"))</f>
        <v/>
      </c>
    </row>
    <row r="276" ht="20" customHeight="1">
      <c r="A276" s="2">
        <f>IF(B276="","",IFERROR(VLOOKUP(B276, PLANTA_BASE!A:R, 2, FALSE), "NO ENCONTRADO EN PLANTA"))</f>
        <v/>
      </c>
      <c r="B276" s="3" t="inlineStr"/>
      <c r="C276" s="4">
        <f>IF(B276="","",IFERROR(VLOOKUP(B276, PLANTA_BASE!A:R, 3, FALSE), ""))</f>
        <v/>
      </c>
      <c r="D276" s="2">
        <f>IF(B276="","",IFERROR(VLOOKUP(B276, PLANTA_BASE!A:R, 5, FALSE), "NO ENCONTRADO EN PLANTA"))</f>
        <v/>
      </c>
      <c r="E276" s="2">
        <f>IF(B276="","",IFERROR(VLOOKUP(B276, PLANTA_BASE!A:R, 6, FALSE), "NO ENCONTRADO EN PLANTA"))</f>
        <v/>
      </c>
      <c r="F276" s="4">
        <f>IF(B276="","",IFERROR(VLOOKUP(B276, PLANTA_BASE!A:R, 8, FALSE), "DOCENTE / FACILITADOR"))</f>
        <v/>
      </c>
      <c r="G276" s="4">
        <f>IF(B276="","",IFERROR(VLOOKUP(B276, PLANTA_BASE!A:R, 9, FALSE), "GENERAL"))</f>
        <v/>
      </c>
      <c r="H276" s="2">
        <f>IF(B276="","",IFERROR(VLOOKUP(B276, PLANTA_BASE!A:R, 17, FALSE), "GENERAL"))</f>
        <v/>
      </c>
    </row>
    <row r="277" ht="20" customHeight="1">
      <c r="A277" s="5">
        <f>IF(B277="","",IFERROR(VLOOKUP(B277, PLANTA_BASE!A:R, 2, FALSE), "NO ENCONTRADO EN PLANTA"))</f>
        <v/>
      </c>
      <c r="B277" s="6" t="inlineStr"/>
      <c r="C277" s="7">
        <f>IF(B277="","",IFERROR(VLOOKUP(B277, PLANTA_BASE!A:R, 3, FALSE), ""))</f>
        <v/>
      </c>
      <c r="D277" s="5">
        <f>IF(B277="","",IFERROR(VLOOKUP(B277, PLANTA_BASE!A:R, 5, FALSE), "NO ENCONTRADO EN PLANTA"))</f>
        <v/>
      </c>
      <c r="E277" s="5">
        <f>IF(B277="","",IFERROR(VLOOKUP(B277, PLANTA_BASE!A:R, 6, FALSE), "NO ENCONTRADO EN PLANTA"))</f>
        <v/>
      </c>
      <c r="F277" s="7">
        <f>IF(B277="","",IFERROR(VLOOKUP(B277, PLANTA_BASE!A:R, 8, FALSE), "DOCENTE / FACILITADOR"))</f>
        <v/>
      </c>
      <c r="G277" s="7">
        <f>IF(B277="","",IFERROR(VLOOKUP(B277, PLANTA_BASE!A:R, 9, FALSE), "GENERAL"))</f>
        <v/>
      </c>
      <c r="H277" s="5">
        <f>IF(B277="","",IFERROR(VLOOKUP(B277, PLANTA_BASE!A:R, 17, FALSE), "GENERAL"))</f>
        <v/>
      </c>
    </row>
    <row r="278" ht="20" customHeight="1">
      <c r="A278" s="2">
        <f>IF(B278="","",IFERROR(VLOOKUP(B278, PLANTA_BASE!A:R, 2, FALSE), "NO ENCONTRADO EN PLANTA"))</f>
        <v/>
      </c>
      <c r="B278" s="3" t="inlineStr"/>
      <c r="C278" s="4">
        <f>IF(B278="","",IFERROR(VLOOKUP(B278, PLANTA_BASE!A:R, 3, FALSE), ""))</f>
        <v/>
      </c>
      <c r="D278" s="2">
        <f>IF(B278="","",IFERROR(VLOOKUP(B278, PLANTA_BASE!A:R, 5, FALSE), "NO ENCONTRADO EN PLANTA"))</f>
        <v/>
      </c>
      <c r="E278" s="2">
        <f>IF(B278="","",IFERROR(VLOOKUP(B278, PLANTA_BASE!A:R, 6, FALSE), "NO ENCONTRADO EN PLANTA"))</f>
        <v/>
      </c>
      <c r="F278" s="4">
        <f>IF(B278="","",IFERROR(VLOOKUP(B278, PLANTA_BASE!A:R, 8, FALSE), "DOCENTE / FACILITADOR"))</f>
        <v/>
      </c>
      <c r="G278" s="4">
        <f>IF(B278="","",IFERROR(VLOOKUP(B278, PLANTA_BASE!A:R, 9, FALSE), "GENERAL"))</f>
        <v/>
      </c>
      <c r="H278" s="2">
        <f>IF(B278="","",IFERROR(VLOOKUP(B278, PLANTA_BASE!A:R, 17, FALSE), "GENERAL"))</f>
        <v/>
      </c>
    </row>
    <row r="279" ht="20" customHeight="1">
      <c r="A279" s="5">
        <f>IF(B279="","",IFERROR(VLOOKUP(B279, PLANTA_BASE!A:R, 2, FALSE), "NO ENCONTRADO EN PLANTA"))</f>
        <v/>
      </c>
      <c r="B279" s="6" t="inlineStr"/>
      <c r="C279" s="7">
        <f>IF(B279="","",IFERROR(VLOOKUP(B279, PLANTA_BASE!A:R, 3, FALSE), ""))</f>
        <v/>
      </c>
      <c r="D279" s="5">
        <f>IF(B279="","",IFERROR(VLOOKUP(B279, PLANTA_BASE!A:R, 5, FALSE), "NO ENCONTRADO EN PLANTA"))</f>
        <v/>
      </c>
      <c r="E279" s="5">
        <f>IF(B279="","",IFERROR(VLOOKUP(B279, PLANTA_BASE!A:R, 6, FALSE), "NO ENCONTRADO EN PLANTA"))</f>
        <v/>
      </c>
      <c r="F279" s="7">
        <f>IF(B279="","",IFERROR(VLOOKUP(B279, PLANTA_BASE!A:R, 8, FALSE), "DOCENTE / FACILITADOR"))</f>
        <v/>
      </c>
      <c r="G279" s="7">
        <f>IF(B279="","",IFERROR(VLOOKUP(B279, PLANTA_BASE!A:R, 9, FALSE), "GENERAL"))</f>
        <v/>
      </c>
      <c r="H279" s="5">
        <f>IF(B279="","",IFERROR(VLOOKUP(B279, PLANTA_BASE!A:R, 17, FALSE), "GENERAL"))</f>
        <v/>
      </c>
    </row>
    <row r="280" ht="20" customHeight="1">
      <c r="A280" s="2">
        <f>IF(B280="","",IFERROR(VLOOKUP(B280, PLANTA_BASE!A:R, 2, FALSE), "NO ENCONTRADO EN PLANTA"))</f>
        <v/>
      </c>
      <c r="B280" s="3" t="inlineStr"/>
      <c r="C280" s="4">
        <f>IF(B280="","",IFERROR(VLOOKUP(B280, PLANTA_BASE!A:R, 3, FALSE), ""))</f>
        <v/>
      </c>
      <c r="D280" s="2">
        <f>IF(B280="","",IFERROR(VLOOKUP(B280, PLANTA_BASE!A:R, 5, FALSE), "NO ENCONTRADO EN PLANTA"))</f>
        <v/>
      </c>
      <c r="E280" s="2">
        <f>IF(B280="","",IFERROR(VLOOKUP(B280, PLANTA_BASE!A:R, 6, FALSE), "NO ENCONTRADO EN PLANTA"))</f>
        <v/>
      </c>
      <c r="F280" s="4">
        <f>IF(B280="","",IFERROR(VLOOKUP(B280, PLANTA_BASE!A:R, 8, FALSE), "DOCENTE / FACILITADOR"))</f>
        <v/>
      </c>
      <c r="G280" s="4">
        <f>IF(B280="","",IFERROR(VLOOKUP(B280, PLANTA_BASE!A:R, 9, FALSE), "GENERAL"))</f>
        <v/>
      </c>
      <c r="H280" s="2">
        <f>IF(B280="","",IFERROR(VLOOKUP(B280, PLANTA_BASE!A:R, 17, FALSE), "GENERAL"))</f>
        <v/>
      </c>
    </row>
    <row r="281" ht="20" customHeight="1">
      <c r="A281" s="5">
        <f>IF(B281="","",IFERROR(VLOOKUP(B281, PLANTA_BASE!A:R, 2, FALSE), "NO ENCONTRADO EN PLANTA"))</f>
        <v/>
      </c>
      <c r="B281" s="6" t="inlineStr"/>
      <c r="C281" s="7">
        <f>IF(B281="","",IFERROR(VLOOKUP(B281, PLANTA_BASE!A:R, 3, FALSE), ""))</f>
        <v/>
      </c>
      <c r="D281" s="5">
        <f>IF(B281="","",IFERROR(VLOOKUP(B281, PLANTA_BASE!A:R, 5, FALSE), "NO ENCONTRADO EN PLANTA"))</f>
        <v/>
      </c>
      <c r="E281" s="5">
        <f>IF(B281="","",IFERROR(VLOOKUP(B281, PLANTA_BASE!A:R, 6, FALSE), "NO ENCONTRADO EN PLANTA"))</f>
        <v/>
      </c>
      <c r="F281" s="7">
        <f>IF(B281="","",IFERROR(VLOOKUP(B281, PLANTA_BASE!A:R, 8, FALSE), "DOCENTE / FACILITADOR"))</f>
        <v/>
      </c>
      <c r="G281" s="7">
        <f>IF(B281="","",IFERROR(VLOOKUP(B281, PLANTA_BASE!A:R, 9, FALSE), "GENERAL"))</f>
        <v/>
      </c>
      <c r="H281" s="5">
        <f>IF(B281="","",IFERROR(VLOOKUP(B281, PLANTA_BASE!A:R, 17, FALSE), "GENERAL"))</f>
        <v/>
      </c>
    </row>
    <row r="282" ht="20" customHeight="1">
      <c r="A282" s="2">
        <f>IF(B282="","",IFERROR(VLOOKUP(B282, PLANTA_BASE!A:R, 2, FALSE), "NO ENCONTRADO EN PLANTA"))</f>
        <v/>
      </c>
      <c r="B282" s="3" t="inlineStr"/>
      <c r="C282" s="4">
        <f>IF(B282="","",IFERROR(VLOOKUP(B282, PLANTA_BASE!A:R, 3, FALSE), ""))</f>
        <v/>
      </c>
      <c r="D282" s="2">
        <f>IF(B282="","",IFERROR(VLOOKUP(B282, PLANTA_BASE!A:R, 5, FALSE), "NO ENCONTRADO EN PLANTA"))</f>
        <v/>
      </c>
      <c r="E282" s="2">
        <f>IF(B282="","",IFERROR(VLOOKUP(B282, PLANTA_BASE!A:R, 6, FALSE), "NO ENCONTRADO EN PLANTA"))</f>
        <v/>
      </c>
      <c r="F282" s="4">
        <f>IF(B282="","",IFERROR(VLOOKUP(B282, PLANTA_BASE!A:R, 8, FALSE), "DOCENTE / FACILITADOR"))</f>
        <v/>
      </c>
      <c r="G282" s="4">
        <f>IF(B282="","",IFERROR(VLOOKUP(B282, PLANTA_BASE!A:R, 9, FALSE), "GENERAL"))</f>
        <v/>
      </c>
      <c r="H282" s="2">
        <f>IF(B282="","",IFERROR(VLOOKUP(B282, PLANTA_BASE!A:R, 17, FALSE), "GENERAL"))</f>
        <v/>
      </c>
    </row>
    <row r="283" ht="20" customHeight="1">
      <c r="A283" s="5">
        <f>IF(B283="","",IFERROR(VLOOKUP(B283, PLANTA_BASE!A:R, 2, FALSE), "NO ENCONTRADO EN PLANTA"))</f>
        <v/>
      </c>
      <c r="B283" s="6" t="inlineStr"/>
      <c r="C283" s="7">
        <f>IF(B283="","",IFERROR(VLOOKUP(B283, PLANTA_BASE!A:R, 3, FALSE), ""))</f>
        <v/>
      </c>
      <c r="D283" s="5">
        <f>IF(B283="","",IFERROR(VLOOKUP(B283, PLANTA_BASE!A:R, 5, FALSE), "NO ENCONTRADO EN PLANTA"))</f>
        <v/>
      </c>
      <c r="E283" s="5">
        <f>IF(B283="","",IFERROR(VLOOKUP(B283, PLANTA_BASE!A:R, 6, FALSE), "NO ENCONTRADO EN PLANTA"))</f>
        <v/>
      </c>
      <c r="F283" s="7">
        <f>IF(B283="","",IFERROR(VLOOKUP(B283, PLANTA_BASE!A:R, 8, FALSE), "DOCENTE / FACILITADOR"))</f>
        <v/>
      </c>
      <c r="G283" s="7">
        <f>IF(B283="","",IFERROR(VLOOKUP(B283, PLANTA_BASE!A:R, 9, FALSE), "GENERAL"))</f>
        <v/>
      </c>
      <c r="H283" s="5">
        <f>IF(B283="","",IFERROR(VLOOKUP(B283, PLANTA_BASE!A:R, 17, FALSE), "GENERAL"))</f>
        <v/>
      </c>
    </row>
    <row r="284" ht="20" customHeight="1">
      <c r="A284" s="2">
        <f>IF(B284="","",IFERROR(VLOOKUP(B284, PLANTA_BASE!A:R, 2, FALSE), "NO ENCONTRADO EN PLANTA"))</f>
        <v/>
      </c>
      <c r="B284" s="3" t="inlineStr"/>
      <c r="C284" s="4">
        <f>IF(B284="","",IFERROR(VLOOKUP(B284, PLANTA_BASE!A:R, 3, FALSE), ""))</f>
        <v/>
      </c>
      <c r="D284" s="2">
        <f>IF(B284="","",IFERROR(VLOOKUP(B284, PLANTA_BASE!A:R, 5, FALSE), "NO ENCONTRADO EN PLANTA"))</f>
        <v/>
      </c>
      <c r="E284" s="2">
        <f>IF(B284="","",IFERROR(VLOOKUP(B284, PLANTA_BASE!A:R, 6, FALSE), "NO ENCONTRADO EN PLANTA"))</f>
        <v/>
      </c>
      <c r="F284" s="4">
        <f>IF(B284="","",IFERROR(VLOOKUP(B284, PLANTA_BASE!A:R, 8, FALSE), "DOCENTE / FACILITADOR"))</f>
        <v/>
      </c>
      <c r="G284" s="4">
        <f>IF(B284="","",IFERROR(VLOOKUP(B284, PLANTA_BASE!A:R, 9, FALSE), "GENERAL"))</f>
        <v/>
      </c>
      <c r="H284" s="2">
        <f>IF(B284="","",IFERROR(VLOOKUP(B284, PLANTA_BASE!A:R, 17, FALSE), "GENERAL"))</f>
        <v/>
      </c>
    </row>
    <row r="285" ht="20" customHeight="1">
      <c r="A285" s="5">
        <f>IF(B285="","",IFERROR(VLOOKUP(B285, PLANTA_BASE!A:R, 2, FALSE), "NO ENCONTRADO EN PLANTA"))</f>
        <v/>
      </c>
      <c r="B285" s="6" t="inlineStr"/>
      <c r="C285" s="7">
        <f>IF(B285="","",IFERROR(VLOOKUP(B285, PLANTA_BASE!A:R, 3, FALSE), ""))</f>
        <v/>
      </c>
      <c r="D285" s="5">
        <f>IF(B285="","",IFERROR(VLOOKUP(B285, PLANTA_BASE!A:R, 5, FALSE), "NO ENCONTRADO EN PLANTA"))</f>
        <v/>
      </c>
      <c r="E285" s="5">
        <f>IF(B285="","",IFERROR(VLOOKUP(B285, PLANTA_BASE!A:R, 6, FALSE), "NO ENCONTRADO EN PLANTA"))</f>
        <v/>
      </c>
      <c r="F285" s="7">
        <f>IF(B285="","",IFERROR(VLOOKUP(B285, PLANTA_BASE!A:R, 8, FALSE), "DOCENTE / FACILITADOR"))</f>
        <v/>
      </c>
      <c r="G285" s="7">
        <f>IF(B285="","",IFERROR(VLOOKUP(B285, PLANTA_BASE!A:R, 9, FALSE), "GENERAL"))</f>
        <v/>
      </c>
      <c r="H285" s="5">
        <f>IF(B285="","",IFERROR(VLOOKUP(B285, PLANTA_BASE!A:R, 17, FALSE), "GENERAL"))</f>
        <v/>
      </c>
    </row>
    <row r="286" ht="20" customHeight="1">
      <c r="A286" s="2">
        <f>IF(B286="","",IFERROR(VLOOKUP(B286, PLANTA_BASE!A:R, 2, FALSE), "NO ENCONTRADO EN PLANTA"))</f>
        <v/>
      </c>
      <c r="B286" s="3" t="inlineStr"/>
      <c r="C286" s="4">
        <f>IF(B286="","",IFERROR(VLOOKUP(B286, PLANTA_BASE!A:R, 3, FALSE), ""))</f>
        <v/>
      </c>
      <c r="D286" s="2">
        <f>IF(B286="","",IFERROR(VLOOKUP(B286, PLANTA_BASE!A:R, 5, FALSE), "NO ENCONTRADO EN PLANTA"))</f>
        <v/>
      </c>
      <c r="E286" s="2">
        <f>IF(B286="","",IFERROR(VLOOKUP(B286, PLANTA_BASE!A:R, 6, FALSE), "NO ENCONTRADO EN PLANTA"))</f>
        <v/>
      </c>
      <c r="F286" s="4">
        <f>IF(B286="","",IFERROR(VLOOKUP(B286, PLANTA_BASE!A:R, 8, FALSE), "DOCENTE / FACILITADOR"))</f>
        <v/>
      </c>
      <c r="G286" s="4">
        <f>IF(B286="","",IFERROR(VLOOKUP(B286, PLANTA_BASE!A:R, 9, FALSE), "GENERAL"))</f>
        <v/>
      </c>
      <c r="H286" s="2">
        <f>IF(B286="","",IFERROR(VLOOKUP(B286, PLANTA_BASE!A:R, 17, FALSE), "GENERAL"))</f>
        <v/>
      </c>
    </row>
    <row r="287" ht="20" customHeight="1">
      <c r="A287" s="5">
        <f>IF(B287="","",IFERROR(VLOOKUP(B287, PLANTA_BASE!A:R, 2, FALSE), "NO ENCONTRADO EN PLANTA"))</f>
        <v/>
      </c>
      <c r="B287" s="6" t="inlineStr"/>
      <c r="C287" s="7">
        <f>IF(B287="","",IFERROR(VLOOKUP(B287, PLANTA_BASE!A:R, 3, FALSE), ""))</f>
        <v/>
      </c>
      <c r="D287" s="5">
        <f>IF(B287="","",IFERROR(VLOOKUP(B287, PLANTA_BASE!A:R, 5, FALSE), "NO ENCONTRADO EN PLANTA"))</f>
        <v/>
      </c>
      <c r="E287" s="5">
        <f>IF(B287="","",IFERROR(VLOOKUP(B287, PLANTA_BASE!A:R, 6, FALSE), "NO ENCONTRADO EN PLANTA"))</f>
        <v/>
      </c>
      <c r="F287" s="7">
        <f>IF(B287="","",IFERROR(VLOOKUP(B287, PLANTA_BASE!A:R, 8, FALSE), "DOCENTE / FACILITADOR"))</f>
        <v/>
      </c>
      <c r="G287" s="7">
        <f>IF(B287="","",IFERROR(VLOOKUP(B287, PLANTA_BASE!A:R, 9, FALSE), "GENERAL"))</f>
        <v/>
      </c>
      <c r="H287" s="5">
        <f>IF(B287="","",IFERROR(VLOOKUP(B287, PLANTA_BASE!A:R, 17, FALSE), "GENERAL"))</f>
        <v/>
      </c>
    </row>
    <row r="288" ht="20" customHeight="1">
      <c r="A288" s="2">
        <f>IF(B288="","",IFERROR(VLOOKUP(B288, PLANTA_BASE!A:R, 2, FALSE), "NO ENCONTRADO EN PLANTA"))</f>
        <v/>
      </c>
      <c r="B288" s="3" t="inlineStr"/>
      <c r="C288" s="4">
        <f>IF(B288="","",IFERROR(VLOOKUP(B288, PLANTA_BASE!A:R, 3, FALSE), ""))</f>
        <v/>
      </c>
      <c r="D288" s="2">
        <f>IF(B288="","",IFERROR(VLOOKUP(B288, PLANTA_BASE!A:R, 5, FALSE), "NO ENCONTRADO EN PLANTA"))</f>
        <v/>
      </c>
      <c r="E288" s="2">
        <f>IF(B288="","",IFERROR(VLOOKUP(B288, PLANTA_BASE!A:R, 6, FALSE), "NO ENCONTRADO EN PLANTA"))</f>
        <v/>
      </c>
      <c r="F288" s="4">
        <f>IF(B288="","",IFERROR(VLOOKUP(B288, PLANTA_BASE!A:R, 8, FALSE), "DOCENTE / FACILITADOR"))</f>
        <v/>
      </c>
      <c r="G288" s="4">
        <f>IF(B288="","",IFERROR(VLOOKUP(B288, PLANTA_BASE!A:R, 9, FALSE), "GENERAL"))</f>
        <v/>
      </c>
      <c r="H288" s="2">
        <f>IF(B288="","",IFERROR(VLOOKUP(B288, PLANTA_BASE!A:R, 17, FALSE), "GENERAL"))</f>
        <v/>
      </c>
    </row>
    <row r="289" ht="20" customHeight="1">
      <c r="A289" s="5">
        <f>IF(B289="","",IFERROR(VLOOKUP(B289, PLANTA_BASE!A:R, 2, FALSE), "NO ENCONTRADO EN PLANTA"))</f>
        <v/>
      </c>
      <c r="B289" s="6" t="inlineStr"/>
      <c r="C289" s="7">
        <f>IF(B289="","",IFERROR(VLOOKUP(B289, PLANTA_BASE!A:R, 3, FALSE), ""))</f>
        <v/>
      </c>
      <c r="D289" s="5">
        <f>IF(B289="","",IFERROR(VLOOKUP(B289, PLANTA_BASE!A:R, 5, FALSE), "NO ENCONTRADO EN PLANTA"))</f>
        <v/>
      </c>
      <c r="E289" s="5">
        <f>IF(B289="","",IFERROR(VLOOKUP(B289, PLANTA_BASE!A:R, 6, FALSE), "NO ENCONTRADO EN PLANTA"))</f>
        <v/>
      </c>
      <c r="F289" s="7">
        <f>IF(B289="","",IFERROR(VLOOKUP(B289, PLANTA_BASE!A:R, 8, FALSE), "DOCENTE / FACILITADOR"))</f>
        <v/>
      </c>
      <c r="G289" s="7">
        <f>IF(B289="","",IFERROR(VLOOKUP(B289, PLANTA_BASE!A:R, 9, FALSE), "GENERAL"))</f>
        <v/>
      </c>
      <c r="H289" s="5">
        <f>IF(B289="","",IFERROR(VLOOKUP(B289, PLANTA_BASE!A:R, 17, FALSE), "GENERAL"))</f>
        <v/>
      </c>
    </row>
    <row r="290" ht="20" customHeight="1">
      <c r="A290" s="2">
        <f>IF(B290="","",IFERROR(VLOOKUP(B290, PLANTA_BASE!A:R, 2, FALSE), "NO ENCONTRADO EN PLANTA"))</f>
        <v/>
      </c>
      <c r="B290" s="3" t="inlineStr"/>
      <c r="C290" s="4">
        <f>IF(B290="","",IFERROR(VLOOKUP(B290, PLANTA_BASE!A:R, 3, FALSE), ""))</f>
        <v/>
      </c>
      <c r="D290" s="2">
        <f>IF(B290="","",IFERROR(VLOOKUP(B290, PLANTA_BASE!A:R, 5, FALSE), "NO ENCONTRADO EN PLANTA"))</f>
        <v/>
      </c>
      <c r="E290" s="2">
        <f>IF(B290="","",IFERROR(VLOOKUP(B290, PLANTA_BASE!A:R, 6, FALSE), "NO ENCONTRADO EN PLANTA"))</f>
        <v/>
      </c>
      <c r="F290" s="4">
        <f>IF(B290="","",IFERROR(VLOOKUP(B290, PLANTA_BASE!A:R, 8, FALSE), "DOCENTE / FACILITADOR"))</f>
        <v/>
      </c>
      <c r="G290" s="4">
        <f>IF(B290="","",IFERROR(VLOOKUP(B290, PLANTA_BASE!A:R, 9, FALSE), "GENERAL"))</f>
        <v/>
      </c>
      <c r="H290" s="2">
        <f>IF(B290="","",IFERROR(VLOOKUP(B290, PLANTA_BASE!A:R, 17, FALSE), "GENERAL"))</f>
        <v/>
      </c>
    </row>
    <row r="291" ht="20" customHeight="1">
      <c r="A291" s="5">
        <f>IF(B291="","",IFERROR(VLOOKUP(B291, PLANTA_BASE!A:R, 2, FALSE), "NO ENCONTRADO EN PLANTA"))</f>
        <v/>
      </c>
      <c r="B291" s="6" t="inlineStr"/>
      <c r="C291" s="7">
        <f>IF(B291="","",IFERROR(VLOOKUP(B291, PLANTA_BASE!A:R, 3, FALSE), ""))</f>
        <v/>
      </c>
      <c r="D291" s="5">
        <f>IF(B291="","",IFERROR(VLOOKUP(B291, PLANTA_BASE!A:R, 5, FALSE), "NO ENCONTRADO EN PLANTA"))</f>
        <v/>
      </c>
      <c r="E291" s="5">
        <f>IF(B291="","",IFERROR(VLOOKUP(B291, PLANTA_BASE!A:R, 6, FALSE), "NO ENCONTRADO EN PLANTA"))</f>
        <v/>
      </c>
      <c r="F291" s="7">
        <f>IF(B291="","",IFERROR(VLOOKUP(B291, PLANTA_BASE!A:R, 8, FALSE), "DOCENTE / FACILITADOR"))</f>
        <v/>
      </c>
      <c r="G291" s="7">
        <f>IF(B291="","",IFERROR(VLOOKUP(B291, PLANTA_BASE!A:R, 9, FALSE), "GENERAL"))</f>
        <v/>
      </c>
      <c r="H291" s="5">
        <f>IF(B291="","",IFERROR(VLOOKUP(B291, PLANTA_BASE!A:R, 17, FALSE), "GENERAL"))</f>
        <v/>
      </c>
    </row>
    <row r="292" ht="20" customHeight="1">
      <c r="A292" s="2">
        <f>IF(B292="","",IFERROR(VLOOKUP(B292, PLANTA_BASE!A:R, 2, FALSE), "NO ENCONTRADO EN PLANTA"))</f>
        <v/>
      </c>
      <c r="B292" s="3" t="inlineStr"/>
      <c r="C292" s="4">
        <f>IF(B292="","",IFERROR(VLOOKUP(B292, PLANTA_BASE!A:R, 3, FALSE), ""))</f>
        <v/>
      </c>
      <c r="D292" s="2">
        <f>IF(B292="","",IFERROR(VLOOKUP(B292, PLANTA_BASE!A:R, 5, FALSE), "NO ENCONTRADO EN PLANTA"))</f>
        <v/>
      </c>
      <c r="E292" s="2">
        <f>IF(B292="","",IFERROR(VLOOKUP(B292, PLANTA_BASE!A:R, 6, FALSE), "NO ENCONTRADO EN PLANTA"))</f>
        <v/>
      </c>
      <c r="F292" s="4">
        <f>IF(B292="","",IFERROR(VLOOKUP(B292, PLANTA_BASE!A:R, 8, FALSE), "DOCENTE / FACILITADOR"))</f>
        <v/>
      </c>
      <c r="G292" s="4">
        <f>IF(B292="","",IFERROR(VLOOKUP(B292, PLANTA_BASE!A:R, 9, FALSE), "GENERAL"))</f>
        <v/>
      </c>
      <c r="H292" s="2">
        <f>IF(B292="","",IFERROR(VLOOKUP(B292, PLANTA_BASE!A:R, 17, FALSE), "GENERAL"))</f>
        <v/>
      </c>
    </row>
    <row r="293" ht="20" customHeight="1">
      <c r="A293" s="5">
        <f>IF(B293="","",IFERROR(VLOOKUP(B293, PLANTA_BASE!A:R, 2, FALSE), "NO ENCONTRADO EN PLANTA"))</f>
        <v/>
      </c>
      <c r="B293" s="6" t="inlineStr"/>
      <c r="C293" s="7">
        <f>IF(B293="","",IFERROR(VLOOKUP(B293, PLANTA_BASE!A:R, 3, FALSE), ""))</f>
        <v/>
      </c>
      <c r="D293" s="5">
        <f>IF(B293="","",IFERROR(VLOOKUP(B293, PLANTA_BASE!A:R, 5, FALSE), "NO ENCONTRADO EN PLANTA"))</f>
        <v/>
      </c>
      <c r="E293" s="5">
        <f>IF(B293="","",IFERROR(VLOOKUP(B293, PLANTA_BASE!A:R, 6, FALSE), "NO ENCONTRADO EN PLANTA"))</f>
        <v/>
      </c>
      <c r="F293" s="7">
        <f>IF(B293="","",IFERROR(VLOOKUP(B293, PLANTA_BASE!A:R, 8, FALSE), "DOCENTE / FACILITADOR"))</f>
        <v/>
      </c>
      <c r="G293" s="7">
        <f>IF(B293="","",IFERROR(VLOOKUP(B293, PLANTA_BASE!A:R, 9, FALSE), "GENERAL"))</f>
        <v/>
      </c>
      <c r="H293" s="5">
        <f>IF(B293="","",IFERROR(VLOOKUP(B293, PLANTA_BASE!A:R, 17, FALSE), "GENERAL"))</f>
        <v/>
      </c>
    </row>
    <row r="294" ht="20" customHeight="1">
      <c r="A294" s="2">
        <f>IF(B294="","",IFERROR(VLOOKUP(B294, PLANTA_BASE!A:R, 2, FALSE), "NO ENCONTRADO EN PLANTA"))</f>
        <v/>
      </c>
      <c r="B294" s="3" t="inlineStr"/>
      <c r="C294" s="4">
        <f>IF(B294="","",IFERROR(VLOOKUP(B294, PLANTA_BASE!A:R, 3, FALSE), ""))</f>
        <v/>
      </c>
      <c r="D294" s="2">
        <f>IF(B294="","",IFERROR(VLOOKUP(B294, PLANTA_BASE!A:R, 5, FALSE), "NO ENCONTRADO EN PLANTA"))</f>
        <v/>
      </c>
      <c r="E294" s="2">
        <f>IF(B294="","",IFERROR(VLOOKUP(B294, PLANTA_BASE!A:R, 6, FALSE), "NO ENCONTRADO EN PLANTA"))</f>
        <v/>
      </c>
      <c r="F294" s="4">
        <f>IF(B294="","",IFERROR(VLOOKUP(B294, PLANTA_BASE!A:R, 8, FALSE), "DOCENTE / FACILITADOR"))</f>
        <v/>
      </c>
      <c r="G294" s="4">
        <f>IF(B294="","",IFERROR(VLOOKUP(B294, PLANTA_BASE!A:R, 9, FALSE), "GENERAL"))</f>
        <v/>
      </c>
      <c r="H294" s="2">
        <f>IF(B294="","",IFERROR(VLOOKUP(B294, PLANTA_BASE!A:R, 17, FALSE), "GENERAL"))</f>
        <v/>
      </c>
    </row>
    <row r="295" ht="20" customHeight="1">
      <c r="A295" s="5">
        <f>IF(B295="","",IFERROR(VLOOKUP(B295, PLANTA_BASE!A:R, 2, FALSE), "NO ENCONTRADO EN PLANTA"))</f>
        <v/>
      </c>
      <c r="B295" s="6" t="inlineStr"/>
      <c r="C295" s="7">
        <f>IF(B295="","",IFERROR(VLOOKUP(B295, PLANTA_BASE!A:R, 3, FALSE), ""))</f>
        <v/>
      </c>
      <c r="D295" s="5">
        <f>IF(B295="","",IFERROR(VLOOKUP(B295, PLANTA_BASE!A:R, 5, FALSE), "NO ENCONTRADO EN PLANTA"))</f>
        <v/>
      </c>
      <c r="E295" s="5">
        <f>IF(B295="","",IFERROR(VLOOKUP(B295, PLANTA_BASE!A:R, 6, FALSE), "NO ENCONTRADO EN PLANTA"))</f>
        <v/>
      </c>
      <c r="F295" s="7">
        <f>IF(B295="","",IFERROR(VLOOKUP(B295, PLANTA_BASE!A:R, 8, FALSE), "DOCENTE / FACILITADOR"))</f>
        <v/>
      </c>
      <c r="G295" s="7">
        <f>IF(B295="","",IFERROR(VLOOKUP(B295, PLANTA_BASE!A:R, 9, FALSE), "GENERAL"))</f>
        <v/>
      </c>
      <c r="H295" s="5">
        <f>IF(B295="","",IFERROR(VLOOKUP(B295, PLANTA_BASE!A:R, 17, FALSE), "GENERAL"))</f>
        <v/>
      </c>
    </row>
    <row r="296" ht="20" customHeight="1">
      <c r="A296" s="2">
        <f>IF(B296="","",IFERROR(VLOOKUP(B296, PLANTA_BASE!A:R, 2, FALSE), "NO ENCONTRADO EN PLANTA"))</f>
        <v/>
      </c>
      <c r="B296" s="3" t="inlineStr"/>
      <c r="C296" s="4">
        <f>IF(B296="","",IFERROR(VLOOKUP(B296, PLANTA_BASE!A:R, 3, FALSE), ""))</f>
        <v/>
      </c>
      <c r="D296" s="2">
        <f>IF(B296="","",IFERROR(VLOOKUP(B296, PLANTA_BASE!A:R, 5, FALSE), "NO ENCONTRADO EN PLANTA"))</f>
        <v/>
      </c>
      <c r="E296" s="2">
        <f>IF(B296="","",IFERROR(VLOOKUP(B296, PLANTA_BASE!A:R, 6, FALSE), "NO ENCONTRADO EN PLANTA"))</f>
        <v/>
      </c>
      <c r="F296" s="4">
        <f>IF(B296="","",IFERROR(VLOOKUP(B296, PLANTA_BASE!A:R, 8, FALSE), "DOCENTE / FACILITADOR"))</f>
        <v/>
      </c>
      <c r="G296" s="4">
        <f>IF(B296="","",IFERROR(VLOOKUP(B296, PLANTA_BASE!A:R, 9, FALSE), "GENERAL"))</f>
        <v/>
      </c>
      <c r="H296" s="2">
        <f>IF(B296="","",IFERROR(VLOOKUP(B296, PLANTA_BASE!A:R, 17, FALSE), "GENERAL"))</f>
        <v/>
      </c>
    </row>
    <row r="297" ht="20" customHeight="1">
      <c r="A297" s="5">
        <f>IF(B297="","",IFERROR(VLOOKUP(B297, PLANTA_BASE!A:R, 2, FALSE), "NO ENCONTRADO EN PLANTA"))</f>
        <v/>
      </c>
      <c r="B297" s="6" t="inlineStr"/>
      <c r="C297" s="7">
        <f>IF(B297="","",IFERROR(VLOOKUP(B297, PLANTA_BASE!A:R, 3, FALSE), ""))</f>
        <v/>
      </c>
      <c r="D297" s="5">
        <f>IF(B297="","",IFERROR(VLOOKUP(B297, PLANTA_BASE!A:R, 5, FALSE), "NO ENCONTRADO EN PLANTA"))</f>
        <v/>
      </c>
      <c r="E297" s="5">
        <f>IF(B297="","",IFERROR(VLOOKUP(B297, PLANTA_BASE!A:R, 6, FALSE), "NO ENCONTRADO EN PLANTA"))</f>
        <v/>
      </c>
      <c r="F297" s="7">
        <f>IF(B297="","",IFERROR(VLOOKUP(B297, PLANTA_BASE!A:R, 8, FALSE), "DOCENTE / FACILITADOR"))</f>
        <v/>
      </c>
      <c r="G297" s="7">
        <f>IF(B297="","",IFERROR(VLOOKUP(B297, PLANTA_BASE!A:R, 9, FALSE), "GENERAL"))</f>
        <v/>
      </c>
      <c r="H297" s="5">
        <f>IF(B297="","",IFERROR(VLOOKUP(B297, PLANTA_BASE!A:R, 17, FALSE), "GENERAL"))</f>
        <v/>
      </c>
    </row>
    <row r="298" ht="20" customHeight="1">
      <c r="A298" s="2">
        <f>IF(B298="","",IFERROR(VLOOKUP(B298, PLANTA_BASE!A:R, 2, FALSE), "NO ENCONTRADO EN PLANTA"))</f>
        <v/>
      </c>
      <c r="B298" s="3" t="inlineStr"/>
      <c r="C298" s="4">
        <f>IF(B298="","",IFERROR(VLOOKUP(B298, PLANTA_BASE!A:R, 3, FALSE), ""))</f>
        <v/>
      </c>
      <c r="D298" s="2">
        <f>IF(B298="","",IFERROR(VLOOKUP(B298, PLANTA_BASE!A:R, 5, FALSE), "NO ENCONTRADO EN PLANTA"))</f>
        <v/>
      </c>
      <c r="E298" s="2">
        <f>IF(B298="","",IFERROR(VLOOKUP(B298, PLANTA_BASE!A:R, 6, FALSE), "NO ENCONTRADO EN PLANTA"))</f>
        <v/>
      </c>
      <c r="F298" s="4">
        <f>IF(B298="","",IFERROR(VLOOKUP(B298, PLANTA_BASE!A:R, 8, FALSE), "DOCENTE / FACILITADOR"))</f>
        <v/>
      </c>
      <c r="G298" s="4">
        <f>IF(B298="","",IFERROR(VLOOKUP(B298, PLANTA_BASE!A:R, 9, FALSE), "GENERAL"))</f>
        <v/>
      </c>
      <c r="H298" s="2">
        <f>IF(B298="","",IFERROR(VLOOKUP(B298, PLANTA_BASE!A:R, 17, FALSE), "GENERAL"))</f>
        <v/>
      </c>
    </row>
    <row r="299" ht="20" customHeight="1">
      <c r="A299" s="5">
        <f>IF(B299="","",IFERROR(VLOOKUP(B299, PLANTA_BASE!A:R, 2, FALSE), "NO ENCONTRADO EN PLANTA"))</f>
        <v/>
      </c>
      <c r="B299" s="6" t="inlineStr"/>
      <c r="C299" s="7">
        <f>IF(B299="","",IFERROR(VLOOKUP(B299, PLANTA_BASE!A:R, 3, FALSE), ""))</f>
        <v/>
      </c>
      <c r="D299" s="5">
        <f>IF(B299="","",IFERROR(VLOOKUP(B299, PLANTA_BASE!A:R, 5, FALSE), "NO ENCONTRADO EN PLANTA"))</f>
        <v/>
      </c>
      <c r="E299" s="5">
        <f>IF(B299="","",IFERROR(VLOOKUP(B299, PLANTA_BASE!A:R, 6, FALSE), "NO ENCONTRADO EN PLANTA"))</f>
        <v/>
      </c>
      <c r="F299" s="7">
        <f>IF(B299="","",IFERROR(VLOOKUP(B299, PLANTA_BASE!A:R, 8, FALSE), "DOCENTE / FACILITADOR"))</f>
        <v/>
      </c>
      <c r="G299" s="7">
        <f>IF(B299="","",IFERROR(VLOOKUP(B299, PLANTA_BASE!A:R, 9, FALSE), "GENERAL"))</f>
        <v/>
      </c>
      <c r="H299" s="5">
        <f>IF(B299="","",IFERROR(VLOOKUP(B299, PLANTA_BASE!A:R, 17, FALSE), "GENERAL"))</f>
        <v/>
      </c>
    </row>
    <row r="300" ht="20" customHeight="1">
      <c r="A300" s="2">
        <f>IF(B300="","",IFERROR(VLOOKUP(B300, PLANTA_BASE!A:R, 2, FALSE), "NO ENCONTRADO EN PLANTA"))</f>
        <v/>
      </c>
      <c r="B300" s="3" t="inlineStr"/>
      <c r="C300" s="4">
        <f>IF(B300="","",IFERROR(VLOOKUP(B300, PLANTA_BASE!A:R, 3, FALSE), ""))</f>
        <v/>
      </c>
      <c r="D300" s="2">
        <f>IF(B300="","",IFERROR(VLOOKUP(B300, PLANTA_BASE!A:R, 5, FALSE), "NO ENCONTRADO EN PLANTA"))</f>
        <v/>
      </c>
      <c r="E300" s="2">
        <f>IF(B300="","",IFERROR(VLOOKUP(B300, PLANTA_BASE!A:R, 6, FALSE), "NO ENCONTRADO EN PLANTA"))</f>
        <v/>
      </c>
      <c r="F300" s="4">
        <f>IF(B300="","",IFERROR(VLOOKUP(B300, PLANTA_BASE!A:R, 8, FALSE), "DOCENTE / FACILITADOR"))</f>
        <v/>
      </c>
      <c r="G300" s="4">
        <f>IF(B300="","",IFERROR(VLOOKUP(B300, PLANTA_BASE!A:R, 9, FALSE), "GENERAL"))</f>
        <v/>
      </c>
      <c r="H300" s="2">
        <f>IF(B300="","",IFERROR(VLOOKUP(B300, PLANTA_BASE!A:R, 17, FALSE), "GENERAL"))</f>
        <v/>
      </c>
    </row>
    <row r="301" ht="20" customHeight="1">
      <c r="A301" s="5">
        <f>IF(B301="","",IFERROR(VLOOKUP(B301, PLANTA_BASE!A:R, 2, FALSE), "NO ENCONTRADO EN PLANTA"))</f>
        <v/>
      </c>
      <c r="B301" s="6" t="inlineStr"/>
      <c r="C301" s="7">
        <f>IF(B301="","",IFERROR(VLOOKUP(B301, PLANTA_BASE!A:R, 3, FALSE), ""))</f>
        <v/>
      </c>
      <c r="D301" s="5">
        <f>IF(B301="","",IFERROR(VLOOKUP(B301, PLANTA_BASE!A:R, 5, FALSE), "NO ENCONTRADO EN PLANTA"))</f>
        <v/>
      </c>
      <c r="E301" s="5">
        <f>IF(B301="","",IFERROR(VLOOKUP(B301, PLANTA_BASE!A:R, 6, FALSE), "NO ENCONTRADO EN PLANTA"))</f>
        <v/>
      </c>
      <c r="F301" s="7">
        <f>IF(B301="","",IFERROR(VLOOKUP(B301, PLANTA_BASE!A:R, 8, FALSE), "DOCENTE / FACILITADOR"))</f>
        <v/>
      </c>
      <c r="G301" s="7">
        <f>IF(B301="","",IFERROR(VLOOKUP(B301, PLANTA_BASE!A:R, 9, FALSE), "GENERAL"))</f>
        <v/>
      </c>
      <c r="H301" s="5">
        <f>IF(B301="","",IFERROR(VLOOKUP(B301, PLANTA_BASE!A:R, 17, FALSE), "GENERAL"))</f>
        <v/>
      </c>
    </row>
    <row r="302" ht="20" customHeight="1">
      <c r="A302" s="2">
        <f>IF(B302="","",IFERROR(VLOOKUP(B302, PLANTA_BASE!A:R, 2, FALSE), "NO ENCONTRADO EN PLANTA"))</f>
        <v/>
      </c>
      <c r="B302" s="3" t="inlineStr"/>
      <c r="C302" s="4">
        <f>IF(B302="","",IFERROR(VLOOKUP(B302, PLANTA_BASE!A:R, 3, FALSE), ""))</f>
        <v/>
      </c>
      <c r="D302" s="2">
        <f>IF(B302="","",IFERROR(VLOOKUP(B302, PLANTA_BASE!A:R, 5, FALSE), "NO ENCONTRADO EN PLANTA"))</f>
        <v/>
      </c>
      <c r="E302" s="2">
        <f>IF(B302="","",IFERROR(VLOOKUP(B302, PLANTA_BASE!A:R, 6, FALSE), "NO ENCONTRADO EN PLANTA"))</f>
        <v/>
      </c>
      <c r="F302" s="4">
        <f>IF(B302="","",IFERROR(VLOOKUP(B302, PLANTA_BASE!A:R, 8, FALSE), "DOCENTE / FACILITADOR"))</f>
        <v/>
      </c>
      <c r="G302" s="4">
        <f>IF(B302="","",IFERROR(VLOOKUP(B302, PLANTA_BASE!A:R, 9, FALSE), "GENERAL"))</f>
        <v/>
      </c>
      <c r="H302" s="2">
        <f>IF(B302="","",IFERROR(VLOOKUP(B302, PLANTA_BASE!A:R, 17, FALSE), "GENERAL"))</f>
        <v/>
      </c>
    </row>
    <row r="303" ht="20" customHeight="1">
      <c r="A303" s="5">
        <f>IF(B303="","",IFERROR(VLOOKUP(B303, PLANTA_BASE!A:R, 2, FALSE), "NO ENCONTRADO EN PLANTA"))</f>
        <v/>
      </c>
      <c r="B303" s="6" t="inlineStr"/>
      <c r="C303" s="7">
        <f>IF(B303="","",IFERROR(VLOOKUP(B303, PLANTA_BASE!A:R, 3, FALSE), ""))</f>
        <v/>
      </c>
      <c r="D303" s="5">
        <f>IF(B303="","",IFERROR(VLOOKUP(B303, PLANTA_BASE!A:R, 5, FALSE), "NO ENCONTRADO EN PLANTA"))</f>
        <v/>
      </c>
      <c r="E303" s="5">
        <f>IF(B303="","",IFERROR(VLOOKUP(B303, PLANTA_BASE!A:R, 6, FALSE), "NO ENCONTRADO EN PLANTA"))</f>
        <v/>
      </c>
      <c r="F303" s="7">
        <f>IF(B303="","",IFERROR(VLOOKUP(B303, PLANTA_BASE!A:R, 8, FALSE), "DOCENTE / FACILITADOR"))</f>
        <v/>
      </c>
      <c r="G303" s="7">
        <f>IF(B303="","",IFERROR(VLOOKUP(B303, PLANTA_BASE!A:R, 9, FALSE), "GENERAL"))</f>
        <v/>
      </c>
      <c r="H303" s="5">
        <f>IF(B303="","",IFERROR(VLOOKUP(B303, PLANTA_BASE!A:R, 17, FALSE), "GENERAL"))</f>
        <v/>
      </c>
    </row>
    <row r="304" ht="20" customHeight="1">
      <c r="A304" s="2">
        <f>IF(B304="","",IFERROR(VLOOKUP(B304, PLANTA_BASE!A:R, 2, FALSE), "NO ENCONTRADO EN PLANTA"))</f>
        <v/>
      </c>
      <c r="B304" s="3" t="inlineStr"/>
      <c r="C304" s="4">
        <f>IF(B304="","",IFERROR(VLOOKUP(B304, PLANTA_BASE!A:R, 3, FALSE), ""))</f>
        <v/>
      </c>
      <c r="D304" s="2">
        <f>IF(B304="","",IFERROR(VLOOKUP(B304, PLANTA_BASE!A:R, 5, FALSE), "NO ENCONTRADO EN PLANTA"))</f>
        <v/>
      </c>
      <c r="E304" s="2">
        <f>IF(B304="","",IFERROR(VLOOKUP(B304, PLANTA_BASE!A:R, 6, FALSE), "NO ENCONTRADO EN PLANTA"))</f>
        <v/>
      </c>
      <c r="F304" s="4">
        <f>IF(B304="","",IFERROR(VLOOKUP(B304, PLANTA_BASE!A:R, 8, FALSE), "DOCENTE / FACILITADOR"))</f>
        <v/>
      </c>
      <c r="G304" s="4">
        <f>IF(B304="","",IFERROR(VLOOKUP(B304, PLANTA_BASE!A:R, 9, FALSE), "GENERAL"))</f>
        <v/>
      </c>
      <c r="H304" s="2">
        <f>IF(B304="","",IFERROR(VLOOKUP(B304, PLANTA_BASE!A:R, 17, FALSE), "GENERAL"))</f>
        <v/>
      </c>
    </row>
    <row r="305" ht="20" customHeight="1">
      <c r="A305" s="5">
        <f>IF(B305="","",IFERROR(VLOOKUP(B305, PLANTA_BASE!A:R, 2, FALSE), "NO ENCONTRADO EN PLANTA"))</f>
        <v/>
      </c>
      <c r="B305" s="6" t="inlineStr"/>
      <c r="C305" s="7">
        <f>IF(B305="","",IFERROR(VLOOKUP(B305, PLANTA_BASE!A:R, 3, FALSE), ""))</f>
        <v/>
      </c>
      <c r="D305" s="5">
        <f>IF(B305="","",IFERROR(VLOOKUP(B305, PLANTA_BASE!A:R, 5, FALSE), "NO ENCONTRADO EN PLANTA"))</f>
        <v/>
      </c>
      <c r="E305" s="5">
        <f>IF(B305="","",IFERROR(VLOOKUP(B305, PLANTA_BASE!A:R, 6, FALSE), "NO ENCONTRADO EN PLANTA"))</f>
        <v/>
      </c>
      <c r="F305" s="7">
        <f>IF(B305="","",IFERROR(VLOOKUP(B305, PLANTA_BASE!A:R, 8, FALSE), "DOCENTE / FACILITADOR"))</f>
        <v/>
      </c>
      <c r="G305" s="7">
        <f>IF(B305="","",IFERROR(VLOOKUP(B305, PLANTA_BASE!A:R, 9, FALSE), "GENERAL"))</f>
        <v/>
      </c>
      <c r="H305" s="5">
        <f>IF(B305="","",IFERROR(VLOOKUP(B305, PLANTA_BASE!A:R, 17, FALSE), "GENERAL"))</f>
        <v/>
      </c>
    </row>
    <row r="306" ht="20" customHeight="1">
      <c r="A306" s="2">
        <f>IF(B306="","",IFERROR(VLOOKUP(B306, PLANTA_BASE!A:R, 2, FALSE), "NO ENCONTRADO EN PLANTA"))</f>
        <v/>
      </c>
      <c r="B306" s="3" t="inlineStr"/>
      <c r="C306" s="4">
        <f>IF(B306="","",IFERROR(VLOOKUP(B306, PLANTA_BASE!A:R, 3, FALSE), ""))</f>
        <v/>
      </c>
      <c r="D306" s="2">
        <f>IF(B306="","",IFERROR(VLOOKUP(B306, PLANTA_BASE!A:R, 5, FALSE), "NO ENCONTRADO EN PLANTA"))</f>
        <v/>
      </c>
      <c r="E306" s="2">
        <f>IF(B306="","",IFERROR(VLOOKUP(B306, PLANTA_BASE!A:R, 6, FALSE), "NO ENCONTRADO EN PLANTA"))</f>
        <v/>
      </c>
      <c r="F306" s="4">
        <f>IF(B306="","",IFERROR(VLOOKUP(B306, PLANTA_BASE!A:R, 8, FALSE), "DOCENTE / FACILITADOR"))</f>
        <v/>
      </c>
      <c r="G306" s="4">
        <f>IF(B306="","",IFERROR(VLOOKUP(B306, PLANTA_BASE!A:R, 9, FALSE), "GENERAL"))</f>
        <v/>
      </c>
      <c r="H306" s="2">
        <f>IF(B306="","",IFERROR(VLOOKUP(B306, PLANTA_BASE!A:R, 17, FALSE), "GENERAL"))</f>
        <v/>
      </c>
    </row>
    <row r="307" ht="20" customHeight="1">
      <c r="A307" s="5">
        <f>IF(B307="","",IFERROR(VLOOKUP(B307, PLANTA_BASE!A:R, 2, FALSE), "NO ENCONTRADO EN PLANTA"))</f>
        <v/>
      </c>
      <c r="B307" s="6" t="inlineStr"/>
      <c r="C307" s="7">
        <f>IF(B307="","",IFERROR(VLOOKUP(B307, PLANTA_BASE!A:R, 3, FALSE), ""))</f>
        <v/>
      </c>
      <c r="D307" s="5">
        <f>IF(B307="","",IFERROR(VLOOKUP(B307, PLANTA_BASE!A:R, 5, FALSE), "NO ENCONTRADO EN PLANTA"))</f>
        <v/>
      </c>
      <c r="E307" s="5">
        <f>IF(B307="","",IFERROR(VLOOKUP(B307, PLANTA_BASE!A:R, 6, FALSE), "NO ENCONTRADO EN PLANTA"))</f>
        <v/>
      </c>
      <c r="F307" s="7">
        <f>IF(B307="","",IFERROR(VLOOKUP(B307, PLANTA_BASE!A:R, 8, FALSE), "DOCENTE / FACILITADOR"))</f>
        <v/>
      </c>
      <c r="G307" s="7">
        <f>IF(B307="","",IFERROR(VLOOKUP(B307, PLANTA_BASE!A:R, 9, FALSE), "GENERAL"))</f>
        <v/>
      </c>
      <c r="H307" s="5">
        <f>IF(B307="","",IFERROR(VLOOKUP(B307, PLANTA_BASE!A:R, 17, FALSE), "GENERAL"))</f>
        <v/>
      </c>
    </row>
    <row r="308" ht="20" customHeight="1">
      <c r="A308" s="2">
        <f>IF(B308="","",IFERROR(VLOOKUP(B308, PLANTA_BASE!A:R, 2, FALSE), "NO ENCONTRADO EN PLANTA"))</f>
        <v/>
      </c>
      <c r="B308" s="3" t="inlineStr"/>
      <c r="C308" s="4">
        <f>IF(B308="","",IFERROR(VLOOKUP(B308, PLANTA_BASE!A:R, 3, FALSE), ""))</f>
        <v/>
      </c>
      <c r="D308" s="2">
        <f>IF(B308="","",IFERROR(VLOOKUP(B308, PLANTA_BASE!A:R, 5, FALSE), "NO ENCONTRADO EN PLANTA"))</f>
        <v/>
      </c>
      <c r="E308" s="2">
        <f>IF(B308="","",IFERROR(VLOOKUP(B308, PLANTA_BASE!A:R, 6, FALSE), "NO ENCONTRADO EN PLANTA"))</f>
        <v/>
      </c>
      <c r="F308" s="4">
        <f>IF(B308="","",IFERROR(VLOOKUP(B308, PLANTA_BASE!A:R, 8, FALSE), "DOCENTE / FACILITADOR"))</f>
        <v/>
      </c>
      <c r="G308" s="4">
        <f>IF(B308="","",IFERROR(VLOOKUP(B308, PLANTA_BASE!A:R, 9, FALSE), "GENERAL"))</f>
        <v/>
      </c>
      <c r="H308" s="2">
        <f>IF(B308="","",IFERROR(VLOOKUP(B308, PLANTA_BASE!A:R, 17, FALSE), "GENERAL"))</f>
        <v/>
      </c>
    </row>
    <row r="309" ht="20" customHeight="1">
      <c r="A309" s="5">
        <f>IF(B309="","",IFERROR(VLOOKUP(B309, PLANTA_BASE!A:R, 2, FALSE), "NO ENCONTRADO EN PLANTA"))</f>
        <v/>
      </c>
      <c r="B309" s="6" t="inlineStr"/>
      <c r="C309" s="7">
        <f>IF(B309="","",IFERROR(VLOOKUP(B309, PLANTA_BASE!A:R, 3, FALSE), ""))</f>
        <v/>
      </c>
      <c r="D309" s="5">
        <f>IF(B309="","",IFERROR(VLOOKUP(B309, PLANTA_BASE!A:R, 5, FALSE), "NO ENCONTRADO EN PLANTA"))</f>
        <v/>
      </c>
      <c r="E309" s="5">
        <f>IF(B309="","",IFERROR(VLOOKUP(B309, PLANTA_BASE!A:R, 6, FALSE), "NO ENCONTRADO EN PLANTA"))</f>
        <v/>
      </c>
      <c r="F309" s="7">
        <f>IF(B309="","",IFERROR(VLOOKUP(B309, PLANTA_BASE!A:R, 8, FALSE), "DOCENTE / FACILITADOR"))</f>
        <v/>
      </c>
      <c r="G309" s="7">
        <f>IF(B309="","",IFERROR(VLOOKUP(B309, PLANTA_BASE!A:R, 9, FALSE), "GENERAL"))</f>
        <v/>
      </c>
      <c r="H309" s="5">
        <f>IF(B309="","",IFERROR(VLOOKUP(B309, PLANTA_BASE!A:R, 17, FALSE), "GENERAL"))</f>
        <v/>
      </c>
    </row>
    <row r="310" ht="20" customHeight="1">
      <c r="A310" s="2">
        <f>IF(B310="","",IFERROR(VLOOKUP(B310, PLANTA_BASE!A:R, 2, FALSE), "NO ENCONTRADO EN PLANTA"))</f>
        <v/>
      </c>
      <c r="B310" s="3" t="inlineStr"/>
      <c r="C310" s="4">
        <f>IF(B310="","",IFERROR(VLOOKUP(B310, PLANTA_BASE!A:R, 3, FALSE), ""))</f>
        <v/>
      </c>
      <c r="D310" s="2">
        <f>IF(B310="","",IFERROR(VLOOKUP(B310, PLANTA_BASE!A:R, 5, FALSE), "NO ENCONTRADO EN PLANTA"))</f>
        <v/>
      </c>
      <c r="E310" s="2">
        <f>IF(B310="","",IFERROR(VLOOKUP(B310, PLANTA_BASE!A:R, 6, FALSE), "NO ENCONTRADO EN PLANTA"))</f>
        <v/>
      </c>
      <c r="F310" s="4">
        <f>IF(B310="","",IFERROR(VLOOKUP(B310, PLANTA_BASE!A:R, 8, FALSE), "DOCENTE / FACILITADOR"))</f>
        <v/>
      </c>
      <c r="G310" s="4">
        <f>IF(B310="","",IFERROR(VLOOKUP(B310, PLANTA_BASE!A:R, 9, FALSE), "GENERAL"))</f>
        <v/>
      </c>
      <c r="H310" s="2">
        <f>IF(B310="","",IFERROR(VLOOKUP(B310, PLANTA_BASE!A:R, 17, FALSE), "GENERAL"))</f>
        <v/>
      </c>
    </row>
    <row r="311" ht="20" customHeight="1">
      <c r="A311" s="5">
        <f>IF(B311="","",IFERROR(VLOOKUP(B311, PLANTA_BASE!A:R, 2, FALSE), "NO ENCONTRADO EN PLANTA"))</f>
        <v/>
      </c>
      <c r="B311" s="6" t="inlineStr"/>
      <c r="C311" s="7">
        <f>IF(B311="","",IFERROR(VLOOKUP(B311, PLANTA_BASE!A:R, 3, FALSE), ""))</f>
        <v/>
      </c>
      <c r="D311" s="5">
        <f>IF(B311="","",IFERROR(VLOOKUP(B311, PLANTA_BASE!A:R, 5, FALSE), "NO ENCONTRADO EN PLANTA"))</f>
        <v/>
      </c>
      <c r="E311" s="5">
        <f>IF(B311="","",IFERROR(VLOOKUP(B311, PLANTA_BASE!A:R, 6, FALSE), "NO ENCONTRADO EN PLANTA"))</f>
        <v/>
      </c>
      <c r="F311" s="7">
        <f>IF(B311="","",IFERROR(VLOOKUP(B311, PLANTA_BASE!A:R, 8, FALSE), "DOCENTE / FACILITADOR"))</f>
        <v/>
      </c>
      <c r="G311" s="7">
        <f>IF(B311="","",IFERROR(VLOOKUP(B311, PLANTA_BASE!A:R, 9, FALSE), "GENERAL"))</f>
        <v/>
      </c>
      <c r="H311" s="5">
        <f>IF(B311="","",IFERROR(VLOOKUP(B311, PLANTA_BASE!A:R, 17, FALSE), "GENERAL"))</f>
        <v/>
      </c>
    </row>
    <row r="312" ht="20" customHeight="1">
      <c r="A312" s="2">
        <f>IF(B312="","",IFERROR(VLOOKUP(B312, PLANTA_BASE!A:R, 2, FALSE), "NO ENCONTRADO EN PLANTA"))</f>
        <v/>
      </c>
      <c r="B312" s="3" t="inlineStr"/>
      <c r="C312" s="4">
        <f>IF(B312="","",IFERROR(VLOOKUP(B312, PLANTA_BASE!A:R, 3, FALSE), ""))</f>
        <v/>
      </c>
      <c r="D312" s="2">
        <f>IF(B312="","",IFERROR(VLOOKUP(B312, PLANTA_BASE!A:R, 5, FALSE), "NO ENCONTRADO EN PLANTA"))</f>
        <v/>
      </c>
      <c r="E312" s="2">
        <f>IF(B312="","",IFERROR(VLOOKUP(B312, PLANTA_BASE!A:R, 6, FALSE), "NO ENCONTRADO EN PLANTA"))</f>
        <v/>
      </c>
      <c r="F312" s="4">
        <f>IF(B312="","",IFERROR(VLOOKUP(B312, PLANTA_BASE!A:R, 8, FALSE), "DOCENTE / FACILITADOR"))</f>
        <v/>
      </c>
      <c r="G312" s="4">
        <f>IF(B312="","",IFERROR(VLOOKUP(B312, PLANTA_BASE!A:R, 9, FALSE), "GENERAL"))</f>
        <v/>
      </c>
      <c r="H312" s="2">
        <f>IF(B312="","",IFERROR(VLOOKUP(B312, PLANTA_BASE!A:R, 17, FALSE), "GENERAL"))</f>
        <v/>
      </c>
    </row>
    <row r="313" ht="20" customHeight="1">
      <c r="A313" s="5">
        <f>IF(B313="","",IFERROR(VLOOKUP(B313, PLANTA_BASE!A:R, 2, FALSE), "NO ENCONTRADO EN PLANTA"))</f>
        <v/>
      </c>
      <c r="B313" s="6" t="inlineStr"/>
      <c r="C313" s="7">
        <f>IF(B313="","",IFERROR(VLOOKUP(B313, PLANTA_BASE!A:R, 3, FALSE), ""))</f>
        <v/>
      </c>
      <c r="D313" s="5">
        <f>IF(B313="","",IFERROR(VLOOKUP(B313, PLANTA_BASE!A:R, 5, FALSE), "NO ENCONTRADO EN PLANTA"))</f>
        <v/>
      </c>
      <c r="E313" s="5">
        <f>IF(B313="","",IFERROR(VLOOKUP(B313, PLANTA_BASE!A:R, 6, FALSE), "NO ENCONTRADO EN PLANTA"))</f>
        <v/>
      </c>
      <c r="F313" s="7">
        <f>IF(B313="","",IFERROR(VLOOKUP(B313, PLANTA_BASE!A:R, 8, FALSE), "DOCENTE / FACILITADOR"))</f>
        <v/>
      </c>
      <c r="G313" s="7">
        <f>IF(B313="","",IFERROR(VLOOKUP(B313, PLANTA_BASE!A:R, 9, FALSE), "GENERAL"))</f>
        <v/>
      </c>
      <c r="H313" s="5">
        <f>IF(B313="","",IFERROR(VLOOKUP(B313, PLANTA_BASE!A:R, 17, FALSE), "GENERAL"))</f>
        <v/>
      </c>
    </row>
    <row r="314" ht="20" customHeight="1">
      <c r="A314" s="2">
        <f>IF(B314="","",IFERROR(VLOOKUP(B314, PLANTA_BASE!A:R, 2, FALSE), "NO ENCONTRADO EN PLANTA"))</f>
        <v/>
      </c>
      <c r="B314" s="3" t="inlineStr"/>
      <c r="C314" s="4">
        <f>IF(B314="","",IFERROR(VLOOKUP(B314, PLANTA_BASE!A:R, 3, FALSE), ""))</f>
        <v/>
      </c>
      <c r="D314" s="2">
        <f>IF(B314="","",IFERROR(VLOOKUP(B314, PLANTA_BASE!A:R, 5, FALSE), "NO ENCONTRADO EN PLANTA"))</f>
        <v/>
      </c>
      <c r="E314" s="2">
        <f>IF(B314="","",IFERROR(VLOOKUP(B314, PLANTA_BASE!A:R, 6, FALSE), "NO ENCONTRADO EN PLANTA"))</f>
        <v/>
      </c>
      <c r="F314" s="4">
        <f>IF(B314="","",IFERROR(VLOOKUP(B314, PLANTA_BASE!A:R, 8, FALSE), "DOCENTE / FACILITADOR"))</f>
        <v/>
      </c>
      <c r="G314" s="4">
        <f>IF(B314="","",IFERROR(VLOOKUP(B314, PLANTA_BASE!A:R, 9, FALSE), "GENERAL"))</f>
        <v/>
      </c>
      <c r="H314" s="2">
        <f>IF(B314="","",IFERROR(VLOOKUP(B314, PLANTA_BASE!A:R, 17, FALSE), "GENERAL"))</f>
        <v/>
      </c>
    </row>
    <row r="315" ht="20" customHeight="1">
      <c r="A315" s="5">
        <f>IF(B315="","",IFERROR(VLOOKUP(B315, PLANTA_BASE!A:R, 2, FALSE), "NO ENCONTRADO EN PLANTA"))</f>
        <v/>
      </c>
      <c r="B315" s="6" t="inlineStr"/>
      <c r="C315" s="7">
        <f>IF(B315="","",IFERROR(VLOOKUP(B315, PLANTA_BASE!A:R, 3, FALSE), ""))</f>
        <v/>
      </c>
      <c r="D315" s="5">
        <f>IF(B315="","",IFERROR(VLOOKUP(B315, PLANTA_BASE!A:R, 5, FALSE), "NO ENCONTRADO EN PLANTA"))</f>
        <v/>
      </c>
      <c r="E315" s="5">
        <f>IF(B315="","",IFERROR(VLOOKUP(B315, PLANTA_BASE!A:R, 6, FALSE), "NO ENCONTRADO EN PLANTA"))</f>
        <v/>
      </c>
      <c r="F315" s="7">
        <f>IF(B315="","",IFERROR(VLOOKUP(B315, PLANTA_BASE!A:R, 8, FALSE), "DOCENTE / FACILITADOR"))</f>
        <v/>
      </c>
      <c r="G315" s="7">
        <f>IF(B315="","",IFERROR(VLOOKUP(B315, PLANTA_BASE!A:R, 9, FALSE), "GENERAL"))</f>
        <v/>
      </c>
      <c r="H315" s="5">
        <f>IF(B315="","",IFERROR(VLOOKUP(B315, PLANTA_BASE!A:R, 17, FALSE), "GENERAL"))</f>
        <v/>
      </c>
    </row>
    <row r="316" ht="20" customHeight="1">
      <c r="A316" s="2">
        <f>IF(B316="","",IFERROR(VLOOKUP(B316, PLANTA_BASE!A:R, 2, FALSE), "NO ENCONTRADO EN PLANTA"))</f>
        <v/>
      </c>
      <c r="B316" s="3" t="inlineStr"/>
      <c r="C316" s="4">
        <f>IF(B316="","",IFERROR(VLOOKUP(B316, PLANTA_BASE!A:R, 3, FALSE), ""))</f>
        <v/>
      </c>
      <c r="D316" s="2">
        <f>IF(B316="","",IFERROR(VLOOKUP(B316, PLANTA_BASE!A:R, 5, FALSE), "NO ENCONTRADO EN PLANTA"))</f>
        <v/>
      </c>
      <c r="E316" s="2">
        <f>IF(B316="","",IFERROR(VLOOKUP(B316, PLANTA_BASE!A:R, 6, FALSE), "NO ENCONTRADO EN PLANTA"))</f>
        <v/>
      </c>
      <c r="F316" s="4">
        <f>IF(B316="","",IFERROR(VLOOKUP(B316, PLANTA_BASE!A:R, 8, FALSE), "DOCENTE / FACILITADOR"))</f>
        <v/>
      </c>
      <c r="G316" s="4">
        <f>IF(B316="","",IFERROR(VLOOKUP(B316, PLANTA_BASE!A:R, 9, FALSE), "GENERAL"))</f>
        <v/>
      </c>
      <c r="H316" s="2">
        <f>IF(B316="","",IFERROR(VLOOKUP(B316, PLANTA_BASE!A:R, 17, FALSE), "GENERAL"))</f>
        <v/>
      </c>
    </row>
    <row r="317" ht="20" customHeight="1">
      <c r="A317" s="5">
        <f>IF(B317="","",IFERROR(VLOOKUP(B317, PLANTA_BASE!A:R, 2, FALSE), "NO ENCONTRADO EN PLANTA"))</f>
        <v/>
      </c>
      <c r="B317" s="6" t="inlineStr"/>
      <c r="C317" s="7">
        <f>IF(B317="","",IFERROR(VLOOKUP(B317, PLANTA_BASE!A:R, 3, FALSE), ""))</f>
        <v/>
      </c>
      <c r="D317" s="5">
        <f>IF(B317="","",IFERROR(VLOOKUP(B317, PLANTA_BASE!A:R, 5, FALSE), "NO ENCONTRADO EN PLANTA"))</f>
        <v/>
      </c>
      <c r="E317" s="5">
        <f>IF(B317="","",IFERROR(VLOOKUP(B317, PLANTA_BASE!A:R, 6, FALSE), "NO ENCONTRADO EN PLANTA"))</f>
        <v/>
      </c>
      <c r="F317" s="7">
        <f>IF(B317="","",IFERROR(VLOOKUP(B317, PLANTA_BASE!A:R, 8, FALSE), "DOCENTE / FACILITADOR"))</f>
        <v/>
      </c>
      <c r="G317" s="7">
        <f>IF(B317="","",IFERROR(VLOOKUP(B317, PLANTA_BASE!A:R, 9, FALSE), "GENERAL"))</f>
        <v/>
      </c>
      <c r="H317" s="5">
        <f>IF(B317="","",IFERROR(VLOOKUP(B317, PLANTA_BASE!A:R, 17, FALSE), "GENERAL"))</f>
        <v/>
      </c>
    </row>
    <row r="318" ht="20" customHeight="1">
      <c r="A318" s="2">
        <f>IF(B318="","",IFERROR(VLOOKUP(B318, PLANTA_BASE!A:R, 2, FALSE), "NO ENCONTRADO EN PLANTA"))</f>
        <v/>
      </c>
      <c r="B318" s="3" t="inlineStr"/>
      <c r="C318" s="4">
        <f>IF(B318="","",IFERROR(VLOOKUP(B318, PLANTA_BASE!A:R, 3, FALSE), ""))</f>
        <v/>
      </c>
      <c r="D318" s="2">
        <f>IF(B318="","",IFERROR(VLOOKUP(B318, PLANTA_BASE!A:R, 5, FALSE), "NO ENCONTRADO EN PLANTA"))</f>
        <v/>
      </c>
      <c r="E318" s="2">
        <f>IF(B318="","",IFERROR(VLOOKUP(B318, PLANTA_BASE!A:R, 6, FALSE), "NO ENCONTRADO EN PLANTA"))</f>
        <v/>
      </c>
      <c r="F318" s="4">
        <f>IF(B318="","",IFERROR(VLOOKUP(B318, PLANTA_BASE!A:R, 8, FALSE), "DOCENTE / FACILITADOR"))</f>
        <v/>
      </c>
      <c r="G318" s="4">
        <f>IF(B318="","",IFERROR(VLOOKUP(B318, PLANTA_BASE!A:R, 9, FALSE), "GENERAL"))</f>
        <v/>
      </c>
      <c r="H318" s="2">
        <f>IF(B318="","",IFERROR(VLOOKUP(B318, PLANTA_BASE!A:R, 17, FALSE), "GENERAL"))</f>
        <v/>
      </c>
    </row>
    <row r="319" ht="20" customHeight="1">
      <c r="A319" s="5">
        <f>IF(B319="","",IFERROR(VLOOKUP(B319, PLANTA_BASE!A:R, 2, FALSE), "NO ENCONTRADO EN PLANTA"))</f>
        <v/>
      </c>
      <c r="B319" s="6" t="inlineStr"/>
      <c r="C319" s="7">
        <f>IF(B319="","",IFERROR(VLOOKUP(B319, PLANTA_BASE!A:R, 3, FALSE), ""))</f>
        <v/>
      </c>
      <c r="D319" s="5">
        <f>IF(B319="","",IFERROR(VLOOKUP(B319, PLANTA_BASE!A:R, 5, FALSE), "NO ENCONTRADO EN PLANTA"))</f>
        <v/>
      </c>
      <c r="E319" s="5">
        <f>IF(B319="","",IFERROR(VLOOKUP(B319, PLANTA_BASE!A:R, 6, FALSE), "NO ENCONTRADO EN PLANTA"))</f>
        <v/>
      </c>
      <c r="F319" s="7">
        <f>IF(B319="","",IFERROR(VLOOKUP(B319, PLANTA_BASE!A:R, 8, FALSE), "DOCENTE / FACILITADOR"))</f>
        <v/>
      </c>
      <c r="G319" s="7">
        <f>IF(B319="","",IFERROR(VLOOKUP(B319, PLANTA_BASE!A:R, 9, FALSE), "GENERAL"))</f>
        <v/>
      </c>
      <c r="H319" s="5">
        <f>IF(B319="","",IFERROR(VLOOKUP(B319, PLANTA_BASE!A:R, 17, FALSE), "GENERAL"))</f>
        <v/>
      </c>
    </row>
    <row r="320" ht="20" customHeight="1">
      <c r="A320" s="2">
        <f>IF(B320="","",IFERROR(VLOOKUP(B320, PLANTA_BASE!A:R, 2, FALSE), "NO ENCONTRADO EN PLANTA"))</f>
        <v/>
      </c>
      <c r="B320" s="3" t="inlineStr"/>
      <c r="C320" s="4">
        <f>IF(B320="","",IFERROR(VLOOKUP(B320, PLANTA_BASE!A:R, 3, FALSE), ""))</f>
        <v/>
      </c>
      <c r="D320" s="2">
        <f>IF(B320="","",IFERROR(VLOOKUP(B320, PLANTA_BASE!A:R, 5, FALSE), "NO ENCONTRADO EN PLANTA"))</f>
        <v/>
      </c>
      <c r="E320" s="2">
        <f>IF(B320="","",IFERROR(VLOOKUP(B320, PLANTA_BASE!A:R, 6, FALSE), "NO ENCONTRADO EN PLANTA"))</f>
        <v/>
      </c>
      <c r="F320" s="4">
        <f>IF(B320="","",IFERROR(VLOOKUP(B320, PLANTA_BASE!A:R, 8, FALSE), "DOCENTE / FACILITADOR"))</f>
        <v/>
      </c>
      <c r="G320" s="4">
        <f>IF(B320="","",IFERROR(VLOOKUP(B320, PLANTA_BASE!A:R, 9, FALSE), "GENERAL"))</f>
        <v/>
      </c>
      <c r="H320" s="2">
        <f>IF(B320="","",IFERROR(VLOOKUP(B320, PLANTA_BASE!A:R, 17, FALSE), "GENERAL"))</f>
        <v/>
      </c>
    </row>
    <row r="321" ht="20" customHeight="1">
      <c r="A321" s="5">
        <f>IF(B321="","",IFERROR(VLOOKUP(B321, PLANTA_BASE!A:R, 2, FALSE), "NO ENCONTRADO EN PLANTA"))</f>
        <v/>
      </c>
      <c r="B321" s="6" t="inlineStr"/>
      <c r="C321" s="7">
        <f>IF(B321="","",IFERROR(VLOOKUP(B321, PLANTA_BASE!A:R, 3, FALSE), ""))</f>
        <v/>
      </c>
      <c r="D321" s="5">
        <f>IF(B321="","",IFERROR(VLOOKUP(B321, PLANTA_BASE!A:R, 5, FALSE), "NO ENCONTRADO EN PLANTA"))</f>
        <v/>
      </c>
      <c r="E321" s="5">
        <f>IF(B321="","",IFERROR(VLOOKUP(B321, PLANTA_BASE!A:R, 6, FALSE), "NO ENCONTRADO EN PLANTA"))</f>
        <v/>
      </c>
      <c r="F321" s="7">
        <f>IF(B321="","",IFERROR(VLOOKUP(B321, PLANTA_BASE!A:R, 8, FALSE), "DOCENTE / FACILITADOR"))</f>
        <v/>
      </c>
      <c r="G321" s="7">
        <f>IF(B321="","",IFERROR(VLOOKUP(B321, PLANTA_BASE!A:R, 9, FALSE), "GENERAL"))</f>
        <v/>
      </c>
      <c r="H321" s="5">
        <f>IF(B321="","",IFERROR(VLOOKUP(B321, PLANTA_BASE!A:R, 17, FALSE), "GENERAL"))</f>
        <v/>
      </c>
    </row>
    <row r="322" ht="20" customHeight="1">
      <c r="A322" s="2">
        <f>IF(B322="","",IFERROR(VLOOKUP(B322, PLANTA_BASE!A:R, 2, FALSE), "NO ENCONTRADO EN PLANTA"))</f>
        <v/>
      </c>
      <c r="B322" s="3" t="inlineStr"/>
      <c r="C322" s="4">
        <f>IF(B322="","",IFERROR(VLOOKUP(B322, PLANTA_BASE!A:R, 3, FALSE), ""))</f>
        <v/>
      </c>
      <c r="D322" s="2">
        <f>IF(B322="","",IFERROR(VLOOKUP(B322, PLANTA_BASE!A:R, 5, FALSE), "NO ENCONTRADO EN PLANTA"))</f>
        <v/>
      </c>
      <c r="E322" s="2">
        <f>IF(B322="","",IFERROR(VLOOKUP(B322, PLANTA_BASE!A:R, 6, FALSE), "NO ENCONTRADO EN PLANTA"))</f>
        <v/>
      </c>
      <c r="F322" s="4">
        <f>IF(B322="","",IFERROR(VLOOKUP(B322, PLANTA_BASE!A:R, 8, FALSE), "DOCENTE / FACILITADOR"))</f>
        <v/>
      </c>
      <c r="G322" s="4">
        <f>IF(B322="","",IFERROR(VLOOKUP(B322, PLANTA_BASE!A:R, 9, FALSE), "GENERAL"))</f>
        <v/>
      </c>
      <c r="H322" s="2">
        <f>IF(B322="","",IFERROR(VLOOKUP(B322, PLANTA_BASE!A:R, 17, FALSE), "GENERAL"))</f>
        <v/>
      </c>
    </row>
    <row r="323" ht="20" customHeight="1">
      <c r="A323" s="5">
        <f>IF(B323="","",IFERROR(VLOOKUP(B323, PLANTA_BASE!A:R, 2, FALSE), "NO ENCONTRADO EN PLANTA"))</f>
        <v/>
      </c>
      <c r="B323" s="6" t="inlineStr"/>
      <c r="C323" s="7">
        <f>IF(B323="","",IFERROR(VLOOKUP(B323, PLANTA_BASE!A:R, 3, FALSE), ""))</f>
        <v/>
      </c>
      <c r="D323" s="5">
        <f>IF(B323="","",IFERROR(VLOOKUP(B323, PLANTA_BASE!A:R, 5, FALSE), "NO ENCONTRADO EN PLANTA"))</f>
        <v/>
      </c>
      <c r="E323" s="5">
        <f>IF(B323="","",IFERROR(VLOOKUP(B323, PLANTA_BASE!A:R, 6, FALSE), "NO ENCONTRADO EN PLANTA"))</f>
        <v/>
      </c>
      <c r="F323" s="7">
        <f>IF(B323="","",IFERROR(VLOOKUP(B323, PLANTA_BASE!A:R, 8, FALSE), "DOCENTE / FACILITADOR"))</f>
        <v/>
      </c>
      <c r="G323" s="7">
        <f>IF(B323="","",IFERROR(VLOOKUP(B323, PLANTA_BASE!A:R, 9, FALSE), "GENERAL"))</f>
        <v/>
      </c>
      <c r="H323" s="5">
        <f>IF(B323="","",IFERROR(VLOOKUP(B323, PLANTA_BASE!A:R, 17, FALSE), "GENERAL"))</f>
        <v/>
      </c>
    </row>
    <row r="324" ht="20" customHeight="1">
      <c r="A324" s="2">
        <f>IF(B324="","",IFERROR(VLOOKUP(B324, PLANTA_BASE!A:R, 2, FALSE), "NO ENCONTRADO EN PLANTA"))</f>
        <v/>
      </c>
      <c r="B324" s="3" t="inlineStr"/>
      <c r="C324" s="4">
        <f>IF(B324="","",IFERROR(VLOOKUP(B324, PLANTA_BASE!A:R, 3, FALSE), ""))</f>
        <v/>
      </c>
      <c r="D324" s="2">
        <f>IF(B324="","",IFERROR(VLOOKUP(B324, PLANTA_BASE!A:R, 5, FALSE), "NO ENCONTRADO EN PLANTA"))</f>
        <v/>
      </c>
      <c r="E324" s="2">
        <f>IF(B324="","",IFERROR(VLOOKUP(B324, PLANTA_BASE!A:R, 6, FALSE), "NO ENCONTRADO EN PLANTA"))</f>
        <v/>
      </c>
      <c r="F324" s="4">
        <f>IF(B324="","",IFERROR(VLOOKUP(B324, PLANTA_BASE!A:R, 8, FALSE), "DOCENTE / FACILITADOR"))</f>
        <v/>
      </c>
      <c r="G324" s="4">
        <f>IF(B324="","",IFERROR(VLOOKUP(B324, PLANTA_BASE!A:R, 9, FALSE), "GENERAL"))</f>
        <v/>
      </c>
      <c r="H324" s="2">
        <f>IF(B324="","",IFERROR(VLOOKUP(B324, PLANTA_BASE!A:R, 17, FALSE), "GENERAL"))</f>
        <v/>
      </c>
    </row>
    <row r="325" ht="20" customHeight="1">
      <c r="A325" s="5">
        <f>IF(B325="","",IFERROR(VLOOKUP(B325, PLANTA_BASE!A:R, 2, FALSE), "NO ENCONTRADO EN PLANTA"))</f>
        <v/>
      </c>
      <c r="B325" s="6" t="inlineStr"/>
      <c r="C325" s="7">
        <f>IF(B325="","",IFERROR(VLOOKUP(B325, PLANTA_BASE!A:R, 3, FALSE), ""))</f>
        <v/>
      </c>
      <c r="D325" s="5">
        <f>IF(B325="","",IFERROR(VLOOKUP(B325, PLANTA_BASE!A:R, 5, FALSE), "NO ENCONTRADO EN PLANTA"))</f>
        <v/>
      </c>
      <c r="E325" s="5">
        <f>IF(B325="","",IFERROR(VLOOKUP(B325, PLANTA_BASE!A:R, 6, FALSE), "NO ENCONTRADO EN PLANTA"))</f>
        <v/>
      </c>
      <c r="F325" s="7">
        <f>IF(B325="","",IFERROR(VLOOKUP(B325, PLANTA_BASE!A:R, 8, FALSE), "DOCENTE / FACILITADOR"))</f>
        <v/>
      </c>
      <c r="G325" s="7">
        <f>IF(B325="","",IFERROR(VLOOKUP(B325, PLANTA_BASE!A:R, 9, FALSE), "GENERAL"))</f>
        <v/>
      </c>
      <c r="H325" s="5">
        <f>IF(B325="","",IFERROR(VLOOKUP(B325, PLANTA_BASE!A:R, 17, FALSE), "GENERAL"))</f>
        <v/>
      </c>
    </row>
    <row r="326" ht="20" customHeight="1">
      <c r="A326" s="2">
        <f>IF(B326="","",IFERROR(VLOOKUP(B326, PLANTA_BASE!A:R, 2, FALSE), "NO ENCONTRADO EN PLANTA"))</f>
        <v/>
      </c>
      <c r="B326" s="3" t="inlineStr"/>
      <c r="C326" s="4">
        <f>IF(B326="","",IFERROR(VLOOKUP(B326, PLANTA_BASE!A:R, 3, FALSE), ""))</f>
        <v/>
      </c>
      <c r="D326" s="2">
        <f>IF(B326="","",IFERROR(VLOOKUP(B326, PLANTA_BASE!A:R, 5, FALSE), "NO ENCONTRADO EN PLANTA"))</f>
        <v/>
      </c>
      <c r="E326" s="2">
        <f>IF(B326="","",IFERROR(VLOOKUP(B326, PLANTA_BASE!A:R, 6, FALSE), "NO ENCONTRADO EN PLANTA"))</f>
        <v/>
      </c>
      <c r="F326" s="4">
        <f>IF(B326="","",IFERROR(VLOOKUP(B326, PLANTA_BASE!A:R, 8, FALSE), "DOCENTE / FACILITADOR"))</f>
        <v/>
      </c>
      <c r="G326" s="4">
        <f>IF(B326="","",IFERROR(VLOOKUP(B326, PLANTA_BASE!A:R, 9, FALSE), "GENERAL"))</f>
        <v/>
      </c>
      <c r="H326" s="2">
        <f>IF(B326="","",IFERROR(VLOOKUP(B326, PLANTA_BASE!A:R, 17, FALSE), "GENERAL"))</f>
        <v/>
      </c>
    </row>
    <row r="327" ht="20" customHeight="1">
      <c r="A327" s="5">
        <f>IF(B327="","",IFERROR(VLOOKUP(B327, PLANTA_BASE!A:R, 2, FALSE), "NO ENCONTRADO EN PLANTA"))</f>
        <v/>
      </c>
      <c r="B327" s="6" t="inlineStr"/>
      <c r="C327" s="7">
        <f>IF(B327="","",IFERROR(VLOOKUP(B327, PLANTA_BASE!A:R, 3, FALSE), ""))</f>
        <v/>
      </c>
      <c r="D327" s="5">
        <f>IF(B327="","",IFERROR(VLOOKUP(B327, PLANTA_BASE!A:R, 5, FALSE), "NO ENCONTRADO EN PLANTA"))</f>
        <v/>
      </c>
      <c r="E327" s="5">
        <f>IF(B327="","",IFERROR(VLOOKUP(B327, PLANTA_BASE!A:R, 6, FALSE), "NO ENCONTRADO EN PLANTA"))</f>
        <v/>
      </c>
      <c r="F327" s="7">
        <f>IF(B327="","",IFERROR(VLOOKUP(B327, PLANTA_BASE!A:R, 8, FALSE), "DOCENTE / FACILITADOR"))</f>
        <v/>
      </c>
      <c r="G327" s="7">
        <f>IF(B327="","",IFERROR(VLOOKUP(B327, PLANTA_BASE!A:R, 9, FALSE), "GENERAL"))</f>
        <v/>
      </c>
      <c r="H327" s="5">
        <f>IF(B327="","",IFERROR(VLOOKUP(B327, PLANTA_BASE!A:R, 17, FALSE), "GENERAL"))</f>
        <v/>
      </c>
    </row>
    <row r="328" ht="20" customHeight="1">
      <c r="A328" s="2">
        <f>IF(B328="","",IFERROR(VLOOKUP(B328, PLANTA_BASE!A:R, 2, FALSE), "NO ENCONTRADO EN PLANTA"))</f>
        <v/>
      </c>
      <c r="B328" s="3" t="inlineStr"/>
      <c r="C328" s="4">
        <f>IF(B328="","",IFERROR(VLOOKUP(B328, PLANTA_BASE!A:R, 3, FALSE), ""))</f>
        <v/>
      </c>
      <c r="D328" s="2">
        <f>IF(B328="","",IFERROR(VLOOKUP(B328, PLANTA_BASE!A:R, 5, FALSE), "NO ENCONTRADO EN PLANTA"))</f>
        <v/>
      </c>
      <c r="E328" s="2">
        <f>IF(B328="","",IFERROR(VLOOKUP(B328, PLANTA_BASE!A:R, 6, FALSE), "NO ENCONTRADO EN PLANTA"))</f>
        <v/>
      </c>
      <c r="F328" s="4">
        <f>IF(B328="","",IFERROR(VLOOKUP(B328, PLANTA_BASE!A:R, 8, FALSE), "DOCENTE / FACILITADOR"))</f>
        <v/>
      </c>
      <c r="G328" s="4">
        <f>IF(B328="","",IFERROR(VLOOKUP(B328, PLANTA_BASE!A:R, 9, FALSE), "GENERAL"))</f>
        <v/>
      </c>
      <c r="H328" s="2">
        <f>IF(B328="","",IFERROR(VLOOKUP(B328, PLANTA_BASE!A:R, 17, FALSE), "GENERAL"))</f>
        <v/>
      </c>
    </row>
    <row r="329" ht="20" customHeight="1">
      <c r="A329" s="5">
        <f>IF(B329="","",IFERROR(VLOOKUP(B329, PLANTA_BASE!A:R, 2, FALSE), "NO ENCONTRADO EN PLANTA"))</f>
        <v/>
      </c>
      <c r="B329" s="6" t="inlineStr"/>
      <c r="C329" s="7">
        <f>IF(B329="","",IFERROR(VLOOKUP(B329, PLANTA_BASE!A:R, 3, FALSE), ""))</f>
        <v/>
      </c>
      <c r="D329" s="5">
        <f>IF(B329="","",IFERROR(VLOOKUP(B329, PLANTA_BASE!A:R, 5, FALSE), "NO ENCONTRADO EN PLANTA"))</f>
        <v/>
      </c>
      <c r="E329" s="5">
        <f>IF(B329="","",IFERROR(VLOOKUP(B329, PLANTA_BASE!A:R, 6, FALSE), "NO ENCONTRADO EN PLANTA"))</f>
        <v/>
      </c>
      <c r="F329" s="7">
        <f>IF(B329="","",IFERROR(VLOOKUP(B329, PLANTA_BASE!A:R, 8, FALSE), "DOCENTE / FACILITADOR"))</f>
        <v/>
      </c>
      <c r="G329" s="7">
        <f>IF(B329="","",IFERROR(VLOOKUP(B329, PLANTA_BASE!A:R, 9, FALSE), "GENERAL"))</f>
        <v/>
      </c>
      <c r="H329" s="5">
        <f>IF(B329="","",IFERROR(VLOOKUP(B329, PLANTA_BASE!A:R, 17, FALSE), "GENERAL"))</f>
        <v/>
      </c>
    </row>
    <row r="330" ht="20" customHeight="1">
      <c r="A330" s="2">
        <f>IF(B330="","",IFERROR(VLOOKUP(B330, PLANTA_BASE!A:R, 2, FALSE), "NO ENCONTRADO EN PLANTA"))</f>
        <v/>
      </c>
      <c r="B330" s="3" t="inlineStr"/>
      <c r="C330" s="4">
        <f>IF(B330="","",IFERROR(VLOOKUP(B330, PLANTA_BASE!A:R, 3, FALSE), ""))</f>
        <v/>
      </c>
      <c r="D330" s="2">
        <f>IF(B330="","",IFERROR(VLOOKUP(B330, PLANTA_BASE!A:R, 5, FALSE), "NO ENCONTRADO EN PLANTA"))</f>
        <v/>
      </c>
      <c r="E330" s="2">
        <f>IF(B330="","",IFERROR(VLOOKUP(B330, PLANTA_BASE!A:R, 6, FALSE), "NO ENCONTRADO EN PLANTA"))</f>
        <v/>
      </c>
      <c r="F330" s="4">
        <f>IF(B330="","",IFERROR(VLOOKUP(B330, PLANTA_BASE!A:R, 8, FALSE), "DOCENTE / FACILITADOR"))</f>
        <v/>
      </c>
      <c r="G330" s="4">
        <f>IF(B330="","",IFERROR(VLOOKUP(B330, PLANTA_BASE!A:R, 9, FALSE), "GENERAL"))</f>
        <v/>
      </c>
      <c r="H330" s="2">
        <f>IF(B330="","",IFERROR(VLOOKUP(B330, PLANTA_BASE!A:R, 17, FALSE), "GENERAL"))</f>
        <v/>
      </c>
    </row>
    <row r="331" ht="20" customHeight="1">
      <c r="A331" s="5">
        <f>IF(B331="","",IFERROR(VLOOKUP(B331, PLANTA_BASE!A:R, 2, FALSE), "NO ENCONTRADO EN PLANTA"))</f>
        <v/>
      </c>
      <c r="B331" s="6" t="inlineStr"/>
      <c r="C331" s="7">
        <f>IF(B331="","",IFERROR(VLOOKUP(B331, PLANTA_BASE!A:R, 3, FALSE), ""))</f>
        <v/>
      </c>
      <c r="D331" s="5">
        <f>IF(B331="","",IFERROR(VLOOKUP(B331, PLANTA_BASE!A:R, 5, FALSE), "NO ENCONTRADO EN PLANTA"))</f>
        <v/>
      </c>
      <c r="E331" s="5">
        <f>IF(B331="","",IFERROR(VLOOKUP(B331, PLANTA_BASE!A:R, 6, FALSE), "NO ENCONTRADO EN PLANTA"))</f>
        <v/>
      </c>
      <c r="F331" s="7">
        <f>IF(B331="","",IFERROR(VLOOKUP(B331, PLANTA_BASE!A:R, 8, FALSE), "DOCENTE / FACILITADOR"))</f>
        <v/>
      </c>
      <c r="G331" s="7">
        <f>IF(B331="","",IFERROR(VLOOKUP(B331, PLANTA_BASE!A:R, 9, FALSE), "GENERAL"))</f>
        <v/>
      </c>
      <c r="H331" s="5">
        <f>IF(B331="","",IFERROR(VLOOKUP(B331, PLANTA_BASE!A:R, 17, FALSE), "GENERAL"))</f>
        <v/>
      </c>
    </row>
    <row r="332" ht="20" customHeight="1">
      <c r="A332" s="2">
        <f>IF(B332="","",IFERROR(VLOOKUP(B332, PLANTA_BASE!A:R, 2, FALSE), "NO ENCONTRADO EN PLANTA"))</f>
        <v/>
      </c>
      <c r="B332" s="3" t="inlineStr"/>
      <c r="C332" s="4">
        <f>IF(B332="","",IFERROR(VLOOKUP(B332, PLANTA_BASE!A:R, 3, FALSE), ""))</f>
        <v/>
      </c>
      <c r="D332" s="2">
        <f>IF(B332="","",IFERROR(VLOOKUP(B332, PLANTA_BASE!A:R, 5, FALSE), "NO ENCONTRADO EN PLANTA"))</f>
        <v/>
      </c>
      <c r="E332" s="2">
        <f>IF(B332="","",IFERROR(VLOOKUP(B332, PLANTA_BASE!A:R, 6, FALSE), "NO ENCONTRADO EN PLANTA"))</f>
        <v/>
      </c>
      <c r="F332" s="4">
        <f>IF(B332="","",IFERROR(VLOOKUP(B332, PLANTA_BASE!A:R, 8, FALSE), "DOCENTE / FACILITADOR"))</f>
        <v/>
      </c>
      <c r="G332" s="4">
        <f>IF(B332="","",IFERROR(VLOOKUP(B332, PLANTA_BASE!A:R, 9, FALSE), "GENERAL"))</f>
        <v/>
      </c>
      <c r="H332" s="2">
        <f>IF(B332="","",IFERROR(VLOOKUP(B332, PLANTA_BASE!A:R, 17, FALSE), "GENERAL"))</f>
        <v/>
      </c>
    </row>
    <row r="333" ht="20" customHeight="1">
      <c r="A333" s="5">
        <f>IF(B333="","",IFERROR(VLOOKUP(B333, PLANTA_BASE!A:R, 2, FALSE), "NO ENCONTRADO EN PLANTA"))</f>
        <v/>
      </c>
      <c r="B333" s="6" t="inlineStr"/>
      <c r="C333" s="7">
        <f>IF(B333="","",IFERROR(VLOOKUP(B333, PLANTA_BASE!A:R, 3, FALSE), ""))</f>
        <v/>
      </c>
      <c r="D333" s="5">
        <f>IF(B333="","",IFERROR(VLOOKUP(B333, PLANTA_BASE!A:R, 5, FALSE), "NO ENCONTRADO EN PLANTA"))</f>
        <v/>
      </c>
      <c r="E333" s="5">
        <f>IF(B333="","",IFERROR(VLOOKUP(B333, PLANTA_BASE!A:R, 6, FALSE), "NO ENCONTRADO EN PLANTA"))</f>
        <v/>
      </c>
      <c r="F333" s="7">
        <f>IF(B333="","",IFERROR(VLOOKUP(B333, PLANTA_BASE!A:R, 8, FALSE), "DOCENTE / FACILITADOR"))</f>
        <v/>
      </c>
      <c r="G333" s="7">
        <f>IF(B333="","",IFERROR(VLOOKUP(B333, PLANTA_BASE!A:R, 9, FALSE), "GENERAL"))</f>
        <v/>
      </c>
      <c r="H333" s="5">
        <f>IF(B333="","",IFERROR(VLOOKUP(B333, PLANTA_BASE!A:R, 17, FALSE), "GENERAL"))</f>
        <v/>
      </c>
    </row>
    <row r="334" ht="20" customHeight="1">
      <c r="A334" s="2">
        <f>IF(B334="","",IFERROR(VLOOKUP(B334, PLANTA_BASE!A:R, 2, FALSE), "NO ENCONTRADO EN PLANTA"))</f>
        <v/>
      </c>
      <c r="B334" s="3" t="inlineStr"/>
      <c r="C334" s="4">
        <f>IF(B334="","",IFERROR(VLOOKUP(B334, PLANTA_BASE!A:R, 3, FALSE), ""))</f>
        <v/>
      </c>
      <c r="D334" s="2">
        <f>IF(B334="","",IFERROR(VLOOKUP(B334, PLANTA_BASE!A:R, 5, FALSE), "NO ENCONTRADO EN PLANTA"))</f>
        <v/>
      </c>
      <c r="E334" s="2">
        <f>IF(B334="","",IFERROR(VLOOKUP(B334, PLANTA_BASE!A:R, 6, FALSE), "NO ENCONTRADO EN PLANTA"))</f>
        <v/>
      </c>
      <c r="F334" s="4">
        <f>IF(B334="","",IFERROR(VLOOKUP(B334, PLANTA_BASE!A:R, 8, FALSE), "DOCENTE / FACILITADOR"))</f>
        <v/>
      </c>
      <c r="G334" s="4">
        <f>IF(B334="","",IFERROR(VLOOKUP(B334, PLANTA_BASE!A:R, 9, FALSE), "GENERAL"))</f>
        <v/>
      </c>
      <c r="H334" s="2">
        <f>IF(B334="","",IFERROR(VLOOKUP(B334, PLANTA_BASE!A:R, 17, FALSE), "GENERAL"))</f>
        <v/>
      </c>
    </row>
    <row r="335" ht="20" customHeight="1">
      <c r="A335" s="5">
        <f>IF(B335="","",IFERROR(VLOOKUP(B335, PLANTA_BASE!A:R, 2, FALSE), "NO ENCONTRADO EN PLANTA"))</f>
        <v/>
      </c>
      <c r="B335" s="6" t="inlineStr"/>
      <c r="C335" s="7">
        <f>IF(B335="","",IFERROR(VLOOKUP(B335, PLANTA_BASE!A:R, 3, FALSE), ""))</f>
        <v/>
      </c>
      <c r="D335" s="5">
        <f>IF(B335="","",IFERROR(VLOOKUP(B335, PLANTA_BASE!A:R, 5, FALSE), "NO ENCONTRADO EN PLANTA"))</f>
        <v/>
      </c>
      <c r="E335" s="5">
        <f>IF(B335="","",IFERROR(VLOOKUP(B335, PLANTA_BASE!A:R, 6, FALSE), "NO ENCONTRADO EN PLANTA"))</f>
        <v/>
      </c>
      <c r="F335" s="7">
        <f>IF(B335="","",IFERROR(VLOOKUP(B335, PLANTA_BASE!A:R, 8, FALSE), "DOCENTE / FACILITADOR"))</f>
        <v/>
      </c>
      <c r="G335" s="7">
        <f>IF(B335="","",IFERROR(VLOOKUP(B335, PLANTA_BASE!A:R, 9, FALSE), "GENERAL"))</f>
        <v/>
      </c>
      <c r="H335" s="5">
        <f>IF(B335="","",IFERROR(VLOOKUP(B335, PLANTA_BASE!A:R, 17, FALSE), "GENERAL"))</f>
        <v/>
      </c>
    </row>
    <row r="336" ht="20" customHeight="1">
      <c r="A336" s="2">
        <f>IF(B336="","",IFERROR(VLOOKUP(B336, PLANTA_BASE!A:R, 2, FALSE), "NO ENCONTRADO EN PLANTA"))</f>
        <v/>
      </c>
      <c r="B336" s="3" t="inlineStr"/>
      <c r="C336" s="4">
        <f>IF(B336="","",IFERROR(VLOOKUP(B336, PLANTA_BASE!A:R, 3, FALSE), ""))</f>
        <v/>
      </c>
      <c r="D336" s="2">
        <f>IF(B336="","",IFERROR(VLOOKUP(B336, PLANTA_BASE!A:R, 5, FALSE), "NO ENCONTRADO EN PLANTA"))</f>
        <v/>
      </c>
      <c r="E336" s="2">
        <f>IF(B336="","",IFERROR(VLOOKUP(B336, PLANTA_BASE!A:R, 6, FALSE), "NO ENCONTRADO EN PLANTA"))</f>
        <v/>
      </c>
      <c r="F336" s="4">
        <f>IF(B336="","",IFERROR(VLOOKUP(B336, PLANTA_BASE!A:R, 8, FALSE), "DOCENTE / FACILITADOR"))</f>
        <v/>
      </c>
      <c r="G336" s="4">
        <f>IF(B336="","",IFERROR(VLOOKUP(B336, PLANTA_BASE!A:R, 9, FALSE), "GENERAL"))</f>
        <v/>
      </c>
      <c r="H336" s="2">
        <f>IF(B336="","",IFERROR(VLOOKUP(B336, PLANTA_BASE!A:R, 17, FALSE), "GENERAL"))</f>
        <v/>
      </c>
    </row>
    <row r="337" ht="20" customHeight="1">
      <c r="A337" s="5">
        <f>IF(B337="","",IFERROR(VLOOKUP(B337, PLANTA_BASE!A:R, 2, FALSE), "NO ENCONTRADO EN PLANTA"))</f>
        <v/>
      </c>
      <c r="B337" s="6" t="inlineStr"/>
      <c r="C337" s="7">
        <f>IF(B337="","",IFERROR(VLOOKUP(B337, PLANTA_BASE!A:R, 3, FALSE), ""))</f>
        <v/>
      </c>
      <c r="D337" s="5">
        <f>IF(B337="","",IFERROR(VLOOKUP(B337, PLANTA_BASE!A:R, 5, FALSE), "NO ENCONTRADO EN PLANTA"))</f>
        <v/>
      </c>
      <c r="E337" s="5">
        <f>IF(B337="","",IFERROR(VLOOKUP(B337, PLANTA_BASE!A:R, 6, FALSE), "NO ENCONTRADO EN PLANTA"))</f>
        <v/>
      </c>
      <c r="F337" s="7">
        <f>IF(B337="","",IFERROR(VLOOKUP(B337, PLANTA_BASE!A:R, 8, FALSE), "DOCENTE / FACILITADOR"))</f>
        <v/>
      </c>
      <c r="G337" s="7">
        <f>IF(B337="","",IFERROR(VLOOKUP(B337, PLANTA_BASE!A:R, 9, FALSE), "GENERAL"))</f>
        <v/>
      </c>
      <c r="H337" s="5">
        <f>IF(B337="","",IFERROR(VLOOKUP(B337, PLANTA_BASE!A:R, 17, FALSE), "GENERAL"))</f>
        <v/>
      </c>
    </row>
    <row r="338" ht="20" customHeight="1">
      <c r="A338" s="2">
        <f>IF(B338="","",IFERROR(VLOOKUP(B338, PLANTA_BASE!A:R, 2, FALSE), "NO ENCONTRADO EN PLANTA"))</f>
        <v/>
      </c>
      <c r="B338" s="3" t="inlineStr"/>
      <c r="C338" s="4">
        <f>IF(B338="","",IFERROR(VLOOKUP(B338, PLANTA_BASE!A:R, 3, FALSE), ""))</f>
        <v/>
      </c>
      <c r="D338" s="2">
        <f>IF(B338="","",IFERROR(VLOOKUP(B338, PLANTA_BASE!A:R, 5, FALSE), "NO ENCONTRADO EN PLANTA"))</f>
        <v/>
      </c>
      <c r="E338" s="2">
        <f>IF(B338="","",IFERROR(VLOOKUP(B338, PLANTA_BASE!A:R, 6, FALSE), "NO ENCONTRADO EN PLANTA"))</f>
        <v/>
      </c>
      <c r="F338" s="4">
        <f>IF(B338="","",IFERROR(VLOOKUP(B338, PLANTA_BASE!A:R, 8, FALSE), "DOCENTE / FACILITADOR"))</f>
        <v/>
      </c>
      <c r="G338" s="4">
        <f>IF(B338="","",IFERROR(VLOOKUP(B338, PLANTA_BASE!A:R, 9, FALSE), "GENERAL"))</f>
        <v/>
      </c>
      <c r="H338" s="2">
        <f>IF(B338="","",IFERROR(VLOOKUP(B338, PLANTA_BASE!A:R, 17, FALSE), "GENERAL"))</f>
        <v/>
      </c>
    </row>
    <row r="339" ht="20" customHeight="1">
      <c r="A339" s="5">
        <f>IF(B339="","",IFERROR(VLOOKUP(B339, PLANTA_BASE!A:R, 2, FALSE), "NO ENCONTRADO EN PLANTA"))</f>
        <v/>
      </c>
      <c r="B339" s="6" t="inlineStr"/>
      <c r="C339" s="7">
        <f>IF(B339="","",IFERROR(VLOOKUP(B339, PLANTA_BASE!A:R, 3, FALSE), ""))</f>
        <v/>
      </c>
      <c r="D339" s="5">
        <f>IF(B339="","",IFERROR(VLOOKUP(B339, PLANTA_BASE!A:R, 5, FALSE), "NO ENCONTRADO EN PLANTA"))</f>
        <v/>
      </c>
      <c r="E339" s="5">
        <f>IF(B339="","",IFERROR(VLOOKUP(B339, PLANTA_BASE!A:R, 6, FALSE), "NO ENCONTRADO EN PLANTA"))</f>
        <v/>
      </c>
      <c r="F339" s="7">
        <f>IF(B339="","",IFERROR(VLOOKUP(B339, PLANTA_BASE!A:R, 8, FALSE), "DOCENTE / FACILITADOR"))</f>
        <v/>
      </c>
      <c r="G339" s="7">
        <f>IF(B339="","",IFERROR(VLOOKUP(B339, PLANTA_BASE!A:R, 9, FALSE), "GENERAL"))</f>
        <v/>
      </c>
      <c r="H339" s="5">
        <f>IF(B339="","",IFERROR(VLOOKUP(B339, PLANTA_BASE!A:R, 17, FALSE), "GENERAL"))</f>
        <v/>
      </c>
    </row>
    <row r="340" ht="20" customHeight="1">
      <c r="A340" s="2">
        <f>IF(B340="","",IFERROR(VLOOKUP(B340, PLANTA_BASE!A:R, 2, FALSE), "NO ENCONTRADO EN PLANTA"))</f>
        <v/>
      </c>
      <c r="B340" s="3" t="inlineStr"/>
      <c r="C340" s="4">
        <f>IF(B340="","",IFERROR(VLOOKUP(B340, PLANTA_BASE!A:R, 3, FALSE), ""))</f>
        <v/>
      </c>
      <c r="D340" s="2">
        <f>IF(B340="","",IFERROR(VLOOKUP(B340, PLANTA_BASE!A:R, 5, FALSE), "NO ENCONTRADO EN PLANTA"))</f>
        <v/>
      </c>
      <c r="E340" s="2">
        <f>IF(B340="","",IFERROR(VLOOKUP(B340, PLANTA_BASE!A:R, 6, FALSE), "NO ENCONTRADO EN PLANTA"))</f>
        <v/>
      </c>
      <c r="F340" s="4">
        <f>IF(B340="","",IFERROR(VLOOKUP(B340, PLANTA_BASE!A:R, 8, FALSE), "DOCENTE / FACILITADOR"))</f>
        <v/>
      </c>
      <c r="G340" s="4">
        <f>IF(B340="","",IFERROR(VLOOKUP(B340, PLANTA_BASE!A:R, 9, FALSE), "GENERAL"))</f>
        <v/>
      </c>
      <c r="H340" s="2">
        <f>IF(B340="","",IFERROR(VLOOKUP(B340, PLANTA_BASE!A:R, 17, FALSE), "GENERAL"))</f>
        <v/>
      </c>
    </row>
    <row r="341" ht="20" customHeight="1">
      <c r="A341" s="5">
        <f>IF(B341="","",IFERROR(VLOOKUP(B341, PLANTA_BASE!A:R, 2, FALSE), "NO ENCONTRADO EN PLANTA"))</f>
        <v/>
      </c>
      <c r="B341" s="6" t="inlineStr"/>
      <c r="C341" s="7">
        <f>IF(B341="","",IFERROR(VLOOKUP(B341, PLANTA_BASE!A:R, 3, FALSE), ""))</f>
        <v/>
      </c>
      <c r="D341" s="5">
        <f>IF(B341="","",IFERROR(VLOOKUP(B341, PLANTA_BASE!A:R, 5, FALSE), "NO ENCONTRADO EN PLANTA"))</f>
        <v/>
      </c>
      <c r="E341" s="5">
        <f>IF(B341="","",IFERROR(VLOOKUP(B341, PLANTA_BASE!A:R, 6, FALSE), "NO ENCONTRADO EN PLANTA"))</f>
        <v/>
      </c>
      <c r="F341" s="7">
        <f>IF(B341="","",IFERROR(VLOOKUP(B341, PLANTA_BASE!A:R, 8, FALSE), "DOCENTE / FACILITADOR"))</f>
        <v/>
      </c>
      <c r="G341" s="7">
        <f>IF(B341="","",IFERROR(VLOOKUP(B341, PLANTA_BASE!A:R, 9, FALSE), "GENERAL"))</f>
        <v/>
      </c>
      <c r="H341" s="5">
        <f>IF(B341="","",IFERROR(VLOOKUP(B341, PLANTA_BASE!A:R, 17, FALSE), "GENERAL"))</f>
        <v/>
      </c>
    </row>
    <row r="342" ht="20" customHeight="1">
      <c r="A342" s="2">
        <f>IF(B342="","",IFERROR(VLOOKUP(B342, PLANTA_BASE!A:R, 2, FALSE), "NO ENCONTRADO EN PLANTA"))</f>
        <v/>
      </c>
      <c r="B342" s="3" t="inlineStr"/>
      <c r="C342" s="4">
        <f>IF(B342="","",IFERROR(VLOOKUP(B342, PLANTA_BASE!A:R, 3, FALSE), ""))</f>
        <v/>
      </c>
      <c r="D342" s="2">
        <f>IF(B342="","",IFERROR(VLOOKUP(B342, PLANTA_BASE!A:R, 5, FALSE), "NO ENCONTRADO EN PLANTA"))</f>
        <v/>
      </c>
      <c r="E342" s="2">
        <f>IF(B342="","",IFERROR(VLOOKUP(B342, PLANTA_BASE!A:R, 6, FALSE), "NO ENCONTRADO EN PLANTA"))</f>
        <v/>
      </c>
      <c r="F342" s="4">
        <f>IF(B342="","",IFERROR(VLOOKUP(B342, PLANTA_BASE!A:R, 8, FALSE), "DOCENTE / FACILITADOR"))</f>
        <v/>
      </c>
      <c r="G342" s="4">
        <f>IF(B342="","",IFERROR(VLOOKUP(B342, PLANTA_BASE!A:R, 9, FALSE), "GENERAL"))</f>
        <v/>
      </c>
      <c r="H342" s="2">
        <f>IF(B342="","",IFERROR(VLOOKUP(B342, PLANTA_BASE!A:R, 17, FALSE), "GENERAL"))</f>
        <v/>
      </c>
    </row>
    <row r="343" ht="20" customHeight="1">
      <c r="A343" s="5">
        <f>IF(B343="","",IFERROR(VLOOKUP(B343, PLANTA_BASE!A:R, 2, FALSE), "NO ENCONTRADO EN PLANTA"))</f>
        <v/>
      </c>
      <c r="B343" s="6" t="inlineStr"/>
      <c r="C343" s="7">
        <f>IF(B343="","",IFERROR(VLOOKUP(B343, PLANTA_BASE!A:R, 3, FALSE), ""))</f>
        <v/>
      </c>
      <c r="D343" s="5">
        <f>IF(B343="","",IFERROR(VLOOKUP(B343, PLANTA_BASE!A:R, 5, FALSE), "NO ENCONTRADO EN PLANTA"))</f>
        <v/>
      </c>
      <c r="E343" s="5">
        <f>IF(B343="","",IFERROR(VLOOKUP(B343, PLANTA_BASE!A:R, 6, FALSE), "NO ENCONTRADO EN PLANTA"))</f>
        <v/>
      </c>
      <c r="F343" s="7">
        <f>IF(B343="","",IFERROR(VLOOKUP(B343, PLANTA_BASE!A:R, 8, FALSE), "DOCENTE / FACILITADOR"))</f>
        <v/>
      </c>
      <c r="G343" s="7">
        <f>IF(B343="","",IFERROR(VLOOKUP(B343, PLANTA_BASE!A:R, 9, FALSE), "GENERAL"))</f>
        <v/>
      </c>
      <c r="H343" s="5">
        <f>IF(B343="","",IFERROR(VLOOKUP(B343, PLANTA_BASE!A:R, 17, FALSE), "GENERAL"))</f>
        <v/>
      </c>
    </row>
    <row r="344" ht="20" customHeight="1">
      <c r="A344" s="2">
        <f>IF(B344="","",IFERROR(VLOOKUP(B344, PLANTA_BASE!A:R, 2, FALSE), "NO ENCONTRADO EN PLANTA"))</f>
        <v/>
      </c>
      <c r="B344" s="3" t="inlineStr"/>
      <c r="C344" s="4">
        <f>IF(B344="","",IFERROR(VLOOKUP(B344, PLANTA_BASE!A:R, 3, FALSE), ""))</f>
        <v/>
      </c>
      <c r="D344" s="2">
        <f>IF(B344="","",IFERROR(VLOOKUP(B344, PLANTA_BASE!A:R, 5, FALSE), "NO ENCONTRADO EN PLANTA"))</f>
        <v/>
      </c>
      <c r="E344" s="2">
        <f>IF(B344="","",IFERROR(VLOOKUP(B344, PLANTA_BASE!A:R, 6, FALSE), "NO ENCONTRADO EN PLANTA"))</f>
        <v/>
      </c>
      <c r="F344" s="4">
        <f>IF(B344="","",IFERROR(VLOOKUP(B344, PLANTA_BASE!A:R, 8, FALSE), "DOCENTE / FACILITADOR"))</f>
        <v/>
      </c>
      <c r="G344" s="4">
        <f>IF(B344="","",IFERROR(VLOOKUP(B344, PLANTA_BASE!A:R, 9, FALSE), "GENERAL"))</f>
        <v/>
      </c>
      <c r="H344" s="2">
        <f>IF(B344="","",IFERROR(VLOOKUP(B344, PLANTA_BASE!A:R, 17, FALSE), "GENERAL"))</f>
        <v/>
      </c>
    </row>
    <row r="345" ht="20" customHeight="1">
      <c r="A345" s="5">
        <f>IF(B345="","",IFERROR(VLOOKUP(B345, PLANTA_BASE!A:R, 2, FALSE), "NO ENCONTRADO EN PLANTA"))</f>
        <v/>
      </c>
      <c r="B345" s="6" t="inlineStr"/>
      <c r="C345" s="7">
        <f>IF(B345="","",IFERROR(VLOOKUP(B345, PLANTA_BASE!A:R, 3, FALSE), ""))</f>
        <v/>
      </c>
      <c r="D345" s="5">
        <f>IF(B345="","",IFERROR(VLOOKUP(B345, PLANTA_BASE!A:R, 5, FALSE), "NO ENCONTRADO EN PLANTA"))</f>
        <v/>
      </c>
      <c r="E345" s="5">
        <f>IF(B345="","",IFERROR(VLOOKUP(B345, PLANTA_BASE!A:R, 6, FALSE), "NO ENCONTRADO EN PLANTA"))</f>
        <v/>
      </c>
      <c r="F345" s="7">
        <f>IF(B345="","",IFERROR(VLOOKUP(B345, PLANTA_BASE!A:R, 8, FALSE), "DOCENTE / FACILITADOR"))</f>
        <v/>
      </c>
      <c r="G345" s="7">
        <f>IF(B345="","",IFERROR(VLOOKUP(B345, PLANTA_BASE!A:R, 9, FALSE), "GENERAL"))</f>
        <v/>
      </c>
      <c r="H345" s="5">
        <f>IF(B345="","",IFERROR(VLOOKUP(B345, PLANTA_BASE!A:R, 17, FALSE), "GENERAL"))</f>
        <v/>
      </c>
    </row>
    <row r="346" ht="20" customHeight="1">
      <c r="A346" s="2">
        <f>IF(B346="","",IFERROR(VLOOKUP(B346, PLANTA_BASE!A:R, 2, FALSE), "NO ENCONTRADO EN PLANTA"))</f>
        <v/>
      </c>
      <c r="B346" s="3" t="inlineStr"/>
      <c r="C346" s="4">
        <f>IF(B346="","",IFERROR(VLOOKUP(B346, PLANTA_BASE!A:R, 3, FALSE), ""))</f>
        <v/>
      </c>
      <c r="D346" s="2">
        <f>IF(B346="","",IFERROR(VLOOKUP(B346, PLANTA_BASE!A:R, 5, FALSE), "NO ENCONTRADO EN PLANTA"))</f>
        <v/>
      </c>
      <c r="E346" s="2">
        <f>IF(B346="","",IFERROR(VLOOKUP(B346, PLANTA_BASE!A:R, 6, FALSE), "NO ENCONTRADO EN PLANTA"))</f>
        <v/>
      </c>
      <c r="F346" s="4">
        <f>IF(B346="","",IFERROR(VLOOKUP(B346, PLANTA_BASE!A:R, 8, FALSE), "DOCENTE / FACILITADOR"))</f>
        <v/>
      </c>
      <c r="G346" s="4">
        <f>IF(B346="","",IFERROR(VLOOKUP(B346, PLANTA_BASE!A:R, 9, FALSE), "GENERAL"))</f>
        <v/>
      </c>
      <c r="H346" s="2">
        <f>IF(B346="","",IFERROR(VLOOKUP(B346, PLANTA_BASE!A:R, 17, FALSE), "GENERAL"))</f>
        <v/>
      </c>
    </row>
    <row r="347" ht="20" customHeight="1">
      <c r="A347" s="5">
        <f>IF(B347="","",IFERROR(VLOOKUP(B347, PLANTA_BASE!A:R, 2, FALSE), "NO ENCONTRADO EN PLANTA"))</f>
        <v/>
      </c>
      <c r="B347" s="6" t="inlineStr"/>
      <c r="C347" s="7">
        <f>IF(B347="","",IFERROR(VLOOKUP(B347, PLANTA_BASE!A:R, 3, FALSE), ""))</f>
        <v/>
      </c>
      <c r="D347" s="5">
        <f>IF(B347="","",IFERROR(VLOOKUP(B347, PLANTA_BASE!A:R, 5, FALSE), "NO ENCONTRADO EN PLANTA"))</f>
        <v/>
      </c>
      <c r="E347" s="5">
        <f>IF(B347="","",IFERROR(VLOOKUP(B347, PLANTA_BASE!A:R, 6, FALSE), "NO ENCONTRADO EN PLANTA"))</f>
        <v/>
      </c>
      <c r="F347" s="7">
        <f>IF(B347="","",IFERROR(VLOOKUP(B347, PLANTA_BASE!A:R, 8, FALSE), "DOCENTE / FACILITADOR"))</f>
        <v/>
      </c>
      <c r="G347" s="7">
        <f>IF(B347="","",IFERROR(VLOOKUP(B347, PLANTA_BASE!A:R, 9, FALSE), "GENERAL"))</f>
        <v/>
      </c>
      <c r="H347" s="5">
        <f>IF(B347="","",IFERROR(VLOOKUP(B347, PLANTA_BASE!A:R, 17, FALSE), "GENERAL"))</f>
        <v/>
      </c>
    </row>
    <row r="348" ht="20" customHeight="1">
      <c r="A348" s="2">
        <f>IF(B348="","",IFERROR(VLOOKUP(B348, PLANTA_BASE!A:R, 2, FALSE), "NO ENCONTRADO EN PLANTA"))</f>
        <v/>
      </c>
      <c r="B348" s="3" t="inlineStr"/>
      <c r="C348" s="4">
        <f>IF(B348="","",IFERROR(VLOOKUP(B348, PLANTA_BASE!A:R, 3, FALSE), ""))</f>
        <v/>
      </c>
      <c r="D348" s="2">
        <f>IF(B348="","",IFERROR(VLOOKUP(B348, PLANTA_BASE!A:R, 5, FALSE), "NO ENCONTRADO EN PLANTA"))</f>
        <v/>
      </c>
      <c r="E348" s="2">
        <f>IF(B348="","",IFERROR(VLOOKUP(B348, PLANTA_BASE!A:R, 6, FALSE), "NO ENCONTRADO EN PLANTA"))</f>
        <v/>
      </c>
      <c r="F348" s="4">
        <f>IF(B348="","",IFERROR(VLOOKUP(B348, PLANTA_BASE!A:R, 8, FALSE), "DOCENTE / FACILITADOR"))</f>
        <v/>
      </c>
      <c r="G348" s="4">
        <f>IF(B348="","",IFERROR(VLOOKUP(B348, PLANTA_BASE!A:R, 9, FALSE), "GENERAL"))</f>
        <v/>
      </c>
      <c r="H348" s="2">
        <f>IF(B348="","",IFERROR(VLOOKUP(B348, PLANTA_BASE!A:R, 17, FALSE), "GENERAL"))</f>
        <v/>
      </c>
    </row>
    <row r="349" ht="20" customHeight="1">
      <c r="A349" s="5">
        <f>IF(B349="","",IFERROR(VLOOKUP(B349, PLANTA_BASE!A:R, 2, FALSE), "NO ENCONTRADO EN PLANTA"))</f>
        <v/>
      </c>
      <c r="B349" s="6" t="inlineStr"/>
      <c r="C349" s="7">
        <f>IF(B349="","",IFERROR(VLOOKUP(B349, PLANTA_BASE!A:R, 3, FALSE), ""))</f>
        <v/>
      </c>
      <c r="D349" s="5">
        <f>IF(B349="","",IFERROR(VLOOKUP(B349, PLANTA_BASE!A:R, 5, FALSE), "NO ENCONTRADO EN PLANTA"))</f>
        <v/>
      </c>
      <c r="E349" s="5">
        <f>IF(B349="","",IFERROR(VLOOKUP(B349, PLANTA_BASE!A:R, 6, FALSE), "NO ENCONTRADO EN PLANTA"))</f>
        <v/>
      </c>
      <c r="F349" s="7">
        <f>IF(B349="","",IFERROR(VLOOKUP(B349, PLANTA_BASE!A:R, 8, FALSE), "DOCENTE / FACILITADOR"))</f>
        <v/>
      </c>
      <c r="G349" s="7">
        <f>IF(B349="","",IFERROR(VLOOKUP(B349, PLANTA_BASE!A:R, 9, FALSE), "GENERAL"))</f>
        <v/>
      </c>
      <c r="H349" s="5">
        <f>IF(B349="","",IFERROR(VLOOKUP(B349, PLANTA_BASE!A:R, 17, FALSE), "GENERAL"))</f>
        <v/>
      </c>
    </row>
    <row r="350" ht="20" customHeight="1">
      <c r="A350" s="2">
        <f>IF(B350="","",IFERROR(VLOOKUP(B350, PLANTA_BASE!A:R, 2, FALSE), "NO ENCONTRADO EN PLANTA"))</f>
        <v/>
      </c>
      <c r="B350" s="3" t="inlineStr"/>
      <c r="C350" s="4">
        <f>IF(B350="","",IFERROR(VLOOKUP(B350, PLANTA_BASE!A:R, 3, FALSE), ""))</f>
        <v/>
      </c>
      <c r="D350" s="2">
        <f>IF(B350="","",IFERROR(VLOOKUP(B350, PLANTA_BASE!A:R, 5, FALSE), "NO ENCONTRADO EN PLANTA"))</f>
        <v/>
      </c>
      <c r="E350" s="2">
        <f>IF(B350="","",IFERROR(VLOOKUP(B350, PLANTA_BASE!A:R, 6, FALSE), "NO ENCONTRADO EN PLANTA"))</f>
        <v/>
      </c>
      <c r="F350" s="4">
        <f>IF(B350="","",IFERROR(VLOOKUP(B350, PLANTA_BASE!A:R, 8, FALSE), "DOCENTE / FACILITADOR"))</f>
        <v/>
      </c>
      <c r="G350" s="4">
        <f>IF(B350="","",IFERROR(VLOOKUP(B350, PLANTA_BASE!A:R, 9, FALSE), "GENERAL"))</f>
        <v/>
      </c>
      <c r="H350" s="2">
        <f>IF(B350="","",IFERROR(VLOOKUP(B350, PLANTA_BASE!A:R, 17, FALSE), "GENERAL"))</f>
        <v/>
      </c>
    </row>
    <row r="351" ht="20" customHeight="1">
      <c r="A351" s="5">
        <f>IF(B351="","",IFERROR(VLOOKUP(B351, PLANTA_BASE!A:R, 2, FALSE), "NO ENCONTRADO EN PLANTA"))</f>
        <v/>
      </c>
      <c r="B351" s="6" t="inlineStr"/>
      <c r="C351" s="7">
        <f>IF(B351="","",IFERROR(VLOOKUP(B351, PLANTA_BASE!A:R, 3, FALSE), ""))</f>
        <v/>
      </c>
      <c r="D351" s="5">
        <f>IF(B351="","",IFERROR(VLOOKUP(B351, PLANTA_BASE!A:R, 5, FALSE), "NO ENCONTRADO EN PLANTA"))</f>
        <v/>
      </c>
      <c r="E351" s="5">
        <f>IF(B351="","",IFERROR(VLOOKUP(B351, PLANTA_BASE!A:R, 6, FALSE), "NO ENCONTRADO EN PLANTA"))</f>
        <v/>
      </c>
      <c r="F351" s="7">
        <f>IF(B351="","",IFERROR(VLOOKUP(B351, PLANTA_BASE!A:R, 8, FALSE), "DOCENTE / FACILITADOR"))</f>
        <v/>
      </c>
      <c r="G351" s="7">
        <f>IF(B351="","",IFERROR(VLOOKUP(B351, PLANTA_BASE!A:R, 9, FALSE), "GENERAL"))</f>
        <v/>
      </c>
      <c r="H351" s="5">
        <f>IF(B351="","",IFERROR(VLOOKUP(B351, PLANTA_BASE!A:R, 17, FALSE), "GENERAL"))</f>
        <v/>
      </c>
    </row>
    <row r="352" ht="20" customHeight="1">
      <c r="A352" s="2">
        <f>IF(B352="","",IFERROR(VLOOKUP(B352, PLANTA_BASE!A:R, 2, FALSE), "NO ENCONTRADO EN PLANTA"))</f>
        <v/>
      </c>
      <c r="B352" s="3" t="inlineStr"/>
      <c r="C352" s="4">
        <f>IF(B352="","",IFERROR(VLOOKUP(B352, PLANTA_BASE!A:R, 3, FALSE), ""))</f>
        <v/>
      </c>
      <c r="D352" s="2">
        <f>IF(B352="","",IFERROR(VLOOKUP(B352, PLANTA_BASE!A:R, 5, FALSE), "NO ENCONTRADO EN PLANTA"))</f>
        <v/>
      </c>
      <c r="E352" s="2">
        <f>IF(B352="","",IFERROR(VLOOKUP(B352, PLANTA_BASE!A:R, 6, FALSE), "NO ENCONTRADO EN PLANTA"))</f>
        <v/>
      </c>
      <c r="F352" s="4">
        <f>IF(B352="","",IFERROR(VLOOKUP(B352, PLANTA_BASE!A:R, 8, FALSE), "DOCENTE / FACILITADOR"))</f>
        <v/>
      </c>
      <c r="G352" s="4">
        <f>IF(B352="","",IFERROR(VLOOKUP(B352, PLANTA_BASE!A:R, 9, FALSE), "GENERAL"))</f>
        <v/>
      </c>
      <c r="H352" s="2">
        <f>IF(B352="","",IFERROR(VLOOKUP(B352, PLANTA_BASE!A:R, 17, FALSE), "GENERAL"))</f>
        <v/>
      </c>
    </row>
    <row r="353" ht="20" customHeight="1">
      <c r="A353" s="5">
        <f>IF(B353="","",IFERROR(VLOOKUP(B353, PLANTA_BASE!A:R, 2, FALSE), "NO ENCONTRADO EN PLANTA"))</f>
        <v/>
      </c>
      <c r="B353" s="6" t="inlineStr"/>
      <c r="C353" s="7">
        <f>IF(B353="","",IFERROR(VLOOKUP(B353, PLANTA_BASE!A:R, 3, FALSE), ""))</f>
        <v/>
      </c>
      <c r="D353" s="5">
        <f>IF(B353="","",IFERROR(VLOOKUP(B353, PLANTA_BASE!A:R, 5, FALSE), "NO ENCONTRADO EN PLANTA"))</f>
        <v/>
      </c>
      <c r="E353" s="5">
        <f>IF(B353="","",IFERROR(VLOOKUP(B353, PLANTA_BASE!A:R, 6, FALSE), "NO ENCONTRADO EN PLANTA"))</f>
        <v/>
      </c>
      <c r="F353" s="7">
        <f>IF(B353="","",IFERROR(VLOOKUP(B353, PLANTA_BASE!A:R, 8, FALSE), "DOCENTE / FACILITADOR"))</f>
        <v/>
      </c>
      <c r="G353" s="7">
        <f>IF(B353="","",IFERROR(VLOOKUP(B353, PLANTA_BASE!A:R, 9, FALSE), "GENERAL"))</f>
        <v/>
      </c>
      <c r="H353" s="5">
        <f>IF(B353="","",IFERROR(VLOOKUP(B353, PLANTA_BASE!A:R, 17, FALSE), "GENERAL"))</f>
        <v/>
      </c>
    </row>
    <row r="354" ht="20" customHeight="1">
      <c r="A354" s="2">
        <f>IF(B354="","",IFERROR(VLOOKUP(B354, PLANTA_BASE!A:R, 2, FALSE), "NO ENCONTRADO EN PLANTA"))</f>
        <v/>
      </c>
      <c r="B354" s="3" t="inlineStr"/>
      <c r="C354" s="4">
        <f>IF(B354="","",IFERROR(VLOOKUP(B354, PLANTA_BASE!A:R, 3, FALSE), ""))</f>
        <v/>
      </c>
      <c r="D354" s="2">
        <f>IF(B354="","",IFERROR(VLOOKUP(B354, PLANTA_BASE!A:R, 5, FALSE), "NO ENCONTRADO EN PLANTA"))</f>
        <v/>
      </c>
      <c r="E354" s="2">
        <f>IF(B354="","",IFERROR(VLOOKUP(B354, PLANTA_BASE!A:R, 6, FALSE), "NO ENCONTRADO EN PLANTA"))</f>
        <v/>
      </c>
      <c r="F354" s="4">
        <f>IF(B354="","",IFERROR(VLOOKUP(B354, PLANTA_BASE!A:R, 8, FALSE), "DOCENTE / FACILITADOR"))</f>
        <v/>
      </c>
      <c r="G354" s="4">
        <f>IF(B354="","",IFERROR(VLOOKUP(B354, PLANTA_BASE!A:R, 9, FALSE), "GENERAL"))</f>
        <v/>
      </c>
      <c r="H354" s="2">
        <f>IF(B354="","",IFERROR(VLOOKUP(B354, PLANTA_BASE!A:R, 17, FALSE), "GENERAL"))</f>
        <v/>
      </c>
    </row>
    <row r="355" ht="20" customHeight="1">
      <c r="A355" s="5">
        <f>IF(B355="","",IFERROR(VLOOKUP(B355, PLANTA_BASE!A:R, 2, FALSE), "NO ENCONTRADO EN PLANTA"))</f>
        <v/>
      </c>
      <c r="B355" s="6" t="inlineStr"/>
      <c r="C355" s="7">
        <f>IF(B355="","",IFERROR(VLOOKUP(B355, PLANTA_BASE!A:R, 3, FALSE), ""))</f>
        <v/>
      </c>
      <c r="D355" s="5">
        <f>IF(B355="","",IFERROR(VLOOKUP(B355, PLANTA_BASE!A:R, 5, FALSE), "NO ENCONTRADO EN PLANTA"))</f>
        <v/>
      </c>
      <c r="E355" s="5">
        <f>IF(B355="","",IFERROR(VLOOKUP(B355, PLANTA_BASE!A:R, 6, FALSE), "NO ENCONTRADO EN PLANTA"))</f>
        <v/>
      </c>
      <c r="F355" s="7">
        <f>IF(B355="","",IFERROR(VLOOKUP(B355, PLANTA_BASE!A:R, 8, FALSE), "DOCENTE / FACILITADOR"))</f>
        <v/>
      </c>
      <c r="G355" s="7">
        <f>IF(B355="","",IFERROR(VLOOKUP(B355, PLANTA_BASE!A:R, 9, FALSE), "GENERAL"))</f>
        <v/>
      </c>
      <c r="H355" s="5">
        <f>IF(B355="","",IFERROR(VLOOKUP(B355, PLANTA_BASE!A:R, 17, FALSE), "GENERAL"))</f>
        <v/>
      </c>
    </row>
    <row r="356" ht="20" customHeight="1">
      <c r="A356" s="2">
        <f>IF(B356="","",IFERROR(VLOOKUP(B356, PLANTA_BASE!A:R, 2, FALSE), "NO ENCONTRADO EN PLANTA"))</f>
        <v/>
      </c>
      <c r="B356" s="3" t="inlineStr"/>
      <c r="C356" s="4">
        <f>IF(B356="","",IFERROR(VLOOKUP(B356, PLANTA_BASE!A:R, 3, FALSE), ""))</f>
        <v/>
      </c>
      <c r="D356" s="2">
        <f>IF(B356="","",IFERROR(VLOOKUP(B356, PLANTA_BASE!A:R, 5, FALSE), "NO ENCONTRADO EN PLANTA"))</f>
        <v/>
      </c>
      <c r="E356" s="2">
        <f>IF(B356="","",IFERROR(VLOOKUP(B356, PLANTA_BASE!A:R, 6, FALSE), "NO ENCONTRADO EN PLANTA"))</f>
        <v/>
      </c>
      <c r="F356" s="4">
        <f>IF(B356="","",IFERROR(VLOOKUP(B356, PLANTA_BASE!A:R, 8, FALSE), "DOCENTE / FACILITADOR"))</f>
        <v/>
      </c>
      <c r="G356" s="4">
        <f>IF(B356="","",IFERROR(VLOOKUP(B356, PLANTA_BASE!A:R, 9, FALSE), "GENERAL"))</f>
        <v/>
      </c>
      <c r="H356" s="2">
        <f>IF(B356="","",IFERROR(VLOOKUP(B356, PLANTA_BASE!A:R, 17, FALSE), "GENERAL"))</f>
        <v/>
      </c>
    </row>
    <row r="357" ht="20" customHeight="1">
      <c r="A357" s="5">
        <f>IF(B357="","",IFERROR(VLOOKUP(B357, PLANTA_BASE!A:R, 2, FALSE), "NO ENCONTRADO EN PLANTA"))</f>
        <v/>
      </c>
      <c r="B357" s="6" t="inlineStr"/>
      <c r="C357" s="7">
        <f>IF(B357="","",IFERROR(VLOOKUP(B357, PLANTA_BASE!A:R, 3, FALSE), ""))</f>
        <v/>
      </c>
      <c r="D357" s="5">
        <f>IF(B357="","",IFERROR(VLOOKUP(B357, PLANTA_BASE!A:R, 5, FALSE), "NO ENCONTRADO EN PLANTA"))</f>
        <v/>
      </c>
      <c r="E357" s="5">
        <f>IF(B357="","",IFERROR(VLOOKUP(B357, PLANTA_BASE!A:R, 6, FALSE), "NO ENCONTRADO EN PLANTA"))</f>
        <v/>
      </c>
      <c r="F357" s="7">
        <f>IF(B357="","",IFERROR(VLOOKUP(B357, PLANTA_BASE!A:R, 8, FALSE), "DOCENTE / FACILITADOR"))</f>
        <v/>
      </c>
      <c r="G357" s="7">
        <f>IF(B357="","",IFERROR(VLOOKUP(B357, PLANTA_BASE!A:R, 9, FALSE), "GENERAL"))</f>
        <v/>
      </c>
      <c r="H357" s="5">
        <f>IF(B357="","",IFERROR(VLOOKUP(B357, PLANTA_BASE!A:R, 17, FALSE), "GENERAL"))</f>
        <v/>
      </c>
    </row>
    <row r="358" ht="20" customHeight="1">
      <c r="A358" s="2">
        <f>IF(B358="","",IFERROR(VLOOKUP(B358, PLANTA_BASE!A:R, 2, FALSE), "NO ENCONTRADO EN PLANTA"))</f>
        <v/>
      </c>
      <c r="B358" s="3" t="inlineStr"/>
      <c r="C358" s="4">
        <f>IF(B358="","",IFERROR(VLOOKUP(B358, PLANTA_BASE!A:R, 3, FALSE), ""))</f>
        <v/>
      </c>
      <c r="D358" s="2">
        <f>IF(B358="","",IFERROR(VLOOKUP(B358, PLANTA_BASE!A:R, 5, FALSE), "NO ENCONTRADO EN PLANTA"))</f>
        <v/>
      </c>
      <c r="E358" s="2">
        <f>IF(B358="","",IFERROR(VLOOKUP(B358, PLANTA_BASE!A:R, 6, FALSE), "NO ENCONTRADO EN PLANTA"))</f>
        <v/>
      </c>
      <c r="F358" s="4">
        <f>IF(B358="","",IFERROR(VLOOKUP(B358, PLANTA_BASE!A:R, 8, FALSE), "DOCENTE / FACILITADOR"))</f>
        <v/>
      </c>
      <c r="G358" s="4">
        <f>IF(B358="","",IFERROR(VLOOKUP(B358, PLANTA_BASE!A:R, 9, FALSE), "GENERAL"))</f>
        <v/>
      </c>
      <c r="H358" s="2">
        <f>IF(B358="","",IFERROR(VLOOKUP(B358, PLANTA_BASE!A:R, 17, FALSE), "GENERAL"))</f>
        <v/>
      </c>
    </row>
    <row r="359" ht="20" customHeight="1">
      <c r="A359" s="5">
        <f>IF(B359="","",IFERROR(VLOOKUP(B359, PLANTA_BASE!A:R, 2, FALSE), "NO ENCONTRADO EN PLANTA"))</f>
        <v/>
      </c>
      <c r="B359" s="6" t="inlineStr"/>
      <c r="C359" s="7">
        <f>IF(B359="","",IFERROR(VLOOKUP(B359, PLANTA_BASE!A:R, 3, FALSE), ""))</f>
        <v/>
      </c>
      <c r="D359" s="5">
        <f>IF(B359="","",IFERROR(VLOOKUP(B359, PLANTA_BASE!A:R, 5, FALSE), "NO ENCONTRADO EN PLANTA"))</f>
        <v/>
      </c>
      <c r="E359" s="5">
        <f>IF(B359="","",IFERROR(VLOOKUP(B359, PLANTA_BASE!A:R, 6, FALSE), "NO ENCONTRADO EN PLANTA"))</f>
        <v/>
      </c>
      <c r="F359" s="7">
        <f>IF(B359="","",IFERROR(VLOOKUP(B359, PLANTA_BASE!A:R, 8, FALSE), "DOCENTE / FACILITADOR"))</f>
        <v/>
      </c>
      <c r="G359" s="7">
        <f>IF(B359="","",IFERROR(VLOOKUP(B359, PLANTA_BASE!A:R, 9, FALSE), "GENERAL"))</f>
        <v/>
      </c>
      <c r="H359" s="5">
        <f>IF(B359="","",IFERROR(VLOOKUP(B359, PLANTA_BASE!A:R, 17, FALSE), "GENERAL"))</f>
        <v/>
      </c>
    </row>
    <row r="360" ht="20" customHeight="1">
      <c r="A360" s="2">
        <f>IF(B360="","",IFERROR(VLOOKUP(B360, PLANTA_BASE!A:R, 2, FALSE), "NO ENCONTRADO EN PLANTA"))</f>
        <v/>
      </c>
      <c r="B360" s="3" t="inlineStr"/>
      <c r="C360" s="4">
        <f>IF(B360="","",IFERROR(VLOOKUP(B360, PLANTA_BASE!A:R, 3, FALSE), ""))</f>
        <v/>
      </c>
      <c r="D360" s="2">
        <f>IF(B360="","",IFERROR(VLOOKUP(B360, PLANTA_BASE!A:R, 5, FALSE), "NO ENCONTRADO EN PLANTA"))</f>
        <v/>
      </c>
      <c r="E360" s="2">
        <f>IF(B360="","",IFERROR(VLOOKUP(B360, PLANTA_BASE!A:R, 6, FALSE), "NO ENCONTRADO EN PLANTA"))</f>
        <v/>
      </c>
      <c r="F360" s="4">
        <f>IF(B360="","",IFERROR(VLOOKUP(B360, PLANTA_BASE!A:R, 8, FALSE), "DOCENTE / FACILITADOR"))</f>
        <v/>
      </c>
      <c r="G360" s="4">
        <f>IF(B360="","",IFERROR(VLOOKUP(B360, PLANTA_BASE!A:R, 9, FALSE), "GENERAL"))</f>
        <v/>
      </c>
      <c r="H360" s="2">
        <f>IF(B360="","",IFERROR(VLOOKUP(B360, PLANTA_BASE!A:R, 17, FALSE), "GENERAL"))</f>
        <v/>
      </c>
    </row>
    <row r="361" ht="20" customHeight="1">
      <c r="A361" s="5">
        <f>IF(B361="","",IFERROR(VLOOKUP(B361, PLANTA_BASE!A:R, 2, FALSE), "NO ENCONTRADO EN PLANTA"))</f>
        <v/>
      </c>
      <c r="B361" s="6" t="inlineStr"/>
      <c r="C361" s="7">
        <f>IF(B361="","",IFERROR(VLOOKUP(B361, PLANTA_BASE!A:R, 3, FALSE), ""))</f>
        <v/>
      </c>
      <c r="D361" s="5">
        <f>IF(B361="","",IFERROR(VLOOKUP(B361, PLANTA_BASE!A:R, 5, FALSE), "NO ENCONTRADO EN PLANTA"))</f>
        <v/>
      </c>
      <c r="E361" s="5">
        <f>IF(B361="","",IFERROR(VLOOKUP(B361, PLANTA_BASE!A:R, 6, FALSE), "NO ENCONTRADO EN PLANTA"))</f>
        <v/>
      </c>
      <c r="F361" s="7">
        <f>IF(B361="","",IFERROR(VLOOKUP(B361, PLANTA_BASE!A:R, 8, FALSE), "DOCENTE / FACILITADOR"))</f>
        <v/>
      </c>
      <c r="G361" s="7">
        <f>IF(B361="","",IFERROR(VLOOKUP(B361, PLANTA_BASE!A:R, 9, FALSE), "GENERAL"))</f>
        <v/>
      </c>
      <c r="H361" s="5">
        <f>IF(B361="","",IFERROR(VLOOKUP(B361, PLANTA_BASE!A:R, 17, FALSE), "GENERAL"))</f>
        <v/>
      </c>
    </row>
    <row r="362" ht="20" customHeight="1">
      <c r="A362" s="2">
        <f>IF(B362="","",IFERROR(VLOOKUP(B362, PLANTA_BASE!A:R, 2, FALSE), "NO ENCONTRADO EN PLANTA"))</f>
        <v/>
      </c>
      <c r="B362" s="3" t="inlineStr"/>
      <c r="C362" s="4">
        <f>IF(B362="","",IFERROR(VLOOKUP(B362, PLANTA_BASE!A:R, 3, FALSE), ""))</f>
        <v/>
      </c>
      <c r="D362" s="2">
        <f>IF(B362="","",IFERROR(VLOOKUP(B362, PLANTA_BASE!A:R, 5, FALSE), "NO ENCONTRADO EN PLANTA"))</f>
        <v/>
      </c>
      <c r="E362" s="2">
        <f>IF(B362="","",IFERROR(VLOOKUP(B362, PLANTA_BASE!A:R, 6, FALSE), "NO ENCONTRADO EN PLANTA"))</f>
        <v/>
      </c>
      <c r="F362" s="4">
        <f>IF(B362="","",IFERROR(VLOOKUP(B362, PLANTA_BASE!A:R, 8, FALSE), "DOCENTE / FACILITADOR"))</f>
        <v/>
      </c>
      <c r="G362" s="4">
        <f>IF(B362="","",IFERROR(VLOOKUP(B362, PLANTA_BASE!A:R, 9, FALSE), "GENERAL"))</f>
        <v/>
      </c>
      <c r="H362" s="2">
        <f>IF(B362="","",IFERROR(VLOOKUP(B362, PLANTA_BASE!A:R, 17, FALSE), "GENERAL"))</f>
        <v/>
      </c>
    </row>
    <row r="363" ht="20" customHeight="1">
      <c r="A363" s="5">
        <f>IF(B363="","",IFERROR(VLOOKUP(B363, PLANTA_BASE!A:R, 2, FALSE), "NO ENCONTRADO EN PLANTA"))</f>
        <v/>
      </c>
      <c r="B363" s="6" t="inlineStr"/>
      <c r="C363" s="7">
        <f>IF(B363="","",IFERROR(VLOOKUP(B363, PLANTA_BASE!A:R, 3, FALSE), ""))</f>
        <v/>
      </c>
      <c r="D363" s="5">
        <f>IF(B363="","",IFERROR(VLOOKUP(B363, PLANTA_BASE!A:R, 5, FALSE), "NO ENCONTRADO EN PLANTA"))</f>
        <v/>
      </c>
      <c r="E363" s="5">
        <f>IF(B363="","",IFERROR(VLOOKUP(B363, PLANTA_BASE!A:R, 6, FALSE), "NO ENCONTRADO EN PLANTA"))</f>
        <v/>
      </c>
      <c r="F363" s="7">
        <f>IF(B363="","",IFERROR(VLOOKUP(B363, PLANTA_BASE!A:R, 8, FALSE), "DOCENTE / FACILITADOR"))</f>
        <v/>
      </c>
      <c r="G363" s="7">
        <f>IF(B363="","",IFERROR(VLOOKUP(B363, PLANTA_BASE!A:R, 9, FALSE), "GENERAL"))</f>
        <v/>
      </c>
      <c r="H363" s="5">
        <f>IF(B363="","",IFERROR(VLOOKUP(B363, PLANTA_BASE!A:R, 17, FALSE), "GENERAL"))</f>
        <v/>
      </c>
    </row>
    <row r="364" ht="20" customHeight="1">
      <c r="A364" s="2">
        <f>IF(B364="","",IFERROR(VLOOKUP(B364, PLANTA_BASE!A:R, 2, FALSE), "NO ENCONTRADO EN PLANTA"))</f>
        <v/>
      </c>
      <c r="B364" s="3" t="inlineStr"/>
      <c r="C364" s="4">
        <f>IF(B364="","",IFERROR(VLOOKUP(B364, PLANTA_BASE!A:R, 3, FALSE), ""))</f>
        <v/>
      </c>
      <c r="D364" s="2">
        <f>IF(B364="","",IFERROR(VLOOKUP(B364, PLANTA_BASE!A:R, 5, FALSE), "NO ENCONTRADO EN PLANTA"))</f>
        <v/>
      </c>
      <c r="E364" s="2">
        <f>IF(B364="","",IFERROR(VLOOKUP(B364, PLANTA_BASE!A:R, 6, FALSE), "NO ENCONTRADO EN PLANTA"))</f>
        <v/>
      </c>
      <c r="F364" s="4">
        <f>IF(B364="","",IFERROR(VLOOKUP(B364, PLANTA_BASE!A:R, 8, FALSE), "DOCENTE / FACILITADOR"))</f>
        <v/>
      </c>
      <c r="G364" s="4">
        <f>IF(B364="","",IFERROR(VLOOKUP(B364, PLANTA_BASE!A:R, 9, FALSE), "GENERAL"))</f>
        <v/>
      </c>
      <c r="H364" s="2">
        <f>IF(B364="","",IFERROR(VLOOKUP(B364, PLANTA_BASE!A:R, 17, FALSE), "GENERAL"))</f>
        <v/>
      </c>
    </row>
    <row r="365" ht="20" customHeight="1">
      <c r="A365" s="5">
        <f>IF(B365="","",IFERROR(VLOOKUP(B365, PLANTA_BASE!A:R, 2, FALSE), "NO ENCONTRADO EN PLANTA"))</f>
        <v/>
      </c>
      <c r="B365" s="6" t="inlineStr"/>
      <c r="C365" s="7">
        <f>IF(B365="","",IFERROR(VLOOKUP(B365, PLANTA_BASE!A:R, 3, FALSE), ""))</f>
        <v/>
      </c>
      <c r="D365" s="5">
        <f>IF(B365="","",IFERROR(VLOOKUP(B365, PLANTA_BASE!A:R, 5, FALSE), "NO ENCONTRADO EN PLANTA"))</f>
        <v/>
      </c>
      <c r="E365" s="5">
        <f>IF(B365="","",IFERROR(VLOOKUP(B365, PLANTA_BASE!A:R, 6, FALSE), "NO ENCONTRADO EN PLANTA"))</f>
        <v/>
      </c>
      <c r="F365" s="7">
        <f>IF(B365="","",IFERROR(VLOOKUP(B365, PLANTA_BASE!A:R, 8, FALSE), "DOCENTE / FACILITADOR"))</f>
        <v/>
      </c>
      <c r="G365" s="7">
        <f>IF(B365="","",IFERROR(VLOOKUP(B365, PLANTA_BASE!A:R, 9, FALSE), "GENERAL"))</f>
        <v/>
      </c>
      <c r="H365" s="5">
        <f>IF(B365="","",IFERROR(VLOOKUP(B365, PLANTA_BASE!A:R, 17, FALSE), "GENERAL"))</f>
        <v/>
      </c>
    </row>
    <row r="366" ht="20" customHeight="1">
      <c r="A366" s="2">
        <f>IF(B366="","",IFERROR(VLOOKUP(B366, PLANTA_BASE!A:R, 2, FALSE), "NO ENCONTRADO EN PLANTA"))</f>
        <v/>
      </c>
      <c r="B366" s="3" t="inlineStr"/>
      <c r="C366" s="4">
        <f>IF(B366="","",IFERROR(VLOOKUP(B366, PLANTA_BASE!A:R, 3, FALSE), ""))</f>
        <v/>
      </c>
      <c r="D366" s="2">
        <f>IF(B366="","",IFERROR(VLOOKUP(B366, PLANTA_BASE!A:R, 5, FALSE), "NO ENCONTRADO EN PLANTA"))</f>
        <v/>
      </c>
      <c r="E366" s="2">
        <f>IF(B366="","",IFERROR(VLOOKUP(B366, PLANTA_BASE!A:R, 6, FALSE), "NO ENCONTRADO EN PLANTA"))</f>
        <v/>
      </c>
      <c r="F366" s="4">
        <f>IF(B366="","",IFERROR(VLOOKUP(B366, PLANTA_BASE!A:R, 8, FALSE), "DOCENTE / FACILITADOR"))</f>
        <v/>
      </c>
      <c r="G366" s="4">
        <f>IF(B366="","",IFERROR(VLOOKUP(B366, PLANTA_BASE!A:R, 9, FALSE), "GENERAL"))</f>
        <v/>
      </c>
      <c r="H366" s="2">
        <f>IF(B366="","",IFERROR(VLOOKUP(B366, PLANTA_BASE!A:R, 17, FALSE), "GENERAL"))</f>
        <v/>
      </c>
    </row>
    <row r="367" ht="20" customHeight="1">
      <c r="A367" s="5">
        <f>IF(B367="","",IFERROR(VLOOKUP(B367, PLANTA_BASE!A:R, 2, FALSE), "NO ENCONTRADO EN PLANTA"))</f>
        <v/>
      </c>
      <c r="B367" s="6" t="inlineStr"/>
      <c r="C367" s="7">
        <f>IF(B367="","",IFERROR(VLOOKUP(B367, PLANTA_BASE!A:R, 3, FALSE), ""))</f>
        <v/>
      </c>
      <c r="D367" s="5">
        <f>IF(B367="","",IFERROR(VLOOKUP(B367, PLANTA_BASE!A:R, 5, FALSE), "NO ENCONTRADO EN PLANTA"))</f>
        <v/>
      </c>
      <c r="E367" s="5">
        <f>IF(B367="","",IFERROR(VLOOKUP(B367, PLANTA_BASE!A:R, 6, FALSE), "NO ENCONTRADO EN PLANTA"))</f>
        <v/>
      </c>
      <c r="F367" s="7">
        <f>IF(B367="","",IFERROR(VLOOKUP(B367, PLANTA_BASE!A:R, 8, FALSE), "DOCENTE / FACILITADOR"))</f>
        <v/>
      </c>
      <c r="G367" s="7">
        <f>IF(B367="","",IFERROR(VLOOKUP(B367, PLANTA_BASE!A:R, 9, FALSE), "GENERAL"))</f>
        <v/>
      </c>
      <c r="H367" s="5">
        <f>IF(B367="","",IFERROR(VLOOKUP(B367, PLANTA_BASE!A:R, 17, FALSE), "GENERAL"))</f>
        <v/>
      </c>
    </row>
    <row r="368" ht="20" customHeight="1">
      <c r="A368" s="2">
        <f>IF(B368="","",IFERROR(VLOOKUP(B368, PLANTA_BASE!A:R, 2, FALSE), "NO ENCONTRADO EN PLANTA"))</f>
        <v/>
      </c>
      <c r="B368" s="3" t="inlineStr"/>
      <c r="C368" s="4">
        <f>IF(B368="","",IFERROR(VLOOKUP(B368, PLANTA_BASE!A:R, 3, FALSE), ""))</f>
        <v/>
      </c>
      <c r="D368" s="2">
        <f>IF(B368="","",IFERROR(VLOOKUP(B368, PLANTA_BASE!A:R, 5, FALSE), "NO ENCONTRADO EN PLANTA"))</f>
        <v/>
      </c>
      <c r="E368" s="2">
        <f>IF(B368="","",IFERROR(VLOOKUP(B368, PLANTA_BASE!A:R, 6, FALSE), "NO ENCONTRADO EN PLANTA"))</f>
        <v/>
      </c>
      <c r="F368" s="4">
        <f>IF(B368="","",IFERROR(VLOOKUP(B368, PLANTA_BASE!A:R, 8, FALSE), "DOCENTE / FACILITADOR"))</f>
        <v/>
      </c>
      <c r="G368" s="4">
        <f>IF(B368="","",IFERROR(VLOOKUP(B368, PLANTA_BASE!A:R, 9, FALSE), "GENERAL"))</f>
        <v/>
      </c>
      <c r="H368" s="2">
        <f>IF(B368="","",IFERROR(VLOOKUP(B368, PLANTA_BASE!A:R, 17, FALSE), "GENERAL"))</f>
        <v/>
      </c>
    </row>
    <row r="369" ht="20" customHeight="1">
      <c r="A369" s="5">
        <f>IF(B369="","",IFERROR(VLOOKUP(B369, PLANTA_BASE!A:R, 2, FALSE), "NO ENCONTRADO EN PLANTA"))</f>
        <v/>
      </c>
      <c r="B369" s="6" t="inlineStr"/>
      <c r="C369" s="7">
        <f>IF(B369="","",IFERROR(VLOOKUP(B369, PLANTA_BASE!A:R, 3, FALSE), ""))</f>
        <v/>
      </c>
      <c r="D369" s="5">
        <f>IF(B369="","",IFERROR(VLOOKUP(B369, PLANTA_BASE!A:R, 5, FALSE), "NO ENCONTRADO EN PLANTA"))</f>
        <v/>
      </c>
      <c r="E369" s="5">
        <f>IF(B369="","",IFERROR(VLOOKUP(B369, PLANTA_BASE!A:R, 6, FALSE), "NO ENCONTRADO EN PLANTA"))</f>
        <v/>
      </c>
      <c r="F369" s="7">
        <f>IF(B369="","",IFERROR(VLOOKUP(B369, PLANTA_BASE!A:R, 8, FALSE), "DOCENTE / FACILITADOR"))</f>
        <v/>
      </c>
      <c r="G369" s="7">
        <f>IF(B369="","",IFERROR(VLOOKUP(B369, PLANTA_BASE!A:R, 9, FALSE), "GENERAL"))</f>
        <v/>
      </c>
      <c r="H369" s="5">
        <f>IF(B369="","",IFERROR(VLOOKUP(B369, PLANTA_BASE!A:R, 17, FALSE), "GENERAL"))</f>
        <v/>
      </c>
    </row>
    <row r="370" ht="20" customHeight="1">
      <c r="A370" s="2">
        <f>IF(B370="","",IFERROR(VLOOKUP(B370, PLANTA_BASE!A:R, 2, FALSE), "NO ENCONTRADO EN PLANTA"))</f>
        <v/>
      </c>
      <c r="B370" s="3" t="inlineStr"/>
      <c r="C370" s="4">
        <f>IF(B370="","",IFERROR(VLOOKUP(B370, PLANTA_BASE!A:R, 3, FALSE), ""))</f>
        <v/>
      </c>
      <c r="D370" s="2">
        <f>IF(B370="","",IFERROR(VLOOKUP(B370, PLANTA_BASE!A:R, 5, FALSE), "NO ENCONTRADO EN PLANTA"))</f>
        <v/>
      </c>
      <c r="E370" s="2">
        <f>IF(B370="","",IFERROR(VLOOKUP(B370, PLANTA_BASE!A:R, 6, FALSE), "NO ENCONTRADO EN PLANTA"))</f>
        <v/>
      </c>
      <c r="F370" s="4">
        <f>IF(B370="","",IFERROR(VLOOKUP(B370, PLANTA_BASE!A:R, 8, FALSE), "DOCENTE / FACILITADOR"))</f>
        <v/>
      </c>
      <c r="G370" s="4">
        <f>IF(B370="","",IFERROR(VLOOKUP(B370, PLANTA_BASE!A:R, 9, FALSE), "GENERAL"))</f>
        <v/>
      </c>
      <c r="H370" s="2">
        <f>IF(B370="","",IFERROR(VLOOKUP(B370, PLANTA_BASE!A:R, 17, FALSE), "GENERAL"))</f>
        <v/>
      </c>
    </row>
    <row r="371" ht="20" customHeight="1">
      <c r="A371" s="5">
        <f>IF(B371="","",IFERROR(VLOOKUP(B371, PLANTA_BASE!A:R, 2, FALSE), "NO ENCONTRADO EN PLANTA"))</f>
        <v/>
      </c>
      <c r="B371" s="6" t="inlineStr"/>
      <c r="C371" s="7">
        <f>IF(B371="","",IFERROR(VLOOKUP(B371, PLANTA_BASE!A:R, 3, FALSE), ""))</f>
        <v/>
      </c>
      <c r="D371" s="5">
        <f>IF(B371="","",IFERROR(VLOOKUP(B371, PLANTA_BASE!A:R, 5, FALSE), "NO ENCONTRADO EN PLANTA"))</f>
        <v/>
      </c>
      <c r="E371" s="5">
        <f>IF(B371="","",IFERROR(VLOOKUP(B371, PLANTA_BASE!A:R, 6, FALSE), "NO ENCONTRADO EN PLANTA"))</f>
        <v/>
      </c>
      <c r="F371" s="7">
        <f>IF(B371="","",IFERROR(VLOOKUP(B371, PLANTA_BASE!A:R, 8, FALSE), "DOCENTE / FACILITADOR"))</f>
        <v/>
      </c>
      <c r="G371" s="7">
        <f>IF(B371="","",IFERROR(VLOOKUP(B371, PLANTA_BASE!A:R, 9, FALSE), "GENERAL"))</f>
        <v/>
      </c>
      <c r="H371" s="5">
        <f>IF(B371="","",IFERROR(VLOOKUP(B371, PLANTA_BASE!A:R, 17, FALSE), "GENERAL"))</f>
        <v/>
      </c>
    </row>
    <row r="372" ht="20" customHeight="1">
      <c r="A372" s="2">
        <f>IF(B372="","",IFERROR(VLOOKUP(B372, PLANTA_BASE!A:R, 2, FALSE), "NO ENCONTRADO EN PLANTA"))</f>
        <v/>
      </c>
      <c r="B372" s="3" t="inlineStr"/>
      <c r="C372" s="4">
        <f>IF(B372="","",IFERROR(VLOOKUP(B372, PLANTA_BASE!A:R, 3, FALSE), ""))</f>
        <v/>
      </c>
      <c r="D372" s="2">
        <f>IF(B372="","",IFERROR(VLOOKUP(B372, PLANTA_BASE!A:R, 5, FALSE), "NO ENCONTRADO EN PLANTA"))</f>
        <v/>
      </c>
      <c r="E372" s="2">
        <f>IF(B372="","",IFERROR(VLOOKUP(B372, PLANTA_BASE!A:R, 6, FALSE), "NO ENCONTRADO EN PLANTA"))</f>
        <v/>
      </c>
      <c r="F372" s="4">
        <f>IF(B372="","",IFERROR(VLOOKUP(B372, PLANTA_BASE!A:R, 8, FALSE), "DOCENTE / FACILITADOR"))</f>
        <v/>
      </c>
      <c r="G372" s="4">
        <f>IF(B372="","",IFERROR(VLOOKUP(B372, PLANTA_BASE!A:R, 9, FALSE), "GENERAL"))</f>
        <v/>
      </c>
      <c r="H372" s="2">
        <f>IF(B372="","",IFERROR(VLOOKUP(B372, PLANTA_BASE!A:R, 17, FALSE), "GENERAL"))</f>
        <v/>
      </c>
    </row>
    <row r="373" ht="20" customHeight="1">
      <c r="A373" s="5">
        <f>IF(B373="","",IFERROR(VLOOKUP(B373, PLANTA_BASE!A:R, 2, FALSE), "NO ENCONTRADO EN PLANTA"))</f>
        <v/>
      </c>
      <c r="B373" s="6" t="inlineStr"/>
      <c r="C373" s="7">
        <f>IF(B373="","",IFERROR(VLOOKUP(B373, PLANTA_BASE!A:R, 3, FALSE), ""))</f>
        <v/>
      </c>
      <c r="D373" s="5">
        <f>IF(B373="","",IFERROR(VLOOKUP(B373, PLANTA_BASE!A:R, 5, FALSE), "NO ENCONTRADO EN PLANTA"))</f>
        <v/>
      </c>
      <c r="E373" s="5">
        <f>IF(B373="","",IFERROR(VLOOKUP(B373, PLANTA_BASE!A:R, 6, FALSE), "NO ENCONTRADO EN PLANTA"))</f>
        <v/>
      </c>
      <c r="F373" s="7">
        <f>IF(B373="","",IFERROR(VLOOKUP(B373, PLANTA_BASE!A:R, 8, FALSE), "DOCENTE / FACILITADOR"))</f>
        <v/>
      </c>
      <c r="G373" s="7">
        <f>IF(B373="","",IFERROR(VLOOKUP(B373, PLANTA_BASE!A:R, 9, FALSE), "GENERAL"))</f>
        <v/>
      </c>
      <c r="H373" s="5">
        <f>IF(B373="","",IFERROR(VLOOKUP(B373, PLANTA_BASE!A:R, 17, FALSE), "GENERAL"))</f>
        <v/>
      </c>
    </row>
    <row r="374" ht="20" customHeight="1">
      <c r="A374" s="2">
        <f>IF(B374="","",IFERROR(VLOOKUP(B374, PLANTA_BASE!A:R, 2, FALSE), "NO ENCONTRADO EN PLANTA"))</f>
        <v/>
      </c>
      <c r="B374" s="3" t="inlineStr"/>
      <c r="C374" s="4">
        <f>IF(B374="","",IFERROR(VLOOKUP(B374, PLANTA_BASE!A:R, 3, FALSE), ""))</f>
        <v/>
      </c>
      <c r="D374" s="2">
        <f>IF(B374="","",IFERROR(VLOOKUP(B374, PLANTA_BASE!A:R, 5, FALSE), "NO ENCONTRADO EN PLANTA"))</f>
        <v/>
      </c>
      <c r="E374" s="2">
        <f>IF(B374="","",IFERROR(VLOOKUP(B374, PLANTA_BASE!A:R, 6, FALSE), "NO ENCONTRADO EN PLANTA"))</f>
        <v/>
      </c>
      <c r="F374" s="4">
        <f>IF(B374="","",IFERROR(VLOOKUP(B374, PLANTA_BASE!A:R, 8, FALSE), "DOCENTE / FACILITADOR"))</f>
        <v/>
      </c>
      <c r="G374" s="4">
        <f>IF(B374="","",IFERROR(VLOOKUP(B374, PLANTA_BASE!A:R, 9, FALSE), "GENERAL"))</f>
        <v/>
      </c>
      <c r="H374" s="2">
        <f>IF(B374="","",IFERROR(VLOOKUP(B374, PLANTA_BASE!A:R, 17, FALSE), "GENERAL"))</f>
        <v/>
      </c>
    </row>
    <row r="375" ht="20" customHeight="1">
      <c r="A375" s="5">
        <f>IF(B375="","",IFERROR(VLOOKUP(B375, PLANTA_BASE!A:R, 2, FALSE), "NO ENCONTRADO EN PLANTA"))</f>
        <v/>
      </c>
      <c r="B375" s="6" t="inlineStr"/>
      <c r="C375" s="7">
        <f>IF(B375="","",IFERROR(VLOOKUP(B375, PLANTA_BASE!A:R, 3, FALSE), ""))</f>
        <v/>
      </c>
      <c r="D375" s="5">
        <f>IF(B375="","",IFERROR(VLOOKUP(B375, PLANTA_BASE!A:R, 5, FALSE), "NO ENCONTRADO EN PLANTA"))</f>
        <v/>
      </c>
      <c r="E375" s="5">
        <f>IF(B375="","",IFERROR(VLOOKUP(B375, PLANTA_BASE!A:R, 6, FALSE), "NO ENCONTRADO EN PLANTA"))</f>
        <v/>
      </c>
      <c r="F375" s="7">
        <f>IF(B375="","",IFERROR(VLOOKUP(B375, PLANTA_BASE!A:R, 8, FALSE), "DOCENTE / FACILITADOR"))</f>
        <v/>
      </c>
      <c r="G375" s="7">
        <f>IF(B375="","",IFERROR(VLOOKUP(B375, PLANTA_BASE!A:R, 9, FALSE), "GENERAL"))</f>
        <v/>
      </c>
      <c r="H375" s="5">
        <f>IF(B375="","",IFERROR(VLOOKUP(B375, PLANTA_BASE!A:R, 17, FALSE), "GENERAL"))</f>
        <v/>
      </c>
    </row>
    <row r="376" ht="20" customHeight="1">
      <c r="A376" s="2">
        <f>IF(B376="","",IFERROR(VLOOKUP(B376, PLANTA_BASE!A:R, 2, FALSE), "NO ENCONTRADO EN PLANTA"))</f>
        <v/>
      </c>
      <c r="B376" s="3" t="inlineStr"/>
      <c r="C376" s="4">
        <f>IF(B376="","",IFERROR(VLOOKUP(B376, PLANTA_BASE!A:R, 3, FALSE), ""))</f>
        <v/>
      </c>
      <c r="D376" s="2">
        <f>IF(B376="","",IFERROR(VLOOKUP(B376, PLANTA_BASE!A:R, 5, FALSE), "NO ENCONTRADO EN PLANTA"))</f>
        <v/>
      </c>
      <c r="E376" s="2">
        <f>IF(B376="","",IFERROR(VLOOKUP(B376, PLANTA_BASE!A:R, 6, FALSE), "NO ENCONTRADO EN PLANTA"))</f>
        <v/>
      </c>
      <c r="F376" s="4">
        <f>IF(B376="","",IFERROR(VLOOKUP(B376, PLANTA_BASE!A:R, 8, FALSE), "DOCENTE / FACILITADOR"))</f>
        <v/>
      </c>
      <c r="G376" s="4">
        <f>IF(B376="","",IFERROR(VLOOKUP(B376, PLANTA_BASE!A:R, 9, FALSE), "GENERAL"))</f>
        <v/>
      </c>
      <c r="H376" s="2">
        <f>IF(B376="","",IFERROR(VLOOKUP(B376, PLANTA_BASE!A:R, 17, FALSE), "GENERAL"))</f>
        <v/>
      </c>
    </row>
    <row r="377" ht="20" customHeight="1">
      <c r="A377" s="5">
        <f>IF(B377="","",IFERROR(VLOOKUP(B377, PLANTA_BASE!A:R, 2, FALSE), "NO ENCONTRADO EN PLANTA"))</f>
        <v/>
      </c>
      <c r="B377" s="6" t="inlineStr"/>
      <c r="C377" s="7">
        <f>IF(B377="","",IFERROR(VLOOKUP(B377, PLANTA_BASE!A:R, 3, FALSE), ""))</f>
        <v/>
      </c>
      <c r="D377" s="5">
        <f>IF(B377="","",IFERROR(VLOOKUP(B377, PLANTA_BASE!A:R, 5, FALSE), "NO ENCONTRADO EN PLANTA"))</f>
        <v/>
      </c>
      <c r="E377" s="5">
        <f>IF(B377="","",IFERROR(VLOOKUP(B377, PLANTA_BASE!A:R, 6, FALSE), "NO ENCONTRADO EN PLANTA"))</f>
        <v/>
      </c>
      <c r="F377" s="7">
        <f>IF(B377="","",IFERROR(VLOOKUP(B377, PLANTA_BASE!A:R, 8, FALSE), "DOCENTE / FACILITADOR"))</f>
        <v/>
      </c>
      <c r="G377" s="7">
        <f>IF(B377="","",IFERROR(VLOOKUP(B377, PLANTA_BASE!A:R, 9, FALSE), "GENERAL"))</f>
        <v/>
      </c>
      <c r="H377" s="5">
        <f>IF(B377="","",IFERROR(VLOOKUP(B377, PLANTA_BASE!A:R, 17, FALSE), "GENERAL"))</f>
        <v/>
      </c>
    </row>
    <row r="378" ht="20" customHeight="1">
      <c r="A378" s="2">
        <f>IF(B378="","",IFERROR(VLOOKUP(B378, PLANTA_BASE!A:R, 2, FALSE), "NO ENCONTRADO EN PLANTA"))</f>
        <v/>
      </c>
      <c r="B378" s="3" t="inlineStr"/>
      <c r="C378" s="4">
        <f>IF(B378="","",IFERROR(VLOOKUP(B378, PLANTA_BASE!A:R, 3, FALSE), ""))</f>
        <v/>
      </c>
      <c r="D378" s="2">
        <f>IF(B378="","",IFERROR(VLOOKUP(B378, PLANTA_BASE!A:R, 5, FALSE), "NO ENCONTRADO EN PLANTA"))</f>
        <v/>
      </c>
      <c r="E378" s="2">
        <f>IF(B378="","",IFERROR(VLOOKUP(B378, PLANTA_BASE!A:R, 6, FALSE), "NO ENCONTRADO EN PLANTA"))</f>
        <v/>
      </c>
      <c r="F378" s="4">
        <f>IF(B378="","",IFERROR(VLOOKUP(B378, PLANTA_BASE!A:R, 8, FALSE), "DOCENTE / FACILITADOR"))</f>
        <v/>
      </c>
      <c r="G378" s="4">
        <f>IF(B378="","",IFERROR(VLOOKUP(B378, PLANTA_BASE!A:R, 9, FALSE), "GENERAL"))</f>
        <v/>
      </c>
      <c r="H378" s="2">
        <f>IF(B378="","",IFERROR(VLOOKUP(B378, PLANTA_BASE!A:R, 17, FALSE), "GENERAL"))</f>
        <v/>
      </c>
    </row>
    <row r="379" ht="20" customHeight="1">
      <c r="A379" s="5">
        <f>IF(B379="","",IFERROR(VLOOKUP(B379, PLANTA_BASE!A:R, 2, FALSE), "NO ENCONTRADO EN PLANTA"))</f>
        <v/>
      </c>
      <c r="B379" s="6" t="inlineStr"/>
      <c r="C379" s="7">
        <f>IF(B379="","",IFERROR(VLOOKUP(B379, PLANTA_BASE!A:R, 3, FALSE), ""))</f>
        <v/>
      </c>
      <c r="D379" s="5">
        <f>IF(B379="","",IFERROR(VLOOKUP(B379, PLANTA_BASE!A:R, 5, FALSE), "NO ENCONTRADO EN PLANTA"))</f>
        <v/>
      </c>
      <c r="E379" s="5">
        <f>IF(B379="","",IFERROR(VLOOKUP(B379, PLANTA_BASE!A:R, 6, FALSE), "NO ENCONTRADO EN PLANTA"))</f>
        <v/>
      </c>
      <c r="F379" s="7">
        <f>IF(B379="","",IFERROR(VLOOKUP(B379, PLANTA_BASE!A:R, 8, FALSE), "DOCENTE / FACILITADOR"))</f>
        <v/>
      </c>
      <c r="G379" s="7">
        <f>IF(B379="","",IFERROR(VLOOKUP(B379, PLANTA_BASE!A:R, 9, FALSE), "GENERAL"))</f>
        <v/>
      </c>
      <c r="H379" s="5">
        <f>IF(B379="","",IFERROR(VLOOKUP(B379, PLANTA_BASE!A:R, 17, FALSE), "GENERAL"))</f>
        <v/>
      </c>
    </row>
    <row r="380" ht="20" customHeight="1">
      <c r="A380" s="2">
        <f>IF(B380="","",IFERROR(VLOOKUP(B380, PLANTA_BASE!A:R, 2, FALSE), "NO ENCONTRADO EN PLANTA"))</f>
        <v/>
      </c>
      <c r="B380" s="3" t="inlineStr"/>
      <c r="C380" s="4">
        <f>IF(B380="","",IFERROR(VLOOKUP(B380, PLANTA_BASE!A:R, 3, FALSE), ""))</f>
        <v/>
      </c>
      <c r="D380" s="2">
        <f>IF(B380="","",IFERROR(VLOOKUP(B380, PLANTA_BASE!A:R, 5, FALSE), "NO ENCONTRADO EN PLANTA"))</f>
        <v/>
      </c>
      <c r="E380" s="2">
        <f>IF(B380="","",IFERROR(VLOOKUP(B380, PLANTA_BASE!A:R, 6, FALSE), "NO ENCONTRADO EN PLANTA"))</f>
        <v/>
      </c>
      <c r="F380" s="4">
        <f>IF(B380="","",IFERROR(VLOOKUP(B380, PLANTA_BASE!A:R, 8, FALSE), "DOCENTE / FACILITADOR"))</f>
        <v/>
      </c>
      <c r="G380" s="4">
        <f>IF(B380="","",IFERROR(VLOOKUP(B380, PLANTA_BASE!A:R, 9, FALSE), "GENERAL"))</f>
        <v/>
      </c>
      <c r="H380" s="2">
        <f>IF(B380="","",IFERROR(VLOOKUP(B380, PLANTA_BASE!A:R, 17, FALSE), "GENERAL"))</f>
        <v/>
      </c>
    </row>
    <row r="381" ht="20" customHeight="1">
      <c r="A381" s="5">
        <f>IF(B381="","",IFERROR(VLOOKUP(B381, PLANTA_BASE!A:R, 2, FALSE), "NO ENCONTRADO EN PLANTA"))</f>
        <v/>
      </c>
      <c r="B381" s="6" t="inlineStr"/>
      <c r="C381" s="7">
        <f>IF(B381="","",IFERROR(VLOOKUP(B381, PLANTA_BASE!A:R, 3, FALSE), ""))</f>
        <v/>
      </c>
      <c r="D381" s="5">
        <f>IF(B381="","",IFERROR(VLOOKUP(B381, PLANTA_BASE!A:R, 5, FALSE), "NO ENCONTRADO EN PLANTA"))</f>
        <v/>
      </c>
      <c r="E381" s="5">
        <f>IF(B381="","",IFERROR(VLOOKUP(B381, PLANTA_BASE!A:R, 6, FALSE), "NO ENCONTRADO EN PLANTA"))</f>
        <v/>
      </c>
      <c r="F381" s="7">
        <f>IF(B381="","",IFERROR(VLOOKUP(B381, PLANTA_BASE!A:R, 8, FALSE), "DOCENTE / FACILITADOR"))</f>
        <v/>
      </c>
      <c r="G381" s="7">
        <f>IF(B381="","",IFERROR(VLOOKUP(B381, PLANTA_BASE!A:R, 9, FALSE), "GENERAL"))</f>
        <v/>
      </c>
      <c r="H381" s="5">
        <f>IF(B381="","",IFERROR(VLOOKUP(B381, PLANTA_BASE!A:R, 17, FALSE), "GENERAL"))</f>
        <v/>
      </c>
    </row>
    <row r="382" ht="20" customHeight="1">
      <c r="A382" s="2">
        <f>IF(B382="","",IFERROR(VLOOKUP(B382, PLANTA_BASE!A:R, 2, FALSE), "NO ENCONTRADO EN PLANTA"))</f>
        <v/>
      </c>
      <c r="B382" s="3" t="inlineStr"/>
      <c r="C382" s="4">
        <f>IF(B382="","",IFERROR(VLOOKUP(B382, PLANTA_BASE!A:R, 3, FALSE), ""))</f>
        <v/>
      </c>
      <c r="D382" s="2">
        <f>IF(B382="","",IFERROR(VLOOKUP(B382, PLANTA_BASE!A:R, 5, FALSE), "NO ENCONTRADO EN PLANTA"))</f>
        <v/>
      </c>
      <c r="E382" s="2">
        <f>IF(B382="","",IFERROR(VLOOKUP(B382, PLANTA_BASE!A:R, 6, FALSE), "NO ENCONTRADO EN PLANTA"))</f>
        <v/>
      </c>
      <c r="F382" s="4">
        <f>IF(B382="","",IFERROR(VLOOKUP(B382, PLANTA_BASE!A:R, 8, FALSE), "DOCENTE / FACILITADOR"))</f>
        <v/>
      </c>
      <c r="G382" s="4">
        <f>IF(B382="","",IFERROR(VLOOKUP(B382, PLANTA_BASE!A:R, 9, FALSE), "GENERAL"))</f>
        <v/>
      </c>
      <c r="H382" s="2">
        <f>IF(B382="","",IFERROR(VLOOKUP(B382, PLANTA_BASE!A:R, 17, FALSE), "GENERAL"))</f>
        <v/>
      </c>
    </row>
    <row r="383" ht="20" customHeight="1">
      <c r="A383" s="5">
        <f>IF(B383="","",IFERROR(VLOOKUP(B383, PLANTA_BASE!A:R, 2, FALSE), "NO ENCONTRADO EN PLANTA"))</f>
        <v/>
      </c>
      <c r="B383" s="6" t="inlineStr"/>
      <c r="C383" s="7">
        <f>IF(B383="","",IFERROR(VLOOKUP(B383, PLANTA_BASE!A:R, 3, FALSE), ""))</f>
        <v/>
      </c>
      <c r="D383" s="5">
        <f>IF(B383="","",IFERROR(VLOOKUP(B383, PLANTA_BASE!A:R, 5, FALSE), "NO ENCONTRADO EN PLANTA"))</f>
        <v/>
      </c>
      <c r="E383" s="5">
        <f>IF(B383="","",IFERROR(VLOOKUP(B383, PLANTA_BASE!A:R, 6, FALSE), "NO ENCONTRADO EN PLANTA"))</f>
        <v/>
      </c>
      <c r="F383" s="7">
        <f>IF(B383="","",IFERROR(VLOOKUP(B383, PLANTA_BASE!A:R, 8, FALSE), "DOCENTE / FACILITADOR"))</f>
        <v/>
      </c>
      <c r="G383" s="7">
        <f>IF(B383="","",IFERROR(VLOOKUP(B383, PLANTA_BASE!A:R, 9, FALSE), "GENERAL"))</f>
        <v/>
      </c>
      <c r="H383" s="5">
        <f>IF(B383="","",IFERROR(VLOOKUP(B383, PLANTA_BASE!A:R, 17, FALSE), "GENERAL"))</f>
        <v/>
      </c>
    </row>
    <row r="384" ht="20" customHeight="1">
      <c r="A384" s="2">
        <f>IF(B384="","",IFERROR(VLOOKUP(B384, PLANTA_BASE!A:R, 2, FALSE), "NO ENCONTRADO EN PLANTA"))</f>
        <v/>
      </c>
      <c r="B384" s="3" t="inlineStr"/>
      <c r="C384" s="4">
        <f>IF(B384="","",IFERROR(VLOOKUP(B384, PLANTA_BASE!A:R, 3, FALSE), ""))</f>
        <v/>
      </c>
      <c r="D384" s="2">
        <f>IF(B384="","",IFERROR(VLOOKUP(B384, PLANTA_BASE!A:R, 5, FALSE), "NO ENCONTRADO EN PLANTA"))</f>
        <v/>
      </c>
      <c r="E384" s="2">
        <f>IF(B384="","",IFERROR(VLOOKUP(B384, PLANTA_BASE!A:R, 6, FALSE), "NO ENCONTRADO EN PLANTA"))</f>
        <v/>
      </c>
      <c r="F384" s="4">
        <f>IF(B384="","",IFERROR(VLOOKUP(B384, PLANTA_BASE!A:R, 8, FALSE), "DOCENTE / FACILITADOR"))</f>
        <v/>
      </c>
      <c r="G384" s="4">
        <f>IF(B384="","",IFERROR(VLOOKUP(B384, PLANTA_BASE!A:R, 9, FALSE), "GENERAL"))</f>
        <v/>
      </c>
      <c r="H384" s="2">
        <f>IF(B384="","",IFERROR(VLOOKUP(B384, PLANTA_BASE!A:R, 17, FALSE), "GENERAL"))</f>
        <v/>
      </c>
    </row>
    <row r="385" ht="20" customHeight="1">
      <c r="A385" s="5">
        <f>IF(B385="","",IFERROR(VLOOKUP(B385, PLANTA_BASE!A:R, 2, FALSE), "NO ENCONTRADO EN PLANTA"))</f>
        <v/>
      </c>
      <c r="B385" s="6" t="inlineStr"/>
      <c r="C385" s="7">
        <f>IF(B385="","",IFERROR(VLOOKUP(B385, PLANTA_BASE!A:R, 3, FALSE), ""))</f>
        <v/>
      </c>
      <c r="D385" s="5">
        <f>IF(B385="","",IFERROR(VLOOKUP(B385, PLANTA_BASE!A:R, 5, FALSE), "NO ENCONTRADO EN PLANTA"))</f>
        <v/>
      </c>
      <c r="E385" s="5">
        <f>IF(B385="","",IFERROR(VLOOKUP(B385, PLANTA_BASE!A:R, 6, FALSE), "NO ENCONTRADO EN PLANTA"))</f>
        <v/>
      </c>
      <c r="F385" s="7">
        <f>IF(B385="","",IFERROR(VLOOKUP(B385, PLANTA_BASE!A:R, 8, FALSE), "DOCENTE / FACILITADOR"))</f>
        <v/>
      </c>
      <c r="G385" s="7">
        <f>IF(B385="","",IFERROR(VLOOKUP(B385, PLANTA_BASE!A:R, 9, FALSE), "GENERAL"))</f>
        <v/>
      </c>
      <c r="H385" s="5">
        <f>IF(B385="","",IFERROR(VLOOKUP(B385, PLANTA_BASE!A:R, 17, FALSE), "GENERAL"))</f>
        <v/>
      </c>
    </row>
    <row r="386" ht="20" customHeight="1">
      <c r="A386" s="2">
        <f>IF(B386="","",IFERROR(VLOOKUP(B386, PLANTA_BASE!A:R, 2, FALSE), "NO ENCONTRADO EN PLANTA"))</f>
        <v/>
      </c>
      <c r="B386" s="3" t="inlineStr"/>
      <c r="C386" s="4">
        <f>IF(B386="","",IFERROR(VLOOKUP(B386, PLANTA_BASE!A:R, 3, FALSE), ""))</f>
        <v/>
      </c>
      <c r="D386" s="2">
        <f>IF(B386="","",IFERROR(VLOOKUP(B386, PLANTA_BASE!A:R, 5, FALSE), "NO ENCONTRADO EN PLANTA"))</f>
        <v/>
      </c>
      <c r="E386" s="2">
        <f>IF(B386="","",IFERROR(VLOOKUP(B386, PLANTA_BASE!A:R, 6, FALSE), "NO ENCONTRADO EN PLANTA"))</f>
        <v/>
      </c>
      <c r="F386" s="4">
        <f>IF(B386="","",IFERROR(VLOOKUP(B386, PLANTA_BASE!A:R, 8, FALSE), "DOCENTE / FACILITADOR"))</f>
        <v/>
      </c>
      <c r="G386" s="4">
        <f>IF(B386="","",IFERROR(VLOOKUP(B386, PLANTA_BASE!A:R, 9, FALSE), "GENERAL"))</f>
        <v/>
      </c>
      <c r="H386" s="2">
        <f>IF(B386="","",IFERROR(VLOOKUP(B386, PLANTA_BASE!A:R, 17, FALSE), "GENERAL"))</f>
        <v/>
      </c>
    </row>
    <row r="387" ht="20" customHeight="1">
      <c r="A387" s="5">
        <f>IF(B387="","",IFERROR(VLOOKUP(B387, PLANTA_BASE!A:R, 2, FALSE), "NO ENCONTRADO EN PLANTA"))</f>
        <v/>
      </c>
      <c r="B387" s="6" t="inlineStr"/>
      <c r="C387" s="7">
        <f>IF(B387="","",IFERROR(VLOOKUP(B387, PLANTA_BASE!A:R, 3, FALSE), ""))</f>
        <v/>
      </c>
      <c r="D387" s="5">
        <f>IF(B387="","",IFERROR(VLOOKUP(B387, PLANTA_BASE!A:R, 5, FALSE), "NO ENCONTRADO EN PLANTA"))</f>
        <v/>
      </c>
      <c r="E387" s="5">
        <f>IF(B387="","",IFERROR(VLOOKUP(B387, PLANTA_BASE!A:R, 6, FALSE), "NO ENCONTRADO EN PLANTA"))</f>
        <v/>
      </c>
      <c r="F387" s="7">
        <f>IF(B387="","",IFERROR(VLOOKUP(B387, PLANTA_BASE!A:R, 8, FALSE), "DOCENTE / FACILITADOR"))</f>
        <v/>
      </c>
      <c r="G387" s="7">
        <f>IF(B387="","",IFERROR(VLOOKUP(B387, PLANTA_BASE!A:R, 9, FALSE), "GENERAL"))</f>
        <v/>
      </c>
      <c r="H387" s="5">
        <f>IF(B387="","",IFERROR(VLOOKUP(B387, PLANTA_BASE!A:R, 17, FALSE), "GENERAL"))</f>
        <v/>
      </c>
    </row>
    <row r="388" ht="20" customHeight="1">
      <c r="A388" s="2">
        <f>IF(B388="","",IFERROR(VLOOKUP(B388, PLANTA_BASE!A:R, 2, FALSE), "NO ENCONTRADO EN PLANTA"))</f>
        <v/>
      </c>
      <c r="B388" s="3" t="inlineStr"/>
      <c r="C388" s="4">
        <f>IF(B388="","",IFERROR(VLOOKUP(B388, PLANTA_BASE!A:R, 3, FALSE), ""))</f>
        <v/>
      </c>
      <c r="D388" s="2">
        <f>IF(B388="","",IFERROR(VLOOKUP(B388, PLANTA_BASE!A:R, 5, FALSE), "NO ENCONTRADO EN PLANTA"))</f>
        <v/>
      </c>
      <c r="E388" s="2">
        <f>IF(B388="","",IFERROR(VLOOKUP(B388, PLANTA_BASE!A:R, 6, FALSE), "NO ENCONTRADO EN PLANTA"))</f>
        <v/>
      </c>
      <c r="F388" s="4">
        <f>IF(B388="","",IFERROR(VLOOKUP(B388, PLANTA_BASE!A:R, 8, FALSE), "DOCENTE / FACILITADOR"))</f>
        <v/>
      </c>
      <c r="G388" s="4">
        <f>IF(B388="","",IFERROR(VLOOKUP(B388, PLANTA_BASE!A:R, 9, FALSE), "GENERAL"))</f>
        <v/>
      </c>
      <c r="H388" s="2">
        <f>IF(B388="","",IFERROR(VLOOKUP(B388, PLANTA_BASE!A:R, 17, FALSE), "GENERAL"))</f>
        <v/>
      </c>
    </row>
    <row r="389" ht="20" customHeight="1">
      <c r="A389" s="5">
        <f>IF(B389="","",IFERROR(VLOOKUP(B389, PLANTA_BASE!A:R, 2, FALSE), "NO ENCONTRADO EN PLANTA"))</f>
        <v/>
      </c>
      <c r="B389" s="6" t="inlineStr"/>
      <c r="C389" s="7">
        <f>IF(B389="","",IFERROR(VLOOKUP(B389, PLANTA_BASE!A:R, 3, FALSE), ""))</f>
        <v/>
      </c>
      <c r="D389" s="5">
        <f>IF(B389="","",IFERROR(VLOOKUP(B389, PLANTA_BASE!A:R, 5, FALSE), "NO ENCONTRADO EN PLANTA"))</f>
        <v/>
      </c>
      <c r="E389" s="5">
        <f>IF(B389="","",IFERROR(VLOOKUP(B389, PLANTA_BASE!A:R, 6, FALSE), "NO ENCONTRADO EN PLANTA"))</f>
        <v/>
      </c>
      <c r="F389" s="7">
        <f>IF(B389="","",IFERROR(VLOOKUP(B389, PLANTA_BASE!A:R, 8, FALSE), "DOCENTE / FACILITADOR"))</f>
        <v/>
      </c>
      <c r="G389" s="7">
        <f>IF(B389="","",IFERROR(VLOOKUP(B389, PLANTA_BASE!A:R, 9, FALSE), "GENERAL"))</f>
        <v/>
      </c>
      <c r="H389" s="5">
        <f>IF(B389="","",IFERROR(VLOOKUP(B389, PLANTA_BASE!A:R, 17, FALSE), "GENERAL"))</f>
        <v/>
      </c>
    </row>
    <row r="390" ht="20" customHeight="1">
      <c r="A390" s="2">
        <f>IF(B390="","",IFERROR(VLOOKUP(B390, PLANTA_BASE!A:R, 2, FALSE), "NO ENCONTRADO EN PLANTA"))</f>
        <v/>
      </c>
      <c r="B390" s="3" t="inlineStr"/>
      <c r="C390" s="4">
        <f>IF(B390="","",IFERROR(VLOOKUP(B390, PLANTA_BASE!A:R, 3, FALSE), ""))</f>
        <v/>
      </c>
      <c r="D390" s="2">
        <f>IF(B390="","",IFERROR(VLOOKUP(B390, PLANTA_BASE!A:R, 5, FALSE), "NO ENCONTRADO EN PLANTA"))</f>
        <v/>
      </c>
      <c r="E390" s="2">
        <f>IF(B390="","",IFERROR(VLOOKUP(B390, PLANTA_BASE!A:R, 6, FALSE), "NO ENCONTRADO EN PLANTA"))</f>
        <v/>
      </c>
      <c r="F390" s="4">
        <f>IF(B390="","",IFERROR(VLOOKUP(B390, PLANTA_BASE!A:R, 8, FALSE), "DOCENTE / FACILITADOR"))</f>
        <v/>
      </c>
      <c r="G390" s="4">
        <f>IF(B390="","",IFERROR(VLOOKUP(B390, PLANTA_BASE!A:R, 9, FALSE), "GENERAL"))</f>
        <v/>
      </c>
      <c r="H390" s="2">
        <f>IF(B390="","",IFERROR(VLOOKUP(B390, PLANTA_BASE!A:R, 17, FALSE), "GENERAL"))</f>
        <v/>
      </c>
    </row>
    <row r="391" ht="20" customHeight="1">
      <c r="A391" s="5">
        <f>IF(B391="","",IFERROR(VLOOKUP(B391, PLANTA_BASE!A:R, 2, FALSE), "NO ENCONTRADO EN PLANTA"))</f>
        <v/>
      </c>
      <c r="B391" s="6" t="inlineStr"/>
      <c r="C391" s="7">
        <f>IF(B391="","",IFERROR(VLOOKUP(B391, PLANTA_BASE!A:R, 3, FALSE), ""))</f>
        <v/>
      </c>
      <c r="D391" s="5">
        <f>IF(B391="","",IFERROR(VLOOKUP(B391, PLANTA_BASE!A:R, 5, FALSE), "NO ENCONTRADO EN PLANTA"))</f>
        <v/>
      </c>
      <c r="E391" s="5">
        <f>IF(B391="","",IFERROR(VLOOKUP(B391, PLANTA_BASE!A:R, 6, FALSE), "NO ENCONTRADO EN PLANTA"))</f>
        <v/>
      </c>
      <c r="F391" s="7">
        <f>IF(B391="","",IFERROR(VLOOKUP(B391, PLANTA_BASE!A:R, 8, FALSE), "DOCENTE / FACILITADOR"))</f>
        <v/>
      </c>
      <c r="G391" s="7">
        <f>IF(B391="","",IFERROR(VLOOKUP(B391, PLANTA_BASE!A:R, 9, FALSE), "GENERAL"))</f>
        <v/>
      </c>
      <c r="H391" s="5">
        <f>IF(B391="","",IFERROR(VLOOKUP(B391, PLANTA_BASE!A:R, 17, FALSE), "GENERAL"))</f>
        <v/>
      </c>
    </row>
    <row r="392" ht="20" customHeight="1">
      <c r="A392" s="2">
        <f>IF(B392="","",IFERROR(VLOOKUP(B392, PLANTA_BASE!A:R, 2, FALSE), "NO ENCONTRADO EN PLANTA"))</f>
        <v/>
      </c>
      <c r="B392" s="3" t="inlineStr"/>
      <c r="C392" s="4">
        <f>IF(B392="","",IFERROR(VLOOKUP(B392, PLANTA_BASE!A:R, 3, FALSE), ""))</f>
        <v/>
      </c>
      <c r="D392" s="2">
        <f>IF(B392="","",IFERROR(VLOOKUP(B392, PLANTA_BASE!A:R, 5, FALSE), "NO ENCONTRADO EN PLANTA"))</f>
        <v/>
      </c>
      <c r="E392" s="2">
        <f>IF(B392="","",IFERROR(VLOOKUP(B392, PLANTA_BASE!A:R, 6, FALSE), "NO ENCONTRADO EN PLANTA"))</f>
        <v/>
      </c>
      <c r="F392" s="4">
        <f>IF(B392="","",IFERROR(VLOOKUP(B392, PLANTA_BASE!A:R, 8, FALSE), "DOCENTE / FACILITADOR"))</f>
        <v/>
      </c>
      <c r="G392" s="4">
        <f>IF(B392="","",IFERROR(VLOOKUP(B392, PLANTA_BASE!A:R, 9, FALSE), "GENERAL"))</f>
        <v/>
      </c>
      <c r="H392" s="2">
        <f>IF(B392="","",IFERROR(VLOOKUP(B392, PLANTA_BASE!A:R, 17, FALSE), "GENERAL"))</f>
        <v/>
      </c>
    </row>
    <row r="393" ht="20" customHeight="1">
      <c r="A393" s="5">
        <f>IF(B393="","",IFERROR(VLOOKUP(B393, PLANTA_BASE!A:R, 2, FALSE), "NO ENCONTRADO EN PLANTA"))</f>
        <v/>
      </c>
      <c r="B393" s="6" t="inlineStr"/>
      <c r="C393" s="7">
        <f>IF(B393="","",IFERROR(VLOOKUP(B393, PLANTA_BASE!A:R, 3, FALSE), ""))</f>
        <v/>
      </c>
      <c r="D393" s="5">
        <f>IF(B393="","",IFERROR(VLOOKUP(B393, PLANTA_BASE!A:R, 5, FALSE), "NO ENCONTRADO EN PLANTA"))</f>
        <v/>
      </c>
      <c r="E393" s="5">
        <f>IF(B393="","",IFERROR(VLOOKUP(B393, PLANTA_BASE!A:R, 6, FALSE), "NO ENCONTRADO EN PLANTA"))</f>
        <v/>
      </c>
      <c r="F393" s="7">
        <f>IF(B393="","",IFERROR(VLOOKUP(B393, PLANTA_BASE!A:R, 8, FALSE), "DOCENTE / FACILITADOR"))</f>
        <v/>
      </c>
      <c r="G393" s="7">
        <f>IF(B393="","",IFERROR(VLOOKUP(B393, PLANTA_BASE!A:R, 9, FALSE), "GENERAL"))</f>
        <v/>
      </c>
      <c r="H393" s="5">
        <f>IF(B393="","",IFERROR(VLOOKUP(B393, PLANTA_BASE!A:R, 17, FALSE), "GENERAL"))</f>
        <v/>
      </c>
    </row>
    <row r="394" ht="20" customHeight="1">
      <c r="A394" s="2">
        <f>IF(B394="","",IFERROR(VLOOKUP(B394, PLANTA_BASE!A:R, 2, FALSE), "NO ENCONTRADO EN PLANTA"))</f>
        <v/>
      </c>
      <c r="B394" s="3" t="inlineStr"/>
      <c r="C394" s="4">
        <f>IF(B394="","",IFERROR(VLOOKUP(B394, PLANTA_BASE!A:R, 3, FALSE), ""))</f>
        <v/>
      </c>
      <c r="D394" s="2">
        <f>IF(B394="","",IFERROR(VLOOKUP(B394, PLANTA_BASE!A:R, 5, FALSE), "NO ENCONTRADO EN PLANTA"))</f>
        <v/>
      </c>
      <c r="E394" s="2">
        <f>IF(B394="","",IFERROR(VLOOKUP(B394, PLANTA_BASE!A:R, 6, FALSE), "NO ENCONTRADO EN PLANTA"))</f>
        <v/>
      </c>
      <c r="F394" s="4">
        <f>IF(B394="","",IFERROR(VLOOKUP(B394, PLANTA_BASE!A:R, 8, FALSE), "DOCENTE / FACILITADOR"))</f>
        <v/>
      </c>
      <c r="G394" s="4">
        <f>IF(B394="","",IFERROR(VLOOKUP(B394, PLANTA_BASE!A:R, 9, FALSE), "GENERAL"))</f>
        <v/>
      </c>
      <c r="H394" s="2">
        <f>IF(B394="","",IFERROR(VLOOKUP(B394, PLANTA_BASE!A:R, 17, FALSE), "GENERAL"))</f>
        <v/>
      </c>
    </row>
    <row r="395" ht="20" customHeight="1">
      <c r="A395" s="5">
        <f>IF(B395="","",IFERROR(VLOOKUP(B395, PLANTA_BASE!A:R, 2, FALSE), "NO ENCONTRADO EN PLANTA"))</f>
        <v/>
      </c>
      <c r="B395" s="6" t="inlineStr"/>
      <c r="C395" s="7">
        <f>IF(B395="","",IFERROR(VLOOKUP(B395, PLANTA_BASE!A:R, 3, FALSE), ""))</f>
        <v/>
      </c>
      <c r="D395" s="5">
        <f>IF(B395="","",IFERROR(VLOOKUP(B395, PLANTA_BASE!A:R, 5, FALSE), "NO ENCONTRADO EN PLANTA"))</f>
        <v/>
      </c>
      <c r="E395" s="5">
        <f>IF(B395="","",IFERROR(VLOOKUP(B395, PLANTA_BASE!A:R, 6, FALSE), "NO ENCONTRADO EN PLANTA"))</f>
        <v/>
      </c>
      <c r="F395" s="7">
        <f>IF(B395="","",IFERROR(VLOOKUP(B395, PLANTA_BASE!A:R, 8, FALSE), "DOCENTE / FACILITADOR"))</f>
        <v/>
      </c>
      <c r="G395" s="7">
        <f>IF(B395="","",IFERROR(VLOOKUP(B395, PLANTA_BASE!A:R, 9, FALSE), "GENERAL"))</f>
        <v/>
      </c>
      <c r="H395" s="5">
        <f>IF(B395="","",IFERROR(VLOOKUP(B395, PLANTA_BASE!A:R, 17, FALSE), "GENERAL"))</f>
        <v/>
      </c>
    </row>
    <row r="396" ht="20" customHeight="1">
      <c r="A396" s="2">
        <f>IF(B396="","",IFERROR(VLOOKUP(B396, PLANTA_BASE!A:R, 2, FALSE), "NO ENCONTRADO EN PLANTA"))</f>
        <v/>
      </c>
      <c r="B396" s="3" t="inlineStr"/>
      <c r="C396" s="4">
        <f>IF(B396="","",IFERROR(VLOOKUP(B396, PLANTA_BASE!A:R, 3, FALSE), ""))</f>
        <v/>
      </c>
      <c r="D396" s="2">
        <f>IF(B396="","",IFERROR(VLOOKUP(B396, PLANTA_BASE!A:R, 5, FALSE), "NO ENCONTRADO EN PLANTA"))</f>
        <v/>
      </c>
      <c r="E396" s="2">
        <f>IF(B396="","",IFERROR(VLOOKUP(B396, PLANTA_BASE!A:R, 6, FALSE), "NO ENCONTRADO EN PLANTA"))</f>
        <v/>
      </c>
      <c r="F396" s="4">
        <f>IF(B396="","",IFERROR(VLOOKUP(B396, PLANTA_BASE!A:R, 8, FALSE), "DOCENTE / FACILITADOR"))</f>
        <v/>
      </c>
      <c r="G396" s="4">
        <f>IF(B396="","",IFERROR(VLOOKUP(B396, PLANTA_BASE!A:R, 9, FALSE), "GENERAL"))</f>
        <v/>
      </c>
      <c r="H396" s="2">
        <f>IF(B396="","",IFERROR(VLOOKUP(B396, PLANTA_BASE!A:R, 17, FALSE), "GENERAL"))</f>
        <v/>
      </c>
    </row>
    <row r="397" ht="20" customHeight="1">
      <c r="A397" s="5">
        <f>IF(B397="","",IFERROR(VLOOKUP(B397, PLANTA_BASE!A:R, 2, FALSE), "NO ENCONTRADO EN PLANTA"))</f>
        <v/>
      </c>
      <c r="B397" s="6" t="inlineStr"/>
      <c r="C397" s="7">
        <f>IF(B397="","",IFERROR(VLOOKUP(B397, PLANTA_BASE!A:R, 3, FALSE), ""))</f>
        <v/>
      </c>
      <c r="D397" s="5">
        <f>IF(B397="","",IFERROR(VLOOKUP(B397, PLANTA_BASE!A:R, 5, FALSE), "NO ENCONTRADO EN PLANTA"))</f>
        <v/>
      </c>
      <c r="E397" s="5">
        <f>IF(B397="","",IFERROR(VLOOKUP(B397, PLANTA_BASE!A:R, 6, FALSE), "NO ENCONTRADO EN PLANTA"))</f>
        <v/>
      </c>
      <c r="F397" s="7">
        <f>IF(B397="","",IFERROR(VLOOKUP(B397, PLANTA_BASE!A:R, 8, FALSE), "DOCENTE / FACILITADOR"))</f>
        <v/>
      </c>
      <c r="G397" s="7">
        <f>IF(B397="","",IFERROR(VLOOKUP(B397, PLANTA_BASE!A:R, 9, FALSE), "GENERAL"))</f>
        <v/>
      </c>
      <c r="H397" s="5">
        <f>IF(B397="","",IFERROR(VLOOKUP(B397, PLANTA_BASE!A:R, 17, FALSE), "GENERAL"))</f>
        <v/>
      </c>
    </row>
    <row r="398" ht="20" customHeight="1">
      <c r="A398" s="2">
        <f>IF(B398="","",IFERROR(VLOOKUP(B398, PLANTA_BASE!A:R, 2, FALSE), "NO ENCONTRADO EN PLANTA"))</f>
        <v/>
      </c>
      <c r="B398" s="3" t="inlineStr"/>
      <c r="C398" s="4">
        <f>IF(B398="","",IFERROR(VLOOKUP(B398, PLANTA_BASE!A:R, 3, FALSE), ""))</f>
        <v/>
      </c>
      <c r="D398" s="2">
        <f>IF(B398="","",IFERROR(VLOOKUP(B398, PLANTA_BASE!A:R, 5, FALSE), "NO ENCONTRADO EN PLANTA"))</f>
        <v/>
      </c>
      <c r="E398" s="2">
        <f>IF(B398="","",IFERROR(VLOOKUP(B398, PLANTA_BASE!A:R, 6, FALSE), "NO ENCONTRADO EN PLANTA"))</f>
        <v/>
      </c>
      <c r="F398" s="4">
        <f>IF(B398="","",IFERROR(VLOOKUP(B398, PLANTA_BASE!A:R, 8, FALSE), "DOCENTE / FACILITADOR"))</f>
        <v/>
      </c>
      <c r="G398" s="4">
        <f>IF(B398="","",IFERROR(VLOOKUP(B398, PLANTA_BASE!A:R, 9, FALSE), "GENERAL"))</f>
        <v/>
      </c>
      <c r="H398" s="2">
        <f>IF(B398="","",IFERROR(VLOOKUP(B398, PLANTA_BASE!A:R, 17, FALSE), "GENERAL"))</f>
        <v/>
      </c>
    </row>
    <row r="399" ht="20" customHeight="1">
      <c r="A399" s="5">
        <f>IF(B399="","",IFERROR(VLOOKUP(B399, PLANTA_BASE!A:R, 2, FALSE), "NO ENCONTRADO EN PLANTA"))</f>
        <v/>
      </c>
      <c r="B399" s="6" t="inlineStr"/>
      <c r="C399" s="7">
        <f>IF(B399="","",IFERROR(VLOOKUP(B399, PLANTA_BASE!A:R, 3, FALSE), ""))</f>
        <v/>
      </c>
      <c r="D399" s="5">
        <f>IF(B399="","",IFERROR(VLOOKUP(B399, PLANTA_BASE!A:R, 5, FALSE), "NO ENCONTRADO EN PLANTA"))</f>
        <v/>
      </c>
      <c r="E399" s="5">
        <f>IF(B399="","",IFERROR(VLOOKUP(B399, PLANTA_BASE!A:R, 6, FALSE), "NO ENCONTRADO EN PLANTA"))</f>
        <v/>
      </c>
      <c r="F399" s="7">
        <f>IF(B399="","",IFERROR(VLOOKUP(B399, PLANTA_BASE!A:R, 8, FALSE), "DOCENTE / FACILITADOR"))</f>
        <v/>
      </c>
      <c r="G399" s="7">
        <f>IF(B399="","",IFERROR(VLOOKUP(B399, PLANTA_BASE!A:R, 9, FALSE), "GENERAL"))</f>
        <v/>
      </c>
      <c r="H399" s="5">
        <f>IF(B399="","",IFERROR(VLOOKUP(B399, PLANTA_BASE!A:R, 17, FALSE), "GENERAL"))</f>
        <v/>
      </c>
    </row>
    <row r="400" ht="20" customHeight="1">
      <c r="A400" s="2">
        <f>IF(B400="","",IFERROR(VLOOKUP(B400, PLANTA_BASE!A:R, 2, FALSE), "NO ENCONTRADO EN PLANTA"))</f>
        <v/>
      </c>
      <c r="B400" s="3" t="inlineStr"/>
      <c r="C400" s="4">
        <f>IF(B400="","",IFERROR(VLOOKUP(B400, PLANTA_BASE!A:R, 3, FALSE), ""))</f>
        <v/>
      </c>
      <c r="D400" s="2">
        <f>IF(B400="","",IFERROR(VLOOKUP(B400, PLANTA_BASE!A:R, 5, FALSE), "NO ENCONTRADO EN PLANTA"))</f>
        <v/>
      </c>
      <c r="E400" s="2">
        <f>IF(B400="","",IFERROR(VLOOKUP(B400, PLANTA_BASE!A:R, 6, FALSE), "NO ENCONTRADO EN PLANTA"))</f>
        <v/>
      </c>
      <c r="F400" s="4">
        <f>IF(B400="","",IFERROR(VLOOKUP(B400, PLANTA_BASE!A:R, 8, FALSE), "DOCENTE / FACILITADOR"))</f>
        <v/>
      </c>
      <c r="G400" s="4">
        <f>IF(B400="","",IFERROR(VLOOKUP(B400, PLANTA_BASE!A:R, 9, FALSE), "GENERAL"))</f>
        <v/>
      </c>
      <c r="H400" s="2">
        <f>IF(B400="","",IFERROR(VLOOKUP(B400, PLANTA_BASE!A:R, 17, FALSE), "GENERAL"))</f>
        <v/>
      </c>
    </row>
    <row r="401" ht="20" customHeight="1">
      <c r="A401" s="5">
        <f>IF(B401="","",IFERROR(VLOOKUP(B401, PLANTA_BASE!A:R, 2, FALSE), "NO ENCONTRADO EN PLANTA"))</f>
        <v/>
      </c>
      <c r="B401" s="6" t="inlineStr"/>
      <c r="C401" s="7">
        <f>IF(B401="","",IFERROR(VLOOKUP(B401, PLANTA_BASE!A:R, 3, FALSE), ""))</f>
        <v/>
      </c>
      <c r="D401" s="5">
        <f>IF(B401="","",IFERROR(VLOOKUP(B401, PLANTA_BASE!A:R, 5, FALSE), "NO ENCONTRADO EN PLANTA"))</f>
        <v/>
      </c>
      <c r="E401" s="5">
        <f>IF(B401="","",IFERROR(VLOOKUP(B401, PLANTA_BASE!A:R, 6, FALSE), "NO ENCONTRADO EN PLANTA"))</f>
        <v/>
      </c>
      <c r="F401" s="7">
        <f>IF(B401="","",IFERROR(VLOOKUP(B401, PLANTA_BASE!A:R, 8, FALSE), "DOCENTE / FACILITADOR"))</f>
        <v/>
      </c>
      <c r="G401" s="7">
        <f>IF(B401="","",IFERROR(VLOOKUP(B401, PLANTA_BASE!A:R, 9, FALSE), "GENERAL"))</f>
        <v/>
      </c>
      <c r="H401" s="5">
        <f>IF(B401="","",IFERROR(VLOOKUP(B401, PLANTA_BASE!A:R, 17, FALSE), "GENERAL"))</f>
        <v/>
      </c>
    </row>
    <row r="402" ht="20" customHeight="1">
      <c r="A402" s="2">
        <f>IF(B402="","",IFERROR(VLOOKUP(B402, PLANTA_BASE!A:R, 2, FALSE), "NO ENCONTRADO EN PLANTA"))</f>
        <v/>
      </c>
      <c r="B402" s="3" t="inlineStr"/>
      <c r="C402" s="4">
        <f>IF(B402="","",IFERROR(VLOOKUP(B402, PLANTA_BASE!A:R, 3, FALSE), ""))</f>
        <v/>
      </c>
      <c r="D402" s="2">
        <f>IF(B402="","",IFERROR(VLOOKUP(B402, PLANTA_BASE!A:R, 5, FALSE), "NO ENCONTRADO EN PLANTA"))</f>
        <v/>
      </c>
      <c r="E402" s="2">
        <f>IF(B402="","",IFERROR(VLOOKUP(B402, PLANTA_BASE!A:R, 6, FALSE), "NO ENCONTRADO EN PLANTA"))</f>
        <v/>
      </c>
      <c r="F402" s="4">
        <f>IF(B402="","",IFERROR(VLOOKUP(B402, PLANTA_BASE!A:R, 8, FALSE), "DOCENTE / FACILITADOR"))</f>
        <v/>
      </c>
      <c r="G402" s="4">
        <f>IF(B402="","",IFERROR(VLOOKUP(B402, PLANTA_BASE!A:R, 9, FALSE), "GENERAL"))</f>
        <v/>
      </c>
      <c r="H402" s="2">
        <f>IF(B402="","",IFERROR(VLOOKUP(B402, PLANTA_BASE!A:R, 17, FALSE), "GENERAL"))</f>
        <v/>
      </c>
    </row>
    <row r="403" ht="20" customHeight="1">
      <c r="A403" s="5">
        <f>IF(B403="","",IFERROR(VLOOKUP(B403, PLANTA_BASE!A:R, 2, FALSE), "NO ENCONTRADO EN PLANTA"))</f>
        <v/>
      </c>
      <c r="B403" s="6" t="inlineStr"/>
      <c r="C403" s="7">
        <f>IF(B403="","",IFERROR(VLOOKUP(B403, PLANTA_BASE!A:R, 3, FALSE), ""))</f>
        <v/>
      </c>
      <c r="D403" s="5">
        <f>IF(B403="","",IFERROR(VLOOKUP(B403, PLANTA_BASE!A:R, 5, FALSE), "NO ENCONTRADO EN PLANTA"))</f>
        <v/>
      </c>
      <c r="E403" s="5">
        <f>IF(B403="","",IFERROR(VLOOKUP(B403, PLANTA_BASE!A:R, 6, FALSE), "NO ENCONTRADO EN PLANTA"))</f>
        <v/>
      </c>
      <c r="F403" s="7">
        <f>IF(B403="","",IFERROR(VLOOKUP(B403, PLANTA_BASE!A:R, 8, FALSE), "DOCENTE / FACILITADOR"))</f>
        <v/>
      </c>
      <c r="G403" s="7">
        <f>IF(B403="","",IFERROR(VLOOKUP(B403, PLANTA_BASE!A:R, 9, FALSE), "GENERAL"))</f>
        <v/>
      </c>
      <c r="H403" s="5">
        <f>IF(B403="","",IFERROR(VLOOKUP(B403, PLANTA_BASE!A:R, 17, FALSE), "GENERAL"))</f>
        <v/>
      </c>
    </row>
    <row r="404" ht="20" customHeight="1">
      <c r="A404" s="2">
        <f>IF(B404="","",IFERROR(VLOOKUP(B404, PLANTA_BASE!A:R, 2, FALSE), "NO ENCONTRADO EN PLANTA"))</f>
        <v/>
      </c>
      <c r="B404" s="3" t="inlineStr"/>
      <c r="C404" s="4">
        <f>IF(B404="","",IFERROR(VLOOKUP(B404, PLANTA_BASE!A:R, 3, FALSE), ""))</f>
        <v/>
      </c>
      <c r="D404" s="2">
        <f>IF(B404="","",IFERROR(VLOOKUP(B404, PLANTA_BASE!A:R, 5, FALSE), "NO ENCONTRADO EN PLANTA"))</f>
        <v/>
      </c>
      <c r="E404" s="2">
        <f>IF(B404="","",IFERROR(VLOOKUP(B404, PLANTA_BASE!A:R, 6, FALSE), "NO ENCONTRADO EN PLANTA"))</f>
        <v/>
      </c>
      <c r="F404" s="4">
        <f>IF(B404="","",IFERROR(VLOOKUP(B404, PLANTA_BASE!A:R, 8, FALSE), "DOCENTE / FACILITADOR"))</f>
        <v/>
      </c>
      <c r="G404" s="4">
        <f>IF(B404="","",IFERROR(VLOOKUP(B404, PLANTA_BASE!A:R, 9, FALSE), "GENERAL"))</f>
        <v/>
      </c>
      <c r="H404" s="2">
        <f>IF(B404="","",IFERROR(VLOOKUP(B404, PLANTA_BASE!A:R, 17, FALSE), "GENERAL"))</f>
        <v/>
      </c>
    </row>
    <row r="405" ht="20" customHeight="1">
      <c r="A405" s="5">
        <f>IF(B405="","",IFERROR(VLOOKUP(B405, PLANTA_BASE!A:R, 2, FALSE), "NO ENCONTRADO EN PLANTA"))</f>
        <v/>
      </c>
      <c r="B405" s="6" t="inlineStr"/>
      <c r="C405" s="7">
        <f>IF(B405="","",IFERROR(VLOOKUP(B405, PLANTA_BASE!A:R, 3, FALSE), ""))</f>
        <v/>
      </c>
      <c r="D405" s="5">
        <f>IF(B405="","",IFERROR(VLOOKUP(B405, PLANTA_BASE!A:R, 5, FALSE), "NO ENCONTRADO EN PLANTA"))</f>
        <v/>
      </c>
      <c r="E405" s="5">
        <f>IF(B405="","",IFERROR(VLOOKUP(B405, PLANTA_BASE!A:R, 6, FALSE), "NO ENCONTRADO EN PLANTA"))</f>
        <v/>
      </c>
      <c r="F405" s="7">
        <f>IF(B405="","",IFERROR(VLOOKUP(B405, PLANTA_BASE!A:R, 8, FALSE), "DOCENTE / FACILITADOR"))</f>
        <v/>
      </c>
      <c r="G405" s="7">
        <f>IF(B405="","",IFERROR(VLOOKUP(B405, PLANTA_BASE!A:R, 9, FALSE), "GENERAL"))</f>
        <v/>
      </c>
      <c r="H405" s="5">
        <f>IF(B405="","",IFERROR(VLOOKUP(B405, PLANTA_BASE!A:R, 17, FALSE), "GENERAL"))</f>
        <v/>
      </c>
    </row>
    <row r="406" ht="20" customHeight="1">
      <c r="A406" s="2">
        <f>IF(B406="","",IFERROR(VLOOKUP(B406, PLANTA_BASE!A:R, 2, FALSE), "NO ENCONTRADO EN PLANTA"))</f>
        <v/>
      </c>
      <c r="B406" s="3" t="inlineStr"/>
      <c r="C406" s="4">
        <f>IF(B406="","",IFERROR(VLOOKUP(B406, PLANTA_BASE!A:R, 3, FALSE), ""))</f>
        <v/>
      </c>
      <c r="D406" s="2">
        <f>IF(B406="","",IFERROR(VLOOKUP(B406, PLANTA_BASE!A:R, 5, FALSE), "NO ENCONTRADO EN PLANTA"))</f>
        <v/>
      </c>
      <c r="E406" s="2">
        <f>IF(B406="","",IFERROR(VLOOKUP(B406, PLANTA_BASE!A:R, 6, FALSE), "NO ENCONTRADO EN PLANTA"))</f>
        <v/>
      </c>
      <c r="F406" s="4">
        <f>IF(B406="","",IFERROR(VLOOKUP(B406, PLANTA_BASE!A:R, 8, FALSE), "DOCENTE / FACILITADOR"))</f>
        <v/>
      </c>
      <c r="G406" s="4">
        <f>IF(B406="","",IFERROR(VLOOKUP(B406, PLANTA_BASE!A:R, 9, FALSE), "GENERAL"))</f>
        <v/>
      </c>
      <c r="H406" s="2">
        <f>IF(B406="","",IFERROR(VLOOKUP(B406, PLANTA_BASE!A:R, 17, FALSE), "GENERAL"))</f>
        <v/>
      </c>
    </row>
    <row r="407" ht="20" customHeight="1">
      <c r="A407" s="5">
        <f>IF(B407="","",IFERROR(VLOOKUP(B407, PLANTA_BASE!A:R, 2, FALSE), "NO ENCONTRADO EN PLANTA"))</f>
        <v/>
      </c>
      <c r="B407" s="6" t="inlineStr"/>
      <c r="C407" s="7">
        <f>IF(B407="","",IFERROR(VLOOKUP(B407, PLANTA_BASE!A:R, 3, FALSE), ""))</f>
        <v/>
      </c>
      <c r="D407" s="5">
        <f>IF(B407="","",IFERROR(VLOOKUP(B407, PLANTA_BASE!A:R, 5, FALSE), "NO ENCONTRADO EN PLANTA"))</f>
        <v/>
      </c>
      <c r="E407" s="5">
        <f>IF(B407="","",IFERROR(VLOOKUP(B407, PLANTA_BASE!A:R, 6, FALSE), "NO ENCONTRADO EN PLANTA"))</f>
        <v/>
      </c>
      <c r="F407" s="7">
        <f>IF(B407="","",IFERROR(VLOOKUP(B407, PLANTA_BASE!A:R, 8, FALSE), "DOCENTE / FACILITADOR"))</f>
        <v/>
      </c>
      <c r="G407" s="7">
        <f>IF(B407="","",IFERROR(VLOOKUP(B407, PLANTA_BASE!A:R, 9, FALSE), "GENERAL"))</f>
        <v/>
      </c>
      <c r="H407" s="5">
        <f>IF(B407="","",IFERROR(VLOOKUP(B407, PLANTA_BASE!A:R, 17, FALSE), "GENERAL"))</f>
        <v/>
      </c>
    </row>
    <row r="408" ht="20" customHeight="1">
      <c r="A408" s="2">
        <f>IF(B408="","",IFERROR(VLOOKUP(B408, PLANTA_BASE!A:R, 2, FALSE), "NO ENCONTRADO EN PLANTA"))</f>
        <v/>
      </c>
      <c r="B408" s="3" t="inlineStr"/>
      <c r="C408" s="4">
        <f>IF(B408="","",IFERROR(VLOOKUP(B408, PLANTA_BASE!A:R, 3, FALSE), ""))</f>
        <v/>
      </c>
      <c r="D408" s="2">
        <f>IF(B408="","",IFERROR(VLOOKUP(B408, PLANTA_BASE!A:R, 5, FALSE), "NO ENCONTRADO EN PLANTA"))</f>
        <v/>
      </c>
      <c r="E408" s="2">
        <f>IF(B408="","",IFERROR(VLOOKUP(B408, PLANTA_BASE!A:R, 6, FALSE), "NO ENCONTRADO EN PLANTA"))</f>
        <v/>
      </c>
      <c r="F408" s="4">
        <f>IF(B408="","",IFERROR(VLOOKUP(B408, PLANTA_BASE!A:R, 8, FALSE), "DOCENTE / FACILITADOR"))</f>
        <v/>
      </c>
      <c r="G408" s="4">
        <f>IF(B408="","",IFERROR(VLOOKUP(B408, PLANTA_BASE!A:R, 9, FALSE), "GENERAL"))</f>
        <v/>
      </c>
      <c r="H408" s="2">
        <f>IF(B408="","",IFERROR(VLOOKUP(B408, PLANTA_BASE!A:R, 17, FALSE), "GENERAL"))</f>
        <v/>
      </c>
    </row>
    <row r="409" ht="20" customHeight="1">
      <c r="A409" s="5">
        <f>IF(B409="","",IFERROR(VLOOKUP(B409, PLANTA_BASE!A:R, 2, FALSE), "NO ENCONTRADO EN PLANTA"))</f>
        <v/>
      </c>
      <c r="B409" s="6" t="inlineStr"/>
      <c r="C409" s="7">
        <f>IF(B409="","",IFERROR(VLOOKUP(B409, PLANTA_BASE!A:R, 3, FALSE), ""))</f>
        <v/>
      </c>
      <c r="D409" s="5">
        <f>IF(B409="","",IFERROR(VLOOKUP(B409, PLANTA_BASE!A:R, 5, FALSE), "NO ENCONTRADO EN PLANTA"))</f>
        <v/>
      </c>
      <c r="E409" s="5">
        <f>IF(B409="","",IFERROR(VLOOKUP(B409, PLANTA_BASE!A:R, 6, FALSE), "NO ENCONTRADO EN PLANTA"))</f>
        <v/>
      </c>
      <c r="F409" s="7">
        <f>IF(B409="","",IFERROR(VLOOKUP(B409, PLANTA_BASE!A:R, 8, FALSE), "DOCENTE / FACILITADOR"))</f>
        <v/>
      </c>
      <c r="G409" s="7">
        <f>IF(B409="","",IFERROR(VLOOKUP(B409, PLANTA_BASE!A:R, 9, FALSE), "GENERAL"))</f>
        <v/>
      </c>
      <c r="H409" s="5">
        <f>IF(B409="","",IFERROR(VLOOKUP(B409, PLANTA_BASE!A:R, 17, FALSE), "GENERAL"))</f>
        <v/>
      </c>
    </row>
    <row r="410" ht="20" customHeight="1">
      <c r="A410" s="2">
        <f>IF(B410="","",IFERROR(VLOOKUP(B410, PLANTA_BASE!A:R, 2, FALSE), "NO ENCONTRADO EN PLANTA"))</f>
        <v/>
      </c>
      <c r="B410" s="3" t="inlineStr"/>
      <c r="C410" s="4">
        <f>IF(B410="","",IFERROR(VLOOKUP(B410, PLANTA_BASE!A:R, 3, FALSE), ""))</f>
        <v/>
      </c>
      <c r="D410" s="2">
        <f>IF(B410="","",IFERROR(VLOOKUP(B410, PLANTA_BASE!A:R, 5, FALSE), "NO ENCONTRADO EN PLANTA"))</f>
        <v/>
      </c>
      <c r="E410" s="2">
        <f>IF(B410="","",IFERROR(VLOOKUP(B410, PLANTA_BASE!A:R, 6, FALSE), "NO ENCONTRADO EN PLANTA"))</f>
        <v/>
      </c>
      <c r="F410" s="4">
        <f>IF(B410="","",IFERROR(VLOOKUP(B410, PLANTA_BASE!A:R, 8, FALSE), "DOCENTE / FACILITADOR"))</f>
        <v/>
      </c>
      <c r="G410" s="4">
        <f>IF(B410="","",IFERROR(VLOOKUP(B410, PLANTA_BASE!A:R, 9, FALSE), "GENERAL"))</f>
        <v/>
      </c>
      <c r="H410" s="2">
        <f>IF(B410="","",IFERROR(VLOOKUP(B410, PLANTA_BASE!A:R, 17, FALSE), "GENERAL"))</f>
        <v/>
      </c>
    </row>
    <row r="411" ht="20" customHeight="1">
      <c r="A411" s="5">
        <f>IF(B411="","",IFERROR(VLOOKUP(B411, PLANTA_BASE!A:R, 2, FALSE), "NO ENCONTRADO EN PLANTA"))</f>
        <v/>
      </c>
      <c r="B411" s="6" t="inlineStr"/>
      <c r="C411" s="7">
        <f>IF(B411="","",IFERROR(VLOOKUP(B411, PLANTA_BASE!A:R, 3, FALSE), ""))</f>
        <v/>
      </c>
      <c r="D411" s="5">
        <f>IF(B411="","",IFERROR(VLOOKUP(B411, PLANTA_BASE!A:R, 5, FALSE), "NO ENCONTRADO EN PLANTA"))</f>
        <v/>
      </c>
      <c r="E411" s="5">
        <f>IF(B411="","",IFERROR(VLOOKUP(B411, PLANTA_BASE!A:R, 6, FALSE), "NO ENCONTRADO EN PLANTA"))</f>
        <v/>
      </c>
      <c r="F411" s="7">
        <f>IF(B411="","",IFERROR(VLOOKUP(B411, PLANTA_BASE!A:R, 8, FALSE), "DOCENTE / FACILITADOR"))</f>
        <v/>
      </c>
      <c r="G411" s="7">
        <f>IF(B411="","",IFERROR(VLOOKUP(B411, PLANTA_BASE!A:R, 9, FALSE), "GENERAL"))</f>
        <v/>
      </c>
      <c r="H411" s="5">
        <f>IF(B411="","",IFERROR(VLOOKUP(B411, PLANTA_BASE!A:R, 17, FALSE), "GENERAL"))</f>
        <v/>
      </c>
    </row>
    <row r="412" ht="20" customHeight="1">
      <c r="A412" s="2">
        <f>IF(B412="","",IFERROR(VLOOKUP(B412, PLANTA_BASE!A:R, 2, FALSE), "NO ENCONTRADO EN PLANTA"))</f>
        <v/>
      </c>
      <c r="B412" s="3" t="inlineStr"/>
      <c r="C412" s="4">
        <f>IF(B412="","",IFERROR(VLOOKUP(B412, PLANTA_BASE!A:R, 3, FALSE), ""))</f>
        <v/>
      </c>
      <c r="D412" s="2">
        <f>IF(B412="","",IFERROR(VLOOKUP(B412, PLANTA_BASE!A:R, 5, FALSE), "NO ENCONTRADO EN PLANTA"))</f>
        <v/>
      </c>
      <c r="E412" s="2">
        <f>IF(B412="","",IFERROR(VLOOKUP(B412, PLANTA_BASE!A:R, 6, FALSE), "NO ENCONTRADO EN PLANTA"))</f>
        <v/>
      </c>
      <c r="F412" s="4">
        <f>IF(B412="","",IFERROR(VLOOKUP(B412, PLANTA_BASE!A:R, 8, FALSE), "DOCENTE / FACILITADOR"))</f>
        <v/>
      </c>
      <c r="G412" s="4">
        <f>IF(B412="","",IFERROR(VLOOKUP(B412, PLANTA_BASE!A:R, 9, FALSE), "GENERAL"))</f>
        <v/>
      </c>
      <c r="H412" s="2">
        <f>IF(B412="","",IFERROR(VLOOKUP(B412, PLANTA_BASE!A:R, 17, FALSE), "GENERAL"))</f>
        <v/>
      </c>
    </row>
    <row r="413" ht="20" customHeight="1">
      <c r="A413" s="5">
        <f>IF(B413="","",IFERROR(VLOOKUP(B413, PLANTA_BASE!A:R, 2, FALSE), "NO ENCONTRADO EN PLANTA"))</f>
        <v/>
      </c>
      <c r="B413" s="6" t="inlineStr"/>
      <c r="C413" s="7">
        <f>IF(B413="","",IFERROR(VLOOKUP(B413, PLANTA_BASE!A:R, 3, FALSE), ""))</f>
        <v/>
      </c>
      <c r="D413" s="5">
        <f>IF(B413="","",IFERROR(VLOOKUP(B413, PLANTA_BASE!A:R, 5, FALSE), "NO ENCONTRADO EN PLANTA"))</f>
        <v/>
      </c>
      <c r="E413" s="5">
        <f>IF(B413="","",IFERROR(VLOOKUP(B413, PLANTA_BASE!A:R, 6, FALSE), "NO ENCONTRADO EN PLANTA"))</f>
        <v/>
      </c>
      <c r="F413" s="7">
        <f>IF(B413="","",IFERROR(VLOOKUP(B413, PLANTA_BASE!A:R, 8, FALSE), "DOCENTE / FACILITADOR"))</f>
        <v/>
      </c>
      <c r="G413" s="7">
        <f>IF(B413="","",IFERROR(VLOOKUP(B413, PLANTA_BASE!A:R, 9, FALSE), "GENERAL"))</f>
        <v/>
      </c>
      <c r="H413" s="5">
        <f>IF(B413="","",IFERROR(VLOOKUP(B413, PLANTA_BASE!A:R, 17, FALSE), "GENERAL"))</f>
        <v/>
      </c>
    </row>
    <row r="414" ht="20" customHeight="1">
      <c r="A414" s="2">
        <f>IF(B414="","",IFERROR(VLOOKUP(B414, PLANTA_BASE!A:R, 2, FALSE), "NO ENCONTRADO EN PLANTA"))</f>
        <v/>
      </c>
      <c r="B414" s="3" t="inlineStr"/>
      <c r="C414" s="4">
        <f>IF(B414="","",IFERROR(VLOOKUP(B414, PLANTA_BASE!A:R, 3, FALSE), ""))</f>
        <v/>
      </c>
      <c r="D414" s="2">
        <f>IF(B414="","",IFERROR(VLOOKUP(B414, PLANTA_BASE!A:R, 5, FALSE), "NO ENCONTRADO EN PLANTA"))</f>
        <v/>
      </c>
      <c r="E414" s="2">
        <f>IF(B414="","",IFERROR(VLOOKUP(B414, PLANTA_BASE!A:R, 6, FALSE), "NO ENCONTRADO EN PLANTA"))</f>
        <v/>
      </c>
      <c r="F414" s="4">
        <f>IF(B414="","",IFERROR(VLOOKUP(B414, PLANTA_BASE!A:R, 8, FALSE), "DOCENTE / FACILITADOR"))</f>
        <v/>
      </c>
      <c r="G414" s="4">
        <f>IF(B414="","",IFERROR(VLOOKUP(B414, PLANTA_BASE!A:R, 9, FALSE), "GENERAL"))</f>
        <v/>
      </c>
      <c r="H414" s="2">
        <f>IF(B414="","",IFERROR(VLOOKUP(B414, PLANTA_BASE!A:R, 17, FALSE), "GENERAL"))</f>
        <v/>
      </c>
    </row>
    <row r="415" ht="20" customHeight="1">
      <c r="A415" s="5">
        <f>IF(B415="","",IFERROR(VLOOKUP(B415, PLANTA_BASE!A:R, 2, FALSE), "NO ENCONTRADO EN PLANTA"))</f>
        <v/>
      </c>
      <c r="B415" s="6" t="inlineStr"/>
      <c r="C415" s="7">
        <f>IF(B415="","",IFERROR(VLOOKUP(B415, PLANTA_BASE!A:R, 3, FALSE), ""))</f>
        <v/>
      </c>
      <c r="D415" s="5">
        <f>IF(B415="","",IFERROR(VLOOKUP(B415, PLANTA_BASE!A:R, 5, FALSE), "NO ENCONTRADO EN PLANTA"))</f>
        <v/>
      </c>
      <c r="E415" s="5">
        <f>IF(B415="","",IFERROR(VLOOKUP(B415, PLANTA_BASE!A:R, 6, FALSE), "NO ENCONTRADO EN PLANTA"))</f>
        <v/>
      </c>
      <c r="F415" s="7">
        <f>IF(B415="","",IFERROR(VLOOKUP(B415, PLANTA_BASE!A:R, 8, FALSE), "DOCENTE / FACILITADOR"))</f>
        <v/>
      </c>
      <c r="G415" s="7">
        <f>IF(B415="","",IFERROR(VLOOKUP(B415, PLANTA_BASE!A:R, 9, FALSE), "GENERAL"))</f>
        <v/>
      </c>
      <c r="H415" s="5">
        <f>IF(B415="","",IFERROR(VLOOKUP(B415, PLANTA_BASE!A:R, 17, FALSE), "GENERAL"))</f>
        <v/>
      </c>
    </row>
    <row r="416" ht="20" customHeight="1">
      <c r="A416" s="2">
        <f>IF(B416="","",IFERROR(VLOOKUP(B416, PLANTA_BASE!A:R, 2, FALSE), "NO ENCONTRADO EN PLANTA"))</f>
        <v/>
      </c>
      <c r="B416" s="3" t="inlineStr"/>
      <c r="C416" s="4">
        <f>IF(B416="","",IFERROR(VLOOKUP(B416, PLANTA_BASE!A:R, 3, FALSE), ""))</f>
        <v/>
      </c>
      <c r="D416" s="2">
        <f>IF(B416="","",IFERROR(VLOOKUP(B416, PLANTA_BASE!A:R, 5, FALSE), "NO ENCONTRADO EN PLANTA"))</f>
        <v/>
      </c>
      <c r="E416" s="2">
        <f>IF(B416="","",IFERROR(VLOOKUP(B416, PLANTA_BASE!A:R, 6, FALSE), "NO ENCONTRADO EN PLANTA"))</f>
        <v/>
      </c>
      <c r="F416" s="4">
        <f>IF(B416="","",IFERROR(VLOOKUP(B416, PLANTA_BASE!A:R, 8, FALSE), "DOCENTE / FACILITADOR"))</f>
        <v/>
      </c>
      <c r="G416" s="4">
        <f>IF(B416="","",IFERROR(VLOOKUP(B416, PLANTA_BASE!A:R, 9, FALSE), "GENERAL"))</f>
        <v/>
      </c>
      <c r="H416" s="2">
        <f>IF(B416="","",IFERROR(VLOOKUP(B416, PLANTA_BASE!A:R, 17, FALSE), "GENERAL"))</f>
        <v/>
      </c>
    </row>
    <row r="417" ht="20" customHeight="1">
      <c r="A417" s="5">
        <f>IF(B417="","",IFERROR(VLOOKUP(B417, PLANTA_BASE!A:R, 2, FALSE), "NO ENCONTRADO EN PLANTA"))</f>
        <v/>
      </c>
      <c r="B417" s="6" t="inlineStr"/>
      <c r="C417" s="7">
        <f>IF(B417="","",IFERROR(VLOOKUP(B417, PLANTA_BASE!A:R, 3, FALSE), ""))</f>
        <v/>
      </c>
      <c r="D417" s="5">
        <f>IF(B417="","",IFERROR(VLOOKUP(B417, PLANTA_BASE!A:R, 5, FALSE), "NO ENCONTRADO EN PLANTA"))</f>
        <v/>
      </c>
      <c r="E417" s="5">
        <f>IF(B417="","",IFERROR(VLOOKUP(B417, PLANTA_BASE!A:R, 6, FALSE), "NO ENCONTRADO EN PLANTA"))</f>
        <v/>
      </c>
      <c r="F417" s="7">
        <f>IF(B417="","",IFERROR(VLOOKUP(B417, PLANTA_BASE!A:R, 8, FALSE), "DOCENTE / FACILITADOR"))</f>
        <v/>
      </c>
      <c r="G417" s="7">
        <f>IF(B417="","",IFERROR(VLOOKUP(B417, PLANTA_BASE!A:R, 9, FALSE), "GENERAL"))</f>
        <v/>
      </c>
      <c r="H417" s="5">
        <f>IF(B417="","",IFERROR(VLOOKUP(B417, PLANTA_BASE!A:R, 17, FALSE), "GENERAL"))</f>
        <v/>
      </c>
    </row>
    <row r="418" ht="20" customHeight="1">
      <c r="A418" s="2">
        <f>IF(B418="","",IFERROR(VLOOKUP(B418, PLANTA_BASE!A:R, 2, FALSE), "NO ENCONTRADO EN PLANTA"))</f>
        <v/>
      </c>
      <c r="B418" s="3" t="inlineStr"/>
      <c r="C418" s="4">
        <f>IF(B418="","",IFERROR(VLOOKUP(B418, PLANTA_BASE!A:R, 3, FALSE), ""))</f>
        <v/>
      </c>
      <c r="D418" s="2">
        <f>IF(B418="","",IFERROR(VLOOKUP(B418, PLANTA_BASE!A:R, 5, FALSE), "NO ENCONTRADO EN PLANTA"))</f>
        <v/>
      </c>
      <c r="E418" s="2">
        <f>IF(B418="","",IFERROR(VLOOKUP(B418, PLANTA_BASE!A:R, 6, FALSE), "NO ENCONTRADO EN PLANTA"))</f>
        <v/>
      </c>
      <c r="F418" s="4">
        <f>IF(B418="","",IFERROR(VLOOKUP(B418, PLANTA_BASE!A:R, 8, FALSE), "DOCENTE / FACILITADOR"))</f>
        <v/>
      </c>
      <c r="G418" s="4">
        <f>IF(B418="","",IFERROR(VLOOKUP(B418, PLANTA_BASE!A:R, 9, FALSE), "GENERAL"))</f>
        <v/>
      </c>
      <c r="H418" s="2">
        <f>IF(B418="","",IFERROR(VLOOKUP(B418, PLANTA_BASE!A:R, 17, FALSE), "GENERAL"))</f>
        <v/>
      </c>
    </row>
    <row r="419" ht="20" customHeight="1">
      <c r="A419" s="5">
        <f>IF(B419="","",IFERROR(VLOOKUP(B419, PLANTA_BASE!A:R, 2, FALSE), "NO ENCONTRADO EN PLANTA"))</f>
        <v/>
      </c>
      <c r="B419" s="6" t="inlineStr"/>
      <c r="C419" s="7">
        <f>IF(B419="","",IFERROR(VLOOKUP(B419, PLANTA_BASE!A:R, 3, FALSE), ""))</f>
        <v/>
      </c>
      <c r="D419" s="5">
        <f>IF(B419="","",IFERROR(VLOOKUP(B419, PLANTA_BASE!A:R, 5, FALSE), "NO ENCONTRADO EN PLANTA"))</f>
        <v/>
      </c>
      <c r="E419" s="5">
        <f>IF(B419="","",IFERROR(VLOOKUP(B419, PLANTA_BASE!A:R, 6, FALSE), "NO ENCONTRADO EN PLANTA"))</f>
        <v/>
      </c>
      <c r="F419" s="7">
        <f>IF(B419="","",IFERROR(VLOOKUP(B419, PLANTA_BASE!A:R, 8, FALSE), "DOCENTE / FACILITADOR"))</f>
        <v/>
      </c>
      <c r="G419" s="7">
        <f>IF(B419="","",IFERROR(VLOOKUP(B419, PLANTA_BASE!A:R, 9, FALSE), "GENERAL"))</f>
        <v/>
      </c>
      <c r="H419" s="5">
        <f>IF(B419="","",IFERROR(VLOOKUP(B419, PLANTA_BASE!A:R, 17, FALSE), "GENERAL"))</f>
        <v/>
      </c>
    </row>
    <row r="420" ht="20" customHeight="1">
      <c r="A420" s="2">
        <f>IF(B420="","",IFERROR(VLOOKUP(B420, PLANTA_BASE!A:R, 2, FALSE), "NO ENCONTRADO EN PLANTA"))</f>
        <v/>
      </c>
      <c r="B420" s="3" t="inlineStr"/>
      <c r="C420" s="4">
        <f>IF(B420="","",IFERROR(VLOOKUP(B420, PLANTA_BASE!A:R, 3, FALSE), ""))</f>
        <v/>
      </c>
      <c r="D420" s="2">
        <f>IF(B420="","",IFERROR(VLOOKUP(B420, PLANTA_BASE!A:R, 5, FALSE), "NO ENCONTRADO EN PLANTA"))</f>
        <v/>
      </c>
      <c r="E420" s="2">
        <f>IF(B420="","",IFERROR(VLOOKUP(B420, PLANTA_BASE!A:R, 6, FALSE), "NO ENCONTRADO EN PLANTA"))</f>
        <v/>
      </c>
      <c r="F420" s="4">
        <f>IF(B420="","",IFERROR(VLOOKUP(B420, PLANTA_BASE!A:R, 8, FALSE), "DOCENTE / FACILITADOR"))</f>
        <v/>
      </c>
      <c r="G420" s="4">
        <f>IF(B420="","",IFERROR(VLOOKUP(B420, PLANTA_BASE!A:R, 9, FALSE), "GENERAL"))</f>
        <v/>
      </c>
      <c r="H420" s="2">
        <f>IF(B420="","",IFERROR(VLOOKUP(B420, PLANTA_BASE!A:R, 17, FALSE), "GENERAL"))</f>
        <v/>
      </c>
    </row>
    <row r="421" ht="20" customHeight="1">
      <c r="A421" s="5">
        <f>IF(B421="","",IFERROR(VLOOKUP(B421, PLANTA_BASE!A:R, 2, FALSE), "NO ENCONTRADO EN PLANTA"))</f>
        <v/>
      </c>
      <c r="B421" s="6" t="inlineStr"/>
      <c r="C421" s="7">
        <f>IF(B421="","",IFERROR(VLOOKUP(B421, PLANTA_BASE!A:R, 3, FALSE), ""))</f>
        <v/>
      </c>
      <c r="D421" s="5">
        <f>IF(B421="","",IFERROR(VLOOKUP(B421, PLANTA_BASE!A:R, 5, FALSE), "NO ENCONTRADO EN PLANTA"))</f>
        <v/>
      </c>
      <c r="E421" s="5">
        <f>IF(B421="","",IFERROR(VLOOKUP(B421, PLANTA_BASE!A:R, 6, FALSE), "NO ENCONTRADO EN PLANTA"))</f>
        <v/>
      </c>
      <c r="F421" s="7">
        <f>IF(B421="","",IFERROR(VLOOKUP(B421, PLANTA_BASE!A:R, 8, FALSE), "DOCENTE / FACILITADOR"))</f>
        <v/>
      </c>
      <c r="G421" s="7">
        <f>IF(B421="","",IFERROR(VLOOKUP(B421, PLANTA_BASE!A:R, 9, FALSE), "GENERAL"))</f>
        <v/>
      </c>
      <c r="H421" s="5">
        <f>IF(B421="","",IFERROR(VLOOKUP(B421, PLANTA_BASE!A:R, 17, FALSE), "GENERAL"))</f>
        <v/>
      </c>
    </row>
    <row r="422" ht="20" customHeight="1">
      <c r="A422" s="2">
        <f>IF(B422="","",IFERROR(VLOOKUP(B422, PLANTA_BASE!A:R, 2, FALSE), "NO ENCONTRADO EN PLANTA"))</f>
        <v/>
      </c>
      <c r="B422" s="3" t="inlineStr"/>
      <c r="C422" s="4">
        <f>IF(B422="","",IFERROR(VLOOKUP(B422, PLANTA_BASE!A:R, 3, FALSE), ""))</f>
        <v/>
      </c>
      <c r="D422" s="2">
        <f>IF(B422="","",IFERROR(VLOOKUP(B422, PLANTA_BASE!A:R, 5, FALSE), "NO ENCONTRADO EN PLANTA"))</f>
        <v/>
      </c>
      <c r="E422" s="2">
        <f>IF(B422="","",IFERROR(VLOOKUP(B422, PLANTA_BASE!A:R, 6, FALSE), "NO ENCONTRADO EN PLANTA"))</f>
        <v/>
      </c>
      <c r="F422" s="4">
        <f>IF(B422="","",IFERROR(VLOOKUP(B422, PLANTA_BASE!A:R, 8, FALSE), "DOCENTE / FACILITADOR"))</f>
        <v/>
      </c>
      <c r="G422" s="4">
        <f>IF(B422="","",IFERROR(VLOOKUP(B422, PLANTA_BASE!A:R, 9, FALSE), "GENERAL"))</f>
        <v/>
      </c>
      <c r="H422" s="2">
        <f>IF(B422="","",IFERROR(VLOOKUP(B422, PLANTA_BASE!A:R, 17, FALSE), "GENERAL"))</f>
        <v/>
      </c>
    </row>
    <row r="423" ht="20" customHeight="1">
      <c r="A423" s="5">
        <f>IF(B423="","",IFERROR(VLOOKUP(B423, PLANTA_BASE!A:R, 2, FALSE), "NO ENCONTRADO EN PLANTA"))</f>
        <v/>
      </c>
      <c r="B423" s="6" t="inlineStr"/>
      <c r="C423" s="7">
        <f>IF(B423="","",IFERROR(VLOOKUP(B423, PLANTA_BASE!A:R, 3, FALSE), ""))</f>
        <v/>
      </c>
      <c r="D423" s="5">
        <f>IF(B423="","",IFERROR(VLOOKUP(B423, PLANTA_BASE!A:R, 5, FALSE), "NO ENCONTRADO EN PLANTA"))</f>
        <v/>
      </c>
      <c r="E423" s="5">
        <f>IF(B423="","",IFERROR(VLOOKUP(B423, PLANTA_BASE!A:R, 6, FALSE), "NO ENCONTRADO EN PLANTA"))</f>
        <v/>
      </c>
      <c r="F423" s="7">
        <f>IF(B423="","",IFERROR(VLOOKUP(B423, PLANTA_BASE!A:R, 8, FALSE), "DOCENTE / FACILITADOR"))</f>
        <v/>
      </c>
      <c r="G423" s="7">
        <f>IF(B423="","",IFERROR(VLOOKUP(B423, PLANTA_BASE!A:R, 9, FALSE), "GENERAL"))</f>
        <v/>
      </c>
      <c r="H423" s="5">
        <f>IF(B423="","",IFERROR(VLOOKUP(B423, PLANTA_BASE!A:R, 17, FALSE), "GENERAL"))</f>
        <v/>
      </c>
    </row>
    <row r="424" ht="20" customHeight="1">
      <c r="A424" s="2">
        <f>IF(B424="","",IFERROR(VLOOKUP(B424, PLANTA_BASE!A:R, 2, FALSE), "NO ENCONTRADO EN PLANTA"))</f>
        <v/>
      </c>
      <c r="B424" s="3" t="inlineStr"/>
      <c r="C424" s="4">
        <f>IF(B424="","",IFERROR(VLOOKUP(B424, PLANTA_BASE!A:R, 3, FALSE), ""))</f>
        <v/>
      </c>
      <c r="D424" s="2">
        <f>IF(B424="","",IFERROR(VLOOKUP(B424, PLANTA_BASE!A:R, 5, FALSE), "NO ENCONTRADO EN PLANTA"))</f>
        <v/>
      </c>
      <c r="E424" s="2">
        <f>IF(B424="","",IFERROR(VLOOKUP(B424, PLANTA_BASE!A:R, 6, FALSE), "NO ENCONTRADO EN PLANTA"))</f>
        <v/>
      </c>
      <c r="F424" s="4">
        <f>IF(B424="","",IFERROR(VLOOKUP(B424, PLANTA_BASE!A:R, 8, FALSE), "DOCENTE / FACILITADOR"))</f>
        <v/>
      </c>
      <c r="G424" s="4">
        <f>IF(B424="","",IFERROR(VLOOKUP(B424, PLANTA_BASE!A:R, 9, FALSE), "GENERAL"))</f>
        <v/>
      </c>
      <c r="H424" s="2">
        <f>IF(B424="","",IFERROR(VLOOKUP(B424, PLANTA_BASE!A:R, 17, FALSE), "GENERAL"))</f>
        <v/>
      </c>
    </row>
    <row r="425" ht="20" customHeight="1">
      <c r="A425" s="5">
        <f>IF(B425="","",IFERROR(VLOOKUP(B425, PLANTA_BASE!A:R, 2, FALSE), "NO ENCONTRADO EN PLANTA"))</f>
        <v/>
      </c>
      <c r="B425" s="6" t="inlineStr"/>
      <c r="C425" s="7">
        <f>IF(B425="","",IFERROR(VLOOKUP(B425, PLANTA_BASE!A:R, 3, FALSE), ""))</f>
        <v/>
      </c>
      <c r="D425" s="5">
        <f>IF(B425="","",IFERROR(VLOOKUP(B425, PLANTA_BASE!A:R, 5, FALSE), "NO ENCONTRADO EN PLANTA"))</f>
        <v/>
      </c>
      <c r="E425" s="5">
        <f>IF(B425="","",IFERROR(VLOOKUP(B425, PLANTA_BASE!A:R, 6, FALSE), "NO ENCONTRADO EN PLANTA"))</f>
        <v/>
      </c>
      <c r="F425" s="7">
        <f>IF(B425="","",IFERROR(VLOOKUP(B425, PLANTA_BASE!A:R, 8, FALSE), "DOCENTE / FACILITADOR"))</f>
        <v/>
      </c>
      <c r="G425" s="7">
        <f>IF(B425="","",IFERROR(VLOOKUP(B425, PLANTA_BASE!A:R, 9, FALSE), "GENERAL"))</f>
        <v/>
      </c>
      <c r="H425" s="5">
        <f>IF(B425="","",IFERROR(VLOOKUP(B425, PLANTA_BASE!A:R, 17, FALSE), "GENERAL"))</f>
        <v/>
      </c>
    </row>
    <row r="426" ht="20" customHeight="1">
      <c r="A426" s="2">
        <f>IF(B426="","",IFERROR(VLOOKUP(B426, PLANTA_BASE!A:R, 2, FALSE), "NO ENCONTRADO EN PLANTA"))</f>
        <v/>
      </c>
      <c r="B426" s="3" t="inlineStr"/>
      <c r="C426" s="4">
        <f>IF(B426="","",IFERROR(VLOOKUP(B426, PLANTA_BASE!A:R, 3, FALSE), ""))</f>
        <v/>
      </c>
      <c r="D426" s="2">
        <f>IF(B426="","",IFERROR(VLOOKUP(B426, PLANTA_BASE!A:R, 5, FALSE), "NO ENCONTRADO EN PLANTA"))</f>
        <v/>
      </c>
      <c r="E426" s="2">
        <f>IF(B426="","",IFERROR(VLOOKUP(B426, PLANTA_BASE!A:R, 6, FALSE), "NO ENCONTRADO EN PLANTA"))</f>
        <v/>
      </c>
      <c r="F426" s="4">
        <f>IF(B426="","",IFERROR(VLOOKUP(B426, PLANTA_BASE!A:R, 8, FALSE), "DOCENTE / FACILITADOR"))</f>
        <v/>
      </c>
      <c r="G426" s="4">
        <f>IF(B426="","",IFERROR(VLOOKUP(B426, PLANTA_BASE!A:R, 9, FALSE), "GENERAL"))</f>
        <v/>
      </c>
      <c r="H426" s="2">
        <f>IF(B426="","",IFERROR(VLOOKUP(B426, PLANTA_BASE!A:R, 17, FALSE), "GENERAL"))</f>
        <v/>
      </c>
    </row>
    <row r="427" ht="20" customHeight="1">
      <c r="A427" s="5">
        <f>IF(B427="","",IFERROR(VLOOKUP(B427, PLANTA_BASE!A:R, 2, FALSE), "NO ENCONTRADO EN PLANTA"))</f>
        <v/>
      </c>
      <c r="B427" s="6" t="inlineStr"/>
      <c r="C427" s="7">
        <f>IF(B427="","",IFERROR(VLOOKUP(B427, PLANTA_BASE!A:R, 3, FALSE), ""))</f>
        <v/>
      </c>
      <c r="D427" s="5">
        <f>IF(B427="","",IFERROR(VLOOKUP(B427, PLANTA_BASE!A:R, 5, FALSE), "NO ENCONTRADO EN PLANTA"))</f>
        <v/>
      </c>
      <c r="E427" s="5">
        <f>IF(B427="","",IFERROR(VLOOKUP(B427, PLANTA_BASE!A:R, 6, FALSE), "NO ENCONTRADO EN PLANTA"))</f>
        <v/>
      </c>
      <c r="F427" s="7">
        <f>IF(B427="","",IFERROR(VLOOKUP(B427, PLANTA_BASE!A:R, 8, FALSE), "DOCENTE / FACILITADOR"))</f>
        <v/>
      </c>
      <c r="G427" s="7">
        <f>IF(B427="","",IFERROR(VLOOKUP(B427, PLANTA_BASE!A:R, 9, FALSE), "GENERAL"))</f>
        <v/>
      </c>
      <c r="H427" s="5">
        <f>IF(B427="","",IFERROR(VLOOKUP(B427, PLANTA_BASE!A:R, 17, FALSE), "GENERAL"))</f>
        <v/>
      </c>
    </row>
    <row r="428" ht="20" customHeight="1">
      <c r="A428" s="2">
        <f>IF(B428="","",IFERROR(VLOOKUP(B428, PLANTA_BASE!A:R, 2, FALSE), "NO ENCONTRADO EN PLANTA"))</f>
        <v/>
      </c>
      <c r="B428" s="3" t="inlineStr"/>
      <c r="C428" s="4">
        <f>IF(B428="","",IFERROR(VLOOKUP(B428, PLANTA_BASE!A:R, 3, FALSE), ""))</f>
        <v/>
      </c>
      <c r="D428" s="2">
        <f>IF(B428="","",IFERROR(VLOOKUP(B428, PLANTA_BASE!A:R, 5, FALSE), "NO ENCONTRADO EN PLANTA"))</f>
        <v/>
      </c>
      <c r="E428" s="2">
        <f>IF(B428="","",IFERROR(VLOOKUP(B428, PLANTA_BASE!A:R, 6, FALSE), "NO ENCONTRADO EN PLANTA"))</f>
        <v/>
      </c>
      <c r="F428" s="4">
        <f>IF(B428="","",IFERROR(VLOOKUP(B428, PLANTA_BASE!A:R, 8, FALSE), "DOCENTE / FACILITADOR"))</f>
        <v/>
      </c>
      <c r="G428" s="4">
        <f>IF(B428="","",IFERROR(VLOOKUP(B428, PLANTA_BASE!A:R, 9, FALSE), "GENERAL"))</f>
        <v/>
      </c>
      <c r="H428" s="2">
        <f>IF(B428="","",IFERROR(VLOOKUP(B428, PLANTA_BASE!A:R, 17, FALSE), "GENERAL"))</f>
        <v/>
      </c>
    </row>
    <row r="429" ht="20" customHeight="1">
      <c r="A429" s="5">
        <f>IF(B429="","",IFERROR(VLOOKUP(B429, PLANTA_BASE!A:R, 2, FALSE), "NO ENCONTRADO EN PLANTA"))</f>
        <v/>
      </c>
      <c r="B429" s="6" t="inlineStr"/>
      <c r="C429" s="7">
        <f>IF(B429="","",IFERROR(VLOOKUP(B429, PLANTA_BASE!A:R, 3, FALSE), ""))</f>
        <v/>
      </c>
      <c r="D429" s="5">
        <f>IF(B429="","",IFERROR(VLOOKUP(B429, PLANTA_BASE!A:R, 5, FALSE), "NO ENCONTRADO EN PLANTA"))</f>
        <v/>
      </c>
      <c r="E429" s="5">
        <f>IF(B429="","",IFERROR(VLOOKUP(B429, PLANTA_BASE!A:R, 6, FALSE), "NO ENCONTRADO EN PLANTA"))</f>
        <v/>
      </c>
      <c r="F429" s="7">
        <f>IF(B429="","",IFERROR(VLOOKUP(B429, PLANTA_BASE!A:R, 8, FALSE), "DOCENTE / FACILITADOR"))</f>
        <v/>
      </c>
      <c r="G429" s="7">
        <f>IF(B429="","",IFERROR(VLOOKUP(B429, PLANTA_BASE!A:R, 9, FALSE), "GENERAL"))</f>
        <v/>
      </c>
      <c r="H429" s="5">
        <f>IF(B429="","",IFERROR(VLOOKUP(B429, PLANTA_BASE!A:R, 17, FALSE), "GENERAL"))</f>
        <v/>
      </c>
    </row>
    <row r="430" ht="20" customHeight="1">
      <c r="A430" s="2">
        <f>IF(B430="","",IFERROR(VLOOKUP(B430, PLANTA_BASE!A:R, 2, FALSE), "NO ENCONTRADO EN PLANTA"))</f>
        <v/>
      </c>
      <c r="B430" s="3" t="inlineStr"/>
      <c r="C430" s="4">
        <f>IF(B430="","",IFERROR(VLOOKUP(B430, PLANTA_BASE!A:R, 3, FALSE), ""))</f>
        <v/>
      </c>
      <c r="D430" s="2">
        <f>IF(B430="","",IFERROR(VLOOKUP(B430, PLANTA_BASE!A:R, 5, FALSE), "NO ENCONTRADO EN PLANTA"))</f>
        <v/>
      </c>
      <c r="E430" s="2">
        <f>IF(B430="","",IFERROR(VLOOKUP(B430, PLANTA_BASE!A:R, 6, FALSE), "NO ENCONTRADO EN PLANTA"))</f>
        <v/>
      </c>
      <c r="F430" s="4">
        <f>IF(B430="","",IFERROR(VLOOKUP(B430, PLANTA_BASE!A:R, 8, FALSE), "DOCENTE / FACILITADOR"))</f>
        <v/>
      </c>
      <c r="G430" s="4">
        <f>IF(B430="","",IFERROR(VLOOKUP(B430, PLANTA_BASE!A:R, 9, FALSE), "GENERAL"))</f>
        <v/>
      </c>
      <c r="H430" s="2">
        <f>IF(B430="","",IFERROR(VLOOKUP(B430, PLANTA_BASE!A:R, 17, FALSE), "GENERAL"))</f>
        <v/>
      </c>
    </row>
    <row r="431" ht="20" customHeight="1">
      <c r="A431" s="5">
        <f>IF(B431="","",IFERROR(VLOOKUP(B431, PLANTA_BASE!A:R, 2, FALSE), "NO ENCONTRADO EN PLANTA"))</f>
        <v/>
      </c>
      <c r="B431" s="6" t="inlineStr"/>
      <c r="C431" s="7">
        <f>IF(B431="","",IFERROR(VLOOKUP(B431, PLANTA_BASE!A:R, 3, FALSE), ""))</f>
        <v/>
      </c>
      <c r="D431" s="5">
        <f>IF(B431="","",IFERROR(VLOOKUP(B431, PLANTA_BASE!A:R, 5, FALSE), "NO ENCONTRADO EN PLANTA"))</f>
        <v/>
      </c>
      <c r="E431" s="5">
        <f>IF(B431="","",IFERROR(VLOOKUP(B431, PLANTA_BASE!A:R, 6, FALSE), "NO ENCONTRADO EN PLANTA"))</f>
        <v/>
      </c>
      <c r="F431" s="7">
        <f>IF(B431="","",IFERROR(VLOOKUP(B431, PLANTA_BASE!A:R, 8, FALSE), "DOCENTE / FACILITADOR"))</f>
        <v/>
      </c>
      <c r="G431" s="7">
        <f>IF(B431="","",IFERROR(VLOOKUP(B431, PLANTA_BASE!A:R, 9, FALSE), "GENERAL"))</f>
        <v/>
      </c>
      <c r="H431" s="5">
        <f>IF(B431="","",IFERROR(VLOOKUP(B431, PLANTA_BASE!A:R, 17, FALSE), "GENERAL"))</f>
        <v/>
      </c>
    </row>
    <row r="432" ht="20" customHeight="1">
      <c r="A432" s="2">
        <f>IF(B432="","",IFERROR(VLOOKUP(B432, PLANTA_BASE!A:R, 2, FALSE), "NO ENCONTRADO EN PLANTA"))</f>
        <v/>
      </c>
      <c r="B432" s="3" t="inlineStr"/>
      <c r="C432" s="4">
        <f>IF(B432="","",IFERROR(VLOOKUP(B432, PLANTA_BASE!A:R, 3, FALSE), ""))</f>
        <v/>
      </c>
      <c r="D432" s="2">
        <f>IF(B432="","",IFERROR(VLOOKUP(B432, PLANTA_BASE!A:R, 5, FALSE), "NO ENCONTRADO EN PLANTA"))</f>
        <v/>
      </c>
      <c r="E432" s="2">
        <f>IF(B432="","",IFERROR(VLOOKUP(B432, PLANTA_BASE!A:R, 6, FALSE), "NO ENCONTRADO EN PLANTA"))</f>
        <v/>
      </c>
      <c r="F432" s="4">
        <f>IF(B432="","",IFERROR(VLOOKUP(B432, PLANTA_BASE!A:R, 8, FALSE), "DOCENTE / FACILITADOR"))</f>
        <v/>
      </c>
      <c r="G432" s="4">
        <f>IF(B432="","",IFERROR(VLOOKUP(B432, PLANTA_BASE!A:R, 9, FALSE), "GENERAL"))</f>
        <v/>
      </c>
      <c r="H432" s="2">
        <f>IF(B432="","",IFERROR(VLOOKUP(B432, PLANTA_BASE!A:R, 17, FALSE), "GENERAL"))</f>
        <v/>
      </c>
    </row>
    <row r="433" ht="20" customHeight="1">
      <c r="A433" s="5">
        <f>IF(B433="","",IFERROR(VLOOKUP(B433, PLANTA_BASE!A:R, 2, FALSE), "NO ENCONTRADO EN PLANTA"))</f>
        <v/>
      </c>
      <c r="B433" s="6" t="inlineStr"/>
      <c r="C433" s="7">
        <f>IF(B433="","",IFERROR(VLOOKUP(B433, PLANTA_BASE!A:R, 3, FALSE), ""))</f>
        <v/>
      </c>
      <c r="D433" s="5">
        <f>IF(B433="","",IFERROR(VLOOKUP(B433, PLANTA_BASE!A:R, 5, FALSE), "NO ENCONTRADO EN PLANTA"))</f>
        <v/>
      </c>
      <c r="E433" s="5">
        <f>IF(B433="","",IFERROR(VLOOKUP(B433, PLANTA_BASE!A:R, 6, FALSE), "NO ENCONTRADO EN PLANTA"))</f>
        <v/>
      </c>
      <c r="F433" s="7">
        <f>IF(B433="","",IFERROR(VLOOKUP(B433, PLANTA_BASE!A:R, 8, FALSE), "DOCENTE / FACILITADOR"))</f>
        <v/>
      </c>
      <c r="G433" s="7">
        <f>IF(B433="","",IFERROR(VLOOKUP(B433, PLANTA_BASE!A:R, 9, FALSE), "GENERAL"))</f>
        <v/>
      </c>
      <c r="H433" s="5">
        <f>IF(B433="","",IFERROR(VLOOKUP(B433, PLANTA_BASE!A:R, 17, FALSE), "GENERAL"))</f>
        <v/>
      </c>
    </row>
    <row r="434" ht="20" customHeight="1">
      <c r="A434" s="2">
        <f>IF(B434="","",IFERROR(VLOOKUP(B434, PLANTA_BASE!A:R, 2, FALSE), "NO ENCONTRADO EN PLANTA"))</f>
        <v/>
      </c>
      <c r="B434" s="3" t="inlineStr"/>
      <c r="C434" s="4">
        <f>IF(B434="","",IFERROR(VLOOKUP(B434, PLANTA_BASE!A:R, 3, FALSE), ""))</f>
        <v/>
      </c>
      <c r="D434" s="2">
        <f>IF(B434="","",IFERROR(VLOOKUP(B434, PLANTA_BASE!A:R, 5, FALSE), "NO ENCONTRADO EN PLANTA"))</f>
        <v/>
      </c>
      <c r="E434" s="2">
        <f>IF(B434="","",IFERROR(VLOOKUP(B434, PLANTA_BASE!A:R, 6, FALSE), "NO ENCONTRADO EN PLANTA"))</f>
        <v/>
      </c>
      <c r="F434" s="4">
        <f>IF(B434="","",IFERROR(VLOOKUP(B434, PLANTA_BASE!A:R, 8, FALSE), "DOCENTE / FACILITADOR"))</f>
        <v/>
      </c>
      <c r="G434" s="4">
        <f>IF(B434="","",IFERROR(VLOOKUP(B434, PLANTA_BASE!A:R, 9, FALSE), "GENERAL"))</f>
        <v/>
      </c>
      <c r="H434" s="2">
        <f>IF(B434="","",IFERROR(VLOOKUP(B434, PLANTA_BASE!A:R, 17, FALSE), "GENERAL"))</f>
        <v/>
      </c>
    </row>
    <row r="435" ht="20" customHeight="1">
      <c r="A435" s="5">
        <f>IF(B435="","",IFERROR(VLOOKUP(B435, PLANTA_BASE!A:R, 2, FALSE), "NO ENCONTRADO EN PLANTA"))</f>
        <v/>
      </c>
      <c r="B435" s="6" t="inlineStr"/>
      <c r="C435" s="7">
        <f>IF(B435="","",IFERROR(VLOOKUP(B435, PLANTA_BASE!A:R, 3, FALSE), ""))</f>
        <v/>
      </c>
      <c r="D435" s="5">
        <f>IF(B435="","",IFERROR(VLOOKUP(B435, PLANTA_BASE!A:R, 5, FALSE), "NO ENCONTRADO EN PLANTA"))</f>
        <v/>
      </c>
      <c r="E435" s="5">
        <f>IF(B435="","",IFERROR(VLOOKUP(B435, PLANTA_BASE!A:R, 6, FALSE), "NO ENCONTRADO EN PLANTA"))</f>
        <v/>
      </c>
      <c r="F435" s="7">
        <f>IF(B435="","",IFERROR(VLOOKUP(B435, PLANTA_BASE!A:R, 8, FALSE), "DOCENTE / FACILITADOR"))</f>
        <v/>
      </c>
      <c r="G435" s="7">
        <f>IF(B435="","",IFERROR(VLOOKUP(B435, PLANTA_BASE!A:R, 9, FALSE), "GENERAL"))</f>
        <v/>
      </c>
      <c r="H435" s="5">
        <f>IF(B435="","",IFERROR(VLOOKUP(B435, PLANTA_BASE!A:R, 17, FALSE), "GENERAL"))</f>
        <v/>
      </c>
    </row>
    <row r="436" ht="20" customHeight="1">
      <c r="A436" s="2">
        <f>IF(B436="","",IFERROR(VLOOKUP(B436, PLANTA_BASE!A:R, 2, FALSE), "NO ENCONTRADO EN PLANTA"))</f>
        <v/>
      </c>
      <c r="B436" s="3" t="inlineStr"/>
      <c r="C436" s="4">
        <f>IF(B436="","",IFERROR(VLOOKUP(B436, PLANTA_BASE!A:R, 3, FALSE), ""))</f>
        <v/>
      </c>
      <c r="D436" s="2">
        <f>IF(B436="","",IFERROR(VLOOKUP(B436, PLANTA_BASE!A:R, 5, FALSE), "NO ENCONTRADO EN PLANTA"))</f>
        <v/>
      </c>
      <c r="E436" s="2">
        <f>IF(B436="","",IFERROR(VLOOKUP(B436, PLANTA_BASE!A:R, 6, FALSE), "NO ENCONTRADO EN PLANTA"))</f>
        <v/>
      </c>
      <c r="F436" s="4">
        <f>IF(B436="","",IFERROR(VLOOKUP(B436, PLANTA_BASE!A:R, 8, FALSE), "DOCENTE / FACILITADOR"))</f>
        <v/>
      </c>
      <c r="G436" s="4">
        <f>IF(B436="","",IFERROR(VLOOKUP(B436, PLANTA_BASE!A:R, 9, FALSE), "GENERAL"))</f>
        <v/>
      </c>
      <c r="H436" s="2">
        <f>IF(B436="","",IFERROR(VLOOKUP(B436, PLANTA_BASE!A:R, 17, FALSE), "GENERAL"))</f>
        <v/>
      </c>
    </row>
    <row r="437" ht="20" customHeight="1">
      <c r="A437" s="5">
        <f>IF(B437="","",IFERROR(VLOOKUP(B437, PLANTA_BASE!A:R, 2, FALSE), "NO ENCONTRADO EN PLANTA"))</f>
        <v/>
      </c>
      <c r="B437" s="6" t="inlineStr"/>
      <c r="C437" s="7">
        <f>IF(B437="","",IFERROR(VLOOKUP(B437, PLANTA_BASE!A:R, 3, FALSE), ""))</f>
        <v/>
      </c>
      <c r="D437" s="5">
        <f>IF(B437="","",IFERROR(VLOOKUP(B437, PLANTA_BASE!A:R, 5, FALSE), "NO ENCONTRADO EN PLANTA"))</f>
        <v/>
      </c>
      <c r="E437" s="5">
        <f>IF(B437="","",IFERROR(VLOOKUP(B437, PLANTA_BASE!A:R, 6, FALSE), "NO ENCONTRADO EN PLANTA"))</f>
        <v/>
      </c>
      <c r="F437" s="7">
        <f>IF(B437="","",IFERROR(VLOOKUP(B437, PLANTA_BASE!A:R, 8, FALSE), "DOCENTE / FACILITADOR"))</f>
        <v/>
      </c>
      <c r="G437" s="7">
        <f>IF(B437="","",IFERROR(VLOOKUP(B437, PLANTA_BASE!A:R, 9, FALSE), "GENERAL"))</f>
        <v/>
      </c>
      <c r="H437" s="5">
        <f>IF(B437="","",IFERROR(VLOOKUP(B437, PLANTA_BASE!A:R, 17, FALSE), "GENERAL"))</f>
        <v/>
      </c>
    </row>
    <row r="438" ht="20" customHeight="1">
      <c r="A438" s="2">
        <f>IF(B438="","",IFERROR(VLOOKUP(B438, PLANTA_BASE!A:R, 2, FALSE), "NO ENCONTRADO EN PLANTA"))</f>
        <v/>
      </c>
      <c r="B438" s="3" t="inlineStr"/>
      <c r="C438" s="4">
        <f>IF(B438="","",IFERROR(VLOOKUP(B438, PLANTA_BASE!A:R, 3, FALSE), ""))</f>
        <v/>
      </c>
      <c r="D438" s="2">
        <f>IF(B438="","",IFERROR(VLOOKUP(B438, PLANTA_BASE!A:R, 5, FALSE), "NO ENCONTRADO EN PLANTA"))</f>
        <v/>
      </c>
      <c r="E438" s="2">
        <f>IF(B438="","",IFERROR(VLOOKUP(B438, PLANTA_BASE!A:R, 6, FALSE), "NO ENCONTRADO EN PLANTA"))</f>
        <v/>
      </c>
      <c r="F438" s="4">
        <f>IF(B438="","",IFERROR(VLOOKUP(B438, PLANTA_BASE!A:R, 8, FALSE), "DOCENTE / FACILITADOR"))</f>
        <v/>
      </c>
      <c r="G438" s="4">
        <f>IF(B438="","",IFERROR(VLOOKUP(B438, PLANTA_BASE!A:R, 9, FALSE), "GENERAL"))</f>
        <v/>
      </c>
      <c r="H438" s="2">
        <f>IF(B438="","",IFERROR(VLOOKUP(B438, PLANTA_BASE!A:R, 17, FALSE), "GENERAL"))</f>
        <v/>
      </c>
    </row>
    <row r="439" ht="20" customHeight="1">
      <c r="A439" s="5">
        <f>IF(B439="","",IFERROR(VLOOKUP(B439, PLANTA_BASE!A:R, 2, FALSE), "NO ENCONTRADO EN PLANTA"))</f>
        <v/>
      </c>
      <c r="B439" s="6" t="inlineStr"/>
      <c r="C439" s="7">
        <f>IF(B439="","",IFERROR(VLOOKUP(B439, PLANTA_BASE!A:R, 3, FALSE), ""))</f>
        <v/>
      </c>
      <c r="D439" s="5">
        <f>IF(B439="","",IFERROR(VLOOKUP(B439, PLANTA_BASE!A:R, 5, FALSE), "NO ENCONTRADO EN PLANTA"))</f>
        <v/>
      </c>
      <c r="E439" s="5">
        <f>IF(B439="","",IFERROR(VLOOKUP(B439, PLANTA_BASE!A:R, 6, FALSE), "NO ENCONTRADO EN PLANTA"))</f>
        <v/>
      </c>
      <c r="F439" s="7">
        <f>IF(B439="","",IFERROR(VLOOKUP(B439, PLANTA_BASE!A:R, 8, FALSE), "DOCENTE / FACILITADOR"))</f>
        <v/>
      </c>
      <c r="G439" s="7">
        <f>IF(B439="","",IFERROR(VLOOKUP(B439, PLANTA_BASE!A:R, 9, FALSE), "GENERAL"))</f>
        <v/>
      </c>
      <c r="H439" s="5">
        <f>IF(B439="","",IFERROR(VLOOKUP(B439, PLANTA_BASE!A:R, 17, FALSE), "GENERAL"))</f>
        <v/>
      </c>
    </row>
    <row r="440" ht="20" customHeight="1">
      <c r="A440" s="2">
        <f>IF(B440="","",IFERROR(VLOOKUP(B440, PLANTA_BASE!A:R, 2, FALSE), "NO ENCONTRADO EN PLANTA"))</f>
        <v/>
      </c>
      <c r="B440" s="3" t="inlineStr"/>
      <c r="C440" s="4">
        <f>IF(B440="","",IFERROR(VLOOKUP(B440, PLANTA_BASE!A:R, 3, FALSE), ""))</f>
        <v/>
      </c>
      <c r="D440" s="2">
        <f>IF(B440="","",IFERROR(VLOOKUP(B440, PLANTA_BASE!A:R, 5, FALSE), "NO ENCONTRADO EN PLANTA"))</f>
        <v/>
      </c>
      <c r="E440" s="2">
        <f>IF(B440="","",IFERROR(VLOOKUP(B440, PLANTA_BASE!A:R, 6, FALSE), "NO ENCONTRADO EN PLANTA"))</f>
        <v/>
      </c>
      <c r="F440" s="4">
        <f>IF(B440="","",IFERROR(VLOOKUP(B440, PLANTA_BASE!A:R, 8, FALSE), "DOCENTE / FACILITADOR"))</f>
        <v/>
      </c>
      <c r="G440" s="4">
        <f>IF(B440="","",IFERROR(VLOOKUP(B440, PLANTA_BASE!A:R, 9, FALSE), "GENERAL"))</f>
        <v/>
      </c>
      <c r="H440" s="2">
        <f>IF(B440="","",IFERROR(VLOOKUP(B440, PLANTA_BASE!A:R, 17, FALSE), "GENERAL"))</f>
        <v/>
      </c>
    </row>
    <row r="441" ht="20" customHeight="1">
      <c r="A441" s="5">
        <f>IF(B441="","",IFERROR(VLOOKUP(B441, PLANTA_BASE!A:R, 2, FALSE), "NO ENCONTRADO EN PLANTA"))</f>
        <v/>
      </c>
      <c r="B441" s="6" t="inlineStr"/>
      <c r="C441" s="7">
        <f>IF(B441="","",IFERROR(VLOOKUP(B441, PLANTA_BASE!A:R, 3, FALSE), ""))</f>
        <v/>
      </c>
      <c r="D441" s="5">
        <f>IF(B441="","",IFERROR(VLOOKUP(B441, PLANTA_BASE!A:R, 5, FALSE), "NO ENCONTRADO EN PLANTA"))</f>
        <v/>
      </c>
      <c r="E441" s="5">
        <f>IF(B441="","",IFERROR(VLOOKUP(B441, PLANTA_BASE!A:R, 6, FALSE), "NO ENCONTRADO EN PLANTA"))</f>
        <v/>
      </c>
      <c r="F441" s="7">
        <f>IF(B441="","",IFERROR(VLOOKUP(B441, PLANTA_BASE!A:R, 8, FALSE), "DOCENTE / FACILITADOR"))</f>
        <v/>
      </c>
      <c r="G441" s="7">
        <f>IF(B441="","",IFERROR(VLOOKUP(B441, PLANTA_BASE!A:R, 9, FALSE), "GENERAL"))</f>
        <v/>
      </c>
      <c r="H441" s="5">
        <f>IF(B441="","",IFERROR(VLOOKUP(B441, PLANTA_BASE!A:R, 17, FALSE), "GENERAL"))</f>
        <v/>
      </c>
    </row>
    <row r="442" ht="20" customHeight="1">
      <c r="A442" s="2">
        <f>IF(B442="","",IFERROR(VLOOKUP(B442, PLANTA_BASE!A:R, 2, FALSE), "NO ENCONTRADO EN PLANTA"))</f>
        <v/>
      </c>
      <c r="B442" s="3" t="inlineStr"/>
      <c r="C442" s="4">
        <f>IF(B442="","",IFERROR(VLOOKUP(B442, PLANTA_BASE!A:R, 3, FALSE), ""))</f>
        <v/>
      </c>
      <c r="D442" s="2">
        <f>IF(B442="","",IFERROR(VLOOKUP(B442, PLANTA_BASE!A:R, 5, FALSE), "NO ENCONTRADO EN PLANTA"))</f>
        <v/>
      </c>
      <c r="E442" s="2">
        <f>IF(B442="","",IFERROR(VLOOKUP(B442, PLANTA_BASE!A:R, 6, FALSE), "NO ENCONTRADO EN PLANTA"))</f>
        <v/>
      </c>
      <c r="F442" s="4">
        <f>IF(B442="","",IFERROR(VLOOKUP(B442, PLANTA_BASE!A:R, 8, FALSE), "DOCENTE / FACILITADOR"))</f>
        <v/>
      </c>
      <c r="G442" s="4">
        <f>IF(B442="","",IFERROR(VLOOKUP(B442, PLANTA_BASE!A:R, 9, FALSE), "GENERAL"))</f>
        <v/>
      </c>
      <c r="H442" s="2">
        <f>IF(B442="","",IFERROR(VLOOKUP(B442, PLANTA_BASE!A:R, 17, FALSE), "GENERAL"))</f>
        <v/>
      </c>
    </row>
    <row r="443" ht="20" customHeight="1">
      <c r="A443" s="5">
        <f>IF(B443="","",IFERROR(VLOOKUP(B443, PLANTA_BASE!A:R, 2, FALSE), "NO ENCONTRADO EN PLANTA"))</f>
        <v/>
      </c>
      <c r="B443" s="6" t="inlineStr"/>
      <c r="C443" s="7">
        <f>IF(B443="","",IFERROR(VLOOKUP(B443, PLANTA_BASE!A:R, 3, FALSE), ""))</f>
        <v/>
      </c>
      <c r="D443" s="5">
        <f>IF(B443="","",IFERROR(VLOOKUP(B443, PLANTA_BASE!A:R, 5, FALSE), "NO ENCONTRADO EN PLANTA"))</f>
        <v/>
      </c>
      <c r="E443" s="5">
        <f>IF(B443="","",IFERROR(VLOOKUP(B443, PLANTA_BASE!A:R, 6, FALSE), "NO ENCONTRADO EN PLANTA"))</f>
        <v/>
      </c>
      <c r="F443" s="7">
        <f>IF(B443="","",IFERROR(VLOOKUP(B443, PLANTA_BASE!A:R, 8, FALSE), "DOCENTE / FACILITADOR"))</f>
        <v/>
      </c>
      <c r="G443" s="7">
        <f>IF(B443="","",IFERROR(VLOOKUP(B443, PLANTA_BASE!A:R, 9, FALSE), "GENERAL"))</f>
        <v/>
      </c>
      <c r="H443" s="5">
        <f>IF(B443="","",IFERROR(VLOOKUP(B443, PLANTA_BASE!A:R, 17, FALSE), "GENERAL"))</f>
        <v/>
      </c>
    </row>
    <row r="444" ht="20" customHeight="1">
      <c r="A444" s="2">
        <f>IF(B444="","",IFERROR(VLOOKUP(B444, PLANTA_BASE!A:R, 2, FALSE), "NO ENCONTRADO EN PLANTA"))</f>
        <v/>
      </c>
      <c r="B444" s="3" t="inlineStr"/>
      <c r="C444" s="4">
        <f>IF(B444="","",IFERROR(VLOOKUP(B444, PLANTA_BASE!A:R, 3, FALSE), ""))</f>
        <v/>
      </c>
      <c r="D444" s="2">
        <f>IF(B444="","",IFERROR(VLOOKUP(B444, PLANTA_BASE!A:R, 5, FALSE), "NO ENCONTRADO EN PLANTA"))</f>
        <v/>
      </c>
      <c r="E444" s="2">
        <f>IF(B444="","",IFERROR(VLOOKUP(B444, PLANTA_BASE!A:R, 6, FALSE), "NO ENCONTRADO EN PLANTA"))</f>
        <v/>
      </c>
      <c r="F444" s="4">
        <f>IF(B444="","",IFERROR(VLOOKUP(B444, PLANTA_BASE!A:R, 8, FALSE), "DOCENTE / FACILITADOR"))</f>
        <v/>
      </c>
      <c r="G444" s="4">
        <f>IF(B444="","",IFERROR(VLOOKUP(B444, PLANTA_BASE!A:R, 9, FALSE), "GENERAL"))</f>
        <v/>
      </c>
      <c r="H444" s="2">
        <f>IF(B444="","",IFERROR(VLOOKUP(B444, PLANTA_BASE!A:R, 17, FALSE), "GENERAL"))</f>
        <v/>
      </c>
    </row>
    <row r="445" ht="20" customHeight="1">
      <c r="A445" s="5">
        <f>IF(B445="","",IFERROR(VLOOKUP(B445, PLANTA_BASE!A:R, 2, FALSE), "NO ENCONTRADO EN PLANTA"))</f>
        <v/>
      </c>
      <c r="B445" s="6" t="inlineStr"/>
      <c r="C445" s="7">
        <f>IF(B445="","",IFERROR(VLOOKUP(B445, PLANTA_BASE!A:R, 3, FALSE), ""))</f>
        <v/>
      </c>
      <c r="D445" s="5">
        <f>IF(B445="","",IFERROR(VLOOKUP(B445, PLANTA_BASE!A:R, 5, FALSE), "NO ENCONTRADO EN PLANTA"))</f>
        <v/>
      </c>
      <c r="E445" s="5">
        <f>IF(B445="","",IFERROR(VLOOKUP(B445, PLANTA_BASE!A:R, 6, FALSE), "NO ENCONTRADO EN PLANTA"))</f>
        <v/>
      </c>
      <c r="F445" s="7">
        <f>IF(B445="","",IFERROR(VLOOKUP(B445, PLANTA_BASE!A:R, 8, FALSE), "DOCENTE / FACILITADOR"))</f>
        <v/>
      </c>
      <c r="G445" s="7">
        <f>IF(B445="","",IFERROR(VLOOKUP(B445, PLANTA_BASE!A:R, 9, FALSE), "GENERAL"))</f>
        <v/>
      </c>
      <c r="H445" s="5">
        <f>IF(B445="","",IFERROR(VLOOKUP(B445, PLANTA_BASE!A:R, 17, FALSE), "GENERAL"))</f>
        <v/>
      </c>
    </row>
    <row r="446" ht="20" customHeight="1">
      <c r="A446" s="2">
        <f>IF(B446="","",IFERROR(VLOOKUP(B446, PLANTA_BASE!A:R, 2, FALSE), "NO ENCONTRADO EN PLANTA"))</f>
        <v/>
      </c>
      <c r="B446" s="3" t="inlineStr"/>
      <c r="C446" s="4">
        <f>IF(B446="","",IFERROR(VLOOKUP(B446, PLANTA_BASE!A:R, 3, FALSE), ""))</f>
        <v/>
      </c>
      <c r="D446" s="2">
        <f>IF(B446="","",IFERROR(VLOOKUP(B446, PLANTA_BASE!A:R, 5, FALSE), "NO ENCONTRADO EN PLANTA"))</f>
        <v/>
      </c>
      <c r="E446" s="2">
        <f>IF(B446="","",IFERROR(VLOOKUP(B446, PLANTA_BASE!A:R, 6, FALSE), "NO ENCONTRADO EN PLANTA"))</f>
        <v/>
      </c>
      <c r="F446" s="4">
        <f>IF(B446="","",IFERROR(VLOOKUP(B446, PLANTA_BASE!A:R, 8, FALSE), "DOCENTE / FACILITADOR"))</f>
        <v/>
      </c>
      <c r="G446" s="4">
        <f>IF(B446="","",IFERROR(VLOOKUP(B446, PLANTA_BASE!A:R, 9, FALSE), "GENERAL"))</f>
        <v/>
      </c>
      <c r="H446" s="2">
        <f>IF(B446="","",IFERROR(VLOOKUP(B446, PLANTA_BASE!A:R, 17, FALSE), "GENERAL"))</f>
        <v/>
      </c>
    </row>
    <row r="447" ht="20" customHeight="1">
      <c r="A447" s="5">
        <f>IF(B447="","",IFERROR(VLOOKUP(B447, PLANTA_BASE!A:R, 2, FALSE), "NO ENCONTRADO EN PLANTA"))</f>
        <v/>
      </c>
      <c r="B447" s="6" t="inlineStr"/>
      <c r="C447" s="7">
        <f>IF(B447="","",IFERROR(VLOOKUP(B447, PLANTA_BASE!A:R, 3, FALSE), ""))</f>
        <v/>
      </c>
      <c r="D447" s="5">
        <f>IF(B447="","",IFERROR(VLOOKUP(B447, PLANTA_BASE!A:R, 5, FALSE), "NO ENCONTRADO EN PLANTA"))</f>
        <v/>
      </c>
      <c r="E447" s="5">
        <f>IF(B447="","",IFERROR(VLOOKUP(B447, PLANTA_BASE!A:R, 6, FALSE), "NO ENCONTRADO EN PLANTA"))</f>
        <v/>
      </c>
      <c r="F447" s="7">
        <f>IF(B447="","",IFERROR(VLOOKUP(B447, PLANTA_BASE!A:R, 8, FALSE), "DOCENTE / FACILITADOR"))</f>
        <v/>
      </c>
      <c r="G447" s="7">
        <f>IF(B447="","",IFERROR(VLOOKUP(B447, PLANTA_BASE!A:R, 9, FALSE), "GENERAL"))</f>
        <v/>
      </c>
      <c r="H447" s="5">
        <f>IF(B447="","",IFERROR(VLOOKUP(B447, PLANTA_BASE!A:R, 17, FALSE), "GENERAL"))</f>
        <v/>
      </c>
    </row>
    <row r="448" ht="20" customHeight="1">
      <c r="A448" s="2">
        <f>IF(B448="","",IFERROR(VLOOKUP(B448, PLANTA_BASE!A:R, 2, FALSE), "NO ENCONTRADO EN PLANTA"))</f>
        <v/>
      </c>
      <c r="B448" s="3" t="inlineStr"/>
      <c r="C448" s="4">
        <f>IF(B448="","",IFERROR(VLOOKUP(B448, PLANTA_BASE!A:R, 3, FALSE), ""))</f>
        <v/>
      </c>
      <c r="D448" s="2">
        <f>IF(B448="","",IFERROR(VLOOKUP(B448, PLANTA_BASE!A:R, 5, FALSE), "NO ENCONTRADO EN PLANTA"))</f>
        <v/>
      </c>
      <c r="E448" s="2">
        <f>IF(B448="","",IFERROR(VLOOKUP(B448, PLANTA_BASE!A:R, 6, FALSE), "NO ENCONTRADO EN PLANTA"))</f>
        <v/>
      </c>
      <c r="F448" s="4">
        <f>IF(B448="","",IFERROR(VLOOKUP(B448, PLANTA_BASE!A:R, 8, FALSE), "DOCENTE / FACILITADOR"))</f>
        <v/>
      </c>
      <c r="G448" s="4">
        <f>IF(B448="","",IFERROR(VLOOKUP(B448, PLANTA_BASE!A:R, 9, FALSE), "GENERAL"))</f>
        <v/>
      </c>
      <c r="H448" s="2">
        <f>IF(B448="","",IFERROR(VLOOKUP(B448, PLANTA_BASE!A:R, 17, FALSE), "GENERAL"))</f>
        <v/>
      </c>
    </row>
    <row r="449" ht="20" customHeight="1">
      <c r="A449" s="5">
        <f>IF(B449="","",IFERROR(VLOOKUP(B449, PLANTA_BASE!A:R, 2, FALSE), "NO ENCONTRADO EN PLANTA"))</f>
        <v/>
      </c>
      <c r="B449" s="6" t="inlineStr"/>
      <c r="C449" s="7">
        <f>IF(B449="","",IFERROR(VLOOKUP(B449, PLANTA_BASE!A:R, 3, FALSE), ""))</f>
        <v/>
      </c>
      <c r="D449" s="5">
        <f>IF(B449="","",IFERROR(VLOOKUP(B449, PLANTA_BASE!A:R, 5, FALSE), "NO ENCONTRADO EN PLANTA"))</f>
        <v/>
      </c>
      <c r="E449" s="5">
        <f>IF(B449="","",IFERROR(VLOOKUP(B449, PLANTA_BASE!A:R, 6, FALSE), "NO ENCONTRADO EN PLANTA"))</f>
        <v/>
      </c>
      <c r="F449" s="7">
        <f>IF(B449="","",IFERROR(VLOOKUP(B449, PLANTA_BASE!A:R, 8, FALSE), "DOCENTE / FACILITADOR"))</f>
        <v/>
      </c>
      <c r="G449" s="7">
        <f>IF(B449="","",IFERROR(VLOOKUP(B449, PLANTA_BASE!A:R, 9, FALSE), "GENERAL"))</f>
        <v/>
      </c>
      <c r="H449" s="5">
        <f>IF(B449="","",IFERROR(VLOOKUP(B449, PLANTA_BASE!A:R, 17, FALSE), "GENERAL"))</f>
        <v/>
      </c>
    </row>
    <row r="450" ht="20" customHeight="1">
      <c r="A450" s="2">
        <f>IF(B450="","",IFERROR(VLOOKUP(B450, PLANTA_BASE!A:R, 2, FALSE), "NO ENCONTRADO EN PLANTA"))</f>
        <v/>
      </c>
      <c r="B450" s="3" t="inlineStr"/>
      <c r="C450" s="4">
        <f>IF(B450="","",IFERROR(VLOOKUP(B450, PLANTA_BASE!A:R, 3, FALSE), ""))</f>
        <v/>
      </c>
      <c r="D450" s="2">
        <f>IF(B450="","",IFERROR(VLOOKUP(B450, PLANTA_BASE!A:R, 5, FALSE), "NO ENCONTRADO EN PLANTA"))</f>
        <v/>
      </c>
      <c r="E450" s="2">
        <f>IF(B450="","",IFERROR(VLOOKUP(B450, PLANTA_BASE!A:R, 6, FALSE), "NO ENCONTRADO EN PLANTA"))</f>
        <v/>
      </c>
      <c r="F450" s="4">
        <f>IF(B450="","",IFERROR(VLOOKUP(B450, PLANTA_BASE!A:R, 8, FALSE), "DOCENTE / FACILITADOR"))</f>
        <v/>
      </c>
      <c r="G450" s="4">
        <f>IF(B450="","",IFERROR(VLOOKUP(B450, PLANTA_BASE!A:R, 9, FALSE), "GENERAL"))</f>
        <v/>
      </c>
      <c r="H450" s="2">
        <f>IF(B450="","",IFERROR(VLOOKUP(B450, PLANTA_BASE!A:R, 17, FALSE), "GENERAL"))</f>
        <v/>
      </c>
    </row>
    <row r="451" ht="20" customHeight="1">
      <c r="A451" s="5">
        <f>IF(B451="","",IFERROR(VLOOKUP(B451, PLANTA_BASE!A:R, 2, FALSE), "NO ENCONTRADO EN PLANTA"))</f>
        <v/>
      </c>
      <c r="B451" s="6" t="inlineStr"/>
      <c r="C451" s="7">
        <f>IF(B451="","",IFERROR(VLOOKUP(B451, PLANTA_BASE!A:R, 3, FALSE), ""))</f>
        <v/>
      </c>
      <c r="D451" s="5">
        <f>IF(B451="","",IFERROR(VLOOKUP(B451, PLANTA_BASE!A:R, 5, FALSE), "NO ENCONTRADO EN PLANTA"))</f>
        <v/>
      </c>
      <c r="E451" s="5">
        <f>IF(B451="","",IFERROR(VLOOKUP(B451, PLANTA_BASE!A:R, 6, FALSE), "NO ENCONTRADO EN PLANTA"))</f>
        <v/>
      </c>
      <c r="F451" s="7">
        <f>IF(B451="","",IFERROR(VLOOKUP(B451, PLANTA_BASE!A:R, 8, FALSE), "DOCENTE / FACILITADOR"))</f>
        <v/>
      </c>
      <c r="G451" s="7">
        <f>IF(B451="","",IFERROR(VLOOKUP(B451, PLANTA_BASE!A:R, 9, FALSE), "GENERAL"))</f>
        <v/>
      </c>
      <c r="H451" s="5">
        <f>IF(B451="","",IFERROR(VLOOKUP(B451, PLANTA_BASE!A:R, 17, FALSE), "GENERAL"))</f>
        <v/>
      </c>
    </row>
    <row r="452" ht="20" customHeight="1">
      <c r="A452" s="2">
        <f>IF(B452="","",IFERROR(VLOOKUP(B452, PLANTA_BASE!A:R, 2, FALSE), "NO ENCONTRADO EN PLANTA"))</f>
        <v/>
      </c>
      <c r="B452" s="3" t="inlineStr"/>
      <c r="C452" s="4">
        <f>IF(B452="","",IFERROR(VLOOKUP(B452, PLANTA_BASE!A:R, 3, FALSE), ""))</f>
        <v/>
      </c>
      <c r="D452" s="2">
        <f>IF(B452="","",IFERROR(VLOOKUP(B452, PLANTA_BASE!A:R, 5, FALSE), "NO ENCONTRADO EN PLANTA"))</f>
        <v/>
      </c>
      <c r="E452" s="2">
        <f>IF(B452="","",IFERROR(VLOOKUP(B452, PLANTA_BASE!A:R, 6, FALSE), "NO ENCONTRADO EN PLANTA"))</f>
        <v/>
      </c>
      <c r="F452" s="4">
        <f>IF(B452="","",IFERROR(VLOOKUP(B452, PLANTA_BASE!A:R, 8, FALSE), "DOCENTE / FACILITADOR"))</f>
        <v/>
      </c>
      <c r="G452" s="4">
        <f>IF(B452="","",IFERROR(VLOOKUP(B452, PLANTA_BASE!A:R, 9, FALSE), "GENERAL"))</f>
        <v/>
      </c>
      <c r="H452" s="2">
        <f>IF(B452="","",IFERROR(VLOOKUP(B452, PLANTA_BASE!A:R, 17, FALSE), "GENERAL"))</f>
        <v/>
      </c>
    </row>
    <row r="453" ht="20" customHeight="1">
      <c r="A453" s="5">
        <f>IF(B453="","",IFERROR(VLOOKUP(B453, PLANTA_BASE!A:R, 2, FALSE), "NO ENCONTRADO EN PLANTA"))</f>
        <v/>
      </c>
      <c r="B453" s="6" t="inlineStr"/>
      <c r="C453" s="7">
        <f>IF(B453="","",IFERROR(VLOOKUP(B453, PLANTA_BASE!A:R, 3, FALSE), ""))</f>
        <v/>
      </c>
      <c r="D453" s="5">
        <f>IF(B453="","",IFERROR(VLOOKUP(B453, PLANTA_BASE!A:R, 5, FALSE), "NO ENCONTRADO EN PLANTA"))</f>
        <v/>
      </c>
      <c r="E453" s="5">
        <f>IF(B453="","",IFERROR(VLOOKUP(B453, PLANTA_BASE!A:R, 6, FALSE), "NO ENCONTRADO EN PLANTA"))</f>
        <v/>
      </c>
      <c r="F453" s="7">
        <f>IF(B453="","",IFERROR(VLOOKUP(B453, PLANTA_BASE!A:R, 8, FALSE), "DOCENTE / FACILITADOR"))</f>
        <v/>
      </c>
      <c r="G453" s="7">
        <f>IF(B453="","",IFERROR(VLOOKUP(B453, PLANTA_BASE!A:R, 9, FALSE), "GENERAL"))</f>
        <v/>
      </c>
      <c r="H453" s="5">
        <f>IF(B453="","",IFERROR(VLOOKUP(B453, PLANTA_BASE!A:R, 17, FALSE), "GENERAL"))</f>
        <v/>
      </c>
    </row>
    <row r="454" ht="20" customHeight="1">
      <c r="A454" s="2">
        <f>IF(B454="","",IFERROR(VLOOKUP(B454, PLANTA_BASE!A:R, 2, FALSE), "NO ENCONTRADO EN PLANTA"))</f>
        <v/>
      </c>
      <c r="B454" s="3" t="inlineStr"/>
      <c r="C454" s="4">
        <f>IF(B454="","",IFERROR(VLOOKUP(B454, PLANTA_BASE!A:R, 3, FALSE), ""))</f>
        <v/>
      </c>
      <c r="D454" s="2">
        <f>IF(B454="","",IFERROR(VLOOKUP(B454, PLANTA_BASE!A:R, 5, FALSE), "NO ENCONTRADO EN PLANTA"))</f>
        <v/>
      </c>
      <c r="E454" s="2">
        <f>IF(B454="","",IFERROR(VLOOKUP(B454, PLANTA_BASE!A:R, 6, FALSE), "NO ENCONTRADO EN PLANTA"))</f>
        <v/>
      </c>
      <c r="F454" s="4">
        <f>IF(B454="","",IFERROR(VLOOKUP(B454, PLANTA_BASE!A:R, 8, FALSE), "DOCENTE / FACILITADOR"))</f>
        <v/>
      </c>
      <c r="G454" s="4">
        <f>IF(B454="","",IFERROR(VLOOKUP(B454, PLANTA_BASE!A:R, 9, FALSE), "GENERAL"))</f>
        <v/>
      </c>
      <c r="H454" s="2">
        <f>IF(B454="","",IFERROR(VLOOKUP(B454, PLANTA_BASE!A:R, 17, FALSE), "GENERAL"))</f>
        <v/>
      </c>
    </row>
    <row r="455" ht="20" customHeight="1">
      <c r="A455" s="5">
        <f>IF(B455="","",IFERROR(VLOOKUP(B455, PLANTA_BASE!A:R, 2, FALSE), "NO ENCONTRADO EN PLANTA"))</f>
        <v/>
      </c>
      <c r="B455" s="6" t="inlineStr"/>
      <c r="C455" s="7">
        <f>IF(B455="","",IFERROR(VLOOKUP(B455, PLANTA_BASE!A:R, 3, FALSE), ""))</f>
        <v/>
      </c>
      <c r="D455" s="5">
        <f>IF(B455="","",IFERROR(VLOOKUP(B455, PLANTA_BASE!A:R, 5, FALSE), "NO ENCONTRADO EN PLANTA"))</f>
        <v/>
      </c>
      <c r="E455" s="5">
        <f>IF(B455="","",IFERROR(VLOOKUP(B455, PLANTA_BASE!A:R, 6, FALSE), "NO ENCONTRADO EN PLANTA"))</f>
        <v/>
      </c>
      <c r="F455" s="7">
        <f>IF(B455="","",IFERROR(VLOOKUP(B455, PLANTA_BASE!A:R, 8, FALSE), "DOCENTE / FACILITADOR"))</f>
        <v/>
      </c>
      <c r="G455" s="7">
        <f>IF(B455="","",IFERROR(VLOOKUP(B455, PLANTA_BASE!A:R, 9, FALSE), "GENERAL"))</f>
        <v/>
      </c>
      <c r="H455" s="5">
        <f>IF(B455="","",IFERROR(VLOOKUP(B455, PLANTA_BASE!A:R, 17, FALSE), "GENERAL"))</f>
        <v/>
      </c>
    </row>
    <row r="456" ht="20" customHeight="1">
      <c r="A456" s="2">
        <f>IF(B456="","",IFERROR(VLOOKUP(B456, PLANTA_BASE!A:R, 2, FALSE), "NO ENCONTRADO EN PLANTA"))</f>
        <v/>
      </c>
      <c r="B456" s="3" t="inlineStr"/>
      <c r="C456" s="4">
        <f>IF(B456="","",IFERROR(VLOOKUP(B456, PLANTA_BASE!A:R, 3, FALSE), ""))</f>
        <v/>
      </c>
      <c r="D456" s="2">
        <f>IF(B456="","",IFERROR(VLOOKUP(B456, PLANTA_BASE!A:R, 5, FALSE), "NO ENCONTRADO EN PLANTA"))</f>
        <v/>
      </c>
      <c r="E456" s="2">
        <f>IF(B456="","",IFERROR(VLOOKUP(B456, PLANTA_BASE!A:R, 6, FALSE), "NO ENCONTRADO EN PLANTA"))</f>
        <v/>
      </c>
      <c r="F456" s="4">
        <f>IF(B456="","",IFERROR(VLOOKUP(B456, PLANTA_BASE!A:R, 8, FALSE), "DOCENTE / FACILITADOR"))</f>
        <v/>
      </c>
      <c r="G456" s="4">
        <f>IF(B456="","",IFERROR(VLOOKUP(B456, PLANTA_BASE!A:R, 9, FALSE), "GENERAL"))</f>
        <v/>
      </c>
      <c r="H456" s="2">
        <f>IF(B456="","",IFERROR(VLOOKUP(B456, PLANTA_BASE!A:R, 17, FALSE), "GENERAL"))</f>
        <v/>
      </c>
    </row>
    <row r="457" ht="20" customHeight="1">
      <c r="A457" s="5">
        <f>IF(B457="","",IFERROR(VLOOKUP(B457, PLANTA_BASE!A:R, 2, FALSE), "NO ENCONTRADO EN PLANTA"))</f>
        <v/>
      </c>
      <c r="B457" s="6" t="inlineStr"/>
      <c r="C457" s="7">
        <f>IF(B457="","",IFERROR(VLOOKUP(B457, PLANTA_BASE!A:R, 3, FALSE), ""))</f>
        <v/>
      </c>
      <c r="D457" s="5">
        <f>IF(B457="","",IFERROR(VLOOKUP(B457, PLANTA_BASE!A:R, 5, FALSE), "NO ENCONTRADO EN PLANTA"))</f>
        <v/>
      </c>
      <c r="E457" s="5">
        <f>IF(B457="","",IFERROR(VLOOKUP(B457, PLANTA_BASE!A:R, 6, FALSE), "NO ENCONTRADO EN PLANTA"))</f>
        <v/>
      </c>
      <c r="F457" s="7">
        <f>IF(B457="","",IFERROR(VLOOKUP(B457, PLANTA_BASE!A:R, 8, FALSE), "DOCENTE / FACILITADOR"))</f>
        <v/>
      </c>
      <c r="G457" s="7">
        <f>IF(B457="","",IFERROR(VLOOKUP(B457, PLANTA_BASE!A:R, 9, FALSE), "GENERAL"))</f>
        <v/>
      </c>
      <c r="H457" s="5">
        <f>IF(B457="","",IFERROR(VLOOKUP(B457, PLANTA_BASE!A:R, 17, FALSE), "GENERAL"))</f>
        <v/>
      </c>
    </row>
    <row r="458" ht="20" customHeight="1">
      <c r="A458" s="2">
        <f>IF(B458="","",IFERROR(VLOOKUP(B458, PLANTA_BASE!A:R, 2, FALSE), "NO ENCONTRADO EN PLANTA"))</f>
        <v/>
      </c>
      <c r="B458" s="3" t="inlineStr"/>
      <c r="C458" s="4">
        <f>IF(B458="","",IFERROR(VLOOKUP(B458, PLANTA_BASE!A:R, 3, FALSE), ""))</f>
        <v/>
      </c>
      <c r="D458" s="2">
        <f>IF(B458="","",IFERROR(VLOOKUP(B458, PLANTA_BASE!A:R, 5, FALSE), "NO ENCONTRADO EN PLANTA"))</f>
        <v/>
      </c>
      <c r="E458" s="2">
        <f>IF(B458="","",IFERROR(VLOOKUP(B458, PLANTA_BASE!A:R, 6, FALSE), "NO ENCONTRADO EN PLANTA"))</f>
        <v/>
      </c>
      <c r="F458" s="4">
        <f>IF(B458="","",IFERROR(VLOOKUP(B458, PLANTA_BASE!A:R, 8, FALSE), "DOCENTE / FACILITADOR"))</f>
        <v/>
      </c>
      <c r="G458" s="4">
        <f>IF(B458="","",IFERROR(VLOOKUP(B458, PLANTA_BASE!A:R, 9, FALSE), "GENERAL"))</f>
        <v/>
      </c>
      <c r="H458" s="2">
        <f>IF(B458="","",IFERROR(VLOOKUP(B458, PLANTA_BASE!A:R, 17, FALSE), "GENERAL"))</f>
        <v/>
      </c>
    </row>
    <row r="459" ht="20" customHeight="1">
      <c r="A459" s="5">
        <f>IF(B459="","",IFERROR(VLOOKUP(B459, PLANTA_BASE!A:R, 2, FALSE), "NO ENCONTRADO EN PLANTA"))</f>
        <v/>
      </c>
      <c r="B459" s="6" t="inlineStr"/>
      <c r="C459" s="7">
        <f>IF(B459="","",IFERROR(VLOOKUP(B459, PLANTA_BASE!A:R, 3, FALSE), ""))</f>
        <v/>
      </c>
      <c r="D459" s="5">
        <f>IF(B459="","",IFERROR(VLOOKUP(B459, PLANTA_BASE!A:R, 5, FALSE), "NO ENCONTRADO EN PLANTA"))</f>
        <v/>
      </c>
      <c r="E459" s="5">
        <f>IF(B459="","",IFERROR(VLOOKUP(B459, PLANTA_BASE!A:R, 6, FALSE), "NO ENCONTRADO EN PLANTA"))</f>
        <v/>
      </c>
      <c r="F459" s="7">
        <f>IF(B459="","",IFERROR(VLOOKUP(B459, PLANTA_BASE!A:R, 8, FALSE), "DOCENTE / FACILITADOR"))</f>
        <v/>
      </c>
      <c r="G459" s="7">
        <f>IF(B459="","",IFERROR(VLOOKUP(B459, PLANTA_BASE!A:R, 9, FALSE), "GENERAL"))</f>
        <v/>
      </c>
      <c r="H459" s="5">
        <f>IF(B459="","",IFERROR(VLOOKUP(B459, PLANTA_BASE!A:R, 17, FALSE), "GENERAL"))</f>
        <v/>
      </c>
    </row>
    <row r="460" ht="20" customHeight="1">
      <c r="A460" s="2">
        <f>IF(B460="","",IFERROR(VLOOKUP(B460, PLANTA_BASE!A:R, 2, FALSE), "NO ENCONTRADO EN PLANTA"))</f>
        <v/>
      </c>
      <c r="B460" s="3" t="inlineStr"/>
      <c r="C460" s="4">
        <f>IF(B460="","",IFERROR(VLOOKUP(B460, PLANTA_BASE!A:R, 3, FALSE), ""))</f>
        <v/>
      </c>
      <c r="D460" s="2">
        <f>IF(B460="","",IFERROR(VLOOKUP(B460, PLANTA_BASE!A:R, 5, FALSE), "NO ENCONTRADO EN PLANTA"))</f>
        <v/>
      </c>
      <c r="E460" s="2">
        <f>IF(B460="","",IFERROR(VLOOKUP(B460, PLANTA_BASE!A:R, 6, FALSE), "NO ENCONTRADO EN PLANTA"))</f>
        <v/>
      </c>
      <c r="F460" s="4">
        <f>IF(B460="","",IFERROR(VLOOKUP(B460, PLANTA_BASE!A:R, 8, FALSE), "DOCENTE / FACILITADOR"))</f>
        <v/>
      </c>
      <c r="G460" s="4">
        <f>IF(B460="","",IFERROR(VLOOKUP(B460, PLANTA_BASE!A:R, 9, FALSE), "GENERAL"))</f>
        <v/>
      </c>
      <c r="H460" s="2">
        <f>IF(B460="","",IFERROR(VLOOKUP(B460, PLANTA_BASE!A:R, 17, FALSE), "GENERAL"))</f>
        <v/>
      </c>
    </row>
    <row r="461" ht="20" customHeight="1">
      <c r="A461" s="5">
        <f>IF(B461="","",IFERROR(VLOOKUP(B461, PLANTA_BASE!A:R, 2, FALSE), "NO ENCONTRADO EN PLANTA"))</f>
        <v/>
      </c>
      <c r="B461" s="6" t="inlineStr"/>
      <c r="C461" s="7">
        <f>IF(B461="","",IFERROR(VLOOKUP(B461, PLANTA_BASE!A:R, 3, FALSE), ""))</f>
        <v/>
      </c>
      <c r="D461" s="5">
        <f>IF(B461="","",IFERROR(VLOOKUP(B461, PLANTA_BASE!A:R, 5, FALSE), "NO ENCONTRADO EN PLANTA"))</f>
        <v/>
      </c>
      <c r="E461" s="5">
        <f>IF(B461="","",IFERROR(VLOOKUP(B461, PLANTA_BASE!A:R, 6, FALSE), "NO ENCONTRADO EN PLANTA"))</f>
        <v/>
      </c>
      <c r="F461" s="7">
        <f>IF(B461="","",IFERROR(VLOOKUP(B461, PLANTA_BASE!A:R, 8, FALSE), "DOCENTE / FACILITADOR"))</f>
        <v/>
      </c>
      <c r="G461" s="7">
        <f>IF(B461="","",IFERROR(VLOOKUP(B461, PLANTA_BASE!A:R, 9, FALSE), "GENERAL"))</f>
        <v/>
      </c>
      <c r="H461" s="5">
        <f>IF(B461="","",IFERROR(VLOOKUP(B461, PLANTA_BASE!A:R, 17, FALSE), "GENERAL"))</f>
        <v/>
      </c>
    </row>
    <row r="462" ht="20" customHeight="1">
      <c r="A462" s="2">
        <f>IF(B462="","",IFERROR(VLOOKUP(B462, PLANTA_BASE!A:R, 2, FALSE), "NO ENCONTRADO EN PLANTA"))</f>
        <v/>
      </c>
      <c r="B462" s="3" t="inlineStr"/>
      <c r="C462" s="4">
        <f>IF(B462="","",IFERROR(VLOOKUP(B462, PLANTA_BASE!A:R, 3, FALSE), ""))</f>
        <v/>
      </c>
      <c r="D462" s="2">
        <f>IF(B462="","",IFERROR(VLOOKUP(B462, PLANTA_BASE!A:R, 5, FALSE), "NO ENCONTRADO EN PLANTA"))</f>
        <v/>
      </c>
      <c r="E462" s="2">
        <f>IF(B462="","",IFERROR(VLOOKUP(B462, PLANTA_BASE!A:R, 6, FALSE), "NO ENCONTRADO EN PLANTA"))</f>
        <v/>
      </c>
      <c r="F462" s="4">
        <f>IF(B462="","",IFERROR(VLOOKUP(B462, PLANTA_BASE!A:R, 8, FALSE), "DOCENTE / FACILITADOR"))</f>
        <v/>
      </c>
      <c r="G462" s="4">
        <f>IF(B462="","",IFERROR(VLOOKUP(B462, PLANTA_BASE!A:R, 9, FALSE), "GENERAL"))</f>
        <v/>
      </c>
      <c r="H462" s="2">
        <f>IF(B462="","",IFERROR(VLOOKUP(B462, PLANTA_BASE!A:R, 17, FALSE), "GENERAL"))</f>
        <v/>
      </c>
    </row>
    <row r="463" ht="20" customHeight="1">
      <c r="A463" s="5">
        <f>IF(B463="","",IFERROR(VLOOKUP(B463, PLANTA_BASE!A:R, 2, FALSE), "NO ENCONTRADO EN PLANTA"))</f>
        <v/>
      </c>
      <c r="B463" s="6" t="inlineStr"/>
      <c r="C463" s="7">
        <f>IF(B463="","",IFERROR(VLOOKUP(B463, PLANTA_BASE!A:R, 3, FALSE), ""))</f>
        <v/>
      </c>
      <c r="D463" s="5">
        <f>IF(B463="","",IFERROR(VLOOKUP(B463, PLANTA_BASE!A:R, 5, FALSE), "NO ENCONTRADO EN PLANTA"))</f>
        <v/>
      </c>
      <c r="E463" s="5">
        <f>IF(B463="","",IFERROR(VLOOKUP(B463, PLANTA_BASE!A:R, 6, FALSE), "NO ENCONTRADO EN PLANTA"))</f>
        <v/>
      </c>
      <c r="F463" s="7">
        <f>IF(B463="","",IFERROR(VLOOKUP(B463, PLANTA_BASE!A:R, 8, FALSE), "DOCENTE / FACILITADOR"))</f>
        <v/>
      </c>
      <c r="G463" s="7">
        <f>IF(B463="","",IFERROR(VLOOKUP(B463, PLANTA_BASE!A:R, 9, FALSE), "GENERAL"))</f>
        <v/>
      </c>
      <c r="H463" s="5">
        <f>IF(B463="","",IFERROR(VLOOKUP(B463, PLANTA_BASE!A:R, 17, FALSE), "GENERAL"))</f>
        <v/>
      </c>
    </row>
    <row r="464" ht="20" customHeight="1">
      <c r="A464" s="2">
        <f>IF(B464="","",IFERROR(VLOOKUP(B464, PLANTA_BASE!A:R, 2, FALSE), "NO ENCONTRADO EN PLANTA"))</f>
        <v/>
      </c>
      <c r="B464" s="3" t="inlineStr"/>
      <c r="C464" s="4">
        <f>IF(B464="","",IFERROR(VLOOKUP(B464, PLANTA_BASE!A:R, 3, FALSE), ""))</f>
        <v/>
      </c>
      <c r="D464" s="2">
        <f>IF(B464="","",IFERROR(VLOOKUP(B464, PLANTA_BASE!A:R, 5, FALSE), "NO ENCONTRADO EN PLANTA"))</f>
        <v/>
      </c>
      <c r="E464" s="2">
        <f>IF(B464="","",IFERROR(VLOOKUP(B464, PLANTA_BASE!A:R, 6, FALSE), "NO ENCONTRADO EN PLANTA"))</f>
        <v/>
      </c>
      <c r="F464" s="4">
        <f>IF(B464="","",IFERROR(VLOOKUP(B464, PLANTA_BASE!A:R, 8, FALSE), "DOCENTE / FACILITADOR"))</f>
        <v/>
      </c>
      <c r="G464" s="4">
        <f>IF(B464="","",IFERROR(VLOOKUP(B464, PLANTA_BASE!A:R, 9, FALSE), "GENERAL"))</f>
        <v/>
      </c>
      <c r="H464" s="2">
        <f>IF(B464="","",IFERROR(VLOOKUP(B464, PLANTA_BASE!A:R, 17, FALSE), "GENERAL"))</f>
        <v/>
      </c>
    </row>
    <row r="465" ht="20" customHeight="1">
      <c r="A465" s="5">
        <f>IF(B465="","",IFERROR(VLOOKUP(B465, PLANTA_BASE!A:R, 2, FALSE), "NO ENCONTRADO EN PLANTA"))</f>
        <v/>
      </c>
      <c r="B465" s="6" t="inlineStr"/>
      <c r="C465" s="7">
        <f>IF(B465="","",IFERROR(VLOOKUP(B465, PLANTA_BASE!A:R, 3, FALSE), ""))</f>
        <v/>
      </c>
      <c r="D465" s="5">
        <f>IF(B465="","",IFERROR(VLOOKUP(B465, PLANTA_BASE!A:R, 5, FALSE), "NO ENCONTRADO EN PLANTA"))</f>
        <v/>
      </c>
      <c r="E465" s="5">
        <f>IF(B465="","",IFERROR(VLOOKUP(B465, PLANTA_BASE!A:R, 6, FALSE), "NO ENCONTRADO EN PLANTA"))</f>
        <v/>
      </c>
      <c r="F465" s="7">
        <f>IF(B465="","",IFERROR(VLOOKUP(B465, PLANTA_BASE!A:R, 8, FALSE), "DOCENTE / FACILITADOR"))</f>
        <v/>
      </c>
      <c r="G465" s="7">
        <f>IF(B465="","",IFERROR(VLOOKUP(B465, PLANTA_BASE!A:R, 9, FALSE), "GENERAL"))</f>
        <v/>
      </c>
      <c r="H465" s="5">
        <f>IF(B465="","",IFERROR(VLOOKUP(B465, PLANTA_BASE!A:R, 17, FALSE), "GENERAL"))</f>
        <v/>
      </c>
    </row>
    <row r="466" ht="20" customHeight="1">
      <c r="A466" s="2">
        <f>IF(B466="","",IFERROR(VLOOKUP(B466, PLANTA_BASE!A:R, 2, FALSE), "NO ENCONTRADO EN PLANTA"))</f>
        <v/>
      </c>
      <c r="B466" s="3" t="inlineStr"/>
      <c r="C466" s="4">
        <f>IF(B466="","",IFERROR(VLOOKUP(B466, PLANTA_BASE!A:R, 3, FALSE), ""))</f>
        <v/>
      </c>
      <c r="D466" s="2">
        <f>IF(B466="","",IFERROR(VLOOKUP(B466, PLANTA_BASE!A:R, 5, FALSE), "NO ENCONTRADO EN PLANTA"))</f>
        <v/>
      </c>
      <c r="E466" s="2">
        <f>IF(B466="","",IFERROR(VLOOKUP(B466, PLANTA_BASE!A:R, 6, FALSE), "NO ENCONTRADO EN PLANTA"))</f>
        <v/>
      </c>
      <c r="F466" s="4">
        <f>IF(B466="","",IFERROR(VLOOKUP(B466, PLANTA_BASE!A:R, 8, FALSE), "DOCENTE / FACILITADOR"))</f>
        <v/>
      </c>
      <c r="G466" s="4">
        <f>IF(B466="","",IFERROR(VLOOKUP(B466, PLANTA_BASE!A:R, 9, FALSE), "GENERAL"))</f>
        <v/>
      </c>
      <c r="H466" s="2">
        <f>IF(B466="","",IFERROR(VLOOKUP(B466, PLANTA_BASE!A:R, 17, FALSE), "GENERAL"))</f>
        <v/>
      </c>
    </row>
    <row r="467" ht="20" customHeight="1">
      <c r="A467" s="5">
        <f>IF(B467="","",IFERROR(VLOOKUP(B467, PLANTA_BASE!A:R, 2, FALSE), "NO ENCONTRADO EN PLANTA"))</f>
        <v/>
      </c>
      <c r="B467" s="6" t="inlineStr"/>
      <c r="C467" s="7">
        <f>IF(B467="","",IFERROR(VLOOKUP(B467, PLANTA_BASE!A:R, 3, FALSE), ""))</f>
        <v/>
      </c>
      <c r="D467" s="5">
        <f>IF(B467="","",IFERROR(VLOOKUP(B467, PLANTA_BASE!A:R, 5, FALSE), "NO ENCONTRADO EN PLANTA"))</f>
        <v/>
      </c>
      <c r="E467" s="5">
        <f>IF(B467="","",IFERROR(VLOOKUP(B467, PLANTA_BASE!A:R, 6, FALSE), "NO ENCONTRADO EN PLANTA"))</f>
        <v/>
      </c>
      <c r="F467" s="7">
        <f>IF(B467="","",IFERROR(VLOOKUP(B467, PLANTA_BASE!A:R, 8, FALSE), "DOCENTE / FACILITADOR"))</f>
        <v/>
      </c>
      <c r="G467" s="7">
        <f>IF(B467="","",IFERROR(VLOOKUP(B467, PLANTA_BASE!A:R, 9, FALSE), "GENERAL"))</f>
        <v/>
      </c>
      <c r="H467" s="5">
        <f>IF(B467="","",IFERROR(VLOOKUP(B467, PLANTA_BASE!A:R, 17, FALSE), "GENERAL"))</f>
        <v/>
      </c>
    </row>
    <row r="468" ht="20" customHeight="1">
      <c r="A468" s="2">
        <f>IF(B468="","",IFERROR(VLOOKUP(B468, PLANTA_BASE!A:R, 2, FALSE), "NO ENCONTRADO EN PLANTA"))</f>
        <v/>
      </c>
      <c r="B468" s="3" t="inlineStr"/>
      <c r="C468" s="4">
        <f>IF(B468="","",IFERROR(VLOOKUP(B468, PLANTA_BASE!A:R, 3, FALSE), ""))</f>
        <v/>
      </c>
      <c r="D468" s="2">
        <f>IF(B468="","",IFERROR(VLOOKUP(B468, PLANTA_BASE!A:R, 5, FALSE), "NO ENCONTRADO EN PLANTA"))</f>
        <v/>
      </c>
      <c r="E468" s="2">
        <f>IF(B468="","",IFERROR(VLOOKUP(B468, PLANTA_BASE!A:R, 6, FALSE), "NO ENCONTRADO EN PLANTA"))</f>
        <v/>
      </c>
      <c r="F468" s="4">
        <f>IF(B468="","",IFERROR(VLOOKUP(B468, PLANTA_BASE!A:R, 8, FALSE), "DOCENTE / FACILITADOR"))</f>
        <v/>
      </c>
      <c r="G468" s="4">
        <f>IF(B468="","",IFERROR(VLOOKUP(B468, PLANTA_BASE!A:R, 9, FALSE), "GENERAL"))</f>
        <v/>
      </c>
      <c r="H468" s="2">
        <f>IF(B468="","",IFERROR(VLOOKUP(B468, PLANTA_BASE!A:R, 17, FALSE), "GENERAL"))</f>
        <v/>
      </c>
    </row>
    <row r="469" ht="20" customHeight="1">
      <c r="A469" s="5">
        <f>IF(B469="","",IFERROR(VLOOKUP(B469, PLANTA_BASE!A:R, 2, FALSE), "NO ENCONTRADO EN PLANTA"))</f>
        <v/>
      </c>
      <c r="B469" s="6" t="inlineStr"/>
      <c r="C469" s="7">
        <f>IF(B469="","",IFERROR(VLOOKUP(B469, PLANTA_BASE!A:R, 3, FALSE), ""))</f>
        <v/>
      </c>
      <c r="D469" s="5">
        <f>IF(B469="","",IFERROR(VLOOKUP(B469, PLANTA_BASE!A:R, 5, FALSE), "NO ENCONTRADO EN PLANTA"))</f>
        <v/>
      </c>
      <c r="E469" s="5">
        <f>IF(B469="","",IFERROR(VLOOKUP(B469, PLANTA_BASE!A:R, 6, FALSE), "NO ENCONTRADO EN PLANTA"))</f>
        <v/>
      </c>
      <c r="F469" s="7">
        <f>IF(B469="","",IFERROR(VLOOKUP(B469, PLANTA_BASE!A:R, 8, FALSE), "DOCENTE / FACILITADOR"))</f>
        <v/>
      </c>
      <c r="G469" s="7">
        <f>IF(B469="","",IFERROR(VLOOKUP(B469, PLANTA_BASE!A:R, 9, FALSE), "GENERAL"))</f>
        <v/>
      </c>
      <c r="H469" s="5">
        <f>IF(B469="","",IFERROR(VLOOKUP(B469, PLANTA_BASE!A:R, 17, FALSE), "GENERAL"))</f>
        <v/>
      </c>
    </row>
    <row r="470" ht="20" customHeight="1">
      <c r="A470" s="2">
        <f>IF(B470="","",IFERROR(VLOOKUP(B470, PLANTA_BASE!A:R, 2, FALSE), "NO ENCONTRADO EN PLANTA"))</f>
        <v/>
      </c>
      <c r="B470" s="3" t="inlineStr"/>
      <c r="C470" s="4">
        <f>IF(B470="","",IFERROR(VLOOKUP(B470, PLANTA_BASE!A:R, 3, FALSE), ""))</f>
        <v/>
      </c>
      <c r="D470" s="2">
        <f>IF(B470="","",IFERROR(VLOOKUP(B470, PLANTA_BASE!A:R, 5, FALSE), "NO ENCONTRADO EN PLANTA"))</f>
        <v/>
      </c>
      <c r="E470" s="2">
        <f>IF(B470="","",IFERROR(VLOOKUP(B470, PLANTA_BASE!A:R, 6, FALSE), "NO ENCONTRADO EN PLANTA"))</f>
        <v/>
      </c>
      <c r="F470" s="4">
        <f>IF(B470="","",IFERROR(VLOOKUP(B470, PLANTA_BASE!A:R, 8, FALSE), "DOCENTE / FACILITADOR"))</f>
        <v/>
      </c>
      <c r="G470" s="4">
        <f>IF(B470="","",IFERROR(VLOOKUP(B470, PLANTA_BASE!A:R, 9, FALSE), "GENERAL"))</f>
        <v/>
      </c>
      <c r="H470" s="2">
        <f>IF(B470="","",IFERROR(VLOOKUP(B470, PLANTA_BASE!A:R, 17, FALSE), "GENERAL"))</f>
        <v/>
      </c>
    </row>
    <row r="471" ht="20" customHeight="1">
      <c r="A471" s="5">
        <f>IF(B471="","",IFERROR(VLOOKUP(B471, PLANTA_BASE!A:R, 2, FALSE), "NO ENCONTRADO EN PLANTA"))</f>
        <v/>
      </c>
      <c r="B471" s="6" t="inlineStr"/>
      <c r="C471" s="7">
        <f>IF(B471="","",IFERROR(VLOOKUP(B471, PLANTA_BASE!A:R, 3, FALSE), ""))</f>
        <v/>
      </c>
      <c r="D471" s="5">
        <f>IF(B471="","",IFERROR(VLOOKUP(B471, PLANTA_BASE!A:R, 5, FALSE), "NO ENCONTRADO EN PLANTA"))</f>
        <v/>
      </c>
      <c r="E471" s="5">
        <f>IF(B471="","",IFERROR(VLOOKUP(B471, PLANTA_BASE!A:R, 6, FALSE), "NO ENCONTRADO EN PLANTA"))</f>
        <v/>
      </c>
      <c r="F471" s="7">
        <f>IF(B471="","",IFERROR(VLOOKUP(B471, PLANTA_BASE!A:R, 8, FALSE), "DOCENTE / FACILITADOR"))</f>
        <v/>
      </c>
      <c r="G471" s="7">
        <f>IF(B471="","",IFERROR(VLOOKUP(B471, PLANTA_BASE!A:R, 9, FALSE), "GENERAL"))</f>
        <v/>
      </c>
      <c r="H471" s="5">
        <f>IF(B471="","",IFERROR(VLOOKUP(B471, PLANTA_BASE!A:R, 17, FALSE), "GENERAL"))</f>
        <v/>
      </c>
    </row>
    <row r="472" ht="20" customHeight="1">
      <c r="A472" s="2">
        <f>IF(B472="","",IFERROR(VLOOKUP(B472, PLANTA_BASE!A:R, 2, FALSE), "NO ENCONTRADO EN PLANTA"))</f>
        <v/>
      </c>
      <c r="B472" s="3" t="inlineStr"/>
      <c r="C472" s="4">
        <f>IF(B472="","",IFERROR(VLOOKUP(B472, PLANTA_BASE!A:R, 3, FALSE), ""))</f>
        <v/>
      </c>
      <c r="D472" s="2">
        <f>IF(B472="","",IFERROR(VLOOKUP(B472, PLANTA_BASE!A:R, 5, FALSE), "NO ENCONTRADO EN PLANTA"))</f>
        <v/>
      </c>
      <c r="E472" s="2">
        <f>IF(B472="","",IFERROR(VLOOKUP(B472, PLANTA_BASE!A:R, 6, FALSE), "NO ENCONTRADO EN PLANTA"))</f>
        <v/>
      </c>
      <c r="F472" s="4">
        <f>IF(B472="","",IFERROR(VLOOKUP(B472, PLANTA_BASE!A:R, 8, FALSE), "DOCENTE / FACILITADOR"))</f>
        <v/>
      </c>
      <c r="G472" s="4">
        <f>IF(B472="","",IFERROR(VLOOKUP(B472, PLANTA_BASE!A:R, 9, FALSE), "GENERAL"))</f>
        <v/>
      </c>
      <c r="H472" s="2">
        <f>IF(B472="","",IFERROR(VLOOKUP(B472, PLANTA_BASE!A:R, 17, FALSE), "GENERAL"))</f>
        <v/>
      </c>
    </row>
    <row r="473" ht="20" customHeight="1">
      <c r="A473" s="5">
        <f>IF(B473="","",IFERROR(VLOOKUP(B473, PLANTA_BASE!A:R, 2, FALSE), "NO ENCONTRADO EN PLANTA"))</f>
        <v/>
      </c>
      <c r="B473" s="6" t="inlineStr"/>
      <c r="C473" s="7">
        <f>IF(B473="","",IFERROR(VLOOKUP(B473, PLANTA_BASE!A:R, 3, FALSE), ""))</f>
        <v/>
      </c>
      <c r="D473" s="5">
        <f>IF(B473="","",IFERROR(VLOOKUP(B473, PLANTA_BASE!A:R, 5, FALSE), "NO ENCONTRADO EN PLANTA"))</f>
        <v/>
      </c>
      <c r="E473" s="5">
        <f>IF(B473="","",IFERROR(VLOOKUP(B473, PLANTA_BASE!A:R, 6, FALSE), "NO ENCONTRADO EN PLANTA"))</f>
        <v/>
      </c>
      <c r="F473" s="7">
        <f>IF(B473="","",IFERROR(VLOOKUP(B473, PLANTA_BASE!A:R, 8, FALSE), "DOCENTE / FACILITADOR"))</f>
        <v/>
      </c>
      <c r="G473" s="7">
        <f>IF(B473="","",IFERROR(VLOOKUP(B473, PLANTA_BASE!A:R, 9, FALSE), "GENERAL"))</f>
        <v/>
      </c>
      <c r="H473" s="5">
        <f>IF(B473="","",IFERROR(VLOOKUP(B473, PLANTA_BASE!A:R, 17, FALSE), "GENERAL"))</f>
        <v/>
      </c>
    </row>
    <row r="474" ht="20" customHeight="1">
      <c r="A474" s="2">
        <f>IF(B474="","",IFERROR(VLOOKUP(B474, PLANTA_BASE!A:R, 2, FALSE), "NO ENCONTRADO EN PLANTA"))</f>
        <v/>
      </c>
      <c r="B474" s="3" t="inlineStr"/>
      <c r="C474" s="4">
        <f>IF(B474="","",IFERROR(VLOOKUP(B474, PLANTA_BASE!A:R, 3, FALSE), ""))</f>
        <v/>
      </c>
      <c r="D474" s="2">
        <f>IF(B474="","",IFERROR(VLOOKUP(B474, PLANTA_BASE!A:R, 5, FALSE), "NO ENCONTRADO EN PLANTA"))</f>
        <v/>
      </c>
      <c r="E474" s="2">
        <f>IF(B474="","",IFERROR(VLOOKUP(B474, PLANTA_BASE!A:R, 6, FALSE), "NO ENCONTRADO EN PLANTA"))</f>
        <v/>
      </c>
      <c r="F474" s="4">
        <f>IF(B474="","",IFERROR(VLOOKUP(B474, PLANTA_BASE!A:R, 8, FALSE), "DOCENTE / FACILITADOR"))</f>
        <v/>
      </c>
      <c r="G474" s="4">
        <f>IF(B474="","",IFERROR(VLOOKUP(B474, PLANTA_BASE!A:R, 9, FALSE), "GENERAL"))</f>
        <v/>
      </c>
      <c r="H474" s="2">
        <f>IF(B474="","",IFERROR(VLOOKUP(B474, PLANTA_BASE!A:R, 17, FALSE), "GENERAL"))</f>
        <v/>
      </c>
    </row>
    <row r="475" ht="20" customHeight="1">
      <c r="A475" s="5">
        <f>IF(B475="","",IFERROR(VLOOKUP(B475, PLANTA_BASE!A:R, 2, FALSE), "NO ENCONTRADO EN PLANTA"))</f>
        <v/>
      </c>
      <c r="B475" s="6" t="inlineStr"/>
      <c r="C475" s="7">
        <f>IF(B475="","",IFERROR(VLOOKUP(B475, PLANTA_BASE!A:R, 3, FALSE), ""))</f>
        <v/>
      </c>
      <c r="D475" s="5">
        <f>IF(B475="","",IFERROR(VLOOKUP(B475, PLANTA_BASE!A:R, 5, FALSE), "NO ENCONTRADO EN PLANTA"))</f>
        <v/>
      </c>
      <c r="E475" s="5">
        <f>IF(B475="","",IFERROR(VLOOKUP(B475, PLANTA_BASE!A:R, 6, FALSE), "NO ENCONTRADO EN PLANTA"))</f>
        <v/>
      </c>
      <c r="F475" s="7">
        <f>IF(B475="","",IFERROR(VLOOKUP(B475, PLANTA_BASE!A:R, 8, FALSE), "DOCENTE / FACILITADOR"))</f>
        <v/>
      </c>
      <c r="G475" s="7">
        <f>IF(B475="","",IFERROR(VLOOKUP(B475, PLANTA_BASE!A:R, 9, FALSE), "GENERAL"))</f>
        <v/>
      </c>
      <c r="H475" s="5">
        <f>IF(B475="","",IFERROR(VLOOKUP(B475, PLANTA_BASE!A:R, 17, FALSE), "GENERAL"))</f>
        <v/>
      </c>
    </row>
    <row r="476" ht="20" customHeight="1">
      <c r="A476" s="2">
        <f>IF(B476="","",IFERROR(VLOOKUP(B476, PLANTA_BASE!A:R, 2, FALSE), "NO ENCONTRADO EN PLANTA"))</f>
        <v/>
      </c>
      <c r="B476" s="3" t="inlineStr"/>
      <c r="C476" s="4">
        <f>IF(B476="","",IFERROR(VLOOKUP(B476, PLANTA_BASE!A:R, 3, FALSE), ""))</f>
        <v/>
      </c>
      <c r="D476" s="2">
        <f>IF(B476="","",IFERROR(VLOOKUP(B476, PLANTA_BASE!A:R, 5, FALSE), "NO ENCONTRADO EN PLANTA"))</f>
        <v/>
      </c>
      <c r="E476" s="2">
        <f>IF(B476="","",IFERROR(VLOOKUP(B476, PLANTA_BASE!A:R, 6, FALSE), "NO ENCONTRADO EN PLANTA"))</f>
        <v/>
      </c>
      <c r="F476" s="4">
        <f>IF(B476="","",IFERROR(VLOOKUP(B476, PLANTA_BASE!A:R, 8, FALSE), "DOCENTE / FACILITADOR"))</f>
        <v/>
      </c>
      <c r="G476" s="4">
        <f>IF(B476="","",IFERROR(VLOOKUP(B476, PLANTA_BASE!A:R, 9, FALSE), "GENERAL"))</f>
        <v/>
      </c>
      <c r="H476" s="2">
        <f>IF(B476="","",IFERROR(VLOOKUP(B476, PLANTA_BASE!A:R, 17, FALSE), "GENERAL"))</f>
        <v/>
      </c>
    </row>
    <row r="477" ht="20" customHeight="1">
      <c r="A477" s="5">
        <f>IF(B477="","",IFERROR(VLOOKUP(B477, PLANTA_BASE!A:R, 2, FALSE), "NO ENCONTRADO EN PLANTA"))</f>
        <v/>
      </c>
      <c r="B477" s="6" t="inlineStr"/>
      <c r="C477" s="7">
        <f>IF(B477="","",IFERROR(VLOOKUP(B477, PLANTA_BASE!A:R, 3, FALSE), ""))</f>
        <v/>
      </c>
      <c r="D477" s="5">
        <f>IF(B477="","",IFERROR(VLOOKUP(B477, PLANTA_BASE!A:R, 5, FALSE), "NO ENCONTRADO EN PLANTA"))</f>
        <v/>
      </c>
      <c r="E477" s="5">
        <f>IF(B477="","",IFERROR(VLOOKUP(B477, PLANTA_BASE!A:R, 6, FALSE), "NO ENCONTRADO EN PLANTA"))</f>
        <v/>
      </c>
      <c r="F477" s="7">
        <f>IF(B477="","",IFERROR(VLOOKUP(B477, PLANTA_BASE!A:R, 8, FALSE), "DOCENTE / FACILITADOR"))</f>
        <v/>
      </c>
      <c r="G477" s="7">
        <f>IF(B477="","",IFERROR(VLOOKUP(B477, PLANTA_BASE!A:R, 9, FALSE), "GENERAL"))</f>
        <v/>
      </c>
      <c r="H477" s="5">
        <f>IF(B477="","",IFERROR(VLOOKUP(B477, PLANTA_BASE!A:R, 17, FALSE), "GENERAL"))</f>
        <v/>
      </c>
    </row>
    <row r="478" ht="20" customHeight="1">
      <c r="A478" s="2">
        <f>IF(B478="","",IFERROR(VLOOKUP(B478, PLANTA_BASE!A:R, 2, FALSE), "NO ENCONTRADO EN PLANTA"))</f>
        <v/>
      </c>
      <c r="B478" s="3" t="inlineStr"/>
      <c r="C478" s="4">
        <f>IF(B478="","",IFERROR(VLOOKUP(B478, PLANTA_BASE!A:R, 3, FALSE), ""))</f>
        <v/>
      </c>
      <c r="D478" s="2">
        <f>IF(B478="","",IFERROR(VLOOKUP(B478, PLANTA_BASE!A:R, 5, FALSE), "NO ENCONTRADO EN PLANTA"))</f>
        <v/>
      </c>
      <c r="E478" s="2">
        <f>IF(B478="","",IFERROR(VLOOKUP(B478, PLANTA_BASE!A:R, 6, FALSE), "NO ENCONTRADO EN PLANTA"))</f>
        <v/>
      </c>
      <c r="F478" s="4">
        <f>IF(B478="","",IFERROR(VLOOKUP(B478, PLANTA_BASE!A:R, 8, FALSE), "DOCENTE / FACILITADOR"))</f>
        <v/>
      </c>
      <c r="G478" s="4">
        <f>IF(B478="","",IFERROR(VLOOKUP(B478, PLANTA_BASE!A:R, 9, FALSE), "GENERAL"))</f>
        <v/>
      </c>
      <c r="H478" s="2">
        <f>IF(B478="","",IFERROR(VLOOKUP(B478, PLANTA_BASE!A:R, 17, FALSE), "GENERAL"))</f>
        <v/>
      </c>
    </row>
    <row r="479" ht="20" customHeight="1">
      <c r="A479" s="5">
        <f>IF(B479="","",IFERROR(VLOOKUP(B479, PLANTA_BASE!A:R, 2, FALSE), "NO ENCONTRADO EN PLANTA"))</f>
        <v/>
      </c>
      <c r="B479" s="6" t="inlineStr"/>
      <c r="C479" s="7">
        <f>IF(B479="","",IFERROR(VLOOKUP(B479, PLANTA_BASE!A:R, 3, FALSE), ""))</f>
        <v/>
      </c>
      <c r="D479" s="5">
        <f>IF(B479="","",IFERROR(VLOOKUP(B479, PLANTA_BASE!A:R, 5, FALSE), "NO ENCONTRADO EN PLANTA"))</f>
        <v/>
      </c>
      <c r="E479" s="5">
        <f>IF(B479="","",IFERROR(VLOOKUP(B479, PLANTA_BASE!A:R, 6, FALSE), "NO ENCONTRADO EN PLANTA"))</f>
        <v/>
      </c>
      <c r="F479" s="7">
        <f>IF(B479="","",IFERROR(VLOOKUP(B479, PLANTA_BASE!A:R, 8, FALSE), "DOCENTE / FACILITADOR"))</f>
        <v/>
      </c>
      <c r="G479" s="7">
        <f>IF(B479="","",IFERROR(VLOOKUP(B479, PLANTA_BASE!A:R, 9, FALSE), "GENERAL"))</f>
        <v/>
      </c>
      <c r="H479" s="5">
        <f>IF(B479="","",IFERROR(VLOOKUP(B479, PLANTA_BASE!A:R, 17, FALSE), "GENERAL"))</f>
        <v/>
      </c>
    </row>
    <row r="480" ht="20" customHeight="1">
      <c r="A480" s="2">
        <f>IF(B480="","",IFERROR(VLOOKUP(B480, PLANTA_BASE!A:R, 2, FALSE), "NO ENCONTRADO EN PLANTA"))</f>
        <v/>
      </c>
      <c r="B480" s="3" t="inlineStr"/>
      <c r="C480" s="4">
        <f>IF(B480="","",IFERROR(VLOOKUP(B480, PLANTA_BASE!A:R, 3, FALSE), ""))</f>
        <v/>
      </c>
      <c r="D480" s="2">
        <f>IF(B480="","",IFERROR(VLOOKUP(B480, PLANTA_BASE!A:R, 5, FALSE), "NO ENCONTRADO EN PLANTA"))</f>
        <v/>
      </c>
      <c r="E480" s="2">
        <f>IF(B480="","",IFERROR(VLOOKUP(B480, PLANTA_BASE!A:R, 6, FALSE), "NO ENCONTRADO EN PLANTA"))</f>
        <v/>
      </c>
      <c r="F480" s="4">
        <f>IF(B480="","",IFERROR(VLOOKUP(B480, PLANTA_BASE!A:R, 8, FALSE), "DOCENTE / FACILITADOR"))</f>
        <v/>
      </c>
      <c r="G480" s="4">
        <f>IF(B480="","",IFERROR(VLOOKUP(B480, PLANTA_BASE!A:R, 9, FALSE), "GENERAL"))</f>
        <v/>
      </c>
      <c r="H480" s="2">
        <f>IF(B480="","",IFERROR(VLOOKUP(B480, PLANTA_BASE!A:R, 17, FALSE), "GENERAL"))</f>
        <v/>
      </c>
    </row>
    <row r="481" ht="20" customHeight="1">
      <c r="A481" s="5">
        <f>IF(B481="","",IFERROR(VLOOKUP(B481, PLANTA_BASE!A:R, 2, FALSE), "NO ENCONTRADO EN PLANTA"))</f>
        <v/>
      </c>
      <c r="B481" s="6" t="inlineStr"/>
      <c r="C481" s="7">
        <f>IF(B481="","",IFERROR(VLOOKUP(B481, PLANTA_BASE!A:R, 3, FALSE), ""))</f>
        <v/>
      </c>
      <c r="D481" s="5">
        <f>IF(B481="","",IFERROR(VLOOKUP(B481, PLANTA_BASE!A:R, 5, FALSE), "NO ENCONTRADO EN PLANTA"))</f>
        <v/>
      </c>
      <c r="E481" s="5">
        <f>IF(B481="","",IFERROR(VLOOKUP(B481, PLANTA_BASE!A:R, 6, FALSE), "NO ENCONTRADO EN PLANTA"))</f>
        <v/>
      </c>
      <c r="F481" s="7">
        <f>IF(B481="","",IFERROR(VLOOKUP(B481, PLANTA_BASE!A:R, 8, FALSE), "DOCENTE / FACILITADOR"))</f>
        <v/>
      </c>
      <c r="G481" s="7">
        <f>IF(B481="","",IFERROR(VLOOKUP(B481, PLANTA_BASE!A:R, 9, FALSE), "GENERAL"))</f>
        <v/>
      </c>
      <c r="H481" s="5">
        <f>IF(B481="","",IFERROR(VLOOKUP(B481, PLANTA_BASE!A:R, 17, FALSE), "GENERAL"))</f>
        <v/>
      </c>
    </row>
    <row r="482" ht="20" customHeight="1">
      <c r="A482" s="2">
        <f>IF(B482="","",IFERROR(VLOOKUP(B482, PLANTA_BASE!A:R, 2, FALSE), "NO ENCONTRADO EN PLANTA"))</f>
        <v/>
      </c>
      <c r="B482" s="3" t="inlineStr"/>
      <c r="C482" s="4">
        <f>IF(B482="","",IFERROR(VLOOKUP(B482, PLANTA_BASE!A:R, 3, FALSE), ""))</f>
        <v/>
      </c>
      <c r="D482" s="2">
        <f>IF(B482="","",IFERROR(VLOOKUP(B482, PLANTA_BASE!A:R, 5, FALSE), "NO ENCONTRADO EN PLANTA"))</f>
        <v/>
      </c>
      <c r="E482" s="2">
        <f>IF(B482="","",IFERROR(VLOOKUP(B482, PLANTA_BASE!A:R, 6, FALSE), "NO ENCONTRADO EN PLANTA"))</f>
        <v/>
      </c>
      <c r="F482" s="4">
        <f>IF(B482="","",IFERROR(VLOOKUP(B482, PLANTA_BASE!A:R, 8, FALSE), "DOCENTE / FACILITADOR"))</f>
        <v/>
      </c>
      <c r="G482" s="4">
        <f>IF(B482="","",IFERROR(VLOOKUP(B482, PLANTA_BASE!A:R, 9, FALSE), "GENERAL"))</f>
        <v/>
      </c>
      <c r="H482" s="2">
        <f>IF(B482="","",IFERROR(VLOOKUP(B482, PLANTA_BASE!A:R, 17, FALSE), "GENERAL"))</f>
        <v/>
      </c>
    </row>
    <row r="483" ht="20" customHeight="1">
      <c r="A483" s="5">
        <f>IF(B483="","",IFERROR(VLOOKUP(B483, PLANTA_BASE!A:R, 2, FALSE), "NO ENCONTRADO EN PLANTA"))</f>
        <v/>
      </c>
      <c r="B483" s="6" t="inlineStr"/>
      <c r="C483" s="7">
        <f>IF(B483="","",IFERROR(VLOOKUP(B483, PLANTA_BASE!A:R, 3, FALSE), ""))</f>
        <v/>
      </c>
      <c r="D483" s="5">
        <f>IF(B483="","",IFERROR(VLOOKUP(B483, PLANTA_BASE!A:R, 5, FALSE), "NO ENCONTRADO EN PLANTA"))</f>
        <v/>
      </c>
      <c r="E483" s="5">
        <f>IF(B483="","",IFERROR(VLOOKUP(B483, PLANTA_BASE!A:R, 6, FALSE), "NO ENCONTRADO EN PLANTA"))</f>
        <v/>
      </c>
      <c r="F483" s="7">
        <f>IF(B483="","",IFERROR(VLOOKUP(B483, PLANTA_BASE!A:R, 8, FALSE), "DOCENTE / FACILITADOR"))</f>
        <v/>
      </c>
      <c r="G483" s="7">
        <f>IF(B483="","",IFERROR(VLOOKUP(B483, PLANTA_BASE!A:R, 9, FALSE), "GENERAL"))</f>
        <v/>
      </c>
      <c r="H483" s="5">
        <f>IF(B483="","",IFERROR(VLOOKUP(B483, PLANTA_BASE!A:R, 17, FALSE), "GENERAL"))</f>
        <v/>
      </c>
    </row>
    <row r="484" ht="20" customHeight="1">
      <c r="A484" s="2">
        <f>IF(B484="","",IFERROR(VLOOKUP(B484, PLANTA_BASE!A:R, 2, FALSE), "NO ENCONTRADO EN PLANTA"))</f>
        <v/>
      </c>
      <c r="B484" s="3" t="inlineStr"/>
      <c r="C484" s="4">
        <f>IF(B484="","",IFERROR(VLOOKUP(B484, PLANTA_BASE!A:R, 3, FALSE), ""))</f>
        <v/>
      </c>
      <c r="D484" s="2">
        <f>IF(B484="","",IFERROR(VLOOKUP(B484, PLANTA_BASE!A:R, 5, FALSE), "NO ENCONTRADO EN PLANTA"))</f>
        <v/>
      </c>
      <c r="E484" s="2">
        <f>IF(B484="","",IFERROR(VLOOKUP(B484, PLANTA_BASE!A:R, 6, FALSE), "NO ENCONTRADO EN PLANTA"))</f>
        <v/>
      </c>
      <c r="F484" s="4">
        <f>IF(B484="","",IFERROR(VLOOKUP(B484, PLANTA_BASE!A:R, 8, FALSE), "DOCENTE / FACILITADOR"))</f>
        <v/>
      </c>
      <c r="G484" s="4">
        <f>IF(B484="","",IFERROR(VLOOKUP(B484, PLANTA_BASE!A:R, 9, FALSE), "GENERAL"))</f>
        <v/>
      </c>
      <c r="H484" s="2">
        <f>IF(B484="","",IFERROR(VLOOKUP(B484, PLANTA_BASE!A:R, 17, FALSE), "GENERAL"))</f>
        <v/>
      </c>
    </row>
    <row r="485" ht="20" customHeight="1">
      <c r="A485" s="5">
        <f>IF(B485="","",IFERROR(VLOOKUP(B485, PLANTA_BASE!A:R, 2, FALSE), "NO ENCONTRADO EN PLANTA"))</f>
        <v/>
      </c>
      <c r="B485" s="6" t="inlineStr"/>
      <c r="C485" s="7">
        <f>IF(B485="","",IFERROR(VLOOKUP(B485, PLANTA_BASE!A:R, 3, FALSE), ""))</f>
        <v/>
      </c>
      <c r="D485" s="5">
        <f>IF(B485="","",IFERROR(VLOOKUP(B485, PLANTA_BASE!A:R, 5, FALSE), "NO ENCONTRADO EN PLANTA"))</f>
        <v/>
      </c>
      <c r="E485" s="5">
        <f>IF(B485="","",IFERROR(VLOOKUP(B485, PLANTA_BASE!A:R, 6, FALSE), "NO ENCONTRADO EN PLANTA"))</f>
        <v/>
      </c>
      <c r="F485" s="7">
        <f>IF(B485="","",IFERROR(VLOOKUP(B485, PLANTA_BASE!A:R, 8, FALSE), "DOCENTE / FACILITADOR"))</f>
        <v/>
      </c>
      <c r="G485" s="7">
        <f>IF(B485="","",IFERROR(VLOOKUP(B485, PLANTA_BASE!A:R, 9, FALSE), "GENERAL"))</f>
        <v/>
      </c>
      <c r="H485" s="5">
        <f>IF(B485="","",IFERROR(VLOOKUP(B485, PLANTA_BASE!A:R, 17, FALSE), "GENERAL"))</f>
        <v/>
      </c>
    </row>
    <row r="486" ht="20" customHeight="1">
      <c r="A486" s="2">
        <f>IF(B486="","",IFERROR(VLOOKUP(B486, PLANTA_BASE!A:R, 2, FALSE), "NO ENCONTRADO EN PLANTA"))</f>
        <v/>
      </c>
      <c r="B486" s="3" t="inlineStr"/>
      <c r="C486" s="4">
        <f>IF(B486="","",IFERROR(VLOOKUP(B486, PLANTA_BASE!A:R, 3, FALSE), ""))</f>
        <v/>
      </c>
      <c r="D486" s="2">
        <f>IF(B486="","",IFERROR(VLOOKUP(B486, PLANTA_BASE!A:R, 5, FALSE), "NO ENCONTRADO EN PLANTA"))</f>
        <v/>
      </c>
      <c r="E486" s="2">
        <f>IF(B486="","",IFERROR(VLOOKUP(B486, PLANTA_BASE!A:R, 6, FALSE), "NO ENCONTRADO EN PLANTA"))</f>
        <v/>
      </c>
      <c r="F486" s="4">
        <f>IF(B486="","",IFERROR(VLOOKUP(B486, PLANTA_BASE!A:R, 8, FALSE), "DOCENTE / FACILITADOR"))</f>
        <v/>
      </c>
      <c r="G486" s="4">
        <f>IF(B486="","",IFERROR(VLOOKUP(B486, PLANTA_BASE!A:R, 9, FALSE), "GENERAL"))</f>
        <v/>
      </c>
      <c r="H486" s="2">
        <f>IF(B486="","",IFERROR(VLOOKUP(B486, PLANTA_BASE!A:R, 17, FALSE), "GENERAL"))</f>
        <v/>
      </c>
    </row>
    <row r="487" ht="20" customHeight="1">
      <c r="A487" s="5">
        <f>IF(B487="","",IFERROR(VLOOKUP(B487, PLANTA_BASE!A:R, 2, FALSE), "NO ENCONTRADO EN PLANTA"))</f>
        <v/>
      </c>
      <c r="B487" s="6" t="inlineStr"/>
      <c r="C487" s="7">
        <f>IF(B487="","",IFERROR(VLOOKUP(B487, PLANTA_BASE!A:R, 3, FALSE), ""))</f>
        <v/>
      </c>
      <c r="D487" s="5">
        <f>IF(B487="","",IFERROR(VLOOKUP(B487, PLANTA_BASE!A:R, 5, FALSE), "NO ENCONTRADO EN PLANTA"))</f>
        <v/>
      </c>
      <c r="E487" s="5">
        <f>IF(B487="","",IFERROR(VLOOKUP(B487, PLANTA_BASE!A:R, 6, FALSE), "NO ENCONTRADO EN PLANTA"))</f>
        <v/>
      </c>
      <c r="F487" s="7">
        <f>IF(B487="","",IFERROR(VLOOKUP(B487, PLANTA_BASE!A:R, 8, FALSE), "DOCENTE / FACILITADOR"))</f>
        <v/>
      </c>
      <c r="G487" s="7">
        <f>IF(B487="","",IFERROR(VLOOKUP(B487, PLANTA_BASE!A:R, 9, FALSE), "GENERAL"))</f>
        <v/>
      </c>
      <c r="H487" s="5">
        <f>IF(B487="","",IFERROR(VLOOKUP(B487, PLANTA_BASE!A:R, 17, FALSE), "GENERAL"))</f>
        <v/>
      </c>
    </row>
    <row r="488" ht="20" customHeight="1">
      <c r="A488" s="2">
        <f>IF(B488="","",IFERROR(VLOOKUP(B488, PLANTA_BASE!A:R, 2, FALSE), "NO ENCONTRADO EN PLANTA"))</f>
        <v/>
      </c>
      <c r="B488" s="3" t="inlineStr"/>
      <c r="C488" s="4">
        <f>IF(B488="","",IFERROR(VLOOKUP(B488, PLANTA_BASE!A:R, 3, FALSE), ""))</f>
        <v/>
      </c>
      <c r="D488" s="2">
        <f>IF(B488="","",IFERROR(VLOOKUP(B488, PLANTA_BASE!A:R, 5, FALSE), "NO ENCONTRADO EN PLANTA"))</f>
        <v/>
      </c>
      <c r="E488" s="2">
        <f>IF(B488="","",IFERROR(VLOOKUP(B488, PLANTA_BASE!A:R, 6, FALSE), "NO ENCONTRADO EN PLANTA"))</f>
        <v/>
      </c>
      <c r="F488" s="4">
        <f>IF(B488="","",IFERROR(VLOOKUP(B488, PLANTA_BASE!A:R, 8, FALSE), "DOCENTE / FACILITADOR"))</f>
        <v/>
      </c>
      <c r="G488" s="4">
        <f>IF(B488="","",IFERROR(VLOOKUP(B488, PLANTA_BASE!A:R, 9, FALSE), "GENERAL"))</f>
        <v/>
      </c>
      <c r="H488" s="2">
        <f>IF(B488="","",IFERROR(VLOOKUP(B488, PLANTA_BASE!A:R, 17, FALSE), "GENERAL"))</f>
        <v/>
      </c>
    </row>
    <row r="489" ht="20" customHeight="1">
      <c r="A489" s="5">
        <f>IF(B489="","",IFERROR(VLOOKUP(B489, PLANTA_BASE!A:R, 2, FALSE), "NO ENCONTRADO EN PLANTA"))</f>
        <v/>
      </c>
      <c r="B489" s="6" t="inlineStr"/>
      <c r="C489" s="7">
        <f>IF(B489="","",IFERROR(VLOOKUP(B489, PLANTA_BASE!A:R, 3, FALSE), ""))</f>
        <v/>
      </c>
      <c r="D489" s="5">
        <f>IF(B489="","",IFERROR(VLOOKUP(B489, PLANTA_BASE!A:R, 5, FALSE), "NO ENCONTRADO EN PLANTA"))</f>
        <v/>
      </c>
      <c r="E489" s="5">
        <f>IF(B489="","",IFERROR(VLOOKUP(B489, PLANTA_BASE!A:R, 6, FALSE), "NO ENCONTRADO EN PLANTA"))</f>
        <v/>
      </c>
      <c r="F489" s="7">
        <f>IF(B489="","",IFERROR(VLOOKUP(B489, PLANTA_BASE!A:R, 8, FALSE), "DOCENTE / FACILITADOR"))</f>
        <v/>
      </c>
      <c r="G489" s="7">
        <f>IF(B489="","",IFERROR(VLOOKUP(B489, PLANTA_BASE!A:R, 9, FALSE), "GENERAL"))</f>
        <v/>
      </c>
      <c r="H489" s="5">
        <f>IF(B489="","",IFERROR(VLOOKUP(B489, PLANTA_BASE!A:R, 17, FALSE), "GENERAL"))</f>
        <v/>
      </c>
    </row>
    <row r="490" ht="20" customHeight="1">
      <c r="A490" s="2">
        <f>IF(B490="","",IFERROR(VLOOKUP(B490, PLANTA_BASE!A:R, 2, FALSE), "NO ENCONTRADO EN PLANTA"))</f>
        <v/>
      </c>
      <c r="B490" s="3" t="inlineStr"/>
      <c r="C490" s="4">
        <f>IF(B490="","",IFERROR(VLOOKUP(B490, PLANTA_BASE!A:R, 3, FALSE), ""))</f>
        <v/>
      </c>
      <c r="D490" s="2">
        <f>IF(B490="","",IFERROR(VLOOKUP(B490, PLANTA_BASE!A:R, 5, FALSE), "NO ENCONTRADO EN PLANTA"))</f>
        <v/>
      </c>
      <c r="E490" s="2">
        <f>IF(B490="","",IFERROR(VLOOKUP(B490, PLANTA_BASE!A:R, 6, FALSE), "NO ENCONTRADO EN PLANTA"))</f>
        <v/>
      </c>
      <c r="F490" s="4">
        <f>IF(B490="","",IFERROR(VLOOKUP(B490, PLANTA_BASE!A:R, 8, FALSE), "DOCENTE / FACILITADOR"))</f>
        <v/>
      </c>
      <c r="G490" s="4">
        <f>IF(B490="","",IFERROR(VLOOKUP(B490, PLANTA_BASE!A:R, 9, FALSE), "GENERAL"))</f>
        <v/>
      </c>
      <c r="H490" s="2">
        <f>IF(B490="","",IFERROR(VLOOKUP(B490, PLANTA_BASE!A:R, 17, FALSE), "GENERAL"))</f>
        <v/>
      </c>
    </row>
    <row r="491" ht="20" customHeight="1">
      <c r="A491" s="5">
        <f>IF(B491="","",IFERROR(VLOOKUP(B491, PLANTA_BASE!A:R, 2, FALSE), "NO ENCONTRADO EN PLANTA"))</f>
        <v/>
      </c>
      <c r="B491" s="6" t="inlineStr"/>
      <c r="C491" s="7">
        <f>IF(B491="","",IFERROR(VLOOKUP(B491, PLANTA_BASE!A:R, 3, FALSE), ""))</f>
        <v/>
      </c>
      <c r="D491" s="5">
        <f>IF(B491="","",IFERROR(VLOOKUP(B491, PLANTA_BASE!A:R, 5, FALSE), "NO ENCONTRADO EN PLANTA"))</f>
        <v/>
      </c>
      <c r="E491" s="5">
        <f>IF(B491="","",IFERROR(VLOOKUP(B491, PLANTA_BASE!A:R, 6, FALSE), "NO ENCONTRADO EN PLANTA"))</f>
        <v/>
      </c>
      <c r="F491" s="7">
        <f>IF(B491="","",IFERROR(VLOOKUP(B491, PLANTA_BASE!A:R, 8, FALSE), "DOCENTE / FACILITADOR"))</f>
        <v/>
      </c>
      <c r="G491" s="7">
        <f>IF(B491="","",IFERROR(VLOOKUP(B491, PLANTA_BASE!A:R, 9, FALSE), "GENERAL"))</f>
        <v/>
      </c>
      <c r="H491" s="5">
        <f>IF(B491="","",IFERROR(VLOOKUP(B491, PLANTA_BASE!A:R, 17, FALSE), "GENERAL"))</f>
        <v/>
      </c>
    </row>
    <row r="492" ht="20" customHeight="1">
      <c r="A492" s="2">
        <f>IF(B492="","",IFERROR(VLOOKUP(B492, PLANTA_BASE!A:R, 2, FALSE), "NO ENCONTRADO EN PLANTA"))</f>
        <v/>
      </c>
      <c r="B492" s="3" t="inlineStr"/>
      <c r="C492" s="4">
        <f>IF(B492="","",IFERROR(VLOOKUP(B492, PLANTA_BASE!A:R, 3, FALSE), ""))</f>
        <v/>
      </c>
      <c r="D492" s="2">
        <f>IF(B492="","",IFERROR(VLOOKUP(B492, PLANTA_BASE!A:R, 5, FALSE), "NO ENCONTRADO EN PLANTA"))</f>
        <v/>
      </c>
      <c r="E492" s="2">
        <f>IF(B492="","",IFERROR(VLOOKUP(B492, PLANTA_BASE!A:R, 6, FALSE), "NO ENCONTRADO EN PLANTA"))</f>
        <v/>
      </c>
      <c r="F492" s="4">
        <f>IF(B492="","",IFERROR(VLOOKUP(B492, PLANTA_BASE!A:R, 8, FALSE), "DOCENTE / FACILITADOR"))</f>
        <v/>
      </c>
      <c r="G492" s="4">
        <f>IF(B492="","",IFERROR(VLOOKUP(B492, PLANTA_BASE!A:R, 9, FALSE), "GENERAL"))</f>
        <v/>
      </c>
      <c r="H492" s="2">
        <f>IF(B492="","",IFERROR(VLOOKUP(B492, PLANTA_BASE!A:R, 17, FALSE), "GENERAL"))</f>
        <v/>
      </c>
    </row>
    <row r="493" ht="20" customHeight="1">
      <c r="A493" s="5">
        <f>IF(B493="","",IFERROR(VLOOKUP(B493, PLANTA_BASE!A:R, 2, FALSE), "NO ENCONTRADO EN PLANTA"))</f>
        <v/>
      </c>
      <c r="B493" s="6" t="inlineStr"/>
      <c r="C493" s="7">
        <f>IF(B493="","",IFERROR(VLOOKUP(B493, PLANTA_BASE!A:R, 3, FALSE), ""))</f>
        <v/>
      </c>
      <c r="D493" s="5">
        <f>IF(B493="","",IFERROR(VLOOKUP(B493, PLANTA_BASE!A:R, 5, FALSE), "NO ENCONTRADO EN PLANTA"))</f>
        <v/>
      </c>
      <c r="E493" s="5">
        <f>IF(B493="","",IFERROR(VLOOKUP(B493, PLANTA_BASE!A:R, 6, FALSE), "NO ENCONTRADO EN PLANTA"))</f>
        <v/>
      </c>
      <c r="F493" s="7">
        <f>IF(B493="","",IFERROR(VLOOKUP(B493, PLANTA_BASE!A:R, 8, FALSE), "DOCENTE / FACILITADOR"))</f>
        <v/>
      </c>
      <c r="G493" s="7">
        <f>IF(B493="","",IFERROR(VLOOKUP(B493, PLANTA_BASE!A:R, 9, FALSE), "GENERAL"))</f>
        <v/>
      </c>
      <c r="H493" s="5">
        <f>IF(B493="","",IFERROR(VLOOKUP(B493, PLANTA_BASE!A:R, 17, FALSE), "GENERAL"))</f>
        <v/>
      </c>
    </row>
    <row r="494" ht="20" customHeight="1">
      <c r="A494" s="2">
        <f>IF(B494="","",IFERROR(VLOOKUP(B494, PLANTA_BASE!A:R, 2, FALSE), "NO ENCONTRADO EN PLANTA"))</f>
        <v/>
      </c>
      <c r="B494" s="3" t="inlineStr"/>
      <c r="C494" s="4">
        <f>IF(B494="","",IFERROR(VLOOKUP(B494, PLANTA_BASE!A:R, 3, FALSE), ""))</f>
        <v/>
      </c>
      <c r="D494" s="2">
        <f>IF(B494="","",IFERROR(VLOOKUP(B494, PLANTA_BASE!A:R, 5, FALSE), "NO ENCONTRADO EN PLANTA"))</f>
        <v/>
      </c>
      <c r="E494" s="2">
        <f>IF(B494="","",IFERROR(VLOOKUP(B494, PLANTA_BASE!A:R, 6, FALSE), "NO ENCONTRADO EN PLANTA"))</f>
        <v/>
      </c>
      <c r="F494" s="4">
        <f>IF(B494="","",IFERROR(VLOOKUP(B494, PLANTA_BASE!A:R, 8, FALSE), "DOCENTE / FACILITADOR"))</f>
        <v/>
      </c>
      <c r="G494" s="4">
        <f>IF(B494="","",IFERROR(VLOOKUP(B494, PLANTA_BASE!A:R, 9, FALSE), "GENERAL"))</f>
        <v/>
      </c>
      <c r="H494" s="2">
        <f>IF(B494="","",IFERROR(VLOOKUP(B494, PLANTA_BASE!A:R, 17, FALSE), "GENERAL"))</f>
        <v/>
      </c>
    </row>
    <row r="495" ht="20" customHeight="1">
      <c r="A495" s="5">
        <f>IF(B495="","",IFERROR(VLOOKUP(B495, PLANTA_BASE!A:R, 2, FALSE), "NO ENCONTRADO EN PLANTA"))</f>
        <v/>
      </c>
      <c r="B495" s="6" t="inlineStr"/>
      <c r="C495" s="7">
        <f>IF(B495="","",IFERROR(VLOOKUP(B495, PLANTA_BASE!A:R, 3, FALSE), ""))</f>
        <v/>
      </c>
      <c r="D495" s="5">
        <f>IF(B495="","",IFERROR(VLOOKUP(B495, PLANTA_BASE!A:R, 5, FALSE), "NO ENCONTRADO EN PLANTA"))</f>
        <v/>
      </c>
      <c r="E495" s="5">
        <f>IF(B495="","",IFERROR(VLOOKUP(B495, PLANTA_BASE!A:R, 6, FALSE), "NO ENCONTRADO EN PLANTA"))</f>
        <v/>
      </c>
      <c r="F495" s="7">
        <f>IF(B495="","",IFERROR(VLOOKUP(B495, PLANTA_BASE!A:R, 8, FALSE), "DOCENTE / FACILITADOR"))</f>
        <v/>
      </c>
      <c r="G495" s="7">
        <f>IF(B495="","",IFERROR(VLOOKUP(B495, PLANTA_BASE!A:R, 9, FALSE), "GENERAL"))</f>
        <v/>
      </c>
      <c r="H495" s="5">
        <f>IF(B495="","",IFERROR(VLOOKUP(B495, PLANTA_BASE!A:R, 17, FALSE), "GENERAL"))</f>
        <v/>
      </c>
    </row>
    <row r="496" ht="20" customHeight="1">
      <c r="A496" s="2">
        <f>IF(B496="","",IFERROR(VLOOKUP(B496, PLANTA_BASE!A:R, 2, FALSE), "NO ENCONTRADO EN PLANTA"))</f>
        <v/>
      </c>
      <c r="B496" s="3" t="inlineStr"/>
      <c r="C496" s="4">
        <f>IF(B496="","",IFERROR(VLOOKUP(B496, PLANTA_BASE!A:R, 3, FALSE), ""))</f>
        <v/>
      </c>
      <c r="D496" s="2">
        <f>IF(B496="","",IFERROR(VLOOKUP(B496, PLANTA_BASE!A:R, 5, FALSE), "NO ENCONTRADO EN PLANTA"))</f>
        <v/>
      </c>
      <c r="E496" s="2">
        <f>IF(B496="","",IFERROR(VLOOKUP(B496, PLANTA_BASE!A:R, 6, FALSE), "NO ENCONTRADO EN PLANTA"))</f>
        <v/>
      </c>
      <c r="F496" s="4">
        <f>IF(B496="","",IFERROR(VLOOKUP(B496, PLANTA_BASE!A:R, 8, FALSE), "DOCENTE / FACILITADOR"))</f>
        <v/>
      </c>
      <c r="G496" s="4">
        <f>IF(B496="","",IFERROR(VLOOKUP(B496, PLANTA_BASE!A:R, 9, FALSE), "GENERAL"))</f>
        <v/>
      </c>
      <c r="H496" s="2">
        <f>IF(B496="","",IFERROR(VLOOKUP(B496, PLANTA_BASE!A:R, 17, FALSE), "GENERAL"))</f>
        <v/>
      </c>
    </row>
    <row r="497" ht="20" customHeight="1">
      <c r="A497" s="5">
        <f>IF(B497="","",IFERROR(VLOOKUP(B497, PLANTA_BASE!A:R, 2, FALSE), "NO ENCONTRADO EN PLANTA"))</f>
        <v/>
      </c>
      <c r="B497" s="6" t="inlineStr"/>
      <c r="C497" s="7">
        <f>IF(B497="","",IFERROR(VLOOKUP(B497, PLANTA_BASE!A:R, 3, FALSE), ""))</f>
        <v/>
      </c>
      <c r="D497" s="5">
        <f>IF(B497="","",IFERROR(VLOOKUP(B497, PLANTA_BASE!A:R, 5, FALSE), "NO ENCONTRADO EN PLANTA"))</f>
        <v/>
      </c>
      <c r="E497" s="5">
        <f>IF(B497="","",IFERROR(VLOOKUP(B497, PLANTA_BASE!A:R, 6, FALSE), "NO ENCONTRADO EN PLANTA"))</f>
        <v/>
      </c>
      <c r="F497" s="7">
        <f>IF(B497="","",IFERROR(VLOOKUP(B497, PLANTA_BASE!A:R, 8, FALSE), "DOCENTE / FACILITADOR"))</f>
        <v/>
      </c>
      <c r="G497" s="7">
        <f>IF(B497="","",IFERROR(VLOOKUP(B497, PLANTA_BASE!A:R, 9, FALSE), "GENERAL"))</f>
        <v/>
      </c>
      <c r="H497" s="5">
        <f>IF(B497="","",IFERROR(VLOOKUP(B497, PLANTA_BASE!A:R, 17, FALSE), "GENERAL"))</f>
        <v/>
      </c>
    </row>
    <row r="498" ht="20" customHeight="1">
      <c r="A498" s="2">
        <f>IF(B498="","",IFERROR(VLOOKUP(B498, PLANTA_BASE!A:R, 2, FALSE), "NO ENCONTRADO EN PLANTA"))</f>
        <v/>
      </c>
      <c r="B498" s="3" t="inlineStr"/>
      <c r="C498" s="4">
        <f>IF(B498="","",IFERROR(VLOOKUP(B498, PLANTA_BASE!A:R, 3, FALSE), ""))</f>
        <v/>
      </c>
      <c r="D498" s="2">
        <f>IF(B498="","",IFERROR(VLOOKUP(B498, PLANTA_BASE!A:R, 5, FALSE), "NO ENCONTRADO EN PLANTA"))</f>
        <v/>
      </c>
      <c r="E498" s="2">
        <f>IF(B498="","",IFERROR(VLOOKUP(B498, PLANTA_BASE!A:R, 6, FALSE), "NO ENCONTRADO EN PLANTA"))</f>
        <v/>
      </c>
      <c r="F498" s="4">
        <f>IF(B498="","",IFERROR(VLOOKUP(B498, PLANTA_BASE!A:R, 8, FALSE), "DOCENTE / FACILITADOR"))</f>
        <v/>
      </c>
      <c r="G498" s="4">
        <f>IF(B498="","",IFERROR(VLOOKUP(B498, PLANTA_BASE!A:R, 9, FALSE), "GENERAL"))</f>
        <v/>
      </c>
      <c r="H498" s="2">
        <f>IF(B498="","",IFERROR(VLOOKUP(B498, PLANTA_BASE!A:R, 17, FALSE), "GENERAL"))</f>
        <v/>
      </c>
    </row>
    <row r="499" ht="20" customHeight="1">
      <c r="A499" s="5">
        <f>IF(B499="","",IFERROR(VLOOKUP(B499, PLANTA_BASE!A:R, 2, FALSE), "NO ENCONTRADO EN PLANTA"))</f>
        <v/>
      </c>
      <c r="B499" s="6" t="inlineStr"/>
      <c r="C499" s="7">
        <f>IF(B499="","",IFERROR(VLOOKUP(B499, PLANTA_BASE!A:R, 3, FALSE), ""))</f>
        <v/>
      </c>
      <c r="D499" s="5">
        <f>IF(B499="","",IFERROR(VLOOKUP(B499, PLANTA_BASE!A:R, 5, FALSE), "NO ENCONTRADO EN PLANTA"))</f>
        <v/>
      </c>
      <c r="E499" s="5">
        <f>IF(B499="","",IFERROR(VLOOKUP(B499, PLANTA_BASE!A:R, 6, FALSE), "NO ENCONTRADO EN PLANTA"))</f>
        <v/>
      </c>
      <c r="F499" s="7">
        <f>IF(B499="","",IFERROR(VLOOKUP(B499, PLANTA_BASE!A:R, 8, FALSE), "DOCENTE / FACILITADOR"))</f>
        <v/>
      </c>
      <c r="G499" s="7">
        <f>IF(B499="","",IFERROR(VLOOKUP(B499, PLANTA_BASE!A:R, 9, FALSE), "GENERAL"))</f>
        <v/>
      </c>
      <c r="H499" s="5">
        <f>IF(B499="","",IFERROR(VLOOKUP(B499, PLANTA_BASE!A:R, 17, FALSE), "GENERAL"))</f>
        <v/>
      </c>
    </row>
    <row r="500" ht="20" customHeight="1">
      <c r="A500" s="2">
        <f>IF(B500="","",IFERROR(VLOOKUP(B500, PLANTA_BASE!A:R, 2, FALSE), "NO ENCONTRADO EN PLANTA"))</f>
        <v/>
      </c>
      <c r="B500" s="3" t="inlineStr"/>
      <c r="C500" s="4">
        <f>IF(B500="","",IFERROR(VLOOKUP(B500, PLANTA_BASE!A:R, 3, FALSE), ""))</f>
        <v/>
      </c>
      <c r="D500" s="2">
        <f>IF(B500="","",IFERROR(VLOOKUP(B500, PLANTA_BASE!A:R, 5, FALSE), "NO ENCONTRADO EN PLANTA"))</f>
        <v/>
      </c>
      <c r="E500" s="2">
        <f>IF(B500="","",IFERROR(VLOOKUP(B500, PLANTA_BASE!A:R, 6, FALSE), "NO ENCONTRADO EN PLANTA"))</f>
        <v/>
      </c>
      <c r="F500" s="4">
        <f>IF(B500="","",IFERROR(VLOOKUP(B500, PLANTA_BASE!A:R, 8, FALSE), "DOCENTE / FACILITADOR"))</f>
        <v/>
      </c>
      <c r="G500" s="4">
        <f>IF(B500="","",IFERROR(VLOOKUP(B500, PLANTA_BASE!A:R, 9, FALSE), "GENERAL"))</f>
        <v/>
      </c>
      <c r="H500" s="2">
        <f>IF(B500="","",IFERROR(VLOOKUP(B500, PLANTA_BASE!A:R, 17, FALSE), "GENERAL"))</f>
        <v/>
      </c>
    </row>
    <row r="501" ht="20" customHeight="1">
      <c r="A501" s="5">
        <f>IF(B501="","",IFERROR(VLOOKUP(B501, PLANTA_BASE!A:R, 2, FALSE), "NO ENCONTRADO EN PLANTA"))</f>
        <v/>
      </c>
      <c r="B501" s="6" t="inlineStr"/>
      <c r="C501" s="7">
        <f>IF(B501="","",IFERROR(VLOOKUP(B501, PLANTA_BASE!A:R, 3, FALSE), ""))</f>
        <v/>
      </c>
      <c r="D501" s="5">
        <f>IF(B501="","",IFERROR(VLOOKUP(B501, PLANTA_BASE!A:R, 5, FALSE), "NO ENCONTRADO EN PLANTA"))</f>
        <v/>
      </c>
      <c r="E501" s="5">
        <f>IF(B501="","",IFERROR(VLOOKUP(B501, PLANTA_BASE!A:R, 6, FALSE), "NO ENCONTRADO EN PLANTA"))</f>
        <v/>
      </c>
      <c r="F501" s="7">
        <f>IF(B501="","",IFERROR(VLOOKUP(B501, PLANTA_BASE!A:R, 8, FALSE), "DOCENTE / FACILITADOR"))</f>
        <v/>
      </c>
      <c r="G501" s="7">
        <f>IF(B501="","",IFERROR(VLOOKUP(B501, PLANTA_BASE!A:R, 9, FALSE), "GENERAL"))</f>
        <v/>
      </c>
      <c r="H501" s="5">
        <f>IF(B501="","",IFERROR(VLOOKUP(B501, PLANTA_BASE!A:R, 17, FALSE), "GENERAL"))</f>
        <v/>
      </c>
    </row>
    <row r="502" ht="20" customHeight="1">
      <c r="A502" s="2">
        <f>IF(B502="","",IFERROR(VLOOKUP(B502, PLANTA_BASE!A:R, 2, FALSE), "NO ENCONTRADO EN PLANTA"))</f>
        <v/>
      </c>
      <c r="B502" s="3" t="inlineStr"/>
      <c r="C502" s="4">
        <f>IF(B502="","",IFERROR(VLOOKUP(B502, PLANTA_BASE!A:R, 3, FALSE), ""))</f>
        <v/>
      </c>
      <c r="D502" s="2">
        <f>IF(B502="","",IFERROR(VLOOKUP(B502, PLANTA_BASE!A:R, 5, FALSE), "NO ENCONTRADO EN PLANTA"))</f>
        <v/>
      </c>
      <c r="E502" s="2">
        <f>IF(B502="","",IFERROR(VLOOKUP(B502, PLANTA_BASE!A:R, 6, FALSE), "NO ENCONTRADO EN PLANTA"))</f>
        <v/>
      </c>
      <c r="F502" s="4">
        <f>IF(B502="","",IFERROR(VLOOKUP(B502, PLANTA_BASE!A:R, 8, FALSE), "DOCENTE / FACILITADOR"))</f>
        <v/>
      </c>
      <c r="G502" s="4">
        <f>IF(B502="","",IFERROR(VLOOKUP(B502, PLANTA_BASE!A:R, 9, FALSE), "GENERAL"))</f>
        <v/>
      </c>
      <c r="H502" s="2">
        <f>IF(B502="","",IFERROR(VLOOKUP(B502, PLANTA_BASE!A:R, 17, FALSE), "GENERAL"))</f>
        <v/>
      </c>
    </row>
    <row r="503" ht="20" customHeight="1">
      <c r="A503" s="5">
        <f>IF(B503="","",IFERROR(VLOOKUP(B503, PLANTA_BASE!A:R, 2, FALSE), "NO ENCONTRADO EN PLANTA"))</f>
        <v/>
      </c>
      <c r="B503" s="6" t="inlineStr"/>
      <c r="C503" s="7">
        <f>IF(B503="","",IFERROR(VLOOKUP(B503, PLANTA_BASE!A:R, 3, FALSE), ""))</f>
        <v/>
      </c>
      <c r="D503" s="5">
        <f>IF(B503="","",IFERROR(VLOOKUP(B503, PLANTA_BASE!A:R, 5, FALSE), "NO ENCONTRADO EN PLANTA"))</f>
        <v/>
      </c>
      <c r="E503" s="5">
        <f>IF(B503="","",IFERROR(VLOOKUP(B503, PLANTA_BASE!A:R, 6, FALSE), "NO ENCONTRADO EN PLANTA"))</f>
        <v/>
      </c>
      <c r="F503" s="7">
        <f>IF(B503="","",IFERROR(VLOOKUP(B503, PLANTA_BASE!A:R, 8, FALSE), "DOCENTE / FACILITADOR"))</f>
        <v/>
      </c>
      <c r="G503" s="7">
        <f>IF(B503="","",IFERROR(VLOOKUP(B503, PLANTA_BASE!A:R, 9, FALSE), "GENERAL"))</f>
        <v/>
      </c>
      <c r="H503" s="5">
        <f>IF(B503="","",IFERROR(VLOOKUP(B503, PLANTA_BASE!A:R, 17, FALSE), "GENERAL"))</f>
        <v/>
      </c>
    </row>
    <row r="504" ht="20" customHeight="1">
      <c r="A504" s="2">
        <f>IF(B504="","",IFERROR(VLOOKUP(B504, PLANTA_BASE!A:R, 2, FALSE), "NO ENCONTRADO EN PLANTA"))</f>
        <v/>
      </c>
      <c r="B504" s="3" t="inlineStr"/>
      <c r="C504" s="4">
        <f>IF(B504="","",IFERROR(VLOOKUP(B504, PLANTA_BASE!A:R, 3, FALSE), ""))</f>
        <v/>
      </c>
      <c r="D504" s="2">
        <f>IF(B504="","",IFERROR(VLOOKUP(B504, PLANTA_BASE!A:R, 5, FALSE), "NO ENCONTRADO EN PLANTA"))</f>
        <v/>
      </c>
      <c r="E504" s="2">
        <f>IF(B504="","",IFERROR(VLOOKUP(B504, PLANTA_BASE!A:R, 6, FALSE), "NO ENCONTRADO EN PLANTA"))</f>
        <v/>
      </c>
      <c r="F504" s="4">
        <f>IF(B504="","",IFERROR(VLOOKUP(B504, PLANTA_BASE!A:R, 8, FALSE), "DOCENTE / FACILITADOR"))</f>
        <v/>
      </c>
      <c r="G504" s="4">
        <f>IF(B504="","",IFERROR(VLOOKUP(B504, PLANTA_BASE!A:R, 9, FALSE), "GENERAL"))</f>
        <v/>
      </c>
      <c r="H504" s="2">
        <f>IF(B504="","",IFERROR(VLOOKUP(B504, PLANTA_BASE!A:R, 17, FALSE), "GENERAL"))</f>
        <v/>
      </c>
    </row>
    <row r="505" ht="20" customHeight="1">
      <c r="A505" s="5">
        <f>IF(B505="","",IFERROR(VLOOKUP(B505, PLANTA_BASE!A:R, 2, FALSE), "NO ENCONTRADO EN PLANTA"))</f>
        <v/>
      </c>
      <c r="B505" s="6" t="inlineStr"/>
      <c r="C505" s="7">
        <f>IF(B505="","",IFERROR(VLOOKUP(B505, PLANTA_BASE!A:R, 3, FALSE), ""))</f>
        <v/>
      </c>
      <c r="D505" s="5">
        <f>IF(B505="","",IFERROR(VLOOKUP(B505, PLANTA_BASE!A:R, 5, FALSE), "NO ENCONTRADO EN PLANTA"))</f>
        <v/>
      </c>
      <c r="E505" s="5">
        <f>IF(B505="","",IFERROR(VLOOKUP(B505, PLANTA_BASE!A:R, 6, FALSE), "NO ENCONTRADO EN PLANTA"))</f>
        <v/>
      </c>
      <c r="F505" s="7">
        <f>IF(B505="","",IFERROR(VLOOKUP(B505, PLANTA_BASE!A:R, 8, FALSE), "DOCENTE / FACILITADOR"))</f>
        <v/>
      </c>
      <c r="G505" s="7">
        <f>IF(B505="","",IFERROR(VLOOKUP(B505, PLANTA_BASE!A:R, 9, FALSE), "GENERAL"))</f>
        <v/>
      </c>
      <c r="H505" s="5">
        <f>IF(B505="","",IFERROR(VLOOKUP(B505, PLANTA_BASE!A:R, 17, FALSE), "GENERAL"))</f>
        <v/>
      </c>
    </row>
    <row r="506" ht="20" customHeight="1">
      <c r="A506" s="2">
        <f>IF(B506="","",IFERROR(VLOOKUP(B506, PLANTA_BASE!A:R, 2, FALSE), "NO ENCONTRADO EN PLANTA"))</f>
        <v/>
      </c>
      <c r="B506" s="3" t="inlineStr"/>
      <c r="C506" s="4">
        <f>IF(B506="","",IFERROR(VLOOKUP(B506, PLANTA_BASE!A:R, 3, FALSE), ""))</f>
        <v/>
      </c>
      <c r="D506" s="2">
        <f>IF(B506="","",IFERROR(VLOOKUP(B506, PLANTA_BASE!A:R, 5, FALSE), "NO ENCONTRADO EN PLANTA"))</f>
        <v/>
      </c>
      <c r="E506" s="2">
        <f>IF(B506="","",IFERROR(VLOOKUP(B506, PLANTA_BASE!A:R, 6, FALSE), "NO ENCONTRADO EN PLANTA"))</f>
        <v/>
      </c>
      <c r="F506" s="4">
        <f>IF(B506="","",IFERROR(VLOOKUP(B506, PLANTA_BASE!A:R, 8, FALSE), "DOCENTE / FACILITADOR"))</f>
        <v/>
      </c>
      <c r="G506" s="4">
        <f>IF(B506="","",IFERROR(VLOOKUP(B506, PLANTA_BASE!A:R, 9, FALSE), "GENERAL"))</f>
        <v/>
      </c>
      <c r="H506" s="2">
        <f>IF(B506="","",IFERROR(VLOOKUP(B506, PLANTA_BASE!A:R, 17, FALSE), "GENERAL"))</f>
        <v/>
      </c>
    </row>
    <row r="507" ht="20" customHeight="1">
      <c r="A507" s="5">
        <f>IF(B507="","",IFERROR(VLOOKUP(B507, PLANTA_BASE!A:R, 2, FALSE), "NO ENCONTRADO EN PLANTA"))</f>
        <v/>
      </c>
      <c r="B507" s="6" t="inlineStr"/>
      <c r="C507" s="7">
        <f>IF(B507="","",IFERROR(VLOOKUP(B507, PLANTA_BASE!A:R, 3, FALSE), ""))</f>
        <v/>
      </c>
      <c r="D507" s="5">
        <f>IF(B507="","",IFERROR(VLOOKUP(B507, PLANTA_BASE!A:R, 5, FALSE), "NO ENCONTRADO EN PLANTA"))</f>
        <v/>
      </c>
      <c r="E507" s="5">
        <f>IF(B507="","",IFERROR(VLOOKUP(B507, PLANTA_BASE!A:R, 6, FALSE), "NO ENCONTRADO EN PLANTA"))</f>
        <v/>
      </c>
      <c r="F507" s="7">
        <f>IF(B507="","",IFERROR(VLOOKUP(B507, PLANTA_BASE!A:R, 8, FALSE), "DOCENTE / FACILITADOR"))</f>
        <v/>
      </c>
      <c r="G507" s="7">
        <f>IF(B507="","",IFERROR(VLOOKUP(B507, PLANTA_BASE!A:R, 9, FALSE), "GENERAL"))</f>
        <v/>
      </c>
      <c r="H507" s="5">
        <f>IF(B507="","",IFERROR(VLOOKUP(B507, PLANTA_BASE!A:R, 17, FALSE), "GENERAL"))</f>
        <v/>
      </c>
    </row>
    <row r="508" ht="20" customHeight="1">
      <c r="A508" s="2">
        <f>IF(B508="","",IFERROR(VLOOKUP(B508, PLANTA_BASE!A:R, 2, FALSE), "NO ENCONTRADO EN PLANTA"))</f>
        <v/>
      </c>
      <c r="B508" s="3" t="inlineStr"/>
      <c r="C508" s="4">
        <f>IF(B508="","",IFERROR(VLOOKUP(B508, PLANTA_BASE!A:R, 3, FALSE), ""))</f>
        <v/>
      </c>
      <c r="D508" s="2">
        <f>IF(B508="","",IFERROR(VLOOKUP(B508, PLANTA_BASE!A:R, 5, FALSE), "NO ENCONTRADO EN PLANTA"))</f>
        <v/>
      </c>
      <c r="E508" s="2">
        <f>IF(B508="","",IFERROR(VLOOKUP(B508, PLANTA_BASE!A:R, 6, FALSE), "NO ENCONTRADO EN PLANTA"))</f>
        <v/>
      </c>
      <c r="F508" s="4">
        <f>IF(B508="","",IFERROR(VLOOKUP(B508, PLANTA_BASE!A:R, 8, FALSE), "DOCENTE / FACILITADOR"))</f>
        <v/>
      </c>
      <c r="G508" s="4">
        <f>IF(B508="","",IFERROR(VLOOKUP(B508, PLANTA_BASE!A:R, 9, FALSE), "GENERAL"))</f>
        <v/>
      </c>
      <c r="H508" s="2">
        <f>IF(B508="","",IFERROR(VLOOKUP(B508, PLANTA_BASE!A:R, 17, FALSE), "GENERAL"))</f>
        <v/>
      </c>
    </row>
    <row r="509" ht="20" customHeight="1">
      <c r="A509" s="5">
        <f>IF(B509="","",IFERROR(VLOOKUP(B509, PLANTA_BASE!A:R, 2, FALSE), "NO ENCONTRADO EN PLANTA"))</f>
        <v/>
      </c>
      <c r="B509" s="6" t="inlineStr"/>
      <c r="C509" s="7">
        <f>IF(B509="","",IFERROR(VLOOKUP(B509, PLANTA_BASE!A:R, 3, FALSE), ""))</f>
        <v/>
      </c>
      <c r="D509" s="5">
        <f>IF(B509="","",IFERROR(VLOOKUP(B509, PLANTA_BASE!A:R, 5, FALSE), "NO ENCONTRADO EN PLANTA"))</f>
        <v/>
      </c>
      <c r="E509" s="5">
        <f>IF(B509="","",IFERROR(VLOOKUP(B509, PLANTA_BASE!A:R, 6, FALSE), "NO ENCONTRADO EN PLANTA"))</f>
        <v/>
      </c>
      <c r="F509" s="7">
        <f>IF(B509="","",IFERROR(VLOOKUP(B509, PLANTA_BASE!A:R, 8, FALSE), "DOCENTE / FACILITADOR"))</f>
        <v/>
      </c>
      <c r="G509" s="7">
        <f>IF(B509="","",IFERROR(VLOOKUP(B509, PLANTA_BASE!A:R, 9, FALSE), "GENERAL"))</f>
        <v/>
      </c>
      <c r="H509" s="5">
        <f>IF(B509="","",IFERROR(VLOOKUP(B509, PLANTA_BASE!A:R, 17, FALSE), "GENERAL"))</f>
        <v/>
      </c>
    </row>
    <row r="510" ht="20" customHeight="1">
      <c r="A510" s="2">
        <f>IF(B510="","",IFERROR(VLOOKUP(B510, PLANTA_BASE!A:R, 2, FALSE), "NO ENCONTRADO EN PLANTA"))</f>
        <v/>
      </c>
      <c r="B510" s="3" t="inlineStr"/>
      <c r="C510" s="4">
        <f>IF(B510="","",IFERROR(VLOOKUP(B510, PLANTA_BASE!A:R, 3, FALSE), ""))</f>
        <v/>
      </c>
      <c r="D510" s="2">
        <f>IF(B510="","",IFERROR(VLOOKUP(B510, PLANTA_BASE!A:R, 5, FALSE), "NO ENCONTRADO EN PLANTA"))</f>
        <v/>
      </c>
      <c r="E510" s="2">
        <f>IF(B510="","",IFERROR(VLOOKUP(B510, PLANTA_BASE!A:R, 6, FALSE), "NO ENCONTRADO EN PLANTA"))</f>
        <v/>
      </c>
      <c r="F510" s="4">
        <f>IF(B510="","",IFERROR(VLOOKUP(B510, PLANTA_BASE!A:R, 8, FALSE), "DOCENTE / FACILITADOR"))</f>
        <v/>
      </c>
      <c r="G510" s="4">
        <f>IF(B510="","",IFERROR(VLOOKUP(B510, PLANTA_BASE!A:R, 9, FALSE), "GENERAL"))</f>
        <v/>
      </c>
      <c r="H510" s="2">
        <f>IF(B510="","",IFERROR(VLOOKUP(B510, PLANTA_BASE!A:R, 17, FALSE), "GENERAL"))</f>
        <v/>
      </c>
    </row>
    <row r="511" ht="20" customHeight="1">
      <c r="A511" s="5">
        <f>IF(B511="","",IFERROR(VLOOKUP(B511, PLANTA_BASE!A:R, 2, FALSE), "NO ENCONTRADO EN PLANTA"))</f>
        <v/>
      </c>
      <c r="B511" s="6" t="inlineStr"/>
      <c r="C511" s="7">
        <f>IF(B511="","",IFERROR(VLOOKUP(B511, PLANTA_BASE!A:R, 3, FALSE), ""))</f>
        <v/>
      </c>
      <c r="D511" s="5">
        <f>IF(B511="","",IFERROR(VLOOKUP(B511, PLANTA_BASE!A:R, 5, FALSE), "NO ENCONTRADO EN PLANTA"))</f>
        <v/>
      </c>
      <c r="E511" s="5">
        <f>IF(B511="","",IFERROR(VLOOKUP(B511, PLANTA_BASE!A:R, 6, FALSE), "NO ENCONTRADO EN PLANTA"))</f>
        <v/>
      </c>
      <c r="F511" s="7">
        <f>IF(B511="","",IFERROR(VLOOKUP(B511, PLANTA_BASE!A:R, 8, FALSE), "DOCENTE / FACILITADOR"))</f>
        <v/>
      </c>
      <c r="G511" s="7">
        <f>IF(B511="","",IFERROR(VLOOKUP(B511, PLANTA_BASE!A:R, 9, FALSE), "GENERAL"))</f>
        <v/>
      </c>
      <c r="H511" s="5">
        <f>IF(B511="","",IFERROR(VLOOKUP(B511, PLANTA_BASE!A:R, 17, FALSE), "GENERAL"))</f>
        <v/>
      </c>
    </row>
    <row r="512" ht="20" customHeight="1">
      <c r="A512" s="2">
        <f>IF(B512="","",IFERROR(VLOOKUP(B512, PLANTA_BASE!A:R, 2, FALSE), "NO ENCONTRADO EN PLANTA"))</f>
        <v/>
      </c>
      <c r="B512" s="3" t="inlineStr"/>
      <c r="C512" s="4">
        <f>IF(B512="","",IFERROR(VLOOKUP(B512, PLANTA_BASE!A:R, 3, FALSE), ""))</f>
        <v/>
      </c>
      <c r="D512" s="2">
        <f>IF(B512="","",IFERROR(VLOOKUP(B512, PLANTA_BASE!A:R, 5, FALSE), "NO ENCONTRADO EN PLANTA"))</f>
        <v/>
      </c>
      <c r="E512" s="2">
        <f>IF(B512="","",IFERROR(VLOOKUP(B512, PLANTA_BASE!A:R, 6, FALSE), "NO ENCONTRADO EN PLANTA"))</f>
        <v/>
      </c>
      <c r="F512" s="4">
        <f>IF(B512="","",IFERROR(VLOOKUP(B512, PLANTA_BASE!A:R, 8, FALSE), "DOCENTE / FACILITADOR"))</f>
        <v/>
      </c>
      <c r="G512" s="4">
        <f>IF(B512="","",IFERROR(VLOOKUP(B512, PLANTA_BASE!A:R, 9, FALSE), "GENERAL"))</f>
        <v/>
      </c>
      <c r="H512" s="2">
        <f>IF(B512="","",IFERROR(VLOOKUP(B512, PLANTA_BASE!A:R, 17, FALSE), "GENERAL"))</f>
        <v/>
      </c>
    </row>
    <row r="513" ht="20" customHeight="1">
      <c r="A513" s="5">
        <f>IF(B513="","",IFERROR(VLOOKUP(B513, PLANTA_BASE!A:R, 2, FALSE), "NO ENCONTRADO EN PLANTA"))</f>
        <v/>
      </c>
      <c r="B513" s="6" t="inlineStr"/>
      <c r="C513" s="7">
        <f>IF(B513="","",IFERROR(VLOOKUP(B513, PLANTA_BASE!A:R, 3, FALSE), ""))</f>
        <v/>
      </c>
      <c r="D513" s="5">
        <f>IF(B513="","",IFERROR(VLOOKUP(B513, PLANTA_BASE!A:R, 5, FALSE), "NO ENCONTRADO EN PLANTA"))</f>
        <v/>
      </c>
      <c r="E513" s="5">
        <f>IF(B513="","",IFERROR(VLOOKUP(B513, PLANTA_BASE!A:R, 6, FALSE), "NO ENCONTRADO EN PLANTA"))</f>
        <v/>
      </c>
      <c r="F513" s="7">
        <f>IF(B513="","",IFERROR(VLOOKUP(B513, PLANTA_BASE!A:R, 8, FALSE), "DOCENTE / FACILITADOR"))</f>
        <v/>
      </c>
      <c r="G513" s="7">
        <f>IF(B513="","",IFERROR(VLOOKUP(B513, PLANTA_BASE!A:R, 9, FALSE), "GENERAL"))</f>
        <v/>
      </c>
      <c r="H513" s="5">
        <f>IF(B513="","",IFERROR(VLOOKUP(B513, PLANTA_BASE!A:R, 17, FALSE), "GENERAL"))</f>
        <v/>
      </c>
    </row>
    <row r="514" ht="20" customHeight="1">
      <c r="A514" s="2">
        <f>IF(B514="","",IFERROR(VLOOKUP(B514, PLANTA_BASE!A:R, 2, FALSE), "NO ENCONTRADO EN PLANTA"))</f>
        <v/>
      </c>
      <c r="B514" s="3" t="inlineStr"/>
      <c r="C514" s="4">
        <f>IF(B514="","",IFERROR(VLOOKUP(B514, PLANTA_BASE!A:R, 3, FALSE), ""))</f>
        <v/>
      </c>
      <c r="D514" s="2">
        <f>IF(B514="","",IFERROR(VLOOKUP(B514, PLANTA_BASE!A:R, 5, FALSE), "NO ENCONTRADO EN PLANTA"))</f>
        <v/>
      </c>
      <c r="E514" s="2">
        <f>IF(B514="","",IFERROR(VLOOKUP(B514, PLANTA_BASE!A:R, 6, FALSE), "NO ENCONTRADO EN PLANTA"))</f>
        <v/>
      </c>
      <c r="F514" s="4">
        <f>IF(B514="","",IFERROR(VLOOKUP(B514, PLANTA_BASE!A:R, 8, FALSE), "DOCENTE / FACILITADOR"))</f>
        <v/>
      </c>
      <c r="G514" s="4">
        <f>IF(B514="","",IFERROR(VLOOKUP(B514, PLANTA_BASE!A:R, 9, FALSE), "GENERAL"))</f>
        <v/>
      </c>
      <c r="H514" s="2">
        <f>IF(B514="","",IFERROR(VLOOKUP(B514, PLANTA_BASE!A:R, 17, FALSE), "GENERAL"))</f>
        <v/>
      </c>
    </row>
    <row r="515" ht="20" customHeight="1">
      <c r="A515" s="5">
        <f>IF(B515="","",IFERROR(VLOOKUP(B515, PLANTA_BASE!A:R, 2, FALSE), "NO ENCONTRADO EN PLANTA"))</f>
        <v/>
      </c>
      <c r="B515" s="6" t="inlineStr"/>
      <c r="C515" s="7">
        <f>IF(B515="","",IFERROR(VLOOKUP(B515, PLANTA_BASE!A:R, 3, FALSE), ""))</f>
        <v/>
      </c>
      <c r="D515" s="5">
        <f>IF(B515="","",IFERROR(VLOOKUP(B515, PLANTA_BASE!A:R, 5, FALSE), "NO ENCONTRADO EN PLANTA"))</f>
        <v/>
      </c>
      <c r="E515" s="5">
        <f>IF(B515="","",IFERROR(VLOOKUP(B515, PLANTA_BASE!A:R, 6, FALSE), "NO ENCONTRADO EN PLANTA"))</f>
        <v/>
      </c>
      <c r="F515" s="7">
        <f>IF(B515="","",IFERROR(VLOOKUP(B515, PLANTA_BASE!A:R, 8, FALSE), "DOCENTE / FACILITADOR"))</f>
        <v/>
      </c>
      <c r="G515" s="7">
        <f>IF(B515="","",IFERROR(VLOOKUP(B515, PLANTA_BASE!A:R, 9, FALSE), "GENERAL"))</f>
        <v/>
      </c>
      <c r="H515" s="5">
        <f>IF(B515="","",IFERROR(VLOOKUP(B515, PLANTA_BASE!A:R, 17, FALSE), "GENERAL"))</f>
        <v/>
      </c>
    </row>
    <row r="516" ht="20" customHeight="1">
      <c r="A516" s="2">
        <f>IF(B516="","",IFERROR(VLOOKUP(B516, PLANTA_BASE!A:R, 2, FALSE), "NO ENCONTRADO EN PLANTA"))</f>
        <v/>
      </c>
      <c r="B516" s="3" t="inlineStr"/>
      <c r="C516" s="4">
        <f>IF(B516="","",IFERROR(VLOOKUP(B516, PLANTA_BASE!A:R, 3, FALSE), ""))</f>
        <v/>
      </c>
      <c r="D516" s="2">
        <f>IF(B516="","",IFERROR(VLOOKUP(B516, PLANTA_BASE!A:R, 5, FALSE), "NO ENCONTRADO EN PLANTA"))</f>
        <v/>
      </c>
      <c r="E516" s="2">
        <f>IF(B516="","",IFERROR(VLOOKUP(B516, PLANTA_BASE!A:R, 6, FALSE), "NO ENCONTRADO EN PLANTA"))</f>
        <v/>
      </c>
      <c r="F516" s="4">
        <f>IF(B516="","",IFERROR(VLOOKUP(B516, PLANTA_BASE!A:R, 8, FALSE), "DOCENTE / FACILITADOR"))</f>
        <v/>
      </c>
      <c r="G516" s="4">
        <f>IF(B516="","",IFERROR(VLOOKUP(B516, PLANTA_BASE!A:R, 9, FALSE), "GENERAL"))</f>
        <v/>
      </c>
      <c r="H516" s="2">
        <f>IF(B516="","",IFERROR(VLOOKUP(B516, PLANTA_BASE!A:R, 17, FALSE), "GENERAL"))</f>
        <v/>
      </c>
    </row>
    <row r="517" ht="20" customHeight="1">
      <c r="A517" s="5">
        <f>IF(B517="","",IFERROR(VLOOKUP(B517, PLANTA_BASE!A:R, 2, FALSE), "NO ENCONTRADO EN PLANTA"))</f>
        <v/>
      </c>
      <c r="B517" s="6" t="inlineStr"/>
      <c r="C517" s="7">
        <f>IF(B517="","",IFERROR(VLOOKUP(B517, PLANTA_BASE!A:R, 3, FALSE), ""))</f>
        <v/>
      </c>
      <c r="D517" s="5">
        <f>IF(B517="","",IFERROR(VLOOKUP(B517, PLANTA_BASE!A:R, 5, FALSE), "NO ENCONTRADO EN PLANTA"))</f>
        <v/>
      </c>
      <c r="E517" s="5">
        <f>IF(B517="","",IFERROR(VLOOKUP(B517, PLANTA_BASE!A:R, 6, FALSE), "NO ENCONTRADO EN PLANTA"))</f>
        <v/>
      </c>
      <c r="F517" s="7">
        <f>IF(B517="","",IFERROR(VLOOKUP(B517, PLANTA_BASE!A:R, 8, FALSE), "DOCENTE / FACILITADOR"))</f>
        <v/>
      </c>
      <c r="G517" s="7">
        <f>IF(B517="","",IFERROR(VLOOKUP(B517, PLANTA_BASE!A:R, 9, FALSE), "GENERAL"))</f>
        <v/>
      </c>
      <c r="H517" s="5">
        <f>IF(B517="","",IFERROR(VLOOKUP(B517, PLANTA_BASE!A:R, 17, FALSE), "GENERAL"))</f>
        <v/>
      </c>
    </row>
    <row r="518" ht="20" customHeight="1">
      <c r="A518" s="2">
        <f>IF(B518="","",IFERROR(VLOOKUP(B518, PLANTA_BASE!A:R, 2, FALSE), "NO ENCONTRADO EN PLANTA"))</f>
        <v/>
      </c>
      <c r="B518" s="3" t="inlineStr"/>
      <c r="C518" s="4">
        <f>IF(B518="","",IFERROR(VLOOKUP(B518, PLANTA_BASE!A:R, 3, FALSE), ""))</f>
        <v/>
      </c>
      <c r="D518" s="2">
        <f>IF(B518="","",IFERROR(VLOOKUP(B518, PLANTA_BASE!A:R, 5, FALSE), "NO ENCONTRADO EN PLANTA"))</f>
        <v/>
      </c>
      <c r="E518" s="2">
        <f>IF(B518="","",IFERROR(VLOOKUP(B518, PLANTA_BASE!A:R, 6, FALSE), "NO ENCONTRADO EN PLANTA"))</f>
        <v/>
      </c>
      <c r="F518" s="4">
        <f>IF(B518="","",IFERROR(VLOOKUP(B518, PLANTA_BASE!A:R, 8, FALSE), "DOCENTE / FACILITADOR"))</f>
        <v/>
      </c>
      <c r="G518" s="4">
        <f>IF(B518="","",IFERROR(VLOOKUP(B518, PLANTA_BASE!A:R, 9, FALSE), "GENERAL"))</f>
        <v/>
      </c>
      <c r="H518" s="2">
        <f>IF(B518="","",IFERROR(VLOOKUP(B518, PLANTA_BASE!A:R, 17, FALSE), "GENERAL"))</f>
        <v/>
      </c>
    </row>
    <row r="519" ht="20" customHeight="1">
      <c r="A519" s="5">
        <f>IF(B519="","",IFERROR(VLOOKUP(B519, PLANTA_BASE!A:R, 2, FALSE), "NO ENCONTRADO EN PLANTA"))</f>
        <v/>
      </c>
      <c r="B519" s="6" t="inlineStr"/>
      <c r="C519" s="7">
        <f>IF(B519="","",IFERROR(VLOOKUP(B519, PLANTA_BASE!A:R, 3, FALSE), ""))</f>
        <v/>
      </c>
      <c r="D519" s="5">
        <f>IF(B519="","",IFERROR(VLOOKUP(B519, PLANTA_BASE!A:R, 5, FALSE), "NO ENCONTRADO EN PLANTA"))</f>
        <v/>
      </c>
      <c r="E519" s="5">
        <f>IF(B519="","",IFERROR(VLOOKUP(B519, PLANTA_BASE!A:R, 6, FALSE), "NO ENCONTRADO EN PLANTA"))</f>
        <v/>
      </c>
      <c r="F519" s="7">
        <f>IF(B519="","",IFERROR(VLOOKUP(B519, PLANTA_BASE!A:R, 8, FALSE), "DOCENTE / FACILITADOR"))</f>
        <v/>
      </c>
      <c r="G519" s="7">
        <f>IF(B519="","",IFERROR(VLOOKUP(B519, PLANTA_BASE!A:R, 9, FALSE), "GENERAL"))</f>
        <v/>
      </c>
      <c r="H519" s="5">
        <f>IF(B519="","",IFERROR(VLOOKUP(B519, PLANTA_BASE!A:R, 17, FALSE), "GENERAL"))</f>
        <v/>
      </c>
    </row>
    <row r="520" ht="20" customHeight="1">
      <c r="A520" s="2">
        <f>IF(B520="","",IFERROR(VLOOKUP(B520, PLANTA_BASE!A:R, 2, FALSE), "NO ENCONTRADO EN PLANTA"))</f>
        <v/>
      </c>
      <c r="B520" s="3" t="inlineStr"/>
      <c r="C520" s="4">
        <f>IF(B520="","",IFERROR(VLOOKUP(B520, PLANTA_BASE!A:R, 3, FALSE), ""))</f>
        <v/>
      </c>
      <c r="D520" s="2">
        <f>IF(B520="","",IFERROR(VLOOKUP(B520, PLANTA_BASE!A:R, 5, FALSE), "NO ENCONTRADO EN PLANTA"))</f>
        <v/>
      </c>
      <c r="E520" s="2">
        <f>IF(B520="","",IFERROR(VLOOKUP(B520, PLANTA_BASE!A:R, 6, FALSE), "NO ENCONTRADO EN PLANTA"))</f>
        <v/>
      </c>
      <c r="F520" s="4">
        <f>IF(B520="","",IFERROR(VLOOKUP(B520, PLANTA_BASE!A:R, 8, FALSE), "DOCENTE / FACILITADOR"))</f>
        <v/>
      </c>
      <c r="G520" s="4">
        <f>IF(B520="","",IFERROR(VLOOKUP(B520, PLANTA_BASE!A:R, 9, FALSE), "GENERAL"))</f>
        <v/>
      </c>
      <c r="H520" s="2">
        <f>IF(B520="","",IFERROR(VLOOKUP(B520, PLANTA_BASE!A:R, 17, FALSE), "GENERAL"))</f>
        <v/>
      </c>
    </row>
    <row r="521" ht="20" customHeight="1">
      <c r="A521" s="5">
        <f>IF(B521="","",IFERROR(VLOOKUP(B521, PLANTA_BASE!A:R, 2, FALSE), "NO ENCONTRADO EN PLANTA"))</f>
        <v/>
      </c>
      <c r="B521" s="6" t="inlineStr"/>
      <c r="C521" s="7">
        <f>IF(B521="","",IFERROR(VLOOKUP(B521, PLANTA_BASE!A:R, 3, FALSE), ""))</f>
        <v/>
      </c>
      <c r="D521" s="5">
        <f>IF(B521="","",IFERROR(VLOOKUP(B521, PLANTA_BASE!A:R, 5, FALSE), "NO ENCONTRADO EN PLANTA"))</f>
        <v/>
      </c>
      <c r="E521" s="5">
        <f>IF(B521="","",IFERROR(VLOOKUP(B521, PLANTA_BASE!A:R, 6, FALSE), "NO ENCONTRADO EN PLANTA"))</f>
        <v/>
      </c>
      <c r="F521" s="7">
        <f>IF(B521="","",IFERROR(VLOOKUP(B521, PLANTA_BASE!A:R, 8, FALSE), "DOCENTE / FACILITADOR"))</f>
        <v/>
      </c>
      <c r="G521" s="7">
        <f>IF(B521="","",IFERROR(VLOOKUP(B521, PLANTA_BASE!A:R, 9, FALSE), "GENERAL"))</f>
        <v/>
      </c>
      <c r="H521" s="5">
        <f>IF(B521="","",IFERROR(VLOOKUP(B521, PLANTA_BASE!A:R, 17, FALSE), "GENERAL"))</f>
        <v/>
      </c>
    </row>
    <row r="522" ht="20" customHeight="1">
      <c r="A522" s="2">
        <f>IF(B522="","",IFERROR(VLOOKUP(B522, PLANTA_BASE!A:R, 2, FALSE), "NO ENCONTRADO EN PLANTA"))</f>
        <v/>
      </c>
      <c r="B522" s="3" t="inlineStr"/>
      <c r="C522" s="4">
        <f>IF(B522="","",IFERROR(VLOOKUP(B522, PLANTA_BASE!A:R, 3, FALSE), ""))</f>
        <v/>
      </c>
      <c r="D522" s="2">
        <f>IF(B522="","",IFERROR(VLOOKUP(B522, PLANTA_BASE!A:R, 5, FALSE), "NO ENCONTRADO EN PLANTA"))</f>
        <v/>
      </c>
      <c r="E522" s="2">
        <f>IF(B522="","",IFERROR(VLOOKUP(B522, PLANTA_BASE!A:R, 6, FALSE), "NO ENCONTRADO EN PLANTA"))</f>
        <v/>
      </c>
      <c r="F522" s="4">
        <f>IF(B522="","",IFERROR(VLOOKUP(B522, PLANTA_BASE!A:R, 8, FALSE), "DOCENTE / FACILITADOR"))</f>
        <v/>
      </c>
      <c r="G522" s="4">
        <f>IF(B522="","",IFERROR(VLOOKUP(B522, PLANTA_BASE!A:R, 9, FALSE), "GENERAL"))</f>
        <v/>
      </c>
      <c r="H522" s="2">
        <f>IF(B522="","",IFERROR(VLOOKUP(B522, PLANTA_BASE!A:R, 17, FALSE), "GENERAL"))</f>
        <v/>
      </c>
    </row>
    <row r="523" ht="20" customHeight="1">
      <c r="A523" s="5">
        <f>IF(B523="","",IFERROR(VLOOKUP(B523, PLANTA_BASE!A:R, 2, FALSE), "NO ENCONTRADO EN PLANTA"))</f>
        <v/>
      </c>
      <c r="B523" s="6" t="inlineStr"/>
      <c r="C523" s="7">
        <f>IF(B523="","",IFERROR(VLOOKUP(B523, PLANTA_BASE!A:R, 3, FALSE), ""))</f>
        <v/>
      </c>
      <c r="D523" s="5">
        <f>IF(B523="","",IFERROR(VLOOKUP(B523, PLANTA_BASE!A:R, 5, FALSE), "NO ENCONTRADO EN PLANTA"))</f>
        <v/>
      </c>
      <c r="E523" s="5">
        <f>IF(B523="","",IFERROR(VLOOKUP(B523, PLANTA_BASE!A:R, 6, FALSE), "NO ENCONTRADO EN PLANTA"))</f>
        <v/>
      </c>
      <c r="F523" s="7">
        <f>IF(B523="","",IFERROR(VLOOKUP(B523, PLANTA_BASE!A:R, 8, FALSE), "DOCENTE / FACILITADOR"))</f>
        <v/>
      </c>
      <c r="G523" s="7">
        <f>IF(B523="","",IFERROR(VLOOKUP(B523, PLANTA_BASE!A:R, 9, FALSE), "GENERAL"))</f>
        <v/>
      </c>
      <c r="H523" s="5">
        <f>IF(B523="","",IFERROR(VLOOKUP(B523, PLANTA_BASE!A:R, 17, FALSE), "GENERAL"))</f>
        <v/>
      </c>
    </row>
    <row r="524" ht="20" customHeight="1">
      <c r="A524" s="2">
        <f>IF(B524="","",IFERROR(VLOOKUP(B524, PLANTA_BASE!A:R, 2, FALSE), "NO ENCONTRADO EN PLANTA"))</f>
        <v/>
      </c>
      <c r="B524" s="3" t="inlineStr"/>
      <c r="C524" s="4">
        <f>IF(B524="","",IFERROR(VLOOKUP(B524, PLANTA_BASE!A:R, 3, FALSE), ""))</f>
        <v/>
      </c>
      <c r="D524" s="2">
        <f>IF(B524="","",IFERROR(VLOOKUP(B524, PLANTA_BASE!A:R, 5, FALSE), "NO ENCONTRADO EN PLANTA"))</f>
        <v/>
      </c>
      <c r="E524" s="2">
        <f>IF(B524="","",IFERROR(VLOOKUP(B524, PLANTA_BASE!A:R, 6, FALSE), "NO ENCONTRADO EN PLANTA"))</f>
        <v/>
      </c>
      <c r="F524" s="4">
        <f>IF(B524="","",IFERROR(VLOOKUP(B524, PLANTA_BASE!A:R, 8, FALSE), "DOCENTE / FACILITADOR"))</f>
        <v/>
      </c>
      <c r="G524" s="4">
        <f>IF(B524="","",IFERROR(VLOOKUP(B524, PLANTA_BASE!A:R, 9, FALSE), "GENERAL"))</f>
        <v/>
      </c>
      <c r="H524" s="2">
        <f>IF(B524="","",IFERROR(VLOOKUP(B524, PLANTA_BASE!A:R, 17, FALSE), "GENERAL"))</f>
        <v/>
      </c>
    </row>
    <row r="525" ht="20" customHeight="1">
      <c r="A525" s="5">
        <f>IF(B525="","",IFERROR(VLOOKUP(B525, PLANTA_BASE!A:R, 2, FALSE), "NO ENCONTRADO EN PLANTA"))</f>
        <v/>
      </c>
      <c r="B525" s="6" t="inlineStr"/>
      <c r="C525" s="7">
        <f>IF(B525="","",IFERROR(VLOOKUP(B525, PLANTA_BASE!A:R, 3, FALSE), ""))</f>
        <v/>
      </c>
      <c r="D525" s="5">
        <f>IF(B525="","",IFERROR(VLOOKUP(B525, PLANTA_BASE!A:R, 5, FALSE), "NO ENCONTRADO EN PLANTA"))</f>
        <v/>
      </c>
      <c r="E525" s="5">
        <f>IF(B525="","",IFERROR(VLOOKUP(B525, PLANTA_BASE!A:R, 6, FALSE), "NO ENCONTRADO EN PLANTA"))</f>
        <v/>
      </c>
      <c r="F525" s="7">
        <f>IF(B525="","",IFERROR(VLOOKUP(B525, PLANTA_BASE!A:R, 8, FALSE), "DOCENTE / FACILITADOR"))</f>
        <v/>
      </c>
      <c r="G525" s="7">
        <f>IF(B525="","",IFERROR(VLOOKUP(B525, PLANTA_BASE!A:R, 9, FALSE), "GENERAL"))</f>
        <v/>
      </c>
      <c r="H525" s="5">
        <f>IF(B525="","",IFERROR(VLOOKUP(B525, PLANTA_BASE!A:R, 17, FALSE), "GENERAL"))</f>
        <v/>
      </c>
    </row>
    <row r="526" ht="20" customHeight="1">
      <c r="A526" s="2">
        <f>IF(B526="","",IFERROR(VLOOKUP(B526, PLANTA_BASE!A:R, 2, FALSE), "NO ENCONTRADO EN PLANTA"))</f>
        <v/>
      </c>
      <c r="B526" s="3" t="inlineStr"/>
      <c r="C526" s="4">
        <f>IF(B526="","",IFERROR(VLOOKUP(B526, PLANTA_BASE!A:R, 3, FALSE), ""))</f>
        <v/>
      </c>
      <c r="D526" s="2">
        <f>IF(B526="","",IFERROR(VLOOKUP(B526, PLANTA_BASE!A:R, 5, FALSE), "NO ENCONTRADO EN PLANTA"))</f>
        <v/>
      </c>
      <c r="E526" s="2">
        <f>IF(B526="","",IFERROR(VLOOKUP(B526, PLANTA_BASE!A:R, 6, FALSE), "NO ENCONTRADO EN PLANTA"))</f>
        <v/>
      </c>
      <c r="F526" s="4">
        <f>IF(B526="","",IFERROR(VLOOKUP(B526, PLANTA_BASE!A:R, 8, FALSE), "DOCENTE / FACILITADOR"))</f>
        <v/>
      </c>
      <c r="G526" s="4">
        <f>IF(B526="","",IFERROR(VLOOKUP(B526, PLANTA_BASE!A:R, 9, FALSE), "GENERAL"))</f>
        <v/>
      </c>
      <c r="H526" s="2">
        <f>IF(B526="","",IFERROR(VLOOKUP(B526, PLANTA_BASE!A:R, 17, FALSE), "GENERAL"))</f>
        <v/>
      </c>
    </row>
    <row r="527" ht="20" customHeight="1">
      <c r="A527" s="5">
        <f>IF(B527="","",IFERROR(VLOOKUP(B527, PLANTA_BASE!A:R, 2, FALSE), "NO ENCONTRADO EN PLANTA"))</f>
        <v/>
      </c>
      <c r="B527" s="6" t="inlineStr"/>
      <c r="C527" s="7">
        <f>IF(B527="","",IFERROR(VLOOKUP(B527, PLANTA_BASE!A:R, 3, FALSE), ""))</f>
        <v/>
      </c>
      <c r="D527" s="5">
        <f>IF(B527="","",IFERROR(VLOOKUP(B527, PLANTA_BASE!A:R, 5, FALSE), "NO ENCONTRADO EN PLANTA"))</f>
        <v/>
      </c>
      <c r="E527" s="5">
        <f>IF(B527="","",IFERROR(VLOOKUP(B527, PLANTA_BASE!A:R, 6, FALSE), "NO ENCONTRADO EN PLANTA"))</f>
        <v/>
      </c>
      <c r="F527" s="7">
        <f>IF(B527="","",IFERROR(VLOOKUP(B527, PLANTA_BASE!A:R, 8, FALSE), "DOCENTE / FACILITADOR"))</f>
        <v/>
      </c>
      <c r="G527" s="7">
        <f>IF(B527="","",IFERROR(VLOOKUP(B527, PLANTA_BASE!A:R, 9, FALSE), "GENERAL"))</f>
        <v/>
      </c>
      <c r="H527" s="5">
        <f>IF(B527="","",IFERROR(VLOOKUP(B527, PLANTA_BASE!A:R, 17, FALSE), "GENERAL"))</f>
        <v/>
      </c>
    </row>
    <row r="528" ht="20" customHeight="1">
      <c r="A528" s="2">
        <f>IF(B528="","",IFERROR(VLOOKUP(B528, PLANTA_BASE!A:R, 2, FALSE), "NO ENCONTRADO EN PLANTA"))</f>
        <v/>
      </c>
      <c r="B528" s="3" t="inlineStr"/>
      <c r="C528" s="4">
        <f>IF(B528="","",IFERROR(VLOOKUP(B528, PLANTA_BASE!A:R, 3, FALSE), ""))</f>
        <v/>
      </c>
      <c r="D528" s="2">
        <f>IF(B528="","",IFERROR(VLOOKUP(B528, PLANTA_BASE!A:R, 5, FALSE), "NO ENCONTRADO EN PLANTA"))</f>
        <v/>
      </c>
      <c r="E528" s="2">
        <f>IF(B528="","",IFERROR(VLOOKUP(B528, PLANTA_BASE!A:R, 6, FALSE), "NO ENCONTRADO EN PLANTA"))</f>
        <v/>
      </c>
      <c r="F528" s="4">
        <f>IF(B528="","",IFERROR(VLOOKUP(B528, PLANTA_BASE!A:R, 8, FALSE), "DOCENTE / FACILITADOR"))</f>
        <v/>
      </c>
      <c r="G528" s="4">
        <f>IF(B528="","",IFERROR(VLOOKUP(B528, PLANTA_BASE!A:R, 9, FALSE), "GENERAL"))</f>
        <v/>
      </c>
      <c r="H528" s="2">
        <f>IF(B528="","",IFERROR(VLOOKUP(B528, PLANTA_BASE!A:R, 17, FALSE), "GENERAL"))</f>
        <v/>
      </c>
    </row>
    <row r="529" ht="20" customHeight="1">
      <c r="A529" s="5">
        <f>IF(B529="","",IFERROR(VLOOKUP(B529, PLANTA_BASE!A:R, 2, FALSE), "NO ENCONTRADO EN PLANTA"))</f>
        <v/>
      </c>
      <c r="B529" s="6" t="inlineStr"/>
      <c r="C529" s="7">
        <f>IF(B529="","",IFERROR(VLOOKUP(B529, PLANTA_BASE!A:R, 3, FALSE), ""))</f>
        <v/>
      </c>
      <c r="D529" s="5">
        <f>IF(B529="","",IFERROR(VLOOKUP(B529, PLANTA_BASE!A:R, 5, FALSE), "NO ENCONTRADO EN PLANTA"))</f>
        <v/>
      </c>
      <c r="E529" s="5">
        <f>IF(B529="","",IFERROR(VLOOKUP(B529, PLANTA_BASE!A:R, 6, FALSE), "NO ENCONTRADO EN PLANTA"))</f>
        <v/>
      </c>
      <c r="F529" s="7">
        <f>IF(B529="","",IFERROR(VLOOKUP(B529, PLANTA_BASE!A:R, 8, FALSE), "DOCENTE / FACILITADOR"))</f>
        <v/>
      </c>
      <c r="G529" s="7">
        <f>IF(B529="","",IFERROR(VLOOKUP(B529, PLANTA_BASE!A:R, 9, FALSE), "GENERAL"))</f>
        <v/>
      </c>
      <c r="H529" s="5">
        <f>IF(B529="","",IFERROR(VLOOKUP(B529, PLANTA_BASE!A:R, 17, FALSE), "GENERAL"))</f>
        <v/>
      </c>
    </row>
    <row r="530" ht="20" customHeight="1">
      <c r="A530" s="2">
        <f>IF(B530="","",IFERROR(VLOOKUP(B530, PLANTA_BASE!A:R, 2, FALSE), "NO ENCONTRADO EN PLANTA"))</f>
        <v/>
      </c>
      <c r="B530" s="3" t="inlineStr"/>
      <c r="C530" s="4">
        <f>IF(B530="","",IFERROR(VLOOKUP(B530, PLANTA_BASE!A:R, 3, FALSE), ""))</f>
        <v/>
      </c>
      <c r="D530" s="2">
        <f>IF(B530="","",IFERROR(VLOOKUP(B530, PLANTA_BASE!A:R, 5, FALSE), "NO ENCONTRADO EN PLANTA"))</f>
        <v/>
      </c>
      <c r="E530" s="2">
        <f>IF(B530="","",IFERROR(VLOOKUP(B530, PLANTA_BASE!A:R, 6, FALSE), "NO ENCONTRADO EN PLANTA"))</f>
        <v/>
      </c>
      <c r="F530" s="4">
        <f>IF(B530="","",IFERROR(VLOOKUP(B530, PLANTA_BASE!A:R, 8, FALSE), "DOCENTE / FACILITADOR"))</f>
        <v/>
      </c>
      <c r="G530" s="4">
        <f>IF(B530="","",IFERROR(VLOOKUP(B530, PLANTA_BASE!A:R, 9, FALSE), "GENERAL"))</f>
        <v/>
      </c>
      <c r="H530" s="2">
        <f>IF(B530="","",IFERROR(VLOOKUP(B530, PLANTA_BASE!A:R, 17, FALSE), "GENERAL"))</f>
        <v/>
      </c>
    </row>
    <row r="531" ht="20" customHeight="1">
      <c r="A531" s="5">
        <f>IF(B531="","",IFERROR(VLOOKUP(B531, PLANTA_BASE!A:R, 2, FALSE), "NO ENCONTRADO EN PLANTA"))</f>
        <v/>
      </c>
      <c r="B531" s="6" t="inlineStr"/>
      <c r="C531" s="7">
        <f>IF(B531="","",IFERROR(VLOOKUP(B531, PLANTA_BASE!A:R, 3, FALSE), ""))</f>
        <v/>
      </c>
      <c r="D531" s="5">
        <f>IF(B531="","",IFERROR(VLOOKUP(B531, PLANTA_BASE!A:R, 5, FALSE), "NO ENCONTRADO EN PLANTA"))</f>
        <v/>
      </c>
      <c r="E531" s="5">
        <f>IF(B531="","",IFERROR(VLOOKUP(B531, PLANTA_BASE!A:R, 6, FALSE), "NO ENCONTRADO EN PLANTA"))</f>
        <v/>
      </c>
      <c r="F531" s="7">
        <f>IF(B531="","",IFERROR(VLOOKUP(B531, PLANTA_BASE!A:R, 8, FALSE), "DOCENTE / FACILITADOR"))</f>
        <v/>
      </c>
      <c r="G531" s="7">
        <f>IF(B531="","",IFERROR(VLOOKUP(B531, PLANTA_BASE!A:R, 9, FALSE), "GENERAL"))</f>
        <v/>
      </c>
      <c r="H531" s="5">
        <f>IF(B531="","",IFERROR(VLOOKUP(B531, PLANTA_BASE!A:R, 17, FALSE), "GENERAL"))</f>
        <v/>
      </c>
    </row>
    <row r="532" ht="20" customHeight="1">
      <c r="A532" s="2">
        <f>IF(B532="","",IFERROR(VLOOKUP(B532, PLANTA_BASE!A:R, 2, FALSE), "NO ENCONTRADO EN PLANTA"))</f>
        <v/>
      </c>
      <c r="B532" s="3" t="inlineStr"/>
      <c r="C532" s="4">
        <f>IF(B532="","",IFERROR(VLOOKUP(B532, PLANTA_BASE!A:R, 3, FALSE), ""))</f>
        <v/>
      </c>
      <c r="D532" s="2">
        <f>IF(B532="","",IFERROR(VLOOKUP(B532, PLANTA_BASE!A:R, 5, FALSE), "NO ENCONTRADO EN PLANTA"))</f>
        <v/>
      </c>
      <c r="E532" s="2">
        <f>IF(B532="","",IFERROR(VLOOKUP(B532, PLANTA_BASE!A:R, 6, FALSE), "NO ENCONTRADO EN PLANTA"))</f>
        <v/>
      </c>
      <c r="F532" s="4">
        <f>IF(B532="","",IFERROR(VLOOKUP(B532, PLANTA_BASE!A:R, 8, FALSE), "DOCENTE / FACILITADOR"))</f>
        <v/>
      </c>
      <c r="G532" s="4">
        <f>IF(B532="","",IFERROR(VLOOKUP(B532, PLANTA_BASE!A:R, 9, FALSE), "GENERAL"))</f>
        <v/>
      </c>
      <c r="H532" s="2">
        <f>IF(B532="","",IFERROR(VLOOKUP(B532, PLANTA_BASE!A:R, 17, FALSE), "GENERAL"))</f>
        <v/>
      </c>
    </row>
    <row r="533" ht="20" customHeight="1">
      <c r="A533" s="5">
        <f>IF(B533="","",IFERROR(VLOOKUP(B533, PLANTA_BASE!A:R, 2, FALSE), "NO ENCONTRADO EN PLANTA"))</f>
        <v/>
      </c>
      <c r="B533" s="6" t="inlineStr"/>
      <c r="C533" s="7">
        <f>IF(B533="","",IFERROR(VLOOKUP(B533, PLANTA_BASE!A:R, 3, FALSE), ""))</f>
        <v/>
      </c>
      <c r="D533" s="5">
        <f>IF(B533="","",IFERROR(VLOOKUP(B533, PLANTA_BASE!A:R, 5, FALSE), "NO ENCONTRADO EN PLANTA"))</f>
        <v/>
      </c>
      <c r="E533" s="5">
        <f>IF(B533="","",IFERROR(VLOOKUP(B533, PLANTA_BASE!A:R, 6, FALSE), "NO ENCONTRADO EN PLANTA"))</f>
        <v/>
      </c>
      <c r="F533" s="7">
        <f>IF(B533="","",IFERROR(VLOOKUP(B533, PLANTA_BASE!A:R, 8, FALSE), "DOCENTE / FACILITADOR"))</f>
        <v/>
      </c>
      <c r="G533" s="7">
        <f>IF(B533="","",IFERROR(VLOOKUP(B533, PLANTA_BASE!A:R, 9, FALSE), "GENERAL"))</f>
        <v/>
      </c>
      <c r="H533" s="5">
        <f>IF(B533="","",IFERROR(VLOOKUP(B533, PLANTA_BASE!A:R, 17, FALSE), "GENERAL"))</f>
        <v/>
      </c>
    </row>
    <row r="534" ht="20" customHeight="1">
      <c r="A534" s="2">
        <f>IF(B534="","",IFERROR(VLOOKUP(B534, PLANTA_BASE!A:R, 2, FALSE), "NO ENCONTRADO EN PLANTA"))</f>
        <v/>
      </c>
      <c r="B534" s="3" t="inlineStr"/>
      <c r="C534" s="4">
        <f>IF(B534="","",IFERROR(VLOOKUP(B534, PLANTA_BASE!A:R, 3, FALSE), ""))</f>
        <v/>
      </c>
      <c r="D534" s="2">
        <f>IF(B534="","",IFERROR(VLOOKUP(B534, PLANTA_BASE!A:R, 5, FALSE), "NO ENCONTRADO EN PLANTA"))</f>
        <v/>
      </c>
      <c r="E534" s="2">
        <f>IF(B534="","",IFERROR(VLOOKUP(B534, PLANTA_BASE!A:R, 6, FALSE), "NO ENCONTRADO EN PLANTA"))</f>
        <v/>
      </c>
      <c r="F534" s="4">
        <f>IF(B534="","",IFERROR(VLOOKUP(B534, PLANTA_BASE!A:R, 8, FALSE), "DOCENTE / FACILITADOR"))</f>
        <v/>
      </c>
      <c r="G534" s="4">
        <f>IF(B534="","",IFERROR(VLOOKUP(B534, PLANTA_BASE!A:R, 9, FALSE), "GENERAL"))</f>
        <v/>
      </c>
      <c r="H534" s="2">
        <f>IF(B534="","",IFERROR(VLOOKUP(B534, PLANTA_BASE!A:R, 17, FALSE), "GENERAL"))</f>
        <v/>
      </c>
    </row>
    <row r="535" ht="20" customHeight="1">
      <c r="A535" s="5">
        <f>IF(B535="","",IFERROR(VLOOKUP(B535, PLANTA_BASE!A:R, 2, FALSE), "NO ENCONTRADO EN PLANTA"))</f>
        <v/>
      </c>
      <c r="B535" s="6" t="inlineStr"/>
      <c r="C535" s="7">
        <f>IF(B535="","",IFERROR(VLOOKUP(B535, PLANTA_BASE!A:R, 3, FALSE), ""))</f>
        <v/>
      </c>
      <c r="D535" s="5">
        <f>IF(B535="","",IFERROR(VLOOKUP(B535, PLANTA_BASE!A:R, 5, FALSE), "NO ENCONTRADO EN PLANTA"))</f>
        <v/>
      </c>
      <c r="E535" s="5">
        <f>IF(B535="","",IFERROR(VLOOKUP(B535, PLANTA_BASE!A:R, 6, FALSE), "NO ENCONTRADO EN PLANTA"))</f>
        <v/>
      </c>
      <c r="F535" s="7">
        <f>IF(B535="","",IFERROR(VLOOKUP(B535, PLANTA_BASE!A:R, 8, FALSE), "DOCENTE / FACILITADOR"))</f>
        <v/>
      </c>
      <c r="G535" s="7">
        <f>IF(B535="","",IFERROR(VLOOKUP(B535, PLANTA_BASE!A:R, 9, FALSE), "GENERAL"))</f>
        <v/>
      </c>
      <c r="H535" s="5">
        <f>IF(B535="","",IFERROR(VLOOKUP(B535, PLANTA_BASE!A:R, 17, FALSE), "GENERAL"))</f>
        <v/>
      </c>
    </row>
    <row r="536" ht="20" customHeight="1">
      <c r="A536" s="2">
        <f>IF(B536="","",IFERROR(VLOOKUP(B536, PLANTA_BASE!A:R, 2, FALSE), "NO ENCONTRADO EN PLANTA"))</f>
        <v/>
      </c>
      <c r="B536" s="3" t="inlineStr"/>
      <c r="C536" s="4">
        <f>IF(B536="","",IFERROR(VLOOKUP(B536, PLANTA_BASE!A:R, 3, FALSE), ""))</f>
        <v/>
      </c>
      <c r="D536" s="2">
        <f>IF(B536="","",IFERROR(VLOOKUP(B536, PLANTA_BASE!A:R, 5, FALSE), "NO ENCONTRADO EN PLANTA"))</f>
        <v/>
      </c>
      <c r="E536" s="2">
        <f>IF(B536="","",IFERROR(VLOOKUP(B536, PLANTA_BASE!A:R, 6, FALSE), "NO ENCONTRADO EN PLANTA"))</f>
        <v/>
      </c>
      <c r="F536" s="4">
        <f>IF(B536="","",IFERROR(VLOOKUP(B536, PLANTA_BASE!A:R, 8, FALSE), "DOCENTE / FACILITADOR"))</f>
        <v/>
      </c>
      <c r="G536" s="4">
        <f>IF(B536="","",IFERROR(VLOOKUP(B536, PLANTA_BASE!A:R, 9, FALSE), "GENERAL"))</f>
        <v/>
      </c>
      <c r="H536" s="2">
        <f>IF(B536="","",IFERROR(VLOOKUP(B536, PLANTA_BASE!A:R, 17, FALSE), "GENERAL"))</f>
        <v/>
      </c>
    </row>
    <row r="537" ht="20" customHeight="1">
      <c r="A537" s="5">
        <f>IF(B537="","",IFERROR(VLOOKUP(B537, PLANTA_BASE!A:R, 2, FALSE), "NO ENCONTRADO EN PLANTA"))</f>
        <v/>
      </c>
      <c r="B537" s="6" t="inlineStr"/>
      <c r="C537" s="7">
        <f>IF(B537="","",IFERROR(VLOOKUP(B537, PLANTA_BASE!A:R, 3, FALSE), ""))</f>
        <v/>
      </c>
      <c r="D537" s="5">
        <f>IF(B537="","",IFERROR(VLOOKUP(B537, PLANTA_BASE!A:R, 5, FALSE), "NO ENCONTRADO EN PLANTA"))</f>
        <v/>
      </c>
      <c r="E537" s="5">
        <f>IF(B537="","",IFERROR(VLOOKUP(B537, PLANTA_BASE!A:R, 6, FALSE), "NO ENCONTRADO EN PLANTA"))</f>
        <v/>
      </c>
      <c r="F537" s="7">
        <f>IF(B537="","",IFERROR(VLOOKUP(B537, PLANTA_BASE!A:R, 8, FALSE), "DOCENTE / FACILITADOR"))</f>
        <v/>
      </c>
      <c r="G537" s="7">
        <f>IF(B537="","",IFERROR(VLOOKUP(B537, PLANTA_BASE!A:R, 9, FALSE), "GENERAL"))</f>
        <v/>
      </c>
      <c r="H537" s="5">
        <f>IF(B537="","",IFERROR(VLOOKUP(B537, PLANTA_BASE!A:R, 17, FALSE), "GENERAL"))</f>
        <v/>
      </c>
    </row>
    <row r="538" ht="20" customHeight="1">
      <c r="A538" s="2">
        <f>IF(B538="","",IFERROR(VLOOKUP(B538, PLANTA_BASE!A:R, 2, FALSE), "NO ENCONTRADO EN PLANTA"))</f>
        <v/>
      </c>
      <c r="B538" s="3" t="inlineStr"/>
      <c r="C538" s="4">
        <f>IF(B538="","",IFERROR(VLOOKUP(B538, PLANTA_BASE!A:R, 3, FALSE), ""))</f>
        <v/>
      </c>
      <c r="D538" s="2">
        <f>IF(B538="","",IFERROR(VLOOKUP(B538, PLANTA_BASE!A:R, 5, FALSE), "NO ENCONTRADO EN PLANTA"))</f>
        <v/>
      </c>
      <c r="E538" s="2">
        <f>IF(B538="","",IFERROR(VLOOKUP(B538, PLANTA_BASE!A:R, 6, FALSE), "NO ENCONTRADO EN PLANTA"))</f>
        <v/>
      </c>
      <c r="F538" s="4">
        <f>IF(B538="","",IFERROR(VLOOKUP(B538, PLANTA_BASE!A:R, 8, FALSE), "DOCENTE / FACILITADOR"))</f>
        <v/>
      </c>
      <c r="G538" s="4">
        <f>IF(B538="","",IFERROR(VLOOKUP(B538, PLANTA_BASE!A:R, 9, FALSE), "GENERAL"))</f>
        <v/>
      </c>
      <c r="H538" s="2">
        <f>IF(B538="","",IFERROR(VLOOKUP(B538, PLANTA_BASE!A:R, 17, FALSE), "GENERAL"))</f>
        <v/>
      </c>
    </row>
    <row r="539" ht="20" customHeight="1">
      <c r="A539" s="5">
        <f>IF(B539="","",IFERROR(VLOOKUP(B539, PLANTA_BASE!A:R, 2, FALSE), "NO ENCONTRADO EN PLANTA"))</f>
        <v/>
      </c>
      <c r="B539" s="6" t="inlineStr"/>
      <c r="C539" s="7">
        <f>IF(B539="","",IFERROR(VLOOKUP(B539, PLANTA_BASE!A:R, 3, FALSE), ""))</f>
        <v/>
      </c>
      <c r="D539" s="5">
        <f>IF(B539="","",IFERROR(VLOOKUP(B539, PLANTA_BASE!A:R, 5, FALSE), "NO ENCONTRADO EN PLANTA"))</f>
        <v/>
      </c>
      <c r="E539" s="5">
        <f>IF(B539="","",IFERROR(VLOOKUP(B539, PLANTA_BASE!A:R, 6, FALSE), "NO ENCONTRADO EN PLANTA"))</f>
        <v/>
      </c>
      <c r="F539" s="7">
        <f>IF(B539="","",IFERROR(VLOOKUP(B539, PLANTA_BASE!A:R, 8, FALSE), "DOCENTE / FACILITADOR"))</f>
        <v/>
      </c>
      <c r="G539" s="7">
        <f>IF(B539="","",IFERROR(VLOOKUP(B539, PLANTA_BASE!A:R, 9, FALSE), "GENERAL"))</f>
        <v/>
      </c>
      <c r="H539" s="5">
        <f>IF(B539="","",IFERROR(VLOOKUP(B539, PLANTA_BASE!A:R, 17, FALSE), "GENERAL"))</f>
        <v/>
      </c>
    </row>
    <row r="540" ht="20" customHeight="1">
      <c r="A540" s="2">
        <f>IF(B540="","",IFERROR(VLOOKUP(B540, PLANTA_BASE!A:R, 2, FALSE), "NO ENCONTRADO EN PLANTA"))</f>
        <v/>
      </c>
      <c r="B540" s="3" t="inlineStr"/>
      <c r="C540" s="4">
        <f>IF(B540="","",IFERROR(VLOOKUP(B540, PLANTA_BASE!A:R, 3, FALSE), ""))</f>
        <v/>
      </c>
      <c r="D540" s="2">
        <f>IF(B540="","",IFERROR(VLOOKUP(B540, PLANTA_BASE!A:R, 5, FALSE), "NO ENCONTRADO EN PLANTA"))</f>
        <v/>
      </c>
      <c r="E540" s="2">
        <f>IF(B540="","",IFERROR(VLOOKUP(B540, PLANTA_BASE!A:R, 6, FALSE), "NO ENCONTRADO EN PLANTA"))</f>
        <v/>
      </c>
      <c r="F540" s="4">
        <f>IF(B540="","",IFERROR(VLOOKUP(B540, PLANTA_BASE!A:R, 8, FALSE), "DOCENTE / FACILITADOR"))</f>
        <v/>
      </c>
      <c r="G540" s="4">
        <f>IF(B540="","",IFERROR(VLOOKUP(B540, PLANTA_BASE!A:R, 9, FALSE), "GENERAL"))</f>
        <v/>
      </c>
      <c r="H540" s="2">
        <f>IF(B540="","",IFERROR(VLOOKUP(B540, PLANTA_BASE!A:R, 17, FALSE), "GENERAL"))</f>
        <v/>
      </c>
    </row>
    <row r="541" ht="20" customHeight="1">
      <c r="A541" s="5">
        <f>IF(B541="","",IFERROR(VLOOKUP(B541, PLANTA_BASE!A:R, 2, FALSE), "NO ENCONTRADO EN PLANTA"))</f>
        <v/>
      </c>
      <c r="B541" s="6" t="inlineStr"/>
      <c r="C541" s="7">
        <f>IF(B541="","",IFERROR(VLOOKUP(B541, PLANTA_BASE!A:R, 3, FALSE), ""))</f>
        <v/>
      </c>
      <c r="D541" s="5">
        <f>IF(B541="","",IFERROR(VLOOKUP(B541, PLANTA_BASE!A:R, 5, FALSE), "NO ENCONTRADO EN PLANTA"))</f>
        <v/>
      </c>
      <c r="E541" s="5">
        <f>IF(B541="","",IFERROR(VLOOKUP(B541, PLANTA_BASE!A:R, 6, FALSE), "NO ENCONTRADO EN PLANTA"))</f>
        <v/>
      </c>
      <c r="F541" s="7">
        <f>IF(B541="","",IFERROR(VLOOKUP(B541, PLANTA_BASE!A:R, 8, FALSE), "DOCENTE / FACILITADOR"))</f>
        <v/>
      </c>
      <c r="G541" s="7">
        <f>IF(B541="","",IFERROR(VLOOKUP(B541, PLANTA_BASE!A:R, 9, FALSE), "GENERAL"))</f>
        <v/>
      </c>
      <c r="H541" s="5">
        <f>IF(B541="","",IFERROR(VLOOKUP(B541, PLANTA_BASE!A:R, 17, FALSE), "GENERAL"))</f>
        <v/>
      </c>
    </row>
    <row r="542" ht="20" customHeight="1">
      <c r="A542" s="2">
        <f>IF(B542="","",IFERROR(VLOOKUP(B542, PLANTA_BASE!A:R, 2, FALSE), "NO ENCONTRADO EN PLANTA"))</f>
        <v/>
      </c>
      <c r="B542" s="3" t="inlineStr"/>
      <c r="C542" s="4">
        <f>IF(B542="","",IFERROR(VLOOKUP(B542, PLANTA_BASE!A:R, 3, FALSE), ""))</f>
        <v/>
      </c>
      <c r="D542" s="2">
        <f>IF(B542="","",IFERROR(VLOOKUP(B542, PLANTA_BASE!A:R, 5, FALSE), "NO ENCONTRADO EN PLANTA"))</f>
        <v/>
      </c>
      <c r="E542" s="2">
        <f>IF(B542="","",IFERROR(VLOOKUP(B542, PLANTA_BASE!A:R, 6, FALSE), "NO ENCONTRADO EN PLANTA"))</f>
        <v/>
      </c>
      <c r="F542" s="4">
        <f>IF(B542="","",IFERROR(VLOOKUP(B542, PLANTA_BASE!A:R, 8, FALSE), "DOCENTE / FACILITADOR"))</f>
        <v/>
      </c>
      <c r="G542" s="4">
        <f>IF(B542="","",IFERROR(VLOOKUP(B542, PLANTA_BASE!A:R, 9, FALSE), "GENERAL"))</f>
        <v/>
      </c>
      <c r="H542" s="2">
        <f>IF(B542="","",IFERROR(VLOOKUP(B542, PLANTA_BASE!A:R, 17, FALSE), "GENERAL"))</f>
        <v/>
      </c>
    </row>
    <row r="543" ht="20" customHeight="1">
      <c r="A543" s="5">
        <f>IF(B543="","",IFERROR(VLOOKUP(B543, PLANTA_BASE!A:R, 2, FALSE), "NO ENCONTRADO EN PLANTA"))</f>
        <v/>
      </c>
      <c r="B543" s="6" t="inlineStr"/>
      <c r="C543" s="7">
        <f>IF(B543="","",IFERROR(VLOOKUP(B543, PLANTA_BASE!A:R, 3, FALSE), ""))</f>
        <v/>
      </c>
      <c r="D543" s="5">
        <f>IF(B543="","",IFERROR(VLOOKUP(B543, PLANTA_BASE!A:R, 5, FALSE), "NO ENCONTRADO EN PLANTA"))</f>
        <v/>
      </c>
      <c r="E543" s="5">
        <f>IF(B543="","",IFERROR(VLOOKUP(B543, PLANTA_BASE!A:R, 6, FALSE), "NO ENCONTRADO EN PLANTA"))</f>
        <v/>
      </c>
      <c r="F543" s="7">
        <f>IF(B543="","",IFERROR(VLOOKUP(B543, PLANTA_BASE!A:R, 8, FALSE), "DOCENTE / FACILITADOR"))</f>
        <v/>
      </c>
      <c r="G543" s="7">
        <f>IF(B543="","",IFERROR(VLOOKUP(B543, PLANTA_BASE!A:R, 9, FALSE), "GENERAL"))</f>
        <v/>
      </c>
      <c r="H543" s="5">
        <f>IF(B543="","",IFERROR(VLOOKUP(B543, PLANTA_BASE!A:R, 17, FALSE), "GENERAL"))</f>
        <v/>
      </c>
    </row>
    <row r="544" ht="20" customHeight="1">
      <c r="A544" s="2">
        <f>IF(B544="","",IFERROR(VLOOKUP(B544, PLANTA_BASE!A:R, 2, FALSE), "NO ENCONTRADO EN PLANTA"))</f>
        <v/>
      </c>
      <c r="B544" s="3" t="inlineStr"/>
      <c r="C544" s="4">
        <f>IF(B544="","",IFERROR(VLOOKUP(B544, PLANTA_BASE!A:R, 3, FALSE), ""))</f>
        <v/>
      </c>
      <c r="D544" s="2">
        <f>IF(B544="","",IFERROR(VLOOKUP(B544, PLANTA_BASE!A:R, 5, FALSE), "NO ENCONTRADO EN PLANTA"))</f>
        <v/>
      </c>
      <c r="E544" s="2">
        <f>IF(B544="","",IFERROR(VLOOKUP(B544, PLANTA_BASE!A:R, 6, FALSE), "NO ENCONTRADO EN PLANTA"))</f>
        <v/>
      </c>
      <c r="F544" s="4">
        <f>IF(B544="","",IFERROR(VLOOKUP(B544, PLANTA_BASE!A:R, 8, FALSE), "DOCENTE / FACILITADOR"))</f>
        <v/>
      </c>
      <c r="G544" s="4">
        <f>IF(B544="","",IFERROR(VLOOKUP(B544, PLANTA_BASE!A:R, 9, FALSE), "GENERAL"))</f>
        <v/>
      </c>
      <c r="H544" s="2">
        <f>IF(B544="","",IFERROR(VLOOKUP(B544, PLANTA_BASE!A:R, 17, FALSE), "GENERAL"))</f>
        <v/>
      </c>
    </row>
    <row r="545" ht="20" customHeight="1">
      <c r="A545" s="5">
        <f>IF(B545="","",IFERROR(VLOOKUP(B545, PLANTA_BASE!A:R, 2, FALSE), "NO ENCONTRADO EN PLANTA"))</f>
        <v/>
      </c>
      <c r="B545" s="6" t="inlineStr"/>
      <c r="C545" s="7">
        <f>IF(B545="","",IFERROR(VLOOKUP(B545, PLANTA_BASE!A:R, 3, FALSE), ""))</f>
        <v/>
      </c>
      <c r="D545" s="5">
        <f>IF(B545="","",IFERROR(VLOOKUP(B545, PLANTA_BASE!A:R, 5, FALSE), "NO ENCONTRADO EN PLANTA"))</f>
        <v/>
      </c>
      <c r="E545" s="5">
        <f>IF(B545="","",IFERROR(VLOOKUP(B545, PLANTA_BASE!A:R, 6, FALSE), "NO ENCONTRADO EN PLANTA"))</f>
        <v/>
      </c>
      <c r="F545" s="7">
        <f>IF(B545="","",IFERROR(VLOOKUP(B545, PLANTA_BASE!A:R, 8, FALSE), "DOCENTE / FACILITADOR"))</f>
        <v/>
      </c>
      <c r="G545" s="7">
        <f>IF(B545="","",IFERROR(VLOOKUP(B545, PLANTA_BASE!A:R, 9, FALSE), "GENERAL"))</f>
        <v/>
      </c>
      <c r="H545" s="5">
        <f>IF(B545="","",IFERROR(VLOOKUP(B545, PLANTA_BASE!A:R, 17, FALSE), "GENERAL"))</f>
        <v/>
      </c>
    </row>
    <row r="546" ht="20" customHeight="1">
      <c r="A546" s="2">
        <f>IF(B546="","",IFERROR(VLOOKUP(B546, PLANTA_BASE!A:R, 2, FALSE), "NO ENCONTRADO EN PLANTA"))</f>
        <v/>
      </c>
      <c r="B546" s="3" t="inlineStr"/>
      <c r="C546" s="4">
        <f>IF(B546="","",IFERROR(VLOOKUP(B546, PLANTA_BASE!A:R, 3, FALSE), ""))</f>
        <v/>
      </c>
      <c r="D546" s="2">
        <f>IF(B546="","",IFERROR(VLOOKUP(B546, PLANTA_BASE!A:R, 5, FALSE), "NO ENCONTRADO EN PLANTA"))</f>
        <v/>
      </c>
      <c r="E546" s="2">
        <f>IF(B546="","",IFERROR(VLOOKUP(B546, PLANTA_BASE!A:R, 6, FALSE), "NO ENCONTRADO EN PLANTA"))</f>
        <v/>
      </c>
      <c r="F546" s="4">
        <f>IF(B546="","",IFERROR(VLOOKUP(B546, PLANTA_BASE!A:R, 8, FALSE), "DOCENTE / FACILITADOR"))</f>
        <v/>
      </c>
      <c r="G546" s="4">
        <f>IF(B546="","",IFERROR(VLOOKUP(B546, PLANTA_BASE!A:R, 9, FALSE), "GENERAL"))</f>
        <v/>
      </c>
      <c r="H546" s="2">
        <f>IF(B546="","",IFERROR(VLOOKUP(B546, PLANTA_BASE!A:R, 17, FALSE), "GENERAL"))</f>
        <v/>
      </c>
    </row>
    <row r="547" ht="20" customHeight="1">
      <c r="A547" s="5">
        <f>IF(B547="","",IFERROR(VLOOKUP(B547, PLANTA_BASE!A:R, 2, FALSE), "NO ENCONTRADO EN PLANTA"))</f>
        <v/>
      </c>
      <c r="B547" s="6" t="inlineStr"/>
      <c r="C547" s="7">
        <f>IF(B547="","",IFERROR(VLOOKUP(B547, PLANTA_BASE!A:R, 3, FALSE), ""))</f>
        <v/>
      </c>
      <c r="D547" s="5">
        <f>IF(B547="","",IFERROR(VLOOKUP(B547, PLANTA_BASE!A:R, 5, FALSE), "NO ENCONTRADO EN PLANTA"))</f>
        <v/>
      </c>
      <c r="E547" s="5">
        <f>IF(B547="","",IFERROR(VLOOKUP(B547, PLANTA_BASE!A:R, 6, FALSE), "NO ENCONTRADO EN PLANTA"))</f>
        <v/>
      </c>
      <c r="F547" s="7">
        <f>IF(B547="","",IFERROR(VLOOKUP(B547, PLANTA_BASE!A:R, 8, FALSE), "DOCENTE / FACILITADOR"))</f>
        <v/>
      </c>
      <c r="G547" s="7">
        <f>IF(B547="","",IFERROR(VLOOKUP(B547, PLANTA_BASE!A:R, 9, FALSE), "GENERAL"))</f>
        <v/>
      </c>
      <c r="H547" s="5">
        <f>IF(B547="","",IFERROR(VLOOKUP(B547, PLANTA_BASE!A:R, 17, FALSE), "GENERAL"))</f>
        <v/>
      </c>
    </row>
    <row r="548" ht="20" customHeight="1">
      <c r="A548" s="2">
        <f>IF(B548="","",IFERROR(VLOOKUP(B548, PLANTA_BASE!A:R, 2, FALSE), "NO ENCONTRADO EN PLANTA"))</f>
        <v/>
      </c>
      <c r="B548" s="3" t="inlineStr"/>
      <c r="C548" s="4">
        <f>IF(B548="","",IFERROR(VLOOKUP(B548, PLANTA_BASE!A:R, 3, FALSE), ""))</f>
        <v/>
      </c>
      <c r="D548" s="2">
        <f>IF(B548="","",IFERROR(VLOOKUP(B548, PLANTA_BASE!A:R, 5, FALSE), "NO ENCONTRADO EN PLANTA"))</f>
        <v/>
      </c>
      <c r="E548" s="2">
        <f>IF(B548="","",IFERROR(VLOOKUP(B548, PLANTA_BASE!A:R, 6, FALSE), "NO ENCONTRADO EN PLANTA"))</f>
        <v/>
      </c>
      <c r="F548" s="4">
        <f>IF(B548="","",IFERROR(VLOOKUP(B548, PLANTA_BASE!A:R, 8, FALSE), "DOCENTE / FACILITADOR"))</f>
        <v/>
      </c>
      <c r="G548" s="4">
        <f>IF(B548="","",IFERROR(VLOOKUP(B548, PLANTA_BASE!A:R, 9, FALSE), "GENERAL"))</f>
        <v/>
      </c>
      <c r="H548" s="2">
        <f>IF(B548="","",IFERROR(VLOOKUP(B548, PLANTA_BASE!A:R, 17, FALSE), "GENERAL"))</f>
        <v/>
      </c>
    </row>
    <row r="549" ht="20" customHeight="1">
      <c r="A549" s="5">
        <f>IF(B549="","",IFERROR(VLOOKUP(B549, PLANTA_BASE!A:R, 2, FALSE), "NO ENCONTRADO EN PLANTA"))</f>
        <v/>
      </c>
      <c r="B549" s="6" t="inlineStr"/>
      <c r="C549" s="7">
        <f>IF(B549="","",IFERROR(VLOOKUP(B549, PLANTA_BASE!A:R, 3, FALSE), ""))</f>
        <v/>
      </c>
      <c r="D549" s="5">
        <f>IF(B549="","",IFERROR(VLOOKUP(B549, PLANTA_BASE!A:R, 5, FALSE), "NO ENCONTRADO EN PLANTA"))</f>
        <v/>
      </c>
      <c r="E549" s="5">
        <f>IF(B549="","",IFERROR(VLOOKUP(B549, PLANTA_BASE!A:R, 6, FALSE), "NO ENCONTRADO EN PLANTA"))</f>
        <v/>
      </c>
      <c r="F549" s="7">
        <f>IF(B549="","",IFERROR(VLOOKUP(B549, PLANTA_BASE!A:R, 8, FALSE), "DOCENTE / FACILITADOR"))</f>
        <v/>
      </c>
      <c r="G549" s="7">
        <f>IF(B549="","",IFERROR(VLOOKUP(B549, PLANTA_BASE!A:R, 9, FALSE), "GENERAL"))</f>
        <v/>
      </c>
      <c r="H549" s="5">
        <f>IF(B549="","",IFERROR(VLOOKUP(B549, PLANTA_BASE!A:R, 17, FALSE), "GENERAL"))</f>
        <v/>
      </c>
    </row>
    <row r="550" ht="20" customHeight="1">
      <c r="A550" s="2">
        <f>IF(B550="","",IFERROR(VLOOKUP(B550, PLANTA_BASE!A:R, 2, FALSE), "NO ENCONTRADO EN PLANTA"))</f>
        <v/>
      </c>
      <c r="B550" s="3" t="inlineStr"/>
      <c r="C550" s="4">
        <f>IF(B550="","",IFERROR(VLOOKUP(B550, PLANTA_BASE!A:R, 3, FALSE), ""))</f>
        <v/>
      </c>
      <c r="D550" s="2">
        <f>IF(B550="","",IFERROR(VLOOKUP(B550, PLANTA_BASE!A:R, 5, FALSE), "NO ENCONTRADO EN PLANTA"))</f>
        <v/>
      </c>
      <c r="E550" s="2">
        <f>IF(B550="","",IFERROR(VLOOKUP(B550, PLANTA_BASE!A:R, 6, FALSE), "NO ENCONTRADO EN PLANTA"))</f>
        <v/>
      </c>
      <c r="F550" s="4">
        <f>IF(B550="","",IFERROR(VLOOKUP(B550, PLANTA_BASE!A:R, 8, FALSE), "DOCENTE / FACILITADOR"))</f>
        <v/>
      </c>
      <c r="G550" s="4">
        <f>IF(B550="","",IFERROR(VLOOKUP(B550, PLANTA_BASE!A:R, 9, FALSE), "GENERAL"))</f>
        <v/>
      </c>
      <c r="H550" s="2">
        <f>IF(B550="","",IFERROR(VLOOKUP(B550, PLANTA_BASE!A:R, 17, FALSE), "GENERAL"))</f>
        <v/>
      </c>
    </row>
    <row r="551" ht="20" customHeight="1">
      <c r="A551" s="5">
        <f>IF(B551="","",IFERROR(VLOOKUP(B551, PLANTA_BASE!A:R, 2, FALSE), "NO ENCONTRADO EN PLANTA"))</f>
        <v/>
      </c>
      <c r="B551" s="6" t="inlineStr"/>
      <c r="C551" s="7">
        <f>IF(B551="","",IFERROR(VLOOKUP(B551, PLANTA_BASE!A:R, 3, FALSE), ""))</f>
        <v/>
      </c>
      <c r="D551" s="5">
        <f>IF(B551="","",IFERROR(VLOOKUP(B551, PLANTA_BASE!A:R, 5, FALSE), "NO ENCONTRADO EN PLANTA"))</f>
        <v/>
      </c>
      <c r="E551" s="5">
        <f>IF(B551="","",IFERROR(VLOOKUP(B551, PLANTA_BASE!A:R, 6, FALSE), "NO ENCONTRADO EN PLANTA"))</f>
        <v/>
      </c>
      <c r="F551" s="7">
        <f>IF(B551="","",IFERROR(VLOOKUP(B551, PLANTA_BASE!A:R, 8, FALSE), "DOCENTE / FACILITADOR"))</f>
        <v/>
      </c>
      <c r="G551" s="7">
        <f>IF(B551="","",IFERROR(VLOOKUP(B551, PLANTA_BASE!A:R, 9, FALSE), "GENERAL"))</f>
        <v/>
      </c>
      <c r="H551" s="5">
        <f>IF(B551="","",IFERROR(VLOOKUP(B551, PLANTA_BASE!A:R, 17, FALSE), "GENERAL"))</f>
        <v/>
      </c>
    </row>
    <row r="552" ht="20" customHeight="1">
      <c r="A552" s="2">
        <f>IF(B552="","",IFERROR(VLOOKUP(B552, PLANTA_BASE!A:R, 2, FALSE), "NO ENCONTRADO EN PLANTA"))</f>
        <v/>
      </c>
      <c r="B552" s="3" t="inlineStr"/>
      <c r="C552" s="4">
        <f>IF(B552="","",IFERROR(VLOOKUP(B552, PLANTA_BASE!A:R, 3, FALSE), ""))</f>
        <v/>
      </c>
      <c r="D552" s="2">
        <f>IF(B552="","",IFERROR(VLOOKUP(B552, PLANTA_BASE!A:R, 5, FALSE), "NO ENCONTRADO EN PLANTA"))</f>
        <v/>
      </c>
      <c r="E552" s="2">
        <f>IF(B552="","",IFERROR(VLOOKUP(B552, PLANTA_BASE!A:R, 6, FALSE), "NO ENCONTRADO EN PLANTA"))</f>
        <v/>
      </c>
      <c r="F552" s="4">
        <f>IF(B552="","",IFERROR(VLOOKUP(B552, PLANTA_BASE!A:R, 8, FALSE), "DOCENTE / FACILITADOR"))</f>
        <v/>
      </c>
      <c r="G552" s="4">
        <f>IF(B552="","",IFERROR(VLOOKUP(B552, PLANTA_BASE!A:R, 9, FALSE), "GENERAL"))</f>
        <v/>
      </c>
      <c r="H552" s="2">
        <f>IF(B552="","",IFERROR(VLOOKUP(B552, PLANTA_BASE!A:R, 17, FALSE), "GENERAL"))</f>
        <v/>
      </c>
    </row>
    <row r="553" ht="20" customHeight="1">
      <c r="A553" s="5">
        <f>IF(B553="","",IFERROR(VLOOKUP(B553, PLANTA_BASE!A:R, 2, FALSE), "NO ENCONTRADO EN PLANTA"))</f>
        <v/>
      </c>
      <c r="B553" s="6" t="inlineStr"/>
      <c r="C553" s="7">
        <f>IF(B553="","",IFERROR(VLOOKUP(B553, PLANTA_BASE!A:R, 3, FALSE), ""))</f>
        <v/>
      </c>
      <c r="D553" s="5">
        <f>IF(B553="","",IFERROR(VLOOKUP(B553, PLANTA_BASE!A:R, 5, FALSE), "NO ENCONTRADO EN PLANTA"))</f>
        <v/>
      </c>
      <c r="E553" s="5">
        <f>IF(B553="","",IFERROR(VLOOKUP(B553, PLANTA_BASE!A:R, 6, FALSE), "NO ENCONTRADO EN PLANTA"))</f>
        <v/>
      </c>
      <c r="F553" s="7">
        <f>IF(B553="","",IFERROR(VLOOKUP(B553, PLANTA_BASE!A:R, 8, FALSE), "DOCENTE / FACILITADOR"))</f>
        <v/>
      </c>
      <c r="G553" s="7">
        <f>IF(B553="","",IFERROR(VLOOKUP(B553, PLANTA_BASE!A:R, 9, FALSE), "GENERAL"))</f>
        <v/>
      </c>
      <c r="H553" s="5">
        <f>IF(B553="","",IFERROR(VLOOKUP(B553, PLANTA_BASE!A:R, 17, FALSE), "GENERAL"))</f>
        <v/>
      </c>
    </row>
    <row r="554" ht="20" customHeight="1">
      <c r="A554" s="2">
        <f>IF(B554="","",IFERROR(VLOOKUP(B554, PLANTA_BASE!A:R, 2, FALSE), "NO ENCONTRADO EN PLANTA"))</f>
        <v/>
      </c>
      <c r="B554" s="3" t="inlineStr"/>
      <c r="C554" s="4">
        <f>IF(B554="","",IFERROR(VLOOKUP(B554, PLANTA_BASE!A:R, 3, FALSE), ""))</f>
        <v/>
      </c>
      <c r="D554" s="2">
        <f>IF(B554="","",IFERROR(VLOOKUP(B554, PLANTA_BASE!A:R, 5, FALSE), "NO ENCONTRADO EN PLANTA"))</f>
        <v/>
      </c>
      <c r="E554" s="2">
        <f>IF(B554="","",IFERROR(VLOOKUP(B554, PLANTA_BASE!A:R, 6, FALSE), "NO ENCONTRADO EN PLANTA"))</f>
        <v/>
      </c>
      <c r="F554" s="4">
        <f>IF(B554="","",IFERROR(VLOOKUP(B554, PLANTA_BASE!A:R, 8, FALSE), "DOCENTE / FACILITADOR"))</f>
        <v/>
      </c>
      <c r="G554" s="4">
        <f>IF(B554="","",IFERROR(VLOOKUP(B554, PLANTA_BASE!A:R, 9, FALSE), "GENERAL"))</f>
        <v/>
      </c>
      <c r="H554" s="2">
        <f>IF(B554="","",IFERROR(VLOOKUP(B554, PLANTA_BASE!A:R, 17, FALSE), "GENERAL"))</f>
        <v/>
      </c>
    </row>
    <row r="555" ht="20" customHeight="1">
      <c r="A555" s="5">
        <f>IF(B555="","",IFERROR(VLOOKUP(B555, PLANTA_BASE!A:R, 2, FALSE), "NO ENCONTRADO EN PLANTA"))</f>
        <v/>
      </c>
      <c r="B555" s="6" t="inlineStr"/>
      <c r="C555" s="7">
        <f>IF(B555="","",IFERROR(VLOOKUP(B555, PLANTA_BASE!A:R, 3, FALSE), ""))</f>
        <v/>
      </c>
      <c r="D555" s="5">
        <f>IF(B555="","",IFERROR(VLOOKUP(B555, PLANTA_BASE!A:R, 5, FALSE), "NO ENCONTRADO EN PLANTA"))</f>
        <v/>
      </c>
      <c r="E555" s="5">
        <f>IF(B555="","",IFERROR(VLOOKUP(B555, PLANTA_BASE!A:R, 6, FALSE), "NO ENCONTRADO EN PLANTA"))</f>
        <v/>
      </c>
      <c r="F555" s="7">
        <f>IF(B555="","",IFERROR(VLOOKUP(B555, PLANTA_BASE!A:R, 8, FALSE), "DOCENTE / FACILITADOR"))</f>
        <v/>
      </c>
      <c r="G555" s="7">
        <f>IF(B555="","",IFERROR(VLOOKUP(B555, PLANTA_BASE!A:R, 9, FALSE), "GENERAL"))</f>
        <v/>
      </c>
      <c r="H555" s="5">
        <f>IF(B555="","",IFERROR(VLOOKUP(B555, PLANTA_BASE!A:R, 17, FALSE), "GENERAL"))</f>
        <v/>
      </c>
    </row>
    <row r="556" ht="20" customHeight="1">
      <c r="A556" s="2">
        <f>IF(B556="","",IFERROR(VLOOKUP(B556, PLANTA_BASE!A:R, 2, FALSE), "NO ENCONTRADO EN PLANTA"))</f>
        <v/>
      </c>
      <c r="B556" s="3" t="inlineStr"/>
      <c r="C556" s="4">
        <f>IF(B556="","",IFERROR(VLOOKUP(B556, PLANTA_BASE!A:R, 3, FALSE), ""))</f>
        <v/>
      </c>
      <c r="D556" s="2">
        <f>IF(B556="","",IFERROR(VLOOKUP(B556, PLANTA_BASE!A:R, 5, FALSE), "NO ENCONTRADO EN PLANTA"))</f>
        <v/>
      </c>
      <c r="E556" s="2">
        <f>IF(B556="","",IFERROR(VLOOKUP(B556, PLANTA_BASE!A:R, 6, FALSE), "NO ENCONTRADO EN PLANTA"))</f>
        <v/>
      </c>
      <c r="F556" s="4">
        <f>IF(B556="","",IFERROR(VLOOKUP(B556, PLANTA_BASE!A:R, 8, FALSE), "DOCENTE / FACILITADOR"))</f>
        <v/>
      </c>
      <c r="G556" s="4">
        <f>IF(B556="","",IFERROR(VLOOKUP(B556, PLANTA_BASE!A:R, 9, FALSE), "GENERAL"))</f>
        <v/>
      </c>
      <c r="H556" s="2">
        <f>IF(B556="","",IFERROR(VLOOKUP(B556, PLANTA_BASE!A:R, 17, FALSE), "GENERAL"))</f>
        <v/>
      </c>
    </row>
    <row r="557" ht="20" customHeight="1">
      <c r="A557" s="5">
        <f>IF(B557="","",IFERROR(VLOOKUP(B557, PLANTA_BASE!A:R, 2, FALSE), "NO ENCONTRADO EN PLANTA"))</f>
        <v/>
      </c>
      <c r="B557" s="6" t="inlineStr"/>
      <c r="C557" s="7">
        <f>IF(B557="","",IFERROR(VLOOKUP(B557, PLANTA_BASE!A:R, 3, FALSE), ""))</f>
        <v/>
      </c>
      <c r="D557" s="5">
        <f>IF(B557="","",IFERROR(VLOOKUP(B557, PLANTA_BASE!A:R, 5, FALSE), "NO ENCONTRADO EN PLANTA"))</f>
        <v/>
      </c>
      <c r="E557" s="5">
        <f>IF(B557="","",IFERROR(VLOOKUP(B557, PLANTA_BASE!A:R, 6, FALSE), "NO ENCONTRADO EN PLANTA"))</f>
        <v/>
      </c>
      <c r="F557" s="7">
        <f>IF(B557="","",IFERROR(VLOOKUP(B557, PLANTA_BASE!A:R, 8, FALSE), "DOCENTE / FACILITADOR"))</f>
        <v/>
      </c>
      <c r="G557" s="7">
        <f>IF(B557="","",IFERROR(VLOOKUP(B557, PLANTA_BASE!A:R, 9, FALSE), "GENERAL"))</f>
        <v/>
      </c>
      <c r="H557" s="5">
        <f>IF(B557="","",IFERROR(VLOOKUP(B557, PLANTA_BASE!A:R, 17, FALSE), "GENERAL"))</f>
        <v/>
      </c>
    </row>
    <row r="558" ht="20" customHeight="1">
      <c r="A558" s="2">
        <f>IF(B558="","",IFERROR(VLOOKUP(B558, PLANTA_BASE!A:R, 2, FALSE), "NO ENCONTRADO EN PLANTA"))</f>
        <v/>
      </c>
      <c r="B558" s="3" t="inlineStr"/>
      <c r="C558" s="4">
        <f>IF(B558="","",IFERROR(VLOOKUP(B558, PLANTA_BASE!A:R, 3, FALSE), ""))</f>
        <v/>
      </c>
      <c r="D558" s="2">
        <f>IF(B558="","",IFERROR(VLOOKUP(B558, PLANTA_BASE!A:R, 5, FALSE), "NO ENCONTRADO EN PLANTA"))</f>
        <v/>
      </c>
      <c r="E558" s="2">
        <f>IF(B558="","",IFERROR(VLOOKUP(B558, PLANTA_BASE!A:R, 6, FALSE), "NO ENCONTRADO EN PLANTA"))</f>
        <v/>
      </c>
      <c r="F558" s="4">
        <f>IF(B558="","",IFERROR(VLOOKUP(B558, PLANTA_BASE!A:R, 8, FALSE), "DOCENTE / FACILITADOR"))</f>
        <v/>
      </c>
      <c r="G558" s="4">
        <f>IF(B558="","",IFERROR(VLOOKUP(B558, PLANTA_BASE!A:R, 9, FALSE), "GENERAL"))</f>
        <v/>
      </c>
      <c r="H558" s="2">
        <f>IF(B558="","",IFERROR(VLOOKUP(B558, PLANTA_BASE!A:R, 17, FALSE), "GENERAL"))</f>
        <v/>
      </c>
    </row>
    <row r="559" ht="20" customHeight="1">
      <c r="A559" s="5">
        <f>IF(B559="","",IFERROR(VLOOKUP(B559, PLANTA_BASE!A:R, 2, FALSE), "NO ENCONTRADO EN PLANTA"))</f>
        <v/>
      </c>
      <c r="B559" s="6" t="inlineStr"/>
      <c r="C559" s="7">
        <f>IF(B559="","",IFERROR(VLOOKUP(B559, PLANTA_BASE!A:R, 3, FALSE), ""))</f>
        <v/>
      </c>
      <c r="D559" s="5">
        <f>IF(B559="","",IFERROR(VLOOKUP(B559, PLANTA_BASE!A:R, 5, FALSE), "NO ENCONTRADO EN PLANTA"))</f>
        <v/>
      </c>
      <c r="E559" s="5">
        <f>IF(B559="","",IFERROR(VLOOKUP(B559, PLANTA_BASE!A:R, 6, FALSE), "NO ENCONTRADO EN PLANTA"))</f>
        <v/>
      </c>
      <c r="F559" s="7">
        <f>IF(B559="","",IFERROR(VLOOKUP(B559, PLANTA_BASE!A:R, 8, FALSE), "DOCENTE / FACILITADOR"))</f>
        <v/>
      </c>
      <c r="G559" s="7">
        <f>IF(B559="","",IFERROR(VLOOKUP(B559, PLANTA_BASE!A:R, 9, FALSE), "GENERAL"))</f>
        <v/>
      </c>
      <c r="H559" s="5">
        <f>IF(B559="","",IFERROR(VLOOKUP(B559, PLANTA_BASE!A:R, 17, FALSE), "GENERAL"))</f>
        <v/>
      </c>
    </row>
    <row r="560" ht="20" customHeight="1">
      <c r="A560" s="2">
        <f>IF(B560="","",IFERROR(VLOOKUP(B560, PLANTA_BASE!A:R, 2, FALSE), "NO ENCONTRADO EN PLANTA"))</f>
        <v/>
      </c>
      <c r="B560" s="3" t="inlineStr"/>
      <c r="C560" s="4">
        <f>IF(B560="","",IFERROR(VLOOKUP(B560, PLANTA_BASE!A:R, 3, FALSE), ""))</f>
        <v/>
      </c>
      <c r="D560" s="2">
        <f>IF(B560="","",IFERROR(VLOOKUP(B560, PLANTA_BASE!A:R, 5, FALSE), "NO ENCONTRADO EN PLANTA"))</f>
        <v/>
      </c>
      <c r="E560" s="2">
        <f>IF(B560="","",IFERROR(VLOOKUP(B560, PLANTA_BASE!A:R, 6, FALSE), "NO ENCONTRADO EN PLANTA"))</f>
        <v/>
      </c>
      <c r="F560" s="4">
        <f>IF(B560="","",IFERROR(VLOOKUP(B560, PLANTA_BASE!A:R, 8, FALSE), "DOCENTE / FACILITADOR"))</f>
        <v/>
      </c>
      <c r="G560" s="4">
        <f>IF(B560="","",IFERROR(VLOOKUP(B560, PLANTA_BASE!A:R, 9, FALSE), "GENERAL"))</f>
        <v/>
      </c>
      <c r="H560" s="2">
        <f>IF(B560="","",IFERROR(VLOOKUP(B560, PLANTA_BASE!A:R, 17, FALSE), "GENERAL"))</f>
        <v/>
      </c>
    </row>
    <row r="561" ht="20" customHeight="1">
      <c r="A561" s="5">
        <f>IF(B561="","",IFERROR(VLOOKUP(B561, PLANTA_BASE!A:R, 2, FALSE), "NO ENCONTRADO EN PLANTA"))</f>
        <v/>
      </c>
      <c r="B561" s="6" t="inlineStr"/>
      <c r="C561" s="7">
        <f>IF(B561="","",IFERROR(VLOOKUP(B561, PLANTA_BASE!A:R, 3, FALSE), ""))</f>
        <v/>
      </c>
      <c r="D561" s="5">
        <f>IF(B561="","",IFERROR(VLOOKUP(B561, PLANTA_BASE!A:R, 5, FALSE), "NO ENCONTRADO EN PLANTA"))</f>
        <v/>
      </c>
      <c r="E561" s="5">
        <f>IF(B561="","",IFERROR(VLOOKUP(B561, PLANTA_BASE!A:R, 6, FALSE), "NO ENCONTRADO EN PLANTA"))</f>
        <v/>
      </c>
      <c r="F561" s="7">
        <f>IF(B561="","",IFERROR(VLOOKUP(B561, PLANTA_BASE!A:R, 8, FALSE), "DOCENTE / FACILITADOR"))</f>
        <v/>
      </c>
      <c r="G561" s="7">
        <f>IF(B561="","",IFERROR(VLOOKUP(B561, PLANTA_BASE!A:R, 9, FALSE), "GENERAL"))</f>
        <v/>
      </c>
      <c r="H561" s="5">
        <f>IF(B561="","",IFERROR(VLOOKUP(B561, PLANTA_BASE!A:R, 17, FALSE), "GENERAL"))</f>
        <v/>
      </c>
    </row>
    <row r="562" ht="20" customHeight="1">
      <c r="A562" s="2">
        <f>IF(B562="","",IFERROR(VLOOKUP(B562, PLANTA_BASE!A:R, 2, FALSE), "NO ENCONTRADO EN PLANTA"))</f>
        <v/>
      </c>
      <c r="B562" s="3" t="inlineStr"/>
      <c r="C562" s="4">
        <f>IF(B562="","",IFERROR(VLOOKUP(B562, PLANTA_BASE!A:R, 3, FALSE), ""))</f>
        <v/>
      </c>
      <c r="D562" s="2">
        <f>IF(B562="","",IFERROR(VLOOKUP(B562, PLANTA_BASE!A:R, 5, FALSE), "NO ENCONTRADO EN PLANTA"))</f>
        <v/>
      </c>
      <c r="E562" s="2">
        <f>IF(B562="","",IFERROR(VLOOKUP(B562, PLANTA_BASE!A:R, 6, FALSE), "NO ENCONTRADO EN PLANTA"))</f>
        <v/>
      </c>
      <c r="F562" s="4">
        <f>IF(B562="","",IFERROR(VLOOKUP(B562, PLANTA_BASE!A:R, 8, FALSE), "DOCENTE / FACILITADOR"))</f>
        <v/>
      </c>
      <c r="G562" s="4">
        <f>IF(B562="","",IFERROR(VLOOKUP(B562, PLANTA_BASE!A:R, 9, FALSE), "GENERAL"))</f>
        <v/>
      </c>
      <c r="H562" s="2">
        <f>IF(B562="","",IFERROR(VLOOKUP(B562, PLANTA_BASE!A:R, 17, FALSE), "GENERAL"))</f>
        <v/>
      </c>
    </row>
    <row r="563" ht="20" customHeight="1">
      <c r="A563" s="5">
        <f>IF(B563="","",IFERROR(VLOOKUP(B563, PLANTA_BASE!A:R, 2, FALSE), "NO ENCONTRADO EN PLANTA"))</f>
        <v/>
      </c>
      <c r="B563" s="6" t="inlineStr"/>
      <c r="C563" s="7">
        <f>IF(B563="","",IFERROR(VLOOKUP(B563, PLANTA_BASE!A:R, 3, FALSE), ""))</f>
        <v/>
      </c>
      <c r="D563" s="5">
        <f>IF(B563="","",IFERROR(VLOOKUP(B563, PLANTA_BASE!A:R, 5, FALSE), "NO ENCONTRADO EN PLANTA"))</f>
        <v/>
      </c>
      <c r="E563" s="5">
        <f>IF(B563="","",IFERROR(VLOOKUP(B563, PLANTA_BASE!A:R, 6, FALSE), "NO ENCONTRADO EN PLANTA"))</f>
        <v/>
      </c>
      <c r="F563" s="7">
        <f>IF(B563="","",IFERROR(VLOOKUP(B563, PLANTA_BASE!A:R, 8, FALSE), "DOCENTE / FACILITADOR"))</f>
        <v/>
      </c>
      <c r="G563" s="7">
        <f>IF(B563="","",IFERROR(VLOOKUP(B563, PLANTA_BASE!A:R, 9, FALSE), "GENERAL"))</f>
        <v/>
      </c>
      <c r="H563" s="5">
        <f>IF(B563="","",IFERROR(VLOOKUP(B563, PLANTA_BASE!A:R, 17, FALSE), "GENERAL"))</f>
        <v/>
      </c>
    </row>
    <row r="564" ht="20" customHeight="1">
      <c r="A564" s="2">
        <f>IF(B564="","",IFERROR(VLOOKUP(B564, PLANTA_BASE!A:R, 2, FALSE), "NO ENCONTRADO EN PLANTA"))</f>
        <v/>
      </c>
      <c r="B564" s="3" t="inlineStr"/>
      <c r="C564" s="4">
        <f>IF(B564="","",IFERROR(VLOOKUP(B564, PLANTA_BASE!A:R, 3, FALSE), ""))</f>
        <v/>
      </c>
      <c r="D564" s="2">
        <f>IF(B564="","",IFERROR(VLOOKUP(B564, PLANTA_BASE!A:R, 5, FALSE), "NO ENCONTRADO EN PLANTA"))</f>
        <v/>
      </c>
      <c r="E564" s="2">
        <f>IF(B564="","",IFERROR(VLOOKUP(B564, PLANTA_BASE!A:R, 6, FALSE), "NO ENCONTRADO EN PLANTA"))</f>
        <v/>
      </c>
      <c r="F564" s="4">
        <f>IF(B564="","",IFERROR(VLOOKUP(B564, PLANTA_BASE!A:R, 8, FALSE), "DOCENTE / FACILITADOR"))</f>
        <v/>
      </c>
      <c r="G564" s="4">
        <f>IF(B564="","",IFERROR(VLOOKUP(B564, PLANTA_BASE!A:R, 9, FALSE), "GENERAL"))</f>
        <v/>
      </c>
      <c r="H564" s="2">
        <f>IF(B564="","",IFERROR(VLOOKUP(B564, PLANTA_BASE!A:R, 17, FALSE), "GENERAL"))</f>
        <v/>
      </c>
    </row>
    <row r="565" ht="20" customHeight="1">
      <c r="A565" s="5">
        <f>IF(B565="","",IFERROR(VLOOKUP(B565, PLANTA_BASE!A:R, 2, FALSE), "NO ENCONTRADO EN PLANTA"))</f>
        <v/>
      </c>
      <c r="B565" s="6" t="inlineStr"/>
      <c r="C565" s="7">
        <f>IF(B565="","",IFERROR(VLOOKUP(B565, PLANTA_BASE!A:R, 3, FALSE), ""))</f>
        <v/>
      </c>
      <c r="D565" s="5">
        <f>IF(B565="","",IFERROR(VLOOKUP(B565, PLANTA_BASE!A:R, 5, FALSE), "NO ENCONTRADO EN PLANTA"))</f>
        <v/>
      </c>
      <c r="E565" s="5">
        <f>IF(B565="","",IFERROR(VLOOKUP(B565, PLANTA_BASE!A:R, 6, FALSE), "NO ENCONTRADO EN PLANTA"))</f>
        <v/>
      </c>
      <c r="F565" s="7">
        <f>IF(B565="","",IFERROR(VLOOKUP(B565, PLANTA_BASE!A:R, 8, FALSE), "DOCENTE / FACILITADOR"))</f>
        <v/>
      </c>
      <c r="G565" s="7">
        <f>IF(B565="","",IFERROR(VLOOKUP(B565, PLANTA_BASE!A:R, 9, FALSE), "GENERAL"))</f>
        <v/>
      </c>
      <c r="H565" s="5">
        <f>IF(B565="","",IFERROR(VLOOKUP(B565, PLANTA_BASE!A:R, 17, FALSE), "GENERAL"))</f>
        <v/>
      </c>
    </row>
    <row r="566" ht="20" customHeight="1">
      <c r="A566" s="2">
        <f>IF(B566="","",IFERROR(VLOOKUP(B566, PLANTA_BASE!A:R, 2, FALSE), "NO ENCONTRADO EN PLANTA"))</f>
        <v/>
      </c>
      <c r="B566" s="3" t="inlineStr"/>
      <c r="C566" s="4">
        <f>IF(B566="","",IFERROR(VLOOKUP(B566, PLANTA_BASE!A:R, 3, FALSE), ""))</f>
        <v/>
      </c>
      <c r="D566" s="2">
        <f>IF(B566="","",IFERROR(VLOOKUP(B566, PLANTA_BASE!A:R, 5, FALSE), "NO ENCONTRADO EN PLANTA"))</f>
        <v/>
      </c>
      <c r="E566" s="2">
        <f>IF(B566="","",IFERROR(VLOOKUP(B566, PLANTA_BASE!A:R, 6, FALSE), "NO ENCONTRADO EN PLANTA"))</f>
        <v/>
      </c>
      <c r="F566" s="4">
        <f>IF(B566="","",IFERROR(VLOOKUP(B566, PLANTA_BASE!A:R, 8, FALSE), "DOCENTE / FACILITADOR"))</f>
        <v/>
      </c>
      <c r="G566" s="4">
        <f>IF(B566="","",IFERROR(VLOOKUP(B566, PLANTA_BASE!A:R, 9, FALSE), "GENERAL"))</f>
        <v/>
      </c>
      <c r="H566" s="2">
        <f>IF(B566="","",IFERROR(VLOOKUP(B566, PLANTA_BASE!A:R, 17, FALSE), "GENERAL"))</f>
        <v/>
      </c>
    </row>
    <row r="567" ht="20" customHeight="1">
      <c r="A567" s="5">
        <f>IF(B567="","",IFERROR(VLOOKUP(B567, PLANTA_BASE!A:R, 2, FALSE), "NO ENCONTRADO EN PLANTA"))</f>
        <v/>
      </c>
      <c r="B567" s="6" t="inlineStr"/>
      <c r="C567" s="7">
        <f>IF(B567="","",IFERROR(VLOOKUP(B567, PLANTA_BASE!A:R, 3, FALSE), ""))</f>
        <v/>
      </c>
      <c r="D567" s="5">
        <f>IF(B567="","",IFERROR(VLOOKUP(B567, PLANTA_BASE!A:R, 5, FALSE), "NO ENCONTRADO EN PLANTA"))</f>
        <v/>
      </c>
      <c r="E567" s="5">
        <f>IF(B567="","",IFERROR(VLOOKUP(B567, PLANTA_BASE!A:R, 6, FALSE), "NO ENCONTRADO EN PLANTA"))</f>
        <v/>
      </c>
      <c r="F567" s="7">
        <f>IF(B567="","",IFERROR(VLOOKUP(B567, PLANTA_BASE!A:R, 8, FALSE), "DOCENTE / FACILITADOR"))</f>
        <v/>
      </c>
      <c r="G567" s="7">
        <f>IF(B567="","",IFERROR(VLOOKUP(B567, PLANTA_BASE!A:R, 9, FALSE), "GENERAL"))</f>
        <v/>
      </c>
      <c r="H567" s="5">
        <f>IF(B567="","",IFERROR(VLOOKUP(B567, PLANTA_BASE!A:R, 17, FALSE), "GENERAL"))</f>
        <v/>
      </c>
    </row>
    <row r="568" ht="20" customHeight="1">
      <c r="A568" s="2">
        <f>IF(B568="","",IFERROR(VLOOKUP(B568, PLANTA_BASE!A:R, 2, FALSE), "NO ENCONTRADO EN PLANTA"))</f>
        <v/>
      </c>
      <c r="B568" s="3" t="inlineStr"/>
      <c r="C568" s="4">
        <f>IF(B568="","",IFERROR(VLOOKUP(B568, PLANTA_BASE!A:R, 3, FALSE), ""))</f>
        <v/>
      </c>
      <c r="D568" s="2">
        <f>IF(B568="","",IFERROR(VLOOKUP(B568, PLANTA_BASE!A:R, 5, FALSE), "NO ENCONTRADO EN PLANTA"))</f>
        <v/>
      </c>
      <c r="E568" s="2">
        <f>IF(B568="","",IFERROR(VLOOKUP(B568, PLANTA_BASE!A:R, 6, FALSE), "NO ENCONTRADO EN PLANTA"))</f>
        <v/>
      </c>
      <c r="F568" s="4">
        <f>IF(B568="","",IFERROR(VLOOKUP(B568, PLANTA_BASE!A:R, 8, FALSE), "DOCENTE / FACILITADOR"))</f>
        <v/>
      </c>
      <c r="G568" s="4">
        <f>IF(B568="","",IFERROR(VLOOKUP(B568, PLANTA_BASE!A:R, 9, FALSE), "GENERAL"))</f>
        <v/>
      </c>
      <c r="H568" s="2">
        <f>IF(B568="","",IFERROR(VLOOKUP(B568, PLANTA_BASE!A:R, 17, FALSE), "GENERAL"))</f>
        <v/>
      </c>
    </row>
    <row r="569" ht="20" customHeight="1">
      <c r="A569" s="5">
        <f>IF(B569="","",IFERROR(VLOOKUP(B569, PLANTA_BASE!A:R, 2, FALSE), "NO ENCONTRADO EN PLANTA"))</f>
        <v/>
      </c>
      <c r="B569" s="6" t="inlineStr"/>
      <c r="C569" s="7">
        <f>IF(B569="","",IFERROR(VLOOKUP(B569, PLANTA_BASE!A:R, 3, FALSE), ""))</f>
        <v/>
      </c>
      <c r="D569" s="5">
        <f>IF(B569="","",IFERROR(VLOOKUP(B569, PLANTA_BASE!A:R, 5, FALSE), "NO ENCONTRADO EN PLANTA"))</f>
        <v/>
      </c>
      <c r="E569" s="5">
        <f>IF(B569="","",IFERROR(VLOOKUP(B569, PLANTA_BASE!A:R, 6, FALSE), "NO ENCONTRADO EN PLANTA"))</f>
        <v/>
      </c>
      <c r="F569" s="7">
        <f>IF(B569="","",IFERROR(VLOOKUP(B569, PLANTA_BASE!A:R, 8, FALSE), "DOCENTE / FACILITADOR"))</f>
        <v/>
      </c>
      <c r="G569" s="7">
        <f>IF(B569="","",IFERROR(VLOOKUP(B569, PLANTA_BASE!A:R, 9, FALSE), "GENERAL"))</f>
        <v/>
      </c>
      <c r="H569" s="5">
        <f>IF(B569="","",IFERROR(VLOOKUP(B569, PLANTA_BASE!A:R, 17, FALSE), "GENERAL"))</f>
        <v/>
      </c>
    </row>
    <row r="570" ht="20" customHeight="1">
      <c r="A570" s="2">
        <f>IF(B570="","",IFERROR(VLOOKUP(B570, PLANTA_BASE!A:R, 2, FALSE), "NO ENCONTRADO EN PLANTA"))</f>
        <v/>
      </c>
      <c r="B570" s="3" t="inlineStr"/>
      <c r="C570" s="4">
        <f>IF(B570="","",IFERROR(VLOOKUP(B570, PLANTA_BASE!A:R, 3, FALSE), ""))</f>
        <v/>
      </c>
      <c r="D570" s="2">
        <f>IF(B570="","",IFERROR(VLOOKUP(B570, PLANTA_BASE!A:R, 5, FALSE), "NO ENCONTRADO EN PLANTA"))</f>
        <v/>
      </c>
      <c r="E570" s="2">
        <f>IF(B570="","",IFERROR(VLOOKUP(B570, PLANTA_BASE!A:R, 6, FALSE), "NO ENCONTRADO EN PLANTA"))</f>
        <v/>
      </c>
      <c r="F570" s="4">
        <f>IF(B570="","",IFERROR(VLOOKUP(B570, PLANTA_BASE!A:R, 8, FALSE), "DOCENTE / FACILITADOR"))</f>
        <v/>
      </c>
      <c r="G570" s="4">
        <f>IF(B570="","",IFERROR(VLOOKUP(B570, PLANTA_BASE!A:R, 9, FALSE), "GENERAL"))</f>
        <v/>
      </c>
      <c r="H570" s="2">
        <f>IF(B570="","",IFERROR(VLOOKUP(B570, PLANTA_BASE!A:R, 17, FALSE), "GENERAL"))</f>
        <v/>
      </c>
    </row>
    <row r="571" ht="20" customHeight="1">
      <c r="A571" s="5">
        <f>IF(B571="","",IFERROR(VLOOKUP(B571, PLANTA_BASE!A:R, 2, FALSE), "NO ENCONTRADO EN PLANTA"))</f>
        <v/>
      </c>
      <c r="B571" s="6" t="inlineStr"/>
      <c r="C571" s="7">
        <f>IF(B571="","",IFERROR(VLOOKUP(B571, PLANTA_BASE!A:R, 3, FALSE), ""))</f>
        <v/>
      </c>
      <c r="D571" s="5">
        <f>IF(B571="","",IFERROR(VLOOKUP(B571, PLANTA_BASE!A:R, 5, FALSE), "NO ENCONTRADO EN PLANTA"))</f>
        <v/>
      </c>
      <c r="E571" s="5">
        <f>IF(B571="","",IFERROR(VLOOKUP(B571, PLANTA_BASE!A:R, 6, FALSE), "NO ENCONTRADO EN PLANTA"))</f>
        <v/>
      </c>
      <c r="F571" s="7">
        <f>IF(B571="","",IFERROR(VLOOKUP(B571, PLANTA_BASE!A:R, 8, FALSE), "DOCENTE / FACILITADOR"))</f>
        <v/>
      </c>
      <c r="G571" s="7">
        <f>IF(B571="","",IFERROR(VLOOKUP(B571, PLANTA_BASE!A:R, 9, FALSE), "GENERAL"))</f>
        <v/>
      </c>
      <c r="H571" s="5">
        <f>IF(B571="","",IFERROR(VLOOKUP(B571, PLANTA_BASE!A:R, 17, FALSE), "GENERAL"))</f>
        <v/>
      </c>
    </row>
    <row r="572" ht="20" customHeight="1">
      <c r="A572" s="2">
        <f>IF(B572="","",IFERROR(VLOOKUP(B572, PLANTA_BASE!A:R, 2, FALSE), "NO ENCONTRADO EN PLANTA"))</f>
        <v/>
      </c>
      <c r="B572" s="3" t="inlineStr"/>
      <c r="C572" s="4">
        <f>IF(B572="","",IFERROR(VLOOKUP(B572, PLANTA_BASE!A:R, 3, FALSE), ""))</f>
        <v/>
      </c>
      <c r="D572" s="2">
        <f>IF(B572="","",IFERROR(VLOOKUP(B572, PLANTA_BASE!A:R, 5, FALSE), "NO ENCONTRADO EN PLANTA"))</f>
        <v/>
      </c>
      <c r="E572" s="2">
        <f>IF(B572="","",IFERROR(VLOOKUP(B572, PLANTA_BASE!A:R, 6, FALSE), "NO ENCONTRADO EN PLANTA"))</f>
        <v/>
      </c>
      <c r="F572" s="4">
        <f>IF(B572="","",IFERROR(VLOOKUP(B572, PLANTA_BASE!A:R, 8, FALSE), "DOCENTE / FACILITADOR"))</f>
        <v/>
      </c>
      <c r="G572" s="4">
        <f>IF(B572="","",IFERROR(VLOOKUP(B572, PLANTA_BASE!A:R, 9, FALSE), "GENERAL"))</f>
        <v/>
      </c>
      <c r="H572" s="2">
        <f>IF(B572="","",IFERROR(VLOOKUP(B572, PLANTA_BASE!A:R, 17, FALSE), "GENERAL"))</f>
        <v/>
      </c>
    </row>
    <row r="573" ht="20" customHeight="1">
      <c r="A573" s="5">
        <f>IF(B573="","",IFERROR(VLOOKUP(B573, PLANTA_BASE!A:R, 2, FALSE), "NO ENCONTRADO EN PLANTA"))</f>
        <v/>
      </c>
      <c r="B573" s="6" t="inlineStr"/>
      <c r="C573" s="7">
        <f>IF(B573="","",IFERROR(VLOOKUP(B573, PLANTA_BASE!A:R, 3, FALSE), ""))</f>
        <v/>
      </c>
      <c r="D573" s="5">
        <f>IF(B573="","",IFERROR(VLOOKUP(B573, PLANTA_BASE!A:R, 5, FALSE), "NO ENCONTRADO EN PLANTA"))</f>
        <v/>
      </c>
      <c r="E573" s="5">
        <f>IF(B573="","",IFERROR(VLOOKUP(B573, PLANTA_BASE!A:R, 6, FALSE), "NO ENCONTRADO EN PLANTA"))</f>
        <v/>
      </c>
      <c r="F573" s="7">
        <f>IF(B573="","",IFERROR(VLOOKUP(B573, PLANTA_BASE!A:R, 8, FALSE), "DOCENTE / FACILITADOR"))</f>
        <v/>
      </c>
      <c r="G573" s="7">
        <f>IF(B573="","",IFERROR(VLOOKUP(B573, PLANTA_BASE!A:R, 9, FALSE), "GENERAL"))</f>
        <v/>
      </c>
      <c r="H573" s="5">
        <f>IF(B573="","",IFERROR(VLOOKUP(B573, PLANTA_BASE!A:R, 17, FALSE), "GENERAL"))</f>
        <v/>
      </c>
    </row>
    <row r="574" ht="20" customHeight="1">
      <c r="A574" s="2">
        <f>IF(B574="","",IFERROR(VLOOKUP(B574, PLANTA_BASE!A:R, 2, FALSE), "NO ENCONTRADO EN PLANTA"))</f>
        <v/>
      </c>
      <c r="B574" s="3" t="inlineStr"/>
      <c r="C574" s="4">
        <f>IF(B574="","",IFERROR(VLOOKUP(B574, PLANTA_BASE!A:R, 3, FALSE), ""))</f>
        <v/>
      </c>
      <c r="D574" s="2">
        <f>IF(B574="","",IFERROR(VLOOKUP(B574, PLANTA_BASE!A:R, 5, FALSE), "NO ENCONTRADO EN PLANTA"))</f>
        <v/>
      </c>
      <c r="E574" s="2">
        <f>IF(B574="","",IFERROR(VLOOKUP(B574, PLANTA_BASE!A:R, 6, FALSE), "NO ENCONTRADO EN PLANTA"))</f>
        <v/>
      </c>
      <c r="F574" s="4">
        <f>IF(B574="","",IFERROR(VLOOKUP(B574, PLANTA_BASE!A:R, 8, FALSE), "DOCENTE / FACILITADOR"))</f>
        <v/>
      </c>
      <c r="G574" s="4">
        <f>IF(B574="","",IFERROR(VLOOKUP(B574, PLANTA_BASE!A:R, 9, FALSE), "GENERAL"))</f>
        <v/>
      </c>
      <c r="H574" s="2">
        <f>IF(B574="","",IFERROR(VLOOKUP(B574, PLANTA_BASE!A:R, 17, FALSE), "GENERAL"))</f>
        <v/>
      </c>
    </row>
    <row r="575" ht="20" customHeight="1">
      <c r="A575" s="5">
        <f>IF(B575="","",IFERROR(VLOOKUP(B575, PLANTA_BASE!A:R, 2, FALSE), "NO ENCONTRADO EN PLANTA"))</f>
        <v/>
      </c>
      <c r="B575" s="6" t="inlineStr"/>
      <c r="C575" s="7">
        <f>IF(B575="","",IFERROR(VLOOKUP(B575, PLANTA_BASE!A:R, 3, FALSE), ""))</f>
        <v/>
      </c>
      <c r="D575" s="5">
        <f>IF(B575="","",IFERROR(VLOOKUP(B575, PLANTA_BASE!A:R, 5, FALSE), "NO ENCONTRADO EN PLANTA"))</f>
        <v/>
      </c>
      <c r="E575" s="5">
        <f>IF(B575="","",IFERROR(VLOOKUP(B575, PLANTA_BASE!A:R, 6, FALSE), "NO ENCONTRADO EN PLANTA"))</f>
        <v/>
      </c>
      <c r="F575" s="7">
        <f>IF(B575="","",IFERROR(VLOOKUP(B575, PLANTA_BASE!A:R, 8, FALSE), "DOCENTE / FACILITADOR"))</f>
        <v/>
      </c>
      <c r="G575" s="7">
        <f>IF(B575="","",IFERROR(VLOOKUP(B575, PLANTA_BASE!A:R, 9, FALSE), "GENERAL"))</f>
        <v/>
      </c>
      <c r="H575" s="5">
        <f>IF(B575="","",IFERROR(VLOOKUP(B575, PLANTA_BASE!A:R, 17, FALSE), "GENERAL"))</f>
        <v/>
      </c>
    </row>
    <row r="576" ht="20" customHeight="1">
      <c r="A576" s="2">
        <f>IF(B576="","",IFERROR(VLOOKUP(B576, PLANTA_BASE!A:R, 2, FALSE), "NO ENCONTRADO EN PLANTA"))</f>
        <v/>
      </c>
      <c r="B576" s="3" t="inlineStr"/>
      <c r="C576" s="4">
        <f>IF(B576="","",IFERROR(VLOOKUP(B576, PLANTA_BASE!A:R, 3, FALSE), ""))</f>
        <v/>
      </c>
      <c r="D576" s="2">
        <f>IF(B576="","",IFERROR(VLOOKUP(B576, PLANTA_BASE!A:R, 5, FALSE), "NO ENCONTRADO EN PLANTA"))</f>
        <v/>
      </c>
      <c r="E576" s="2">
        <f>IF(B576="","",IFERROR(VLOOKUP(B576, PLANTA_BASE!A:R, 6, FALSE), "NO ENCONTRADO EN PLANTA"))</f>
        <v/>
      </c>
      <c r="F576" s="4">
        <f>IF(B576="","",IFERROR(VLOOKUP(B576, PLANTA_BASE!A:R, 8, FALSE), "DOCENTE / FACILITADOR"))</f>
        <v/>
      </c>
      <c r="G576" s="4">
        <f>IF(B576="","",IFERROR(VLOOKUP(B576, PLANTA_BASE!A:R, 9, FALSE), "GENERAL"))</f>
        <v/>
      </c>
      <c r="H576" s="2">
        <f>IF(B576="","",IFERROR(VLOOKUP(B576, PLANTA_BASE!A:R, 17, FALSE), "GENERAL"))</f>
        <v/>
      </c>
    </row>
    <row r="577" ht="20" customHeight="1">
      <c r="A577" s="5">
        <f>IF(B577="","",IFERROR(VLOOKUP(B577, PLANTA_BASE!A:R, 2, FALSE), "NO ENCONTRADO EN PLANTA"))</f>
        <v/>
      </c>
      <c r="B577" s="6" t="inlineStr"/>
      <c r="C577" s="7">
        <f>IF(B577="","",IFERROR(VLOOKUP(B577, PLANTA_BASE!A:R, 3, FALSE), ""))</f>
        <v/>
      </c>
      <c r="D577" s="5">
        <f>IF(B577="","",IFERROR(VLOOKUP(B577, PLANTA_BASE!A:R, 5, FALSE), "NO ENCONTRADO EN PLANTA"))</f>
        <v/>
      </c>
      <c r="E577" s="5">
        <f>IF(B577="","",IFERROR(VLOOKUP(B577, PLANTA_BASE!A:R, 6, FALSE), "NO ENCONTRADO EN PLANTA"))</f>
        <v/>
      </c>
      <c r="F577" s="7">
        <f>IF(B577="","",IFERROR(VLOOKUP(B577, PLANTA_BASE!A:R, 8, FALSE), "DOCENTE / FACILITADOR"))</f>
        <v/>
      </c>
      <c r="G577" s="7">
        <f>IF(B577="","",IFERROR(VLOOKUP(B577, PLANTA_BASE!A:R, 9, FALSE), "GENERAL"))</f>
        <v/>
      </c>
      <c r="H577" s="5">
        <f>IF(B577="","",IFERROR(VLOOKUP(B577, PLANTA_BASE!A:R, 17, FALSE), "GENERAL"))</f>
        <v/>
      </c>
    </row>
    <row r="578" ht="20" customHeight="1">
      <c r="A578" s="2">
        <f>IF(B578="","",IFERROR(VLOOKUP(B578, PLANTA_BASE!A:R, 2, FALSE), "NO ENCONTRADO EN PLANTA"))</f>
        <v/>
      </c>
      <c r="B578" s="3" t="inlineStr"/>
      <c r="C578" s="4">
        <f>IF(B578="","",IFERROR(VLOOKUP(B578, PLANTA_BASE!A:R, 3, FALSE), ""))</f>
        <v/>
      </c>
      <c r="D578" s="2">
        <f>IF(B578="","",IFERROR(VLOOKUP(B578, PLANTA_BASE!A:R, 5, FALSE), "NO ENCONTRADO EN PLANTA"))</f>
        <v/>
      </c>
      <c r="E578" s="2">
        <f>IF(B578="","",IFERROR(VLOOKUP(B578, PLANTA_BASE!A:R, 6, FALSE), "NO ENCONTRADO EN PLANTA"))</f>
        <v/>
      </c>
      <c r="F578" s="4">
        <f>IF(B578="","",IFERROR(VLOOKUP(B578, PLANTA_BASE!A:R, 8, FALSE), "DOCENTE / FACILITADOR"))</f>
        <v/>
      </c>
      <c r="G578" s="4">
        <f>IF(B578="","",IFERROR(VLOOKUP(B578, PLANTA_BASE!A:R, 9, FALSE), "GENERAL"))</f>
        <v/>
      </c>
      <c r="H578" s="2">
        <f>IF(B578="","",IFERROR(VLOOKUP(B578, PLANTA_BASE!A:R, 17, FALSE), "GENERAL"))</f>
        <v/>
      </c>
    </row>
    <row r="579" ht="20" customHeight="1">
      <c r="A579" s="5">
        <f>IF(B579="","",IFERROR(VLOOKUP(B579, PLANTA_BASE!A:R, 2, FALSE), "NO ENCONTRADO EN PLANTA"))</f>
        <v/>
      </c>
      <c r="B579" s="6" t="inlineStr"/>
      <c r="C579" s="7">
        <f>IF(B579="","",IFERROR(VLOOKUP(B579, PLANTA_BASE!A:R, 3, FALSE), ""))</f>
        <v/>
      </c>
      <c r="D579" s="5">
        <f>IF(B579="","",IFERROR(VLOOKUP(B579, PLANTA_BASE!A:R, 5, FALSE), "NO ENCONTRADO EN PLANTA"))</f>
        <v/>
      </c>
      <c r="E579" s="5">
        <f>IF(B579="","",IFERROR(VLOOKUP(B579, PLANTA_BASE!A:R, 6, FALSE), "NO ENCONTRADO EN PLANTA"))</f>
        <v/>
      </c>
      <c r="F579" s="7">
        <f>IF(B579="","",IFERROR(VLOOKUP(B579, PLANTA_BASE!A:R, 8, FALSE), "DOCENTE / FACILITADOR"))</f>
        <v/>
      </c>
      <c r="G579" s="7">
        <f>IF(B579="","",IFERROR(VLOOKUP(B579, PLANTA_BASE!A:R, 9, FALSE), "GENERAL"))</f>
        <v/>
      </c>
      <c r="H579" s="5">
        <f>IF(B579="","",IFERROR(VLOOKUP(B579, PLANTA_BASE!A:R, 17, FALSE), "GENERAL"))</f>
        <v/>
      </c>
    </row>
    <row r="580" ht="20" customHeight="1">
      <c r="A580" s="2">
        <f>IF(B580="","",IFERROR(VLOOKUP(B580, PLANTA_BASE!A:R, 2, FALSE), "NO ENCONTRADO EN PLANTA"))</f>
        <v/>
      </c>
      <c r="B580" s="3" t="inlineStr"/>
      <c r="C580" s="4">
        <f>IF(B580="","",IFERROR(VLOOKUP(B580, PLANTA_BASE!A:R, 3, FALSE), ""))</f>
        <v/>
      </c>
      <c r="D580" s="2">
        <f>IF(B580="","",IFERROR(VLOOKUP(B580, PLANTA_BASE!A:R, 5, FALSE), "NO ENCONTRADO EN PLANTA"))</f>
        <v/>
      </c>
      <c r="E580" s="2">
        <f>IF(B580="","",IFERROR(VLOOKUP(B580, PLANTA_BASE!A:R, 6, FALSE), "NO ENCONTRADO EN PLANTA"))</f>
        <v/>
      </c>
      <c r="F580" s="4">
        <f>IF(B580="","",IFERROR(VLOOKUP(B580, PLANTA_BASE!A:R, 8, FALSE), "DOCENTE / FACILITADOR"))</f>
        <v/>
      </c>
      <c r="G580" s="4">
        <f>IF(B580="","",IFERROR(VLOOKUP(B580, PLANTA_BASE!A:R, 9, FALSE), "GENERAL"))</f>
        <v/>
      </c>
      <c r="H580" s="2">
        <f>IF(B580="","",IFERROR(VLOOKUP(B580, PLANTA_BASE!A:R, 17, FALSE), "GENERAL"))</f>
        <v/>
      </c>
    </row>
    <row r="581" ht="20" customHeight="1">
      <c r="A581" s="5">
        <f>IF(B581="","",IFERROR(VLOOKUP(B581, PLANTA_BASE!A:R, 2, FALSE), "NO ENCONTRADO EN PLANTA"))</f>
        <v/>
      </c>
      <c r="B581" s="6" t="inlineStr"/>
      <c r="C581" s="7">
        <f>IF(B581="","",IFERROR(VLOOKUP(B581, PLANTA_BASE!A:R, 3, FALSE), ""))</f>
        <v/>
      </c>
      <c r="D581" s="5">
        <f>IF(B581="","",IFERROR(VLOOKUP(B581, PLANTA_BASE!A:R, 5, FALSE), "NO ENCONTRADO EN PLANTA"))</f>
        <v/>
      </c>
      <c r="E581" s="5">
        <f>IF(B581="","",IFERROR(VLOOKUP(B581, PLANTA_BASE!A:R, 6, FALSE), "NO ENCONTRADO EN PLANTA"))</f>
        <v/>
      </c>
      <c r="F581" s="7">
        <f>IF(B581="","",IFERROR(VLOOKUP(B581, PLANTA_BASE!A:R, 8, FALSE), "DOCENTE / FACILITADOR"))</f>
        <v/>
      </c>
      <c r="G581" s="7">
        <f>IF(B581="","",IFERROR(VLOOKUP(B581, PLANTA_BASE!A:R, 9, FALSE), "GENERAL"))</f>
        <v/>
      </c>
      <c r="H581" s="5">
        <f>IF(B581="","",IFERROR(VLOOKUP(B581, PLANTA_BASE!A:R, 17, FALSE), "GENERAL"))</f>
        <v/>
      </c>
    </row>
    <row r="582" ht="20" customHeight="1">
      <c r="A582" s="2">
        <f>IF(B582="","",IFERROR(VLOOKUP(B582, PLANTA_BASE!A:R, 2, FALSE), "NO ENCONTRADO EN PLANTA"))</f>
        <v/>
      </c>
      <c r="B582" s="3" t="inlineStr"/>
      <c r="C582" s="4">
        <f>IF(B582="","",IFERROR(VLOOKUP(B582, PLANTA_BASE!A:R, 3, FALSE), ""))</f>
        <v/>
      </c>
      <c r="D582" s="2">
        <f>IF(B582="","",IFERROR(VLOOKUP(B582, PLANTA_BASE!A:R, 5, FALSE), "NO ENCONTRADO EN PLANTA"))</f>
        <v/>
      </c>
      <c r="E582" s="2">
        <f>IF(B582="","",IFERROR(VLOOKUP(B582, PLANTA_BASE!A:R, 6, FALSE), "NO ENCONTRADO EN PLANTA"))</f>
        <v/>
      </c>
      <c r="F582" s="4">
        <f>IF(B582="","",IFERROR(VLOOKUP(B582, PLANTA_BASE!A:R, 8, FALSE), "DOCENTE / FACILITADOR"))</f>
        <v/>
      </c>
      <c r="G582" s="4">
        <f>IF(B582="","",IFERROR(VLOOKUP(B582, PLANTA_BASE!A:R, 9, FALSE), "GENERAL"))</f>
        <v/>
      </c>
      <c r="H582" s="2">
        <f>IF(B582="","",IFERROR(VLOOKUP(B582, PLANTA_BASE!A:R, 17, FALSE), "GENERAL"))</f>
        <v/>
      </c>
    </row>
    <row r="583" ht="20" customHeight="1">
      <c r="A583" s="5">
        <f>IF(B583="","",IFERROR(VLOOKUP(B583, PLANTA_BASE!A:R, 2, FALSE), "NO ENCONTRADO EN PLANTA"))</f>
        <v/>
      </c>
      <c r="B583" s="6" t="inlineStr"/>
      <c r="C583" s="7">
        <f>IF(B583="","",IFERROR(VLOOKUP(B583, PLANTA_BASE!A:R, 3, FALSE), ""))</f>
        <v/>
      </c>
      <c r="D583" s="5">
        <f>IF(B583="","",IFERROR(VLOOKUP(B583, PLANTA_BASE!A:R, 5, FALSE), "NO ENCONTRADO EN PLANTA"))</f>
        <v/>
      </c>
      <c r="E583" s="5">
        <f>IF(B583="","",IFERROR(VLOOKUP(B583, PLANTA_BASE!A:R, 6, FALSE), "NO ENCONTRADO EN PLANTA"))</f>
        <v/>
      </c>
      <c r="F583" s="7">
        <f>IF(B583="","",IFERROR(VLOOKUP(B583, PLANTA_BASE!A:R, 8, FALSE), "DOCENTE / FACILITADOR"))</f>
        <v/>
      </c>
      <c r="G583" s="7">
        <f>IF(B583="","",IFERROR(VLOOKUP(B583, PLANTA_BASE!A:R, 9, FALSE), "GENERAL"))</f>
        <v/>
      </c>
      <c r="H583" s="5">
        <f>IF(B583="","",IFERROR(VLOOKUP(B583, PLANTA_BASE!A:R, 17, FALSE), "GENERAL"))</f>
        <v/>
      </c>
    </row>
    <row r="584" ht="20" customHeight="1">
      <c r="A584" s="2">
        <f>IF(B584="","",IFERROR(VLOOKUP(B584, PLANTA_BASE!A:R, 2, FALSE), "NO ENCONTRADO EN PLANTA"))</f>
        <v/>
      </c>
      <c r="B584" s="3" t="inlineStr"/>
      <c r="C584" s="4">
        <f>IF(B584="","",IFERROR(VLOOKUP(B584, PLANTA_BASE!A:R, 3, FALSE), ""))</f>
        <v/>
      </c>
      <c r="D584" s="2">
        <f>IF(B584="","",IFERROR(VLOOKUP(B584, PLANTA_BASE!A:R, 5, FALSE), "NO ENCONTRADO EN PLANTA"))</f>
        <v/>
      </c>
      <c r="E584" s="2">
        <f>IF(B584="","",IFERROR(VLOOKUP(B584, PLANTA_BASE!A:R, 6, FALSE), "NO ENCONTRADO EN PLANTA"))</f>
        <v/>
      </c>
      <c r="F584" s="4">
        <f>IF(B584="","",IFERROR(VLOOKUP(B584, PLANTA_BASE!A:R, 8, FALSE), "DOCENTE / FACILITADOR"))</f>
        <v/>
      </c>
      <c r="G584" s="4">
        <f>IF(B584="","",IFERROR(VLOOKUP(B584, PLANTA_BASE!A:R, 9, FALSE), "GENERAL"))</f>
        <v/>
      </c>
      <c r="H584" s="2">
        <f>IF(B584="","",IFERROR(VLOOKUP(B584, PLANTA_BASE!A:R, 17, FALSE), "GENERAL"))</f>
        <v/>
      </c>
    </row>
    <row r="585" ht="20" customHeight="1">
      <c r="A585" s="5">
        <f>IF(B585="","",IFERROR(VLOOKUP(B585, PLANTA_BASE!A:R, 2, FALSE), "NO ENCONTRADO EN PLANTA"))</f>
        <v/>
      </c>
      <c r="B585" s="6" t="inlineStr"/>
      <c r="C585" s="7">
        <f>IF(B585="","",IFERROR(VLOOKUP(B585, PLANTA_BASE!A:R, 3, FALSE), ""))</f>
        <v/>
      </c>
      <c r="D585" s="5">
        <f>IF(B585="","",IFERROR(VLOOKUP(B585, PLANTA_BASE!A:R, 5, FALSE), "NO ENCONTRADO EN PLANTA"))</f>
        <v/>
      </c>
      <c r="E585" s="5">
        <f>IF(B585="","",IFERROR(VLOOKUP(B585, PLANTA_BASE!A:R, 6, FALSE), "NO ENCONTRADO EN PLANTA"))</f>
        <v/>
      </c>
      <c r="F585" s="7">
        <f>IF(B585="","",IFERROR(VLOOKUP(B585, PLANTA_BASE!A:R, 8, FALSE), "DOCENTE / FACILITADOR"))</f>
        <v/>
      </c>
      <c r="G585" s="7">
        <f>IF(B585="","",IFERROR(VLOOKUP(B585, PLANTA_BASE!A:R, 9, FALSE), "GENERAL"))</f>
        <v/>
      </c>
      <c r="H585" s="5">
        <f>IF(B585="","",IFERROR(VLOOKUP(B585, PLANTA_BASE!A:R, 17, FALSE), "GENERAL"))</f>
        <v/>
      </c>
    </row>
    <row r="586" ht="20" customHeight="1">
      <c r="A586" s="2">
        <f>IF(B586="","",IFERROR(VLOOKUP(B586, PLANTA_BASE!A:R, 2, FALSE), "NO ENCONTRADO EN PLANTA"))</f>
        <v/>
      </c>
      <c r="B586" s="3" t="inlineStr"/>
      <c r="C586" s="4">
        <f>IF(B586="","",IFERROR(VLOOKUP(B586, PLANTA_BASE!A:R, 3, FALSE), ""))</f>
        <v/>
      </c>
      <c r="D586" s="2">
        <f>IF(B586="","",IFERROR(VLOOKUP(B586, PLANTA_BASE!A:R, 5, FALSE), "NO ENCONTRADO EN PLANTA"))</f>
        <v/>
      </c>
      <c r="E586" s="2">
        <f>IF(B586="","",IFERROR(VLOOKUP(B586, PLANTA_BASE!A:R, 6, FALSE), "NO ENCONTRADO EN PLANTA"))</f>
        <v/>
      </c>
      <c r="F586" s="4">
        <f>IF(B586="","",IFERROR(VLOOKUP(B586, PLANTA_BASE!A:R, 8, FALSE), "DOCENTE / FACILITADOR"))</f>
        <v/>
      </c>
      <c r="G586" s="4">
        <f>IF(B586="","",IFERROR(VLOOKUP(B586, PLANTA_BASE!A:R, 9, FALSE), "GENERAL"))</f>
        <v/>
      </c>
      <c r="H586" s="2">
        <f>IF(B586="","",IFERROR(VLOOKUP(B586, PLANTA_BASE!A:R, 17, FALSE), "GENERAL"))</f>
        <v/>
      </c>
    </row>
    <row r="587" ht="20" customHeight="1">
      <c r="A587" s="5">
        <f>IF(B587="","",IFERROR(VLOOKUP(B587, PLANTA_BASE!A:R, 2, FALSE), "NO ENCONTRADO EN PLANTA"))</f>
        <v/>
      </c>
      <c r="B587" s="6" t="inlineStr"/>
      <c r="C587" s="7">
        <f>IF(B587="","",IFERROR(VLOOKUP(B587, PLANTA_BASE!A:R, 3, FALSE), ""))</f>
        <v/>
      </c>
      <c r="D587" s="5">
        <f>IF(B587="","",IFERROR(VLOOKUP(B587, PLANTA_BASE!A:R, 5, FALSE), "NO ENCONTRADO EN PLANTA"))</f>
        <v/>
      </c>
      <c r="E587" s="5">
        <f>IF(B587="","",IFERROR(VLOOKUP(B587, PLANTA_BASE!A:R, 6, FALSE), "NO ENCONTRADO EN PLANTA"))</f>
        <v/>
      </c>
      <c r="F587" s="7">
        <f>IF(B587="","",IFERROR(VLOOKUP(B587, PLANTA_BASE!A:R, 8, FALSE), "DOCENTE / FACILITADOR"))</f>
        <v/>
      </c>
      <c r="G587" s="7">
        <f>IF(B587="","",IFERROR(VLOOKUP(B587, PLANTA_BASE!A:R, 9, FALSE), "GENERAL"))</f>
        <v/>
      </c>
      <c r="H587" s="5">
        <f>IF(B587="","",IFERROR(VLOOKUP(B587, PLANTA_BASE!A:R, 17, FALSE), "GENERAL"))</f>
        <v/>
      </c>
    </row>
    <row r="588" ht="20" customHeight="1">
      <c r="A588" s="2">
        <f>IF(B588="","",IFERROR(VLOOKUP(B588, PLANTA_BASE!A:R, 2, FALSE), "NO ENCONTRADO EN PLANTA"))</f>
        <v/>
      </c>
      <c r="B588" s="3" t="inlineStr"/>
      <c r="C588" s="4">
        <f>IF(B588="","",IFERROR(VLOOKUP(B588, PLANTA_BASE!A:R, 3, FALSE), ""))</f>
        <v/>
      </c>
      <c r="D588" s="2">
        <f>IF(B588="","",IFERROR(VLOOKUP(B588, PLANTA_BASE!A:R, 5, FALSE), "NO ENCONTRADO EN PLANTA"))</f>
        <v/>
      </c>
      <c r="E588" s="2">
        <f>IF(B588="","",IFERROR(VLOOKUP(B588, PLANTA_BASE!A:R, 6, FALSE), "NO ENCONTRADO EN PLANTA"))</f>
        <v/>
      </c>
      <c r="F588" s="4">
        <f>IF(B588="","",IFERROR(VLOOKUP(B588, PLANTA_BASE!A:R, 8, FALSE), "DOCENTE / FACILITADOR"))</f>
        <v/>
      </c>
      <c r="G588" s="4">
        <f>IF(B588="","",IFERROR(VLOOKUP(B588, PLANTA_BASE!A:R, 9, FALSE), "GENERAL"))</f>
        <v/>
      </c>
      <c r="H588" s="2">
        <f>IF(B588="","",IFERROR(VLOOKUP(B588, PLANTA_BASE!A:R, 17, FALSE), "GENERAL"))</f>
        <v/>
      </c>
    </row>
    <row r="589" ht="20" customHeight="1">
      <c r="A589" s="5">
        <f>IF(B589="","",IFERROR(VLOOKUP(B589, PLANTA_BASE!A:R, 2, FALSE), "NO ENCONTRADO EN PLANTA"))</f>
        <v/>
      </c>
      <c r="B589" s="6" t="inlineStr"/>
      <c r="C589" s="7">
        <f>IF(B589="","",IFERROR(VLOOKUP(B589, PLANTA_BASE!A:R, 3, FALSE), ""))</f>
        <v/>
      </c>
      <c r="D589" s="5">
        <f>IF(B589="","",IFERROR(VLOOKUP(B589, PLANTA_BASE!A:R, 5, FALSE), "NO ENCONTRADO EN PLANTA"))</f>
        <v/>
      </c>
      <c r="E589" s="5">
        <f>IF(B589="","",IFERROR(VLOOKUP(B589, PLANTA_BASE!A:R, 6, FALSE), "NO ENCONTRADO EN PLANTA"))</f>
        <v/>
      </c>
      <c r="F589" s="7">
        <f>IF(B589="","",IFERROR(VLOOKUP(B589, PLANTA_BASE!A:R, 8, FALSE), "DOCENTE / FACILITADOR"))</f>
        <v/>
      </c>
      <c r="G589" s="7">
        <f>IF(B589="","",IFERROR(VLOOKUP(B589, PLANTA_BASE!A:R, 9, FALSE), "GENERAL"))</f>
        <v/>
      </c>
      <c r="H589" s="5">
        <f>IF(B589="","",IFERROR(VLOOKUP(B589, PLANTA_BASE!A:R, 17, FALSE), "GENERAL"))</f>
        <v/>
      </c>
    </row>
    <row r="590" ht="20" customHeight="1">
      <c r="A590" s="2">
        <f>IF(B590="","",IFERROR(VLOOKUP(B590, PLANTA_BASE!A:R, 2, FALSE), "NO ENCONTRADO EN PLANTA"))</f>
        <v/>
      </c>
      <c r="B590" s="3" t="inlineStr"/>
      <c r="C590" s="4">
        <f>IF(B590="","",IFERROR(VLOOKUP(B590, PLANTA_BASE!A:R, 3, FALSE), ""))</f>
        <v/>
      </c>
      <c r="D590" s="2">
        <f>IF(B590="","",IFERROR(VLOOKUP(B590, PLANTA_BASE!A:R, 5, FALSE), "NO ENCONTRADO EN PLANTA"))</f>
        <v/>
      </c>
      <c r="E590" s="2">
        <f>IF(B590="","",IFERROR(VLOOKUP(B590, PLANTA_BASE!A:R, 6, FALSE), "NO ENCONTRADO EN PLANTA"))</f>
        <v/>
      </c>
      <c r="F590" s="4">
        <f>IF(B590="","",IFERROR(VLOOKUP(B590, PLANTA_BASE!A:R, 8, FALSE), "DOCENTE / FACILITADOR"))</f>
        <v/>
      </c>
      <c r="G590" s="4">
        <f>IF(B590="","",IFERROR(VLOOKUP(B590, PLANTA_BASE!A:R, 9, FALSE), "GENERAL"))</f>
        <v/>
      </c>
      <c r="H590" s="2">
        <f>IF(B590="","",IFERROR(VLOOKUP(B590, PLANTA_BASE!A:R, 17, FALSE), "GENERAL"))</f>
        <v/>
      </c>
    </row>
    <row r="591" ht="20" customHeight="1">
      <c r="A591" s="5">
        <f>IF(B591="","",IFERROR(VLOOKUP(B591, PLANTA_BASE!A:R, 2, FALSE), "NO ENCONTRADO EN PLANTA"))</f>
        <v/>
      </c>
      <c r="B591" s="6" t="inlineStr"/>
      <c r="C591" s="7">
        <f>IF(B591="","",IFERROR(VLOOKUP(B591, PLANTA_BASE!A:R, 3, FALSE), ""))</f>
        <v/>
      </c>
      <c r="D591" s="5">
        <f>IF(B591="","",IFERROR(VLOOKUP(B591, PLANTA_BASE!A:R, 5, FALSE), "NO ENCONTRADO EN PLANTA"))</f>
        <v/>
      </c>
      <c r="E591" s="5">
        <f>IF(B591="","",IFERROR(VLOOKUP(B591, PLANTA_BASE!A:R, 6, FALSE), "NO ENCONTRADO EN PLANTA"))</f>
        <v/>
      </c>
      <c r="F591" s="7">
        <f>IF(B591="","",IFERROR(VLOOKUP(B591, PLANTA_BASE!A:R, 8, FALSE), "DOCENTE / FACILITADOR"))</f>
        <v/>
      </c>
      <c r="G591" s="7">
        <f>IF(B591="","",IFERROR(VLOOKUP(B591, PLANTA_BASE!A:R, 9, FALSE), "GENERAL"))</f>
        <v/>
      </c>
      <c r="H591" s="5">
        <f>IF(B591="","",IFERROR(VLOOKUP(B591, PLANTA_BASE!A:R, 17, FALSE), "GENERAL"))</f>
        <v/>
      </c>
    </row>
    <row r="592" ht="20" customHeight="1">
      <c r="A592" s="2">
        <f>IF(B592="","",IFERROR(VLOOKUP(B592, PLANTA_BASE!A:R, 2, FALSE), "NO ENCONTRADO EN PLANTA"))</f>
        <v/>
      </c>
      <c r="B592" s="3" t="inlineStr"/>
      <c r="C592" s="4">
        <f>IF(B592="","",IFERROR(VLOOKUP(B592, PLANTA_BASE!A:R, 3, FALSE), ""))</f>
        <v/>
      </c>
      <c r="D592" s="2">
        <f>IF(B592="","",IFERROR(VLOOKUP(B592, PLANTA_BASE!A:R, 5, FALSE), "NO ENCONTRADO EN PLANTA"))</f>
        <v/>
      </c>
      <c r="E592" s="2">
        <f>IF(B592="","",IFERROR(VLOOKUP(B592, PLANTA_BASE!A:R, 6, FALSE), "NO ENCONTRADO EN PLANTA"))</f>
        <v/>
      </c>
      <c r="F592" s="4">
        <f>IF(B592="","",IFERROR(VLOOKUP(B592, PLANTA_BASE!A:R, 8, FALSE), "DOCENTE / FACILITADOR"))</f>
        <v/>
      </c>
      <c r="G592" s="4">
        <f>IF(B592="","",IFERROR(VLOOKUP(B592, PLANTA_BASE!A:R, 9, FALSE), "GENERAL"))</f>
        <v/>
      </c>
      <c r="H592" s="2">
        <f>IF(B592="","",IFERROR(VLOOKUP(B592, PLANTA_BASE!A:R, 17, FALSE), "GENERAL"))</f>
        <v/>
      </c>
    </row>
    <row r="593" ht="20" customHeight="1">
      <c r="A593" s="5">
        <f>IF(B593="","",IFERROR(VLOOKUP(B593, PLANTA_BASE!A:R, 2, FALSE), "NO ENCONTRADO EN PLANTA"))</f>
        <v/>
      </c>
      <c r="B593" s="6" t="inlineStr"/>
      <c r="C593" s="7">
        <f>IF(B593="","",IFERROR(VLOOKUP(B593, PLANTA_BASE!A:R, 3, FALSE), ""))</f>
        <v/>
      </c>
      <c r="D593" s="5">
        <f>IF(B593="","",IFERROR(VLOOKUP(B593, PLANTA_BASE!A:R, 5, FALSE), "NO ENCONTRADO EN PLANTA"))</f>
        <v/>
      </c>
      <c r="E593" s="5">
        <f>IF(B593="","",IFERROR(VLOOKUP(B593, PLANTA_BASE!A:R, 6, FALSE), "NO ENCONTRADO EN PLANTA"))</f>
        <v/>
      </c>
      <c r="F593" s="7">
        <f>IF(B593="","",IFERROR(VLOOKUP(B593, PLANTA_BASE!A:R, 8, FALSE), "DOCENTE / FACILITADOR"))</f>
        <v/>
      </c>
      <c r="G593" s="7">
        <f>IF(B593="","",IFERROR(VLOOKUP(B593, PLANTA_BASE!A:R, 9, FALSE), "GENERAL"))</f>
        <v/>
      </c>
      <c r="H593" s="5">
        <f>IF(B593="","",IFERROR(VLOOKUP(B593, PLANTA_BASE!A:R, 17, FALSE), "GENERAL"))</f>
        <v/>
      </c>
    </row>
    <row r="594" ht="20" customHeight="1">
      <c r="A594" s="2">
        <f>IF(B594="","",IFERROR(VLOOKUP(B594, PLANTA_BASE!A:R, 2, FALSE), "NO ENCONTRADO EN PLANTA"))</f>
        <v/>
      </c>
      <c r="B594" s="3" t="inlineStr"/>
      <c r="C594" s="4">
        <f>IF(B594="","",IFERROR(VLOOKUP(B594, PLANTA_BASE!A:R, 3, FALSE), ""))</f>
        <v/>
      </c>
      <c r="D594" s="2">
        <f>IF(B594="","",IFERROR(VLOOKUP(B594, PLANTA_BASE!A:R, 5, FALSE), "NO ENCONTRADO EN PLANTA"))</f>
        <v/>
      </c>
      <c r="E594" s="2">
        <f>IF(B594="","",IFERROR(VLOOKUP(B594, PLANTA_BASE!A:R, 6, FALSE), "NO ENCONTRADO EN PLANTA"))</f>
        <v/>
      </c>
      <c r="F594" s="4">
        <f>IF(B594="","",IFERROR(VLOOKUP(B594, PLANTA_BASE!A:R, 8, FALSE), "DOCENTE / FACILITADOR"))</f>
        <v/>
      </c>
      <c r="G594" s="4">
        <f>IF(B594="","",IFERROR(VLOOKUP(B594, PLANTA_BASE!A:R, 9, FALSE), "GENERAL"))</f>
        <v/>
      </c>
      <c r="H594" s="2">
        <f>IF(B594="","",IFERROR(VLOOKUP(B594, PLANTA_BASE!A:R, 17, FALSE), "GENERAL"))</f>
        <v/>
      </c>
    </row>
    <row r="595" ht="20" customHeight="1">
      <c r="A595" s="5">
        <f>IF(B595="","",IFERROR(VLOOKUP(B595, PLANTA_BASE!A:R, 2, FALSE), "NO ENCONTRADO EN PLANTA"))</f>
        <v/>
      </c>
      <c r="B595" s="6" t="inlineStr"/>
      <c r="C595" s="7">
        <f>IF(B595="","",IFERROR(VLOOKUP(B595, PLANTA_BASE!A:R, 3, FALSE), ""))</f>
        <v/>
      </c>
      <c r="D595" s="5">
        <f>IF(B595="","",IFERROR(VLOOKUP(B595, PLANTA_BASE!A:R, 5, FALSE), "NO ENCONTRADO EN PLANTA"))</f>
        <v/>
      </c>
      <c r="E595" s="5">
        <f>IF(B595="","",IFERROR(VLOOKUP(B595, PLANTA_BASE!A:R, 6, FALSE), "NO ENCONTRADO EN PLANTA"))</f>
        <v/>
      </c>
      <c r="F595" s="7">
        <f>IF(B595="","",IFERROR(VLOOKUP(B595, PLANTA_BASE!A:R, 8, FALSE), "DOCENTE / FACILITADOR"))</f>
        <v/>
      </c>
      <c r="G595" s="7">
        <f>IF(B595="","",IFERROR(VLOOKUP(B595, PLANTA_BASE!A:R, 9, FALSE), "GENERAL"))</f>
        <v/>
      </c>
      <c r="H595" s="5">
        <f>IF(B595="","",IFERROR(VLOOKUP(B595, PLANTA_BASE!A:R, 17, FALSE), "GENERAL"))</f>
        <v/>
      </c>
    </row>
    <row r="596" ht="20" customHeight="1">
      <c r="A596" s="2">
        <f>IF(B596="","",IFERROR(VLOOKUP(B596, PLANTA_BASE!A:R, 2, FALSE), "NO ENCONTRADO EN PLANTA"))</f>
        <v/>
      </c>
      <c r="B596" s="3" t="inlineStr"/>
      <c r="C596" s="4">
        <f>IF(B596="","",IFERROR(VLOOKUP(B596, PLANTA_BASE!A:R, 3, FALSE), ""))</f>
        <v/>
      </c>
      <c r="D596" s="2">
        <f>IF(B596="","",IFERROR(VLOOKUP(B596, PLANTA_BASE!A:R, 5, FALSE), "NO ENCONTRADO EN PLANTA"))</f>
        <v/>
      </c>
      <c r="E596" s="2">
        <f>IF(B596="","",IFERROR(VLOOKUP(B596, PLANTA_BASE!A:R, 6, FALSE), "NO ENCONTRADO EN PLANTA"))</f>
        <v/>
      </c>
      <c r="F596" s="4">
        <f>IF(B596="","",IFERROR(VLOOKUP(B596, PLANTA_BASE!A:R, 8, FALSE), "DOCENTE / FACILITADOR"))</f>
        <v/>
      </c>
      <c r="G596" s="4">
        <f>IF(B596="","",IFERROR(VLOOKUP(B596, PLANTA_BASE!A:R, 9, FALSE), "GENERAL"))</f>
        <v/>
      </c>
      <c r="H596" s="2">
        <f>IF(B596="","",IFERROR(VLOOKUP(B596, PLANTA_BASE!A:R, 17, FALSE), "GENERAL"))</f>
        <v/>
      </c>
    </row>
    <row r="597" ht="20" customHeight="1">
      <c r="A597" s="5">
        <f>IF(B597="","",IFERROR(VLOOKUP(B597, PLANTA_BASE!A:R, 2, FALSE), "NO ENCONTRADO EN PLANTA"))</f>
        <v/>
      </c>
      <c r="B597" s="6" t="inlineStr"/>
      <c r="C597" s="7">
        <f>IF(B597="","",IFERROR(VLOOKUP(B597, PLANTA_BASE!A:R, 3, FALSE), ""))</f>
        <v/>
      </c>
      <c r="D597" s="5">
        <f>IF(B597="","",IFERROR(VLOOKUP(B597, PLANTA_BASE!A:R, 5, FALSE), "NO ENCONTRADO EN PLANTA"))</f>
        <v/>
      </c>
      <c r="E597" s="5">
        <f>IF(B597="","",IFERROR(VLOOKUP(B597, PLANTA_BASE!A:R, 6, FALSE), "NO ENCONTRADO EN PLANTA"))</f>
        <v/>
      </c>
      <c r="F597" s="7">
        <f>IF(B597="","",IFERROR(VLOOKUP(B597, PLANTA_BASE!A:R, 8, FALSE), "DOCENTE / FACILITADOR"))</f>
        <v/>
      </c>
      <c r="G597" s="7">
        <f>IF(B597="","",IFERROR(VLOOKUP(B597, PLANTA_BASE!A:R, 9, FALSE), "GENERAL"))</f>
        <v/>
      </c>
      <c r="H597" s="5">
        <f>IF(B597="","",IFERROR(VLOOKUP(B597, PLANTA_BASE!A:R, 17, FALSE), "GENERAL"))</f>
        <v/>
      </c>
    </row>
    <row r="598" ht="20" customHeight="1">
      <c r="A598" s="2">
        <f>IF(B598="","",IFERROR(VLOOKUP(B598, PLANTA_BASE!A:R, 2, FALSE), "NO ENCONTRADO EN PLANTA"))</f>
        <v/>
      </c>
      <c r="B598" s="3" t="inlineStr"/>
      <c r="C598" s="4">
        <f>IF(B598="","",IFERROR(VLOOKUP(B598, PLANTA_BASE!A:R, 3, FALSE), ""))</f>
        <v/>
      </c>
      <c r="D598" s="2">
        <f>IF(B598="","",IFERROR(VLOOKUP(B598, PLANTA_BASE!A:R, 5, FALSE), "NO ENCONTRADO EN PLANTA"))</f>
        <v/>
      </c>
      <c r="E598" s="2">
        <f>IF(B598="","",IFERROR(VLOOKUP(B598, PLANTA_BASE!A:R, 6, FALSE), "NO ENCONTRADO EN PLANTA"))</f>
        <v/>
      </c>
      <c r="F598" s="4">
        <f>IF(B598="","",IFERROR(VLOOKUP(B598, PLANTA_BASE!A:R, 8, FALSE), "DOCENTE / FACILITADOR"))</f>
        <v/>
      </c>
      <c r="G598" s="4">
        <f>IF(B598="","",IFERROR(VLOOKUP(B598, PLANTA_BASE!A:R, 9, FALSE), "GENERAL"))</f>
        <v/>
      </c>
      <c r="H598" s="2">
        <f>IF(B598="","",IFERROR(VLOOKUP(B598, PLANTA_BASE!A:R, 17, FALSE), "GENERAL"))</f>
        <v/>
      </c>
    </row>
    <row r="599" ht="20" customHeight="1">
      <c r="A599" s="5">
        <f>IF(B599="","",IFERROR(VLOOKUP(B599, PLANTA_BASE!A:R, 2, FALSE), "NO ENCONTRADO EN PLANTA"))</f>
        <v/>
      </c>
      <c r="B599" s="6" t="inlineStr"/>
      <c r="C599" s="7">
        <f>IF(B599="","",IFERROR(VLOOKUP(B599, PLANTA_BASE!A:R, 3, FALSE), ""))</f>
        <v/>
      </c>
      <c r="D599" s="5">
        <f>IF(B599="","",IFERROR(VLOOKUP(B599, PLANTA_BASE!A:R, 5, FALSE), "NO ENCONTRADO EN PLANTA"))</f>
        <v/>
      </c>
      <c r="E599" s="5">
        <f>IF(B599="","",IFERROR(VLOOKUP(B599, PLANTA_BASE!A:R, 6, FALSE), "NO ENCONTRADO EN PLANTA"))</f>
        <v/>
      </c>
      <c r="F599" s="7">
        <f>IF(B599="","",IFERROR(VLOOKUP(B599, PLANTA_BASE!A:R, 8, FALSE), "DOCENTE / FACILITADOR"))</f>
        <v/>
      </c>
      <c r="G599" s="7">
        <f>IF(B599="","",IFERROR(VLOOKUP(B599, PLANTA_BASE!A:R, 9, FALSE), "GENERAL"))</f>
        <v/>
      </c>
      <c r="H599" s="5">
        <f>IF(B599="","",IFERROR(VLOOKUP(B599, PLANTA_BASE!A:R, 17, FALSE), "GENERAL"))</f>
        <v/>
      </c>
    </row>
    <row r="600" ht="20" customHeight="1">
      <c r="A600" s="2">
        <f>IF(B600="","",IFERROR(VLOOKUP(B600, PLANTA_BASE!A:R, 2, FALSE), "NO ENCONTRADO EN PLANTA"))</f>
        <v/>
      </c>
      <c r="B600" s="3" t="inlineStr"/>
      <c r="C600" s="4">
        <f>IF(B600="","",IFERROR(VLOOKUP(B600, PLANTA_BASE!A:R, 3, FALSE), ""))</f>
        <v/>
      </c>
      <c r="D600" s="2">
        <f>IF(B600="","",IFERROR(VLOOKUP(B600, PLANTA_BASE!A:R, 5, FALSE), "NO ENCONTRADO EN PLANTA"))</f>
        <v/>
      </c>
      <c r="E600" s="2">
        <f>IF(B600="","",IFERROR(VLOOKUP(B600, PLANTA_BASE!A:R, 6, FALSE), "NO ENCONTRADO EN PLANTA"))</f>
        <v/>
      </c>
      <c r="F600" s="4">
        <f>IF(B600="","",IFERROR(VLOOKUP(B600, PLANTA_BASE!A:R, 8, FALSE), "DOCENTE / FACILITADOR"))</f>
        <v/>
      </c>
      <c r="G600" s="4">
        <f>IF(B600="","",IFERROR(VLOOKUP(B600, PLANTA_BASE!A:R, 9, FALSE), "GENERAL"))</f>
        <v/>
      </c>
      <c r="H600" s="2">
        <f>IF(B600="","",IFERROR(VLOOKUP(B600, PLANTA_BASE!A:R, 17, FALSE), "GENERAL"))</f>
        <v/>
      </c>
    </row>
    <row r="601" ht="20" customHeight="1">
      <c r="A601" s="5">
        <f>IF(B601="","",IFERROR(VLOOKUP(B601, PLANTA_BASE!A:R, 2, FALSE), "NO ENCONTRADO EN PLANTA"))</f>
        <v/>
      </c>
      <c r="B601" s="6" t="inlineStr"/>
      <c r="C601" s="7">
        <f>IF(B601="","",IFERROR(VLOOKUP(B601, PLANTA_BASE!A:R, 3, FALSE), ""))</f>
        <v/>
      </c>
      <c r="D601" s="5">
        <f>IF(B601="","",IFERROR(VLOOKUP(B601, PLANTA_BASE!A:R, 5, FALSE), "NO ENCONTRADO EN PLANTA"))</f>
        <v/>
      </c>
      <c r="E601" s="5">
        <f>IF(B601="","",IFERROR(VLOOKUP(B601, PLANTA_BASE!A:R, 6, FALSE), "NO ENCONTRADO EN PLANTA"))</f>
        <v/>
      </c>
      <c r="F601" s="7">
        <f>IF(B601="","",IFERROR(VLOOKUP(B601, PLANTA_BASE!A:R, 8, FALSE), "DOCENTE / FACILITADOR"))</f>
        <v/>
      </c>
      <c r="G601" s="7">
        <f>IF(B601="","",IFERROR(VLOOKUP(B601, PLANTA_BASE!A:R, 9, FALSE), "GENERAL"))</f>
        <v/>
      </c>
      <c r="H601" s="5">
        <f>IF(B601="","",IFERROR(VLOOKUP(B601, PLANTA_BASE!A:R, 17, FALSE), "GENERAL"))</f>
        <v/>
      </c>
    </row>
    <row r="602" ht="20" customHeight="1">
      <c r="A602" s="2">
        <f>IF(B602="","",IFERROR(VLOOKUP(B602, PLANTA_BASE!A:R, 2, FALSE), "NO ENCONTRADO EN PLANTA"))</f>
        <v/>
      </c>
      <c r="B602" s="3" t="inlineStr"/>
      <c r="C602" s="4">
        <f>IF(B602="","",IFERROR(VLOOKUP(B602, PLANTA_BASE!A:R, 3, FALSE), ""))</f>
        <v/>
      </c>
      <c r="D602" s="2">
        <f>IF(B602="","",IFERROR(VLOOKUP(B602, PLANTA_BASE!A:R, 5, FALSE), "NO ENCONTRADO EN PLANTA"))</f>
        <v/>
      </c>
      <c r="E602" s="2">
        <f>IF(B602="","",IFERROR(VLOOKUP(B602, PLANTA_BASE!A:R, 6, FALSE), "NO ENCONTRADO EN PLANTA"))</f>
        <v/>
      </c>
      <c r="F602" s="4">
        <f>IF(B602="","",IFERROR(VLOOKUP(B602, PLANTA_BASE!A:R, 8, FALSE), "DOCENTE / FACILITADOR"))</f>
        <v/>
      </c>
      <c r="G602" s="4">
        <f>IF(B602="","",IFERROR(VLOOKUP(B602, PLANTA_BASE!A:R, 9, FALSE), "GENERAL"))</f>
        <v/>
      </c>
      <c r="H602" s="2">
        <f>IF(B602="","",IFERROR(VLOOKUP(B602, PLANTA_BASE!A:R, 17, FALSE), "GENERAL"))</f>
        <v/>
      </c>
    </row>
    <row r="603" ht="20" customHeight="1">
      <c r="A603" s="5">
        <f>IF(B603="","",IFERROR(VLOOKUP(B603, PLANTA_BASE!A:R, 2, FALSE), "NO ENCONTRADO EN PLANTA"))</f>
        <v/>
      </c>
      <c r="B603" s="6" t="inlineStr"/>
      <c r="C603" s="7">
        <f>IF(B603="","",IFERROR(VLOOKUP(B603, PLANTA_BASE!A:R, 3, FALSE), ""))</f>
        <v/>
      </c>
      <c r="D603" s="5">
        <f>IF(B603="","",IFERROR(VLOOKUP(B603, PLANTA_BASE!A:R, 5, FALSE), "NO ENCONTRADO EN PLANTA"))</f>
        <v/>
      </c>
      <c r="E603" s="5">
        <f>IF(B603="","",IFERROR(VLOOKUP(B603, PLANTA_BASE!A:R, 6, FALSE), "NO ENCONTRADO EN PLANTA"))</f>
        <v/>
      </c>
      <c r="F603" s="7">
        <f>IF(B603="","",IFERROR(VLOOKUP(B603, PLANTA_BASE!A:R, 8, FALSE), "DOCENTE / FACILITADOR"))</f>
        <v/>
      </c>
      <c r="G603" s="7">
        <f>IF(B603="","",IFERROR(VLOOKUP(B603, PLANTA_BASE!A:R, 9, FALSE), "GENERAL"))</f>
        <v/>
      </c>
      <c r="H603" s="5">
        <f>IF(B603="","",IFERROR(VLOOKUP(B603, PLANTA_BASE!A:R, 17, FALSE), "GENERAL"))</f>
        <v/>
      </c>
    </row>
    <row r="604" ht="20" customHeight="1">
      <c r="A604" s="2">
        <f>IF(B604="","",IFERROR(VLOOKUP(B604, PLANTA_BASE!A:R, 2, FALSE), "NO ENCONTRADO EN PLANTA"))</f>
        <v/>
      </c>
      <c r="B604" s="3" t="inlineStr"/>
      <c r="C604" s="4">
        <f>IF(B604="","",IFERROR(VLOOKUP(B604, PLANTA_BASE!A:R, 3, FALSE), ""))</f>
        <v/>
      </c>
      <c r="D604" s="2">
        <f>IF(B604="","",IFERROR(VLOOKUP(B604, PLANTA_BASE!A:R, 5, FALSE), "NO ENCONTRADO EN PLANTA"))</f>
        <v/>
      </c>
      <c r="E604" s="2">
        <f>IF(B604="","",IFERROR(VLOOKUP(B604, PLANTA_BASE!A:R, 6, FALSE), "NO ENCONTRADO EN PLANTA"))</f>
        <v/>
      </c>
      <c r="F604" s="4">
        <f>IF(B604="","",IFERROR(VLOOKUP(B604, PLANTA_BASE!A:R, 8, FALSE), "DOCENTE / FACILITADOR"))</f>
        <v/>
      </c>
      <c r="G604" s="4">
        <f>IF(B604="","",IFERROR(VLOOKUP(B604, PLANTA_BASE!A:R, 9, FALSE), "GENERAL"))</f>
        <v/>
      </c>
      <c r="H604" s="2">
        <f>IF(B604="","",IFERROR(VLOOKUP(B604, PLANTA_BASE!A:R, 17, FALSE), "GENERAL"))</f>
        <v/>
      </c>
    </row>
    <row r="605" ht="20" customHeight="1">
      <c r="A605" s="5">
        <f>IF(B605="","",IFERROR(VLOOKUP(B605, PLANTA_BASE!A:R, 2, FALSE), "NO ENCONTRADO EN PLANTA"))</f>
        <v/>
      </c>
      <c r="B605" s="6" t="inlineStr"/>
      <c r="C605" s="7">
        <f>IF(B605="","",IFERROR(VLOOKUP(B605, PLANTA_BASE!A:R, 3, FALSE), ""))</f>
        <v/>
      </c>
      <c r="D605" s="5">
        <f>IF(B605="","",IFERROR(VLOOKUP(B605, PLANTA_BASE!A:R, 5, FALSE), "NO ENCONTRADO EN PLANTA"))</f>
        <v/>
      </c>
      <c r="E605" s="5">
        <f>IF(B605="","",IFERROR(VLOOKUP(B605, PLANTA_BASE!A:R, 6, FALSE), "NO ENCONTRADO EN PLANTA"))</f>
        <v/>
      </c>
      <c r="F605" s="7">
        <f>IF(B605="","",IFERROR(VLOOKUP(B605, PLANTA_BASE!A:R, 8, FALSE), "DOCENTE / FACILITADOR"))</f>
        <v/>
      </c>
      <c r="G605" s="7">
        <f>IF(B605="","",IFERROR(VLOOKUP(B605, PLANTA_BASE!A:R, 9, FALSE), "GENERAL"))</f>
        <v/>
      </c>
      <c r="H605" s="5">
        <f>IF(B605="","",IFERROR(VLOOKUP(B605, PLANTA_BASE!A:R, 17, FALSE), "GENERAL"))</f>
        <v/>
      </c>
    </row>
    <row r="606" ht="20" customHeight="1">
      <c r="A606" s="2">
        <f>IF(B606="","",IFERROR(VLOOKUP(B606, PLANTA_BASE!A:R, 2, FALSE), "NO ENCONTRADO EN PLANTA"))</f>
        <v/>
      </c>
      <c r="B606" s="3" t="inlineStr"/>
      <c r="C606" s="4">
        <f>IF(B606="","",IFERROR(VLOOKUP(B606, PLANTA_BASE!A:R, 3, FALSE), ""))</f>
        <v/>
      </c>
      <c r="D606" s="2">
        <f>IF(B606="","",IFERROR(VLOOKUP(B606, PLANTA_BASE!A:R, 5, FALSE), "NO ENCONTRADO EN PLANTA"))</f>
        <v/>
      </c>
      <c r="E606" s="2">
        <f>IF(B606="","",IFERROR(VLOOKUP(B606, PLANTA_BASE!A:R, 6, FALSE), "NO ENCONTRADO EN PLANTA"))</f>
        <v/>
      </c>
      <c r="F606" s="4">
        <f>IF(B606="","",IFERROR(VLOOKUP(B606, PLANTA_BASE!A:R, 8, FALSE), "DOCENTE / FACILITADOR"))</f>
        <v/>
      </c>
      <c r="G606" s="4">
        <f>IF(B606="","",IFERROR(VLOOKUP(B606, PLANTA_BASE!A:R, 9, FALSE), "GENERAL"))</f>
        <v/>
      </c>
      <c r="H606" s="2">
        <f>IF(B606="","",IFERROR(VLOOKUP(B606, PLANTA_BASE!A:R, 17, FALSE), "GENERAL"))</f>
        <v/>
      </c>
    </row>
    <row r="607" ht="20" customHeight="1">
      <c r="A607" s="5">
        <f>IF(B607="","",IFERROR(VLOOKUP(B607, PLANTA_BASE!A:R, 2, FALSE), "NO ENCONTRADO EN PLANTA"))</f>
        <v/>
      </c>
      <c r="B607" s="6" t="inlineStr"/>
      <c r="C607" s="7">
        <f>IF(B607="","",IFERROR(VLOOKUP(B607, PLANTA_BASE!A:R, 3, FALSE), ""))</f>
        <v/>
      </c>
      <c r="D607" s="5">
        <f>IF(B607="","",IFERROR(VLOOKUP(B607, PLANTA_BASE!A:R, 5, FALSE), "NO ENCONTRADO EN PLANTA"))</f>
        <v/>
      </c>
      <c r="E607" s="5">
        <f>IF(B607="","",IFERROR(VLOOKUP(B607, PLANTA_BASE!A:R, 6, FALSE), "NO ENCONTRADO EN PLANTA"))</f>
        <v/>
      </c>
      <c r="F607" s="7">
        <f>IF(B607="","",IFERROR(VLOOKUP(B607, PLANTA_BASE!A:R, 8, FALSE), "DOCENTE / FACILITADOR"))</f>
        <v/>
      </c>
      <c r="G607" s="7">
        <f>IF(B607="","",IFERROR(VLOOKUP(B607, PLANTA_BASE!A:R, 9, FALSE), "GENERAL"))</f>
        <v/>
      </c>
      <c r="H607" s="5">
        <f>IF(B607="","",IFERROR(VLOOKUP(B607, PLANTA_BASE!A:R, 17, FALSE), "GENERAL"))</f>
        <v/>
      </c>
    </row>
    <row r="608" ht="20" customHeight="1">
      <c r="A608" s="2">
        <f>IF(B608="","",IFERROR(VLOOKUP(B608, PLANTA_BASE!A:R, 2, FALSE), "NO ENCONTRADO EN PLANTA"))</f>
        <v/>
      </c>
      <c r="B608" s="3" t="inlineStr"/>
      <c r="C608" s="4">
        <f>IF(B608="","",IFERROR(VLOOKUP(B608, PLANTA_BASE!A:R, 3, FALSE), ""))</f>
        <v/>
      </c>
      <c r="D608" s="2">
        <f>IF(B608="","",IFERROR(VLOOKUP(B608, PLANTA_BASE!A:R, 5, FALSE), "NO ENCONTRADO EN PLANTA"))</f>
        <v/>
      </c>
      <c r="E608" s="2">
        <f>IF(B608="","",IFERROR(VLOOKUP(B608, PLANTA_BASE!A:R, 6, FALSE), "NO ENCONTRADO EN PLANTA"))</f>
        <v/>
      </c>
      <c r="F608" s="4">
        <f>IF(B608="","",IFERROR(VLOOKUP(B608, PLANTA_BASE!A:R, 8, FALSE), "DOCENTE / FACILITADOR"))</f>
        <v/>
      </c>
      <c r="G608" s="4">
        <f>IF(B608="","",IFERROR(VLOOKUP(B608, PLANTA_BASE!A:R, 9, FALSE), "GENERAL"))</f>
        <v/>
      </c>
      <c r="H608" s="2">
        <f>IF(B608="","",IFERROR(VLOOKUP(B608, PLANTA_BASE!A:R, 17, FALSE), "GENERAL"))</f>
        <v/>
      </c>
    </row>
    <row r="609" ht="20" customHeight="1">
      <c r="A609" s="5">
        <f>IF(B609="","",IFERROR(VLOOKUP(B609, PLANTA_BASE!A:R, 2, FALSE), "NO ENCONTRADO EN PLANTA"))</f>
        <v/>
      </c>
      <c r="B609" s="6" t="inlineStr"/>
      <c r="C609" s="7">
        <f>IF(B609="","",IFERROR(VLOOKUP(B609, PLANTA_BASE!A:R, 3, FALSE), ""))</f>
        <v/>
      </c>
      <c r="D609" s="5">
        <f>IF(B609="","",IFERROR(VLOOKUP(B609, PLANTA_BASE!A:R, 5, FALSE), "NO ENCONTRADO EN PLANTA"))</f>
        <v/>
      </c>
      <c r="E609" s="5">
        <f>IF(B609="","",IFERROR(VLOOKUP(B609, PLANTA_BASE!A:R, 6, FALSE), "NO ENCONTRADO EN PLANTA"))</f>
        <v/>
      </c>
      <c r="F609" s="7">
        <f>IF(B609="","",IFERROR(VLOOKUP(B609, PLANTA_BASE!A:R, 8, FALSE), "DOCENTE / FACILITADOR"))</f>
        <v/>
      </c>
      <c r="G609" s="7">
        <f>IF(B609="","",IFERROR(VLOOKUP(B609, PLANTA_BASE!A:R, 9, FALSE), "GENERAL"))</f>
        <v/>
      </c>
      <c r="H609" s="5">
        <f>IF(B609="","",IFERROR(VLOOKUP(B609, PLANTA_BASE!A:R, 17, FALSE), "GENERAL"))</f>
        <v/>
      </c>
    </row>
    <row r="610" ht="20" customHeight="1">
      <c r="A610" s="2">
        <f>IF(B610="","",IFERROR(VLOOKUP(B610, PLANTA_BASE!A:R, 2, FALSE), "NO ENCONTRADO EN PLANTA"))</f>
        <v/>
      </c>
      <c r="B610" s="3" t="inlineStr"/>
      <c r="C610" s="4">
        <f>IF(B610="","",IFERROR(VLOOKUP(B610, PLANTA_BASE!A:R, 3, FALSE), ""))</f>
        <v/>
      </c>
      <c r="D610" s="2">
        <f>IF(B610="","",IFERROR(VLOOKUP(B610, PLANTA_BASE!A:R, 5, FALSE), "NO ENCONTRADO EN PLANTA"))</f>
        <v/>
      </c>
      <c r="E610" s="2">
        <f>IF(B610="","",IFERROR(VLOOKUP(B610, PLANTA_BASE!A:R, 6, FALSE), "NO ENCONTRADO EN PLANTA"))</f>
        <v/>
      </c>
      <c r="F610" s="4">
        <f>IF(B610="","",IFERROR(VLOOKUP(B610, PLANTA_BASE!A:R, 8, FALSE), "DOCENTE / FACILITADOR"))</f>
        <v/>
      </c>
      <c r="G610" s="4">
        <f>IF(B610="","",IFERROR(VLOOKUP(B610, PLANTA_BASE!A:R, 9, FALSE), "GENERAL"))</f>
        <v/>
      </c>
      <c r="H610" s="2">
        <f>IF(B610="","",IFERROR(VLOOKUP(B610, PLANTA_BASE!A:R, 17, FALSE), "GENERAL"))</f>
        <v/>
      </c>
    </row>
    <row r="611" ht="20" customHeight="1">
      <c r="A611" s="5">
        <f>IF(B611="","",IFERROR(VLOOKUP(B611, PLANTA_BASE!A:R, 2, FALSE), "NO ENCONTRADO EN PLANTA"))</f>
        <v/>
      </c>
      <c r="B611" s="6" t="inlineStr"/>
      <c r="C611" s="7">
        <f>IF(B611="","",IFERROR(VLOOKUP(B611, PLANTA_BASE!A:R, 3, FALSE), ""))</f>
        <v/>
      </c>
      <c r="D611" s="5">
        <f>IF(B611="","",IFERROR(VLOOKUP(B611, PLANTA_BASE!A:R, 5, FALSE), "NO ENCONTRADO EN PLANTA"))</f>
        <v/>
      </c>
      <c r="E611" s="5">
        <f>IF(B611="","",IFERROR(VLOOKUP(B611, PLANTA_BASE!A:R, 6, FALSE), "NO ENCONTRADO EN PLANTA"))</f>
        <v/>
      </c>
      <c r="F611" s="7">
        <f>IF(B611="","",IFERROR(VLOOKUP(B611, PLANTA_BASE!A:R, 8, FALSE), "DOCENTE / FACILITADOR"))</f>
        <v/>
      </c>
      <c r="G611" s="7">
        <f>IF(B611="","",IFERROR(VLOOKUP(B611, PLANTA_BASE!A:R, 9, FALSE), "GENERAL"))</f>
        <v/>
      </c>
      <c r="H611" s="5">
        <f>IF(B611="","",IFERROR(VLOOKUP(B611, PLANTA_BASE!A:R, 17, FALSE), "GENERAL"))</f>
        <v/>
      </c>
    </row>
    <row r="612" ht="20" customHeight="1">
      <c r="A612" s="2">
        <f>IF(B612="","",IFERROR(VLOOKUP(B612, PLANTA_BASE!A:R, 2, FALSE), "NO ENCONTRADO EN PLANTA"))</f>
        <v/>
      </c>
      <c r="B612" s="3" t="inlineStr"/>
      <c r="C612" s="4">
        <f>IF(B612="","",IFERROR(VLOOKUP(B612, PLANTA_BASE!A:R, 3, FALSE), ""))</f>
        <v/>
      </c>
      <c r="D612" s="2">
        <f>IF(B612="","",IFERROR(VLOOKUP(B612, PLANTA_BASE!A:R, 5, FALSE), "NO ENCONTRADO EN PLANTA"))</f>
        <v/>
      </c>
      <c r="E612" s="2">
        <f>IF(B612="","",IFERROR(VLOOKUP(B612, PLANTA_BASE!A:R, 6, FALSE), "NO ENCONTRADO EN PLANTA"))</f>
        <v/>
      </c>
      <c r="F612" s="4">
        <f>IF(B612="","",IFERROR(VLOOKUP(B612, PLANTA_BASE!A:R, 8, FALSE), "DOCENTE / FACILITADOR"))</f>
        <v/>
      </c>
      <c r="G612" s="4">
        <f>IF(B612="","",IFERROR(VLOOKUP(B612, PLANTA_BASE!A:R, 9, FALSE), "GENERAL"))</f>
        <v/>
      </c>
      <c r="H612" s="2">
        <f>IF(B612="","",IFERROR(VLOOKUP(B612, PLANTA_BASE!A:R, 17, FALSE), "GENERAL"))</f>
        <v/>
      </c>
    </row>
    <row r="613" ht="20" customHeight="1">
      <c r="A613" s="5">
        <f>IF(B613="","",IFERROR(VLOOKUP(B613, PLANTA_BASE!A:R, 2, FALSE), "NO ENCONTRADO EN PLANTA"))</f>
        <v/>
      </c>
      <c r="B613" s="6" t="inlineStr"/>
      <c r="C613" s="7">
        <f>IF(B613="","",IFERROR(VLOOKUP(B613, PLANTA_BASE!A:R, 3, FALSE), ""))</f>
        <v/>
      </c>
      <c r="D613" s="5">
        <f>IF(B613="","",IFERROR(VLOOKUP(B613, PLANTA_BASE!A:R, 5, FALSE), "NO ENCONTRADO EN PLANTA"))</f>
        <v/>
      </c>
      <c r="E613" s="5">
        <f>IF(B613="","",IFERROR(VLOOKUP(B613, PLANTA_BASE!A:R, 6, FALSE), "NO ENCONTRADO EN PLANTA"))</f>
        <v/>
      </c>
      <c r="F613" s="7">
        <f>IF(B613="","",IFERROR(VLOOKUP(B613, PLANTA_BASE!A:R, 8, FALSE), "DOCENTE / FACILITADOR"))</f>
        <v/>
      </c>
      <c r="G613" s="7">
        <f>IF(B613="","",IFERROR(VLOOKUP(B613, PLANTA_BASE!A:R, 9, FALSE), "GENERAL"))</f>
        <v/>
      </c>
      <c r="H613" s="5">
        <f>IF(B613="","",IFERROR(VLOOKUP(B613, PLANTA_BASE!A:R, 17, FALSE), "GENERAL"))</f>
        <v/>
      </c>
    </row>
    <row r="614" ht="20" customHeight="1">
      <c r="A614" s="2">
        <f>IF(B614="","",IFERROR(VLOOKUP(B614, PLANTA_BASE!A:R, 2, FALSE), "NO ENCONTRADO EN PLANTA"))</f>
        <v/>
      </c>
      <c r="B614" s="3" t="inlineStr"/>
      <c r="C614" s="4">
        <f>IF(B614="","",IFERROR(VLOOKUP(B614, PLANTA_BASE!A:R, 3, FALSE), ""))</f>
        <v/>
      </c>
      <c r="D614" s="2">
        <f>IF(B614="","",IFERROR(VLOOKUP(B614, PLANTA_BASE!A:R, 5, FALSE), "NO ENCONTRADO EN PLANTA"))</f>
        <v/>
      </c>
      <c r="E614" s="2">
        <f>IF(B614="","",IFERROR(VLOOKUP(B614, PLANTA_BASE!A:R, 6, FALSE), "NO ENCONTRADO EN PLANTA"))</f>
        <v/>
      </c>
      <c r="F614" s="4">
        <f>IF(B614="","",IFERROR(VLOOKUP(B614, PLANTA_BASE!A:R, 8, FALSE), "DOCENTE / FACILITADOR"))</f>
        <v/>
      </c>
      <c r="G614" s="4">
        <f>IF(B614="","",IFERROR(VLOOKUP(B614, PLANTA_BASE!A:R, 9, FALSE), "GENERAL"))</f>
        <v/>
      </c>
      <c r="H614" s="2">
        <f>IF(B614="","",IFERROR(VLOOKUP(B614, PLANTA_BASE!A:R, 17, FALSE), "GENERAL"))</f>
        <v/>
      </c>
    </row>
    <row r="615" ht="20" customHeight="1">
      <c r="A615" s="5">
        <f>IF(B615="","",IFERROR(VLOOKUP(B615, PLANTA_BASE!A:R, 2, FALSE), "NO ENCONTRADO EN PLANTA"))</f>
        <v/>
      </c>
      <c r="B615" s="6" t="inlineStr"/>
      <c r="C615" s="7">
        <f>IF(B615="","",IFERROR(VLOOKUP(B615, PLANTA_BASE!A:R, 3, FALSE), ""))</f>
        <v/>
      </c>
      <c r="D615" s="5">
        <f>IF(B615="","",IFERROR(VLOOKUP(B615, PLANTA_BASE!A:R, 5, FALSE), "NO ENCONTRADO EN PLANTA"))</f>
        <v/>
      </c>
      <c r="E615" s="5">
        <f>IF(B615="","",IFERROR(VLOOKUP(B615, PLANTA_BASE!A:R, 6, FALSE), "NO ENCONTRADO EN PLANTA"))</f>
        <v/>
      </c>
      <c r="F615" s="7">
        <f>IF(B615="","",IFERROR(VLOOKUP(B615, PLANTA_BASE!A:R, 8, FALSE), "DOCENTE / FACILITADOR"))</f>
        <v/>
      </c>
      <c r="G615" s="7">
        <f>IF(B615="","",IFERROR(VLOOKUP(B615, PLANTA_BASE!A:R, 9, FALSE), "GENERAL"))</f>
        <v/>
      </c>
      <c r="H615" s="5">
        <f>IF(B615="","",IFERROR(VLOOKUP(B615, PLANTA_BASE!A:R, 17, FALSE), "GENERAL"))</f>
        <v/>
      </c>
    </row>
    <row r="616" ht="20" customHeight="1">
      <c r="A616" s="2">
        <f>IF(B616="","",IFERROR(VLOOKUP(B616, PLANTA_BASE!A:R, 2, FALSE), "NO ENCONTRADO EN PLANTA"))</f>
        <v/>
      </c>
      <c r="B616" s="3" t="inlineStr"/>
      <c r="C616" s="4">
        <f>IF(B616="","",IFERROR(VLOOKUP(B616, PLANTA_BASE!A:R, 3, FALSE), ""))</f>
        <v/>
      </c>
      <c r="D616" s="2">
        <f>IF(B616="","",IFERROR(VLOOKUP(B616, PLANTA_BASE!A:R, 5, FALSE), "NO ENCONTRADO EN PLANTA"))</f>
        <v/>
      </c>
      <c r="E616" s="2">
        <f>IF(B616="","",IFERROR(VLOOKUP(B616, PLANTA_BASE!A:R, 6, FALSE), "NO ENCONTRADO EN PLANTA"))</f>
        <v/>
      </c>
      <c r="F616" s="4">
        <f>IF(B616="","",IFERROR(VLOOKUP(B616, PLANTA_BASE!A:R, 8, FALSE), "DOCENTE / FACILITADOR"))</f>
        <v/>
      </c>
      <c r="G616" s="4">
        <f>IF(B616="","",IFERROR(VLOOKUP(B616, PLANTA_BASE!A:R, 9, FALSE), "GENERAL"))</f>
        <v/>
      </c>
      <c r="H616" s="2">
        <f>IF(B616="","",IFERROR(VLOOKUP(B616, PLANTA_BASE!A:R, 17, FALSE), "GENERAL"))</f>
        <v/>
      </c>
    </row>
    <row r="617" ht="20" customHeight="1">
      <c r="A617" s="5">
        <f>IF(B617="","",IFERROR(VLOOKUP(B617, PLANTA_BASE!A:R, 2, FALSE), "NO ENCONTRADO EN PLANTA"))</f>
        <v/>
      </c>
      <c r="B617" s="6" t="inlineStr"/>
      <c r="C617" s="7">
        <f>IF(B617="","",IFERROR(VLOOKUP(B617, PLANTA_BASE!A:R, 3, FALSE), ""))</f>
        <v/>
      </c>
      <c r="D617" s="5">
        <f>IF(B617="","",IFERROR(VLOOKUP(B617, PLANTA_BASE!A:R, 5, FALSE), "NO ENCONTRADO EN PLANTA"))</f>
        <v/>
      </c>
      <c r="E617" s="5">
        <f>IF(B617="","",IFERROR(VLOOKUP(B617, PLANTA_BASE!A:R, 6, FALSE), "NO ENCONTRADO EN PLANTA"))</f>
        <v/>
      </c>
      <c r="F617" s="7">
        <f>IF(B617="","",IFERROR(VLOOKUP(B617, PLANTA_BASE!A:R, 8, FALSE), "DOCENTE / FACILITADOR"))</f>
        <v/>
      </c>
      <c r="G617" s="7">
        <f>IF(B617="","",IFERROR(VLOOKUP(B617, PLANTA_BASE!A:R, 9, FALSE), "GENERAL"))</f>
        <v/>
      </c>
      <c r="H617" s="5">
        <f>IF(B617="","",IFERROR(VLOOKUP(B617, PLANTA_BASE!A:R, 17, FALSE), "GENERAL"))</f>
        <v/>
      </c>
    </row>
    <row r="618" ht="20" customHeight="1">
      <c r="A618" s="2">
        <f>IF(B618="","",IFERROR(VLOOKUP(B618, PLANTA_BASE!A:R, 2, FALSE), "NO ENCONTRADO EN PLANTA"))</f>
        <v/>
      </c>
      <c r="B618" s="3" t="inlineStr"/>
      <c r="C618" s="4">
        <f>IF(B618="","",IFERROR(VLOOKUP(B618, PLANTA_BASE!A:R, 3, FALSE), ""))</f>
        <v/>
      </c>
      <c r="D618" s="2">
        <f>IF(B618="","",IFERROR(VLOOKUP(B618, PLANTA_BASE!A:R, 5, FALSE), "NO ENCONTRADO EN PLANTA"))</f>
        <v/>
      </c>
      <c r="E618" s="2">
        <f>IF(B618="","",IFERROR(VLOOKUP(B618, PLANTA_BASE!A:R, 6, FALSE), "NO ENCONTRADO EN PLANTA"))</f>
        <v/>
      </c>
      <c r="F618" s="4">
        <f>IF(B618="","",IFERROR(VLOOKUP(B618, PLANTA_BASE!A:R, 8, FALSE), "DOCENTE / FACILITADOR"))</f>
        <v/>
      </c>
      <c r="G618" s="4">
        <f>IF(B618="","",IFERROR(VLOOKUP(B618, PLANTA_BASE!A:R, 9, FALSE), "GENERAL"))</f>
        <v/>
      </c>
      <c r="H618" s="2">
        <f>IF(B618="","",IFERROR(VLOOKUP(B618, PLANTA_BASE!A:R, 17, FALSE), "GENERAL"))</f>
        <v/>
      </c>
    </row>
    <row r="619" ht="20" customHeight="1">
      <c r="A619" s="5">
        <f>IF(B619="","",IFERROR(VLOOKUP(B619, PLANTA_BASE!A:R, 2, FALSE), "NO ENCONTRADO EN PLANTA"))</f>
        <v/>
      </c>
      <c r="B619" s="6" t="inlineStr"/>
      <c r="C619" s="7">
        <f>IF(B619="","",IFERROR(VLOOKUP(B619, PLANTA_BASE!A:R, 3, FALSE), ""))</f>
        <v/>
      </c>
      <c r="D619" s="5">
        <f>IF(B619="","",IFERROR(VLOOKUP(B619, PLANTA_BASE!A:R, 5, FALSE), "NO ENCONTRADO EN PLANTA"))</f>
        <v/>
      </c>
      <c r="E619" s="5">
        <f>IF(B619="","",IFERROR(VLOOKUP(B619, PLANTA_BASE!A:R, 6, FALSE), "NO ENCONTRADO EN PLANTA"))</f>
        <v/>
      </c>
      <c r="F619" s="7">
        <f>IF(B619="","",IFERROR(VLOOKUP(B619, PLANTA_BASE!A:R, 8, FALSE), "DOCENTE / FACILITADOR"))</f>
        <v/>
      </c>
      <c r="G619" s="7">
        <f>IF(B619="","",IFERROR(VLOOKUP(B619, PLANTA_BASE!A:R, 9, FALSE), "GENERAL"))</f>
        <v/>
      </c>
      <c r="H619" s="5">
        <f>IF(B619="","",IFERROR(VLOOKUP(B619, PLANTA_BASE!A:R, 17, FALSE), "GENERAL"))</f>
        <v/>
      </c>
    </row>
    <row r="620" ht="20" customHeight="1">
      <c r="A620" s="2">
        <f>IF(B620="","",IFERROR(VLOOKUP(B620, PLANTA_BASE!A:R, 2, FALSE), "NO ENCONTRADO EN PLANTA"))</f>
        <v/>
      </c>
      <c r="B620" s="3" t="inlineStr"/>
      <c r="C620" s="4">
        <f>IF(B620="","",IFERROR(VLOOKUP(B620, PLANTA_BASE!A:R, 3, FALSE), ""))</f>
        <v/>
      </c>
      <c r="D620" s="2">
        <f>IF(B620="","",IFERROR(VLOOKUP(B620, PLANTA_BASE!A:R, 5, FALSE), "NO ENCONTRADO EN PLANTA"))</f>
        <v/>
      </c>
      <c r="E620" s="2">
        <f>IF(B620="","",IFERROR(VLOOKUP(B620, PLANTA_BASE!A:R, 6, FALSE), "NO ENCONTRADO EN PLANTA"))</f>
        <v/>
      </c>
      <c r="F620" s="4">
        <f>IF(B620="","",IFERROR(VLOOKUP(B620, PLANTA_BASE!A:R, 8, FALSE), "DOCENTE / FACILITADOR"))</f>
        <v/>
      </c>
      <c r="G620" s="4">
        <f>IF(B620="","",IFERROR(VLOOKUP(B620, PLANTA_BASE!A:R, 9, FALSE), "GENERAL"))</f>
        <v/>
      </c>
      <c r="H620" s="2">
        <f>IF(B620="","",IFERROR(VLOOKUP(B620, PLANTA_BASE!A:R, 17, FALSE), "GENERAL"))</f>
        <v/>
      </c>
    </row>
    <row r="621" ht="20" customHeight="1">
      <c r="A621" s="5">
        <f>IF(B621="","",IFERROR(VLOOKUP(B621, PLANTA_BASE!A:R, 2, FALSE), "NO ENCONTRADO EN PLANTA"))</f>
        <v/>
      </c>
      <c r="B621" s="6" t="inlineStr"/>
      <c r="C621" s="7">
        <f>IF(B621="","",IFERROR(VLOOKUP(B621, PLANTA_BASE!A:R, 3, FALSE), ""))</f>
        <v/>
      </c>
      <c r="D621" s="5">
        <f>IF(B621="","",IFERROR(VLOOKUP(B621, PLANTA_BASE!A:R, 5, FALSE), "NO ENCONTRADO EN PLANTA"))</f>
        <v/>
      </c>
      <c r="E621" s="5">
        <f>IF(B621="","",IFERROR(VLOOKUP(B621, PLANTA_BASE!A:R, 6, FALSE), "NO ENCONTRADO EN PLANTA"))</f>
        <v/>
      </c>
      <c r="F621" s="7">
        <f>IF(B621="","",IFERROR(VLOOKUP(B621, PLANTA_BASE!A:R, 8, FALSE), "DOCENTE / FACILITADOR"))</f>
        <v/>
      </c>
      <c r="G621" s="7">
        <f>IF(B621="","",IFERROR(VLOOKUP(B621, PLANTA_BASE!A:R, 9, FALSE), "GENERAL"))</f>
        <v/>
      </c>
      <c r="H621" s="5">
        <f>IF(B621="","",IFERROR(VLOOKUP(B621, PLANTA_BASE!A:R, 17, FALSE), "GENERAL"))</f>
        <v/>
      </c>
    </row>
    <row r="622" ht="20" customHeight="1">
      <c r="A622" s="2">
        <f>IF(B622="","",IFERROR(VLOOKUP(B622, PLANTA_BASE!A:R, 2, FALSE), "NO ENCONTRADO EN PLANTA"))</f>
        <v/>
      </c>
      <c r="B622" s="3" t="inlineStr"/>
      <c r="C622" s="4">
        <f>IF(B622="","",IFERROR(VLOOKUP(B622, PLANTA_BASE!A:R, 3, FALSE), ""))</f>
        <v/>
      </c>
      <c r="D622" s="2">
        <f>IF(B622="","",IFERROR(VLOOKUP(B622, PLANTA_BASE!A:R, 5, FALSE), "NO ENCONTRADO EN PLANTA"))</f>
        <v/>
      </c>
      <c r="E622" s="2">
        <f>IF(B622="","",IFERROR(VLOOKUP(B622, PLANTA_BASE!A:R, 6, FALSE), "NO ENCONTRADO EN PLANTA"))</f>
        <v/>
      </c>
      <c r="F622" s="4">
        <f>IF(B622="","",IFERROR(VLOOKUP(B622, PLANTA_BASE!A:R, 8, FALSE), "DOCENTE / FACILITADOR"))</f>
        <v/>
      </c>
      <c r="G622" s="4">
        <f>IF(B622="","",IFERROR(VLOOKUP(B622, PLANTA_BASE!A:R, 9, FALSE), "GENERAL"))</f>
        <v/>
      </c>
      <c r="H622" s="2">
        <f>IF(B622="","",IFERROR(VLOOKUP(B622, PLANTA_BASE!A:R, 17, FALSE), "GENERAL"))</f>
        <v/>
      </c>
    </row>
    <row r="623" ht="20" customHeight="1">
      <c r="A623" s="5">
        <f>IF(B623="","",IFERROR(VLOOKUP(B623, PLANTA_BASE!A:R, 2, FALSE), "NO ENCONTRADO EN PLANTA"))</f>
        <v/>
      </c>
      <c r="B623" s="6" t="inlineStr"/>
      <c r="C623" s="7">
        <f>IF(B623="","",IFERROR(VLOOKUP(B623, PLANTA_BASE!A:R, 3, FALSE), ""))</f>
        <v/>
      </c>
      <c r="D623" s="5">
        <f>IF(B623="","",IFERROR(VLOOKUP(B623, PLANTA_BASE!A:R, 5, FALSE), "NO ENCONTRADO EN PLANTA"))</f>
        <v/>
      </c>
      <c r="E623" s="5">
        <f>IF(B623="","",IFERROR(VLOOKUP(B623, PLANTA_BASE!A:R, 6, FALSE), "NO ENCONTRADO EN PLANTA"))</f>
        <v/>
      </c>
      <c r="F623" s="7">
        <f>IF(B623="","",IFERROR(VLOOKUP(B623, PLANTA_BASE!A:R, 8, FALSE), "DOCENTE / FACILITADOR"))</f>
        <v/>
      </c>
      <c r="G623" s="7">
        <f>IF(B623="","",IFERROR(VLOOKUP(B623, PLANTA_BASE!A:R, 9, FALSE), "GENERAL"))</f>
        <v/>
      </c>
      <c r="H623" s="5">
        <f>IF(B623="","",IFERROR(VLOOKUP(B623, PLANTA_BASE!A:R, 17, FALSE), "GENERAL"))</f>
        <v/>
      </c>
    </row>
    <row r="624" ht="20" customHeight="1">
      <c r="A624" s="2">
        <f>IF(B624="","",IFERROR(VLOOKUP(B624, PLANTA_BASE!A:R, 2, FALSE), "NO ENCONTRADO EN PLANTA"))</f>
        <v/>
      </c>
      <c r="B624" s="3" t="inlineStr"/>
      <c r="C624" s="4">
        <f>IF(B624="","",IFERROR(VLOOKUP(B624, PLANTA_BASE!A:R, 3, FALSE), ""))</f>
        <v/>
      </c>
      <c r="D624" s="2">
        <f>IF(B624="","",IFERROR(VLOOKUP(B624, PLANTA_BASE!A:R, 5, FALSE), "NO ENCONTRADO EN PLANTA"))</f>
        <v/>
      </c>
      <c r="E624" s="2">
        <f>IF(B624="","",IFERROR(VLOOKUP(B624, PLANTA_BASE!A:R, 6, FALSE), "NO ENCONTRADO EN PLANTA"))</f>
        <v/>
      </c>
      <c r="F624" s="4">
        <f>IF(B624="","",IFERROR(VLOOKUP(B624, PLANTA_BASE!A:R, 8, FALSE), "DOCENTE / FACILITADOR"))</f>
        <v/>
      </c>
      <c r="G624" s="4">
        <f>IF(B624="","",IFERROR(VLOOKUP(B624, PLANTA_BASE!A:R, 9, FALSE), "GENERAL"))</f>
        <v/>
      </c>
      <c r="H624" s="2">
        <f>IF(B624="","",IFERROR(VLOOKUP(B624, PLANTA_BASE!A:R, 17, FALSE), "GENERAL"))</f>
        <v/>
      </c>
    </row>
    <row r="625" ht="20" customHeight="1">
      <c r="A625" s="5">
        <f>IF(B625="","",IFERROR(VLOOKUP(B625, PLANTA_BASE!A:R, 2, FALSE), "NO ENCONTRADO EN PLANTA"))</f>
        <v/>
      </c>
      <c r="B625" s="6" t="inlineStr"/>
      <c r="C625" s="7">
        <f>IF(B625="","",IFERROR(VLOOKUP(B625, PLANTA_BASE!A:R, 3, FALSE), ""))</f>
        <v/>
      </c>
      <c r="D625" s="5">
        <f>IF(B625="","",IFERROR(VLOOKUP(B625, PLANTA_BASE!A:R, 5, FALSE), "NO ENCONTRADO EN PLANTA"))</f>
        <v/>
      </c>
      <c r="E625" s="5">
        <f>IF(B625="","",IFERROR(VLOOKUP(B625, PLANTA_BASE!A:R, 6, FALSE), "NO ENCONTRADO EN PLANTA"))</f>
        <v/>
      </c>
      <c r="F625" s="7">
        <f>IF(B625="","",IFERROR(VLOOKUP(B625, PLANTA_BASE!A:R, 8, FALSE), "DOCENTE / FACILITADOR"))</f>
        <v/>
      </c>
      <c r="G625" s="7">
        <f>IF(B625="","",IFERROR(VLOOKUP(B625, PLANTA_BASE!A:R, 9, FALSE), "GENERAL"))</f>
        <v/>
      </c>
      <c r="H625" s="5">
        <f>IF(B625="","",IFERROR(VLOOKUP(B625, PLANTA_BASE!A:R, 17, FALSE), "GENERAL"))</f>
        <v/>
      </c>
    </row>
    <row r="626" ht="20" customHeight="1">
      <c r="A626" s="2">
        <f>IF(B626="","",IFERROR(VLOOKUP(B626, PLANTA_BASE!A:R, 2, FALSE), "NO ENCONTRADO EN PLANTA"))</f>
        <v/>
      </c>
      <c r="B626" s="3" t="inlineStr"/>
      <c r="C626" s="4">
        <f>IF(B626="","",IFERROR(VLOOKUP(B626, PLANTA_BASE!A:R, 3, FALSE), ""))</f>
        <v/>
      </c>
      <c r="D626" s="2">
        <f>IF(B626="","",IFERROR(VLOOKUP(B626, PLANTA_BASE!A:R, 5, FALSE), "NO ENCONTRADO EN PLANTA"))</f>
        <v/>
      </c>
      <c r="E626" s="2">
        <f>IF(B626="","",IFERROR(VLOOKUP(B626, PLANTA_BASE!A:R, 6, FALSE), "NO ENCONTRADO EN PLANTA"))</f>
        <v/>
      </c>
      <c r="F626" s="4">
        <f>IF(B626="","",IFERROR(VLOOKUP(B626, PLANTA_BASE!A:R, 8, FALSE), "DOCENTE / FACILITADOR"))</f>
        <v/>
      </c>
      <c r="G626" s="4">
        <f>IF(B626="","",IFERROR(VLOOKUP(B626, PLANTA_BASE!A:R, 9, FALSE), "GENERAL"))</f>
        <v/>
      </c>
      <c r="H626" s="2">
        <f>IF(B626="","",IFERROR(VLOOKUP(B626, PLANTA_BASE!A:R, 17, FALSE), "GENERAL"))</f>
        <v/>
      </c>
    </row>
    <row r="627" ht="20" customHeight="1">
      <c r="A627" s="5">
        <f>IF(B627="","",IFERROR(VLOOKUP(B627, PLANTA_BASE!A:R, 2, FALSE), "NO ENCONTRADO EN PLANTA"))</f>
        <v/>
      </c>
      <c r="B627" s="6" t="inlineStr"/>
      <c r="C627" s="7">
        <f>IF(B627="","",IFERROR(VLOOKUP(B627, PLANTA_BASE!A:R, 3, FALSE), ""))</f>
        <v/>
      </c>
      <c r="D627" s="5">
        <f>IF(B627="","",IFERROR(VLOOKUP(B627, PLANTA_BASE!A:R, 5, FALSE), "NO ENCONTRADO EN PLANTA"))</f>
        <v/>
      </c>
      <c r="E627" s="5">
        <f>IF(B627="","",IFERROR(VLOOKUP(B627, PLANTA_BASE!A:R, 6, FALSE), "NO ENCONTRADO EN PLANTA"))</f>
        <v/>
      </c>
      <c r="F627" s="7">
        <f>IF(B627="","",IFERROR(VLOOKUP(B627, PLANTA_BASE!A:R, 8, FALSE), "DOCENTE / FACILITADOR"))</f>
        <v/>
      </c>
      <c r="G627" s="7">
        <f>IF(B627="","",IFERROR(VLOOKUP(B627, PLANTA_BASE!A:R, 9, FALSE), "GENERAL"))</f>
        <v/>
      </c>
      <c r="H627" s="5">
        <f>IF(B627="","",IFERROR(VLOOKUP(B627, PLANTA_BASE!A:R, 17, FALSE), "GENERAL"))</f>
        <v/>
      </c>
    </row>
    <row r="628" ht="20" customHeight="1">
      <c r="A628" s="2">
        <f>IF(B628="","",IFERROR(VLOOKUP(B628, PLANTA_BASE!A:R, 2, FALSE), "NO ENCONTRADO EN PLANTA"))</f>
        <v/>
      </c>
      <c r="B628" s="3" t="inlineStr"/>
      <c r="C628" s="4">
        <f>IF(B628="","",IFERROR(VLOOKUP(B628, PLANTA_BASE!A:R, 3, FALSE), ""))</f>
        <v/>
      </c>
      <c r="D628" s="2">
        <f>IF(B628="","",IFERROR(VLOOKUP(B628, PLANTA_BASE!A:R, 5, FALSE), "NO ENCONTRADO EN PLANTA"))</f>
        <v/>
      </c>
      <c r="E628" s="2">
        <f>IF(B628="","",IFERROR(VLOOKUP(B628, PLANTA_BASE!A:R, 6, FALSE), "NO ENCONTRADO EN PLANTA"))</f>
        <v/>
      </c>
      <c r="F628" s="4">
        <f>IF(B628="","",IFERROR(VLOOKUP(B628, PLANTA_BASE!A:R, 8, FALSE), "DOCENTE / FACILITADOR"))</f>
        <v/>
      </c>
      <c r="G628" s="4">
        <f>IF(B628="","",IFERROR(VLOOKUP(B628, PLANTA_BASE!A:R, 9, FALSE), "GENERAL"))</f>
        <v/>
      </c>
      <c r="H628" s="2">
        <f>IF(B628="","",IFERROR(VLOOKUP(B628, PLANTA_BASE!A:R, 17, FALSE), "GENERAL"))</f>
        <v/>
      </c>
    </row>
    <row r="629" ht="20" customHeight="1">
      <c r="A629" s="5">
        <f>IF(B629="","",IFERROR(VLOOKUP(B629, PLANTA_BASE!A:R, 2, FALSE), "NO ENCONTRADO EN PLANTA"))</f>
        <v/>
      </c>
      <c r="B629" s="6" t="inlineStr"/>
      <c r="C629" s="7">
        <f>IF(B629="","",IFERROR(VLOOKUP(B629, PLANTA_BASE!A:R, 3, FALSE), ""))</f>
        <v/>
      </c>
      <c r="D629" s="5">
        <f>IF(B629="","",IFERROR(VLOOKUP(B629, PLANTA_BASE!A:R, 5, FALSE), "NO ENCONTRADO EN PLANTA"))</f>
        <v/>
      </c>
      <c r="E629" s="5">
        <f>IF(B629="","",IFERROR(VLOOKUP(B629, PLANTA_BASE!A:R, 6, FALSE), "NO ENCONTRADO EN PLANTA"))</f>
        <v/>
      </c>
      <c r="F629" s="7">
        <f>IF(B629="","",IFERROR(VLOOKUP(B629, PLANTA_BASE!A:R, 8, FALSE), "DOCENTE / FACILITADOR"))</f>
        <v/>
      </c>
      <c r="G629" s="7">
        <f>IF(B629="","",IFERROR(VLOOKUP(B629, PLANTA_BASE!A:R, 9, FALSE), "GENERAL"))</f>
        <v/>
      </c>
      <c r="H629" s="5">
        <f>IF(B629="","",IFERROR(VLOOKUP(B629, PLANTA_BASE!A:R, 17, FALSE), "GENERAL"))</f>
        <v/>
      </c>
    </row>
    <row r="630" ht="20" customHeight="1">
      <c r="A630" s="2">
        <f>IF(B630="","",IFERROR(VLOOKUP(B630, PLANTA_BASE!A:R, 2, FALSE), "NO ENCONTRADO EN PLANTA"))</f>
        <v/>
      </c>
      <c r="B630" s="3" t="inlineStr"/>
      <c r="C630" s="4">
        <f>IF(B630="","",IFERROR(VLOOKUP(B630, PLANTA_BASE!A:R, 3, FALSE), ""))</f>
        <v/>
      </c>
      <c r="D630" s="2">
        <f>IF(B630="","",IFERROR(VLOOKUP(B630, PLANTA_BASE!A:R, 5, FALSE), "NO ENCONTRADO EN PLANTA"))</f>
        <v/>
      </c>
      <c r="E630" s="2">
        <f>IF(B630="","",IFERROR(VLOOKUP(B630, PLANTA_BASE!A:R, 6, FALSE), "NO ENCONTRADO EN PLANTA"))</f>
        <v/>
      </c>
      <c r="F630" s="4">
        <f>IF(B630="","",IFERROR(VLOOKUP(B630, PLANTA_BASE!A:R, 8, FALSE), "DOCENTE / FACILITADOR"))</f>
        <v/>
      </c>
      <c r="G630" s="4">
        <f>IF(B630="","",IFERROR(VLOOKUP(B630, PLANTA_BASE!A:R, 9, FALSE), "GENERAL"))</f>
        <v/>
      </c>
      <c r="H630" s="2">
        <f>IF(B630="","",IFERROR(VLOOKUP(B630, PLANTA_BASE!A:R, 17, FALSE), "GENERAL"))</f>
        <v/>
      </c>
    </row>
    <row r="631" ht="20" customHeight="1">
      <c r="A631" s="5">
        <f>IF(B631="","",IFERROR(VLOOKUP(B631, PLANTA_BASE!A:R, 2, FALSE), "NO ENCONTRADO EN PLANTA"))</f>
        <v/>
      </c>
      <c r="B631" s="6" t="inlineStr"/>
      <c r="C631" s="7">
        <f>IF(B631="","",IFERROR(VLOOKUP(B631, PLANTA_BASE!A:R, 3, FALSE), ""))</f>
        <v/>
      </c>
      <c r="D631" s="5">
        <f>IF(B631="","",IFERROR(VLOOKUP(B631, PLANTA_BASE!A:R, 5, FALSE), "NO ENCONTRADO EN PLANTA"))</f>
        <v/>
      </c>
      <c r="E631" s="5">
        <f>IF(B631="","",IFERROR(VLOOKUP(B631, PLANTA_BASE!A:R, 6, FALSE), "NO ENCONTRADO EN PLANTA"))</f>
        <v/>
      </c>
      <c r="F631" s="7">
        <f>IF(B631="","",IFERROR(VLOOKUP(B631, PLANTA_BASE!A:R, 8, FALSE), "DOCENTE / FACILITADOR"))</f>
        <v/>
      </c>
      <c r="G631" s="7">
        <f>IF(B631="","",IFERROR(VLOOKUP(B631, PLANTA_BASE!A:R, 9, FALSE), "GENERAL"))</f>
        <v/>
      </c>
      <c r="H631" s="5">
        <f>IF(B631="","",IFERROR(VLOOKUP(B631, PLANTA_BASE!A:R, 17, FALSE), "GENERAL"))</f>
        <v/>
      </c>
    </row>
    <row r="632" ht="20" customHeight="1">
      <c r="A632" s="2">
        <f>IF(B632="","",IFERROR(VLOOKUP(B632, PLANTA_BASE!A:R, 2, FALSE), "NO ENCONTRADO EN PLANTA"))</f>
        <v/>
      </c>
      <c r="B632" s="3" t="inlineStr"/>
      <c r="C632" s="4">
        <f>IF(B632="","",IFERROR(VLOOKUP(B632, PLANTA_BASE!A:R, 3, FALSE), ""))</f>
        <v/>
      </c>
      <c r="D632" s="2">
        <f>IF(B632="","",IFERROR(VLOOKUP(B632, PLANTA_BASE!A:R, 5, FALSE), "NO ENCONTRADO EN PLANTA"))</f>
        <v/>
      </c>
      <c r="E632" s="2">
        <f>IF(B632="","",IFERROR(VLOOKUP(B632, PLANTA_BASE!A:R, 6, FALSE), "NO ENCONTRADO EN PLANTA"))</f>
        <v/>
      </c>
      <c r="F632" s="4">
        <f>IF(B632="","",IFERROR(VLOOKUP(B632, PLANTA_BASE!A:R, 8, FALSE), "DOCENTE / FACILITADOR"))</f>
        <v/>
      </c>
      <c r="G632" s="4">
        <f>IF(B632="","",IFERROR(VLOOKUP(B632, PLANTA_BASE!A:R, 9, FALSE), "GENERAL"))</f>
        <v/>
      </c>
      <c r="H632" s="2">
        <f>IF(B632="","",IFERROR(VLOOKUP(B632, PLANTA_BASE!A:R, 17, FALSE), "GENERAL"))</f>
        <v/>
      </c>
    </row>
    <row r="633" ht="20" customHeight="1">
      <c r="A633" s="5">
        <f>IF(B633="","",IFERROR(VLOOKUP(B633, PLANTA_BASE!A:R, 2, FALSE), "NO ENCONTRADO EN PLANTA"))</f>
        <v/>
      </c>
      <c r="B633" s="6" t="inlineStr"/>
      <c r="C633" s="7">
        <f>IF(B633="","",IFERROR(VLOOKUP(B633, PLANTA_BASE!A:R, 3, FALSE), ""))</f>
        <v/>
      </c>
      <c r="D633" s="5">
        <f>IF(B633="","",IFERROR(VLOOKUP(B633, PLANTA_BASE!A:R, 5, FALSE), "NO ENCONTRADO EN PLANTA"))</f>
        <v/>
      </c>
      <c r="E633" s="5">
        <f>IF(B633="","",IFERROR(VLOOKUP(B633, PLANTA_BASE!A:R, 6, FALSE), "NO ENCONTRADO EN PLANTA"))</f>
        <v/>
      </c>
      <c r="F633" s="7">
        <f>IF(B633="","",IFERROR(VLOOKUP(B633, PLANTA_BASE!A:R, 8, FALSE), "DOCENTE / FACILITADOR"))</f>
        <v/>
      </c>
      <c r="G633" s="7">
        <f>IF(B633="","",IFERROR(VLOOKUP(B633, PLANTA_BASE!A:R, 9, FALSE), "GENERAL"))</f>
        <v/>
      </c>
      <c r="H633" s="5">
        <f>IF(B633="","",IFERROR(VLOOKUP(B633, PLANTA_BASE!A:R, 17, FALSE), "GENERAL"))</f>
        <v/>
      </c>
    </row>
    <row r="634" ht="20" customHeight="1">
      <c r="A634" s="2">
        <f>IF(B634="","",IFERROR(VLOOKUP(B634, PLANTA_BASE!A:R, 2, FALSE), "NO ENCONTRADO EN PLANTA"))</f>
        <v/>
      </c>
      <c r="B634" s="3" t="inlineStr"/>
      <c r="C634" s="4">
        <f>IF(B634="","",IFERROR(VLOOKUP(B634, PLANTA_BASE!A:R, 3, FALSE), ""))</f>
        <v/>
      </c>
      <c r="D634" s="2">
        <f>IF(B634="","",IFERROR(VLOOKUP(B634, PLANTA_BASE!A:R, 5, FALSE), "NO ENCONTRADO EN PLANTA"))</f>
        <v/>
      </c>
      <c r="E634" s="2">
        <f>IF(B634="","",IFERROR(VLOOKUP(B634, PLANTA_BASE!A:R, 6, FALSE), "NO ENCONTRADO EN PLANTA"))</f>
        <v/>
      </c>
      <c r="F634" s="4">
        <f>IF(B634="","",IFERROR(VLOOKUP(B634, PLANTA_BASE!A:R, 8, FALSE), "DOCENTE / FACILITADOR"))</f>
        <v/>
      </c>
      <c r="G634" s="4">
        <f>IF(B634="","",IFERROR(VLOOKUP(B634, PLANTA_BASE!A:R, 9, FALSE), "GENERAL"))</f>
        <v/>
      </c>
      <c r="H634" s="2">
        <f>IF(B634="","",IFERROR(VLOOKUP(B634, PLANTA_BASE!A:R, 17, FALSE), "GENERAL"))</f>
        <v/>
      </c>
    </row>
    <row r="635" ht="20" customHeight="1">
      <c r="A635" s="5">
        <f>IF(B635="","",IFERROR(VLOOKUP(B635, PLANTA_BASE!A:R, 2, FALSE), "NO ENCONTRADO EN PLANTA"))</f>
        <v/>
      </c>
      <c r="B635" s="6" t="inlineStr"/>
      <c r="C635" s="7">
        <f>IF(B635="","",IFERROR(VLOOKUP(B635, PLANTA_BASE!A:R, 3, FALSE), ""))</f>
        <v/>
      </c>
      <c r="D635" s="5">
        <f>IF(B635="","",IFERROR(VLOOKUP(B635, PLANTA_BASE!A:R, 5, FALSE), "NO ENCONTRADO EN PLANTA"))</f>
        <v/>
      </c>
      <c r="E635" s="5">
        <f>IF(B635="","",IFERROR(VLOOKUP(B635, PLANTA_BASE!A:R, 6, FALSE), "NO ENCONTRADO EN PLANTA"))</f>
        <v/>
      </c>
      <c r="F635" s="7">
        <f>IF(B635="","",IFERROR(VLOOKUP(B635, PLANTA_BASE!A:R, 8, FALSE), "DOCENTE / FACILITADOR"))</f>
        <v/>
      </c>
      <c r="G635" s="7">
        <f>IF(B635="","",IFERROR(VLOOKUP(B635, PLANTA_BASE!A:R, 9, FALSE), "GENERAL"))</f>
        <v/>
      </c>
      <c r="H635" s="5">
        <f>IF(B635="","",IFERROR(VLOOKUP(B635, PLANTA_BASE!A:R, 17, FALSE), "GENERAL"))</f>
        <v/>
      </c>
    </row>
    <row r="636" ht="20" customHeight="1">
      <c r="A636" s="2">
        <f>IF(B636="","",IFERROR(VLOOKUP(B636, PLANTA_BASE!A:R, 2, FALSE), "NO ENCONTRADO EN PLANTA"))</f>
        <v/>
      </c>
      <c r="B636" s="3" t="inlineStr"/>
      <c r="C636" s="4">
        <f>IF(B636="","",IFERROR(VLOOKUP(B636, PLANTA_BASE!A:R, 3, FALSE), ""))</f>
        <v/>
      </c>
      <c r="D636" s="2">
        <f>IF(B636="","",IFERROR(VLOOKUP(B636, PLANTA_BASE!A:R, 5, FALSE), "NO ENCONTRADO EN PLANTA"))</f>
        <v/>
      </c>
      <c r="E636" s="2">
        <f>IF(B636="","",IFERROR(VLOOKUP(B636, PLANTA_BASE!A:R, 6, FALSE), "NO ENCONTRADO EN PLANTA"))</f>
        <v/>
      </c>
      <c r="F636" s="4">
        <f>IF(B636="","",IFERROR(VLOOKUP(B636, PLANTA_BASE!A:R, 8, FALSE), "DOCENTE / FACILITADOR"))</f>
        <v/>
      </c>
      <c r="G636" s="4">
        <f>IF(B636="","",IFERROR(VLOOKUP(B636, PLANTA_BASE!A:R, 9, FALSE), "GENERAL"))</f>
        <v/>
      </c>
      <c r="H636" s="2">
        <f>IF(B636="","",IFERROR(VLOOKUP(B636, PLANTA_BASE!A:R, 17, FALSE), "GENERAL"))</f>
        <v/>
      </c>
    </row>
    <row r="637" ht="20" customHeight="1">
      <c r="A637" s="5">
        <f>IF(B637="","",IFERROR(VLOOKUP(B637, PLANTA_BASE!A:R, 2, FALSE), "NO ENCONTRADO EN PLANTA"))</f>
        <v/>
      </c>
      <c r="B637" s="6" t="inlineStr"/>
      <c r="C637" s="7">
        <f>IF(B637="","",IFERROR(VLOOKUP(B637, PLANTA_BASE!A:R, 3, FALSE), ""))</f>
        <v/>
      </c>
      <c r="D637" s="5">
        <f>IF(B637="","",IFERROR(VLOOKUP(B637, PLANTA_BASE!A:R, 5, FALSE), "NO ENCONTRADO EN PLANTA"))</f>
        <v/>
      </c>
      <c r="E637" s="5">
        <f>IF(B637="","",IFERROR(VLOOKUP(B637, PLANTA_BASE!A:R, 6, FALSE), "NO ENCONTRADO EN PLANTA"))</f>
        <v/>
      </c>
      <c r="F637" s="7">
        <f>IF(B637="","",IFERROR(VLOOKUP(B637, PLANTA_BASE!A:R, 8, FALSE), "DOCENTE / FACILITADOR"))</f>
        <v/>
      </c>
      <c r="G637" s="7">
        <f>IF(B637="","",IFERROR(VLOOKUP(B637, PLANTA_BASE!A:R, 9, FALSE), "GENERAL"))</f>
        <v/>
      </c>
      <c r="H637" s="5">
        <f>IF(B637="","",IFERROR(VLOOKUP(B637, PLANTA_BASE!A:R, 17, FALSE), "GENERAL"))</f>
        <v/>
      </c>
    </row>
    <row r="638" ht="20" customHeight="1">
      <c r="A638" s="2">
        <f>IF(B638="","",IFERROR(VLOOKUP(B638, PLANTA_BASE!A:R, 2, FALSE), "NO ENCONTRADO EN PLANTA"))</f>
        <v/>
      </c>
      <c r="B638" s="3" t="inlineStr"/>
      <c r="C638" s="4">
        <f>IF(B638="","",IFERROR(VLOOKUP(B638, PLANTA_BASE!A:R, 3, FALSE), ""))</f>
        <v/>
      </c>
      <c r="D638" s="2">
        <f>IF(B638="","",IFERROR(VLOOKUP(B638, PLANTA_BASE!A:R, 5, FALSE), "NO ENCONTRADO EN PLANTA"))</f>
        <v/>
      </c>
      <c r="E638" s="2">
        <f>IF(B638="","",IFERROR(VLOOKUP(B638, PLANTA_BASE!A:R, 6, FALSE), "NO ENCONTRADO EN PLANTA"))</f>
        <v/>
      </c>
      <c r="F638" s="4">
        <f>IF(B638="","",IFERROR(VLOOKUP(B638, PLANTA_BASE!A:R, 8, FALSE), "DOCENTE / FACILITADOR"))</f>
        <v/>
      </c>
      <c r="G638" s="4">
        <f>IF(B638="","",IFERROR(VLOOKUP(B638, PLANTA_BASE!A:R, 9, FALSE), "GENERAL"))</f>
        <v/>
      </c>
      <c r="H638" s="2">
        <f>IF(B638="","",IFERROR(VLOOKUP(B638, PLANTA_BASE!A:R, 17, FALSE), "GENERAL"))</f>
        <v/>
      </c>
    </row>
    <row r="639" ht="20" customHeight="1">
      <c r="A639" s="5">
        <f>IF(B639="","",IFERROR(VLOOKUP(B639, PLANTA_BASE!A:R, 2, FALSE), "NO ENCONTRADO EN PLANTA"))</f>
        <v/>
      </c>
      <c r="B639" s="6" t="inlineStr"/>
      <c r="C639" s="7">
        <f>IF(B639="","",IFERROR(VLOOKUP(B639, PLANTA_BASE!A:R, 3, FALSE), ""))</f>
        <v/>
      </c>
      <c r="D639" s="5">
        <f>IF(B639="","",IFERROR(VLOOKUP(B639, PLANTA_BASE!A:R, 5, FALSE), "NO ENCONTRADO EN PLANTA"))</f>
        <v/>
      </c>
      <c r="E639" s="5">
        <f>IF(B639="","",IFERROR(VLOOKUP(B639, PLANTA_BASE!A:R, 6, FALSE), "NO ENCONTRADO EN PLANTA"))</f>
        <v/>
      </c>
      <c r="F639" s="7">
        <f>IF(B639="","",IFERROR(VLOOKUP(B639, PLANTA_BASE!A:R, 8, FALSE), "DOCENTE / FACILITADOR"))</f>
        <v/>
      </c>
      <c r="G639" s="7">
        <f>IF(B639="","",IFERROR(VLOOKUP(B639, PLANTA_BASE!A:R, 9, FALSE), "GENERAL"))</f>
        <v/>
      </c>
      <c r="H639" s="5">
        <f>IF(B639="","",IFERROR(VLOOKUP(B639, PLANTA_BASE!A:R, 17, FALSE), "GENERAL"))</f>
        <v/>
      </c>
    </row>
    <row r="640" ht="20" customHeight="1">
      <c r="A640" s="2">
        <f>IF(B640="","",IFERROR(VLOOKUP(B640, PLANTA_BASE!A:R, 2, FALSE), "NO ENCONTRADO EN PLANTA"))</f>
        <v/>
      </c>
      <c r="B640" s="3" t="inlineStr"/>
      <c r="C640" s="4">
        <f>IF(B640="","",IFERROR(VLOOKUP(B640, PLANTA_BASE!A:R, 3, FALSE), ""))</f>
        <v/>
      </c>
      <c r="D640" s="2">
        <f>IF(B640="","",IFERROR(VLOOKUP(B640, PLANTA_BASE!A:R, 5, FALSE), "NO ENCONTRADO EN PLANTA"))</f>
        <v/>
      </c>
      <c r="E640" s="2">
        <f>IF(B640="","",IFERROR(VLOOKUP(B640, PLANTA_BASE!A:R, 6, FALSE), "NO ENCONTRADO EN PLANTA"))</f>
        <v/>
      </c>
      <c r="F640" s="4">
        <f>IF(B640="","",IFERROR(VLOOKUP(B640, PLANTA_BASE!A:R, 8, FALSE), "DOCENTE / FACILITADOR"))</f>
        <v/>
      </c>
      <c r="G640" s="4">
        <f>IF(B640="","",IFERROR(VLOOKUP(B640, PLANTA_BASE!A:R, 9, FALSE), "GENERAL"))</f>
        <v/>
      </c>
      <c r="H640" s="2">
        <f>IF(B640="","",IFERROR(VLOOKUP(B640, PLANTA_BASE!A:R, 17, FALSE), "GENERAL"))</f>
        <v/>
      </c>
    </row>
    <row r="641" ht="20" customHeight="1">
      <c r="A641" s="5">
        <f>IF(B641="","",IFERROR(VLOOKUP(B641, PLANTA_BASE!A:R, 2, FALSE), "NO ENCONTRADO EN PLANTA"))</f>
        <v/>
      </c>
      <c r="B641" s="6" t="inlineStr"/>
      <c r="C641" s="7">
        <f>IF(B641="","",IFERROR(VLOOKUP(B641, PLANTA_BASE!A:R, 3, FALSE), ""))</f>
        <v/>
      </c>
      <c r="D641" s="5">
        <f>IF(B641="","",IFERROR(VLOOKUP(B641, PLANTA_BASE!A:R, 5, FALSE), "NO ENCONTRADO EN PLANTA"))</f>
        <v/>
      </c>
      <c r="E641" s="5">
        <f>IF(B641="","",IFERROR(VLOOKUP(B641, PLANTA_BASE!A:R, 6, FALSE), "NO ENCONTRADO EN PLANTA"))</f>
        <v/>
      </c>
      <c r="F641" s="7">
        <f>IF(B641="","",IFERROR(VLOOKUP(B641, PLANTA_BASE!A:R, 8, FALSE), "DOCENTE / FACILITADOR"))</f>
        <v/>
      </c>
      <c r="G641" s="7">
        <f>IF(B641="","",IFERROR(VLOOKUP(B641, PLANTA_BASE!A:R, 9, FALSE), "GENERAL"))</f>
        <v/>
      </c>
      <c r="H641" s="5">
        <f>IF(B641="","",IFERROR(VLOOKUP(B641, PLANTA_BASE!A:R, 17, FALSE), "GENERAL"))</f>
        <v/>
      </c>
    </row>
    <row r="642" ht="20" customHeight="1">
      <c r="A642" s="2">
        <f>IF(B642="","",IFERROR(VLOOKUP(B642, PLANTA_BASE!A:R, 2, FALSE), "NO ENCONTRADO EN PLANTA"))</f>
        <v/>
      </c>
      <c r="B642" s="3" t="inlineStr"/>
      <c r="C642" s="4">
        <f>IF(B642="","",IFERROR(VLOOKUP(B642, PLANTA_BASE!A:R, 3, FALSE), ""))</f>
        <v/>
      </c>
      <c r="D642" s="2">
        <f>IF(B642="","",IFERROR(VLOOKUP(B642, PLANTA_BASE!A:R, 5, FALSE), "NO ENCONTRADO EN PLANTA"))</f>
        <v/>
      </c>
      <c r="E642" s="2">
        <f>IF(B642="","",IFERROR(VLOOKUP(B642, PLANTA_BASE!A:R, 6, FALSE), "NO ENCONTRADO EN PLANTA"))</f>
        <v/>
      </c>
      <c r="F642" s="4">
        <f>IF(B642="","",IFERROR(VLOOKUP(B642, PLANTA_BASE!A:R, 8, FALSE), "DOCENTE / FACILITADOR"))</f>
        <v/>
      </c>
      <c r="G642" s="4">
        <f>IF(B642="","",IFERROR(VLOOKUP(B642, PLANTA_BASE!A:R, 9, FALSE), "GENERAL"))</f>
        <v/>
      </c>
      <c r="H642" s="2">
        <f>IF(B642="","",IFERROR(VLOOKUP(B642, PLANTA_BASE!A:R, 17, FALSE), "GENERAL"))</f>
        <v/>
      </c>
    </row>
    <row r="643" ht="20" customHeight="1">
      <c r="A643" s="5">
        <f>IF(B643="","",IFERROR(VLOOKUP(B643, PLANTA_BASE!A:R, 2, FALSE), "NO ENCONTRADO EN PLANTA"))</f>
        <v/>
      </c>
      <c r="B643" s="6" t="inlineStr"/>
      <c r="C643" s="7">
        <f>IF(B643="","",IFERROR(VLOOKUP(B643, PLANTA_BASE!A:R, 3, FALSE), ""))</f>
        <v/>
      </c>
      <c r="D643" s="5">
        <f>IF(B643="","",IFERROR(VLOOKUP(B643, PLANTA_BASE!A:R, 5, FALSE), "NO ENCONTRADO EN PLANTA"))</f>
        <v/>
      </c>
      <c r="E643" s="5">
        <f>IF(B643="","",IFERROR(VLOOKUP(B643, PLANTA_BASE!A:R, 6, FALSE), "NO ENCONTRADO EN PLANTA"))</f>
        <v/>
      </c>
      <c r="F643" s="7">
        <f>IF(B643="","",IFERROR(VLOOKUP(B643, PLANTA_BASE!A:R, 8, FALSE), "DOCENTE / FACILITADOR"))</f>
        <v/>
      </c>
      <c r="G643" s="7">
        <f>IF(B643="","",IFERROR(VLOOKUP(B643, PLANTA_BASE!A:R, 9, FALSE), "GENERAL"))</f>
        <v/>
      </c>
      <c r="H643" s="5">
        <f>IF(B643="","",IFERROR(VLOOKUP(B643, PLANTA_BASE!A:R, 17, FALSE), "GENERAL"))</f>
        <v/>
      </c>
    </row>
    <row r="644" ht="20" customHeight="1">
      <c r="A644" s="2">
        <f>IF(B644="","",IFERROR(VLOOKUP(B644, PLANTA_BASE!A:R, 2, FALSE), "NO ENCONTRADO EN PLANTA"))</f>
        <v/>
      </c>
      <c r="B644" s="3" t="inlineStr"/>
      <c r="C644" s="4">
        <f>IF(B644="","",IFERROR(VLOOKUP(B644, PLANTA_BASE!A:R, 3, FALSE), ""))</f>
        <v/>
      </c>
      <c r="D644" s="2">
        <f>IF(B644="","",IFERROR(VLOOKUP(B644, PLANTA_BASE!A:R, 5, FALSE), "NO ENCONTRADO EN PLANTA"))</f>
        <v/>
      </c>
      <c r="E644" s="2">
        <f>IF(B644="","",IFERROR(VLOOKUP(B644, PLANTA_BASE!A:R, 6, FALSE), "NO ENCONTRADO EN PLANTA"))</f>
        <v/>
      </c>
      <c r="F644" s="4">
        <f>IF(B644="","",IFERROR(VLOOKUP(B644, PLANTA_BASE!A:R, 8, FALSE), "DOCENTE / FACILITADOR"))</f>
        <v/>
      </c>
      <c r="G644" s="4">
        <f>IF(B644="","",IFERROR(VLOOKUP(B644, PLANTA_BASE!A:R, 9, FALSE), "GENERAL"))</f>
        <v/>
      </c>
      <c r="H644" s="2">
        <f>IF(B644="","",IFERROR(VLOOKUP(B644, PLANTA_BASE!A:R, 17, FALSE), "GENERAL"))</f>
        <v/>
      </c>
    </row>
    <row r="645" ht="20" customHeight="1">
      <c r="A645" s="5">
        <f>IF(B645="","",IFERROR(VLOOKUP(B645, PLANTA_BASE!A:R, 2, FALSE), "NO ENCONTRADO EN PLANTA"))</f>
        <v/>
      </c>
      <c r="B645" s="6" t="inlineStr"/>
      <c r="C645" s="7">
        <f>IF(B645="","",IFERROR(VLOOKUP(B645, PLANTA_BASE!A:R, 3, FALSE), ""))</f>
        <v/>
      </c>
      <c r="D645" s="5">
        <f>IF(B645="","",IFERROR(VLOOKUP(B645, PLANTA_BASE!A:R, 5, FALSE), "NO ENCONTRADO EN PLANTA"))</f>
        <v/>
      </c>
      <c r="E645" s="5">
        <f>IF(B645="","",IFERROR(VLOOKUP(B645, PLANTA_BASE!A:R, 6, FALSE), "NO ENCONTRADO EN PLANTA"))</f>
        <v/>
      </c>
      <c r="F645" s="7">
        <f>IF(B645="","",IFERROR(VLOOKUP(B645, PLANTA_BASE!A:R, 8, FALSE), "DOCENTE / FACILITADOR"))</f>
        <v/>
      </c>
      <c r="G645" s="7">
        <f>IF(B645="","",IFERROR(VLOOKUP(B645, PLANTA_BASE!A:R, 9, FALSE), "GENERAL"))</f>
        <v/>
      </c>
      <c r="H645" s="5">
        <f>IF(B645="","",IFERROR(VLOOKUP(B645, PLANTA_BASE!A:R, 17, FALSE), "GENERAL"))</f>
        <v/>
      </c>
    </row>
    <row r="646" ht="20" customHeight="1">
      <c r="A646" s="2">
        <f>IF(B646="","",IFERROR(VLOOKUP(B646, PLANTA_BASE!A:R, 2, FALSE), "NO ENCONTRADO EN PLANTA"))</f>
        <v/>
      </c>
      <c r="B646" s="3" t="inlineStr"/>
      <c r="C646" s="4">
        <f>IF(B646="","",IFERROR(VLOOKUP(B646, PLANTA_BASE!A:R, 3, FALSE), ""))</f>
        <v/>
      </c>
      <c r="D646" s="2">
        <f>IF(B646="","",IFERROR(VLOOKUP(B646, PLANTA_BASE!A:R, 5, FALSE), "NO ENCONTRADO EN PLANTA"))</f>
        <v/>
      </c>
      <c r="E646" s="2">
        <f>IF(B646="","",IFERROR(VLOOKUP(B646, PLANTA_BASE!A:R, 6, FALSE), "NO ENCONTRADO EN PLANTA"))</f>
        <v/>
      </c>
      <c r="F646" s="4">
        <f>IF(B646="","",IFERROR(VLOOKUP(B646, PLANTA_BASE!A:R, 8, FALSE), "DOCENTE / FACILITADOR"))</f>
        <v/>
      </c>
      <c r="G646" s="4">
        <f>IF(B646="","",IFERROR(VLOOKUP(B646, PLANTA_BASE!A:R, 9, FALSE), "GENERAL"))</f>
        <v/>
      </c>
      <c r="H646" s="2">
        <f>IF(B646="","",IFERROR(VLOOKUP(B646, PLANTA_BASE!A:R, 17, FALSE), "GENERAL"))</f>
        <v/>
      </c>
    </row>
    <row r="647" ht="20" customHeight="1">
      <c r="A647" s="5">
        <f>IF(B647="","",IFERROR(VLOOKUP(B647, PLANTA_BASE!A:R, 2, FALSE), "NO ENCONTRADO EN PLANTA"))</f>
        <v/>
      </c>
      <c r="B647" s="6" t="inlineStr"/>
      <c r="C647" s="7">
        <f>IF(B647="","",IFERROR(VLOOKUP(B647, PLANTA_BASE!A:R, 3, FALSE), ""))</f>
        <v/>
      </c>
      <c r="D647" s="5">
        <f>IF(B647="","",IFERROR(VLOOKUP(B647, PLANTA_BASE!A:R, 5, FALSE), "NO ENCONTRADO EN PLANTA"))</f>
        <v/>
      </c>
      <c r="E647" s="5">
        <f>IF(B647="","",IFERROR(VLOOKUP(B647, PLANTA_BASE!A:R, 6, FALSE), "NO ENCONTRADO EN PLANTA"))</f>
        <v/>
      </c>
      <c r="F647" s="7">
        <f>IF(B647="","",IFERROR(VLOOKUP(B647, PLANTA_BASE!A:R, 8, FALSE), "DOCENTE / FACILITADOR"))</f>
        <v/>
      </c>
      <c r="G647" s="7">
        <f>IF(B647="","",IFERROR(VLOOKUP(B647, PLANTA_BASE!A:R, 9, FALSE), "GENERAL"))</f>
        <v/>
      </c>
      <c r="H647" s="5">
        <f>IF(B647="","",IFERROR(VLOOKUP(B647, PLANTA_BASE!A:R, 17, FALSE), "GENERAL"))</f>
        <v/>
      </c>
    </row>
    <row r="648" ht="20" customHeight="1">
      <c r="A648" s="2">
        <f>IF(B648="","",IFERROR(VLOOKUP(B648, PLANTA_BASE!A:R, 2, FALSE), "NO ENCONTRADO EN PLANTA"))</f>
        <v/>
      </c>
      <c r="B648" s="3" t="inlineStr"/>
      <c r="C648" s="4">
        <f>IF(B648="","",IFERROR(VLOOKUP(B648, PLANTA_BASE!A:R, 3, FALSE), ""))</f>
        <v/>
      </c>
      <c r="D648" s="2">
        <f>IF(B648="","",IFERROR(VLOOKUP(B648, PLANTA_BASE!A:R, 5, FALSE), "NO ENCONTRADO EN PLANTA"))</f>
        <v/>
      </c>
      <c r="E648" s="2">
        <f>IF(B648="","",IFERROR(VLOOKUP(B648, PLANTA_BASE!A:R, 6, FALSE), "NO ENCONTRADO EN PLANTA"))</f>
        <v/>
      </c>
      <c r="F648" s="4">
        <f>IF(B648="","",IFERROR(VLOOKUP(B648, PLANTA_BASE!A:R, 8, FALSE), "DOCENTE / FACILITADOR"))</f>
        <v/>
      </c>
      <c r="G648" s="4">
        <f>IF(B648="","",IFERROR(VLOOKUP(B648, PLANTA_BASE!A:R, 9, FALSE), "GENERAL"))</f>
        <v/>
      </c>
      <c r="H648" s="2">
        <f>IF(B648="","",IFERROR(VLOOKUP(B648, PLANTA_BASE!A:R, 17, FALSE), "GENERAL"))</f>
        <v/>
      </c>
    </row>
    <row r="649" ht="20" customHeight="1">
      <c r="A649" s="5">
        <f>IF(B649="","",IFERROR(VLOOKUP(B649, PLANTA_BASE!A:R, 2, FALSE), "NO ENCONTRADO EN PLANTA"))</f>
        <v/>
      </c>
      <c r="B649" s="6" t="inlineStr"/>
      <c r="C649" s="7">
        <f>IF(B649="","",IFERROR(VLOOKUP(B649, PLANTA_BASE!A:R, 3, FALSE), ""))</f>
        <v/>
      </c>
      <c r="D649" s="5">
        <f>IF(B649="","",IFERROR(VLOOKUP(B649, PLANTA_BASE!A:R, 5, FALSE), "NO ENCONTRADO EN PLANTA"))</f>
        <v/>
      </c>
      <c r="E649" s="5">
        <f>IF(B649="","",IFERROR(VLOOKUP(B649, PLANTA_BASE!A:R, 6, FALSE), "NO ENCONTRADO EN PLANTA"))</f>
        <v/>
      </c>
      <c r="F649" s="7">
        <f>IF(B649="","",IFERROR(VLOOKUP(B649, PLANTA_BASE!A:R, 8, FALSE), "DOCENTE / FACILITADOR"))</f>
        <v/>
      </c>
      <c r="G649" s="7">
        <f>IF(B649="","",IFERROR(VLOOKUP(B649, PLANTA_BASE!A:R, 9, FALSE), "GENERAL"))</f>
        <v/>
      </c>
      <c r="H649" s="5">
        <f>IF(B649="","",IFERROR(VLOOKUP(B649, PLANTA_BASE!A:R, 17, FALSE), "GENERAL"))</f>
        <v/>
      </c>
    </row>
    <row r="650" ht="20" customHeight="1">
      <c r="A650" s="2">
        <f>IF(B650="","",IFERROR(VLOOKUP(B650, PLANTA_BASE!A:R, 2, FALSE), "NO ENCONTRADO EN PLANTA"))</f>
        <v/>
      </c>
      <c r="B650" s="3" t="inlineStr"/>
      <c r="C650" s="4">
        <f>IF(B650="","",IFERROR(VLOOKUP(B650, PLANTA_BASE!A:R, 3, FALSE), ""))</f>
        <v/>
      </c>
      <c r="D650" s="2">
        <f>IF(B650="","",IFERROR(VLOOKUP(B650, PLANTA_BASE!A:R, 5, FALSE), "NO ENCONTRADO EN PLANTA"))</f>
        <v/>
      </c>
      <c r="E650" s="2">
        <f>IF(B650="","",IFERROR(VLOOKUP(B650, PLANTA_BASE!A:R, 6, FALSE), "NO ENCONTRADO EN PLANTA"))</f>
        <v/>
      </c>
      <c r="F650" s="4">
        <f>IF(B650="","",IFERROR(VLOOKUP(B650, PLANTA_BASE!A:R, 8, FALSE), "DOCENTE / FACILITADOR"))</f>
        <v/>
      </c>
      <c r="G650" s="4">
        <f>IF(B650="","",IFERROR(VLOOKUP(B650, PLANTA_BASE!A:R, 9, FALSE), "GENERAL"))</f>
        <v/>
      </c>
      <c r="H650" s="2">
        <f>IF(B650="","",IFERROR(VLOOKUP(B650, PLANTA_BASE!A:R, 17, FALSE), "GENERAL"))</f>
        <v/>
      </c>
    </row>
    <row r="651" ht="20" customHeight="1">
      <c r="A651" s="5">
        <f>IF(B651="","",IFERROR(VLOOKUP(B651, PLANTA_BASE!A:R, 2, FALSE), "NO ENCONTRADO EN PLANTA"))</f>
        <v/>
      </c>
      <c r="B651" s="6" t="inlineStr"/>
      <c r="C651" s="7">
        <f>IF(B651="","",IFERROR(VLOOKUP(B651, PLANTA_BASE!A:R, 3, FALSE), ""))</f>
        <v/>
      </c>
      <c r="D651" s="5">
        <f>IF(B651="","",IFERROR(VLOOKUP(B651, PLANTA_BASE!A:R, 5, FALSE), "NO ENCONTRADO EN PLANTA"))</f>
        <v/>
      </c>
      <c r="E651" s="5">
        <f>IF(B651="","",IFERROR(VLOOKUP(B651, PLANTA_BASE!A:R, 6, FALSE), "NO ENCONTRADO EN PLANTA"))</f>
        <v/>
      </c>
      <c r="F651" s="7">
        <f>IF(B651="","",IFERROR(VLOOKUP(B651, PLANTA_BASE!A:R, 8, FALSE), "DOCENTE / FACILITADOR"))</f>
        <v/>
      </c>
      <c r="G651" s="7">
        <f>IF(B651="","",IFERROR(VLOOKUP(B651, PLANTA_BASE!A:R, 9, FALSE), "GENERAL"))</f>
        <v/>
      </c>
      <c r="H651" s="5">
        <f>IF(B651="","",IFERROR(VLOOKUP(B651, PLANTA_BASE!A:R, 17, FALSE), "GENERAL"))</f>
        <v/>
      </c>
    </row>
    <row r="652" ht="20" customHeight="1">
      <c r="A652" s="2">
        <f>IF(B652="","",IFERROR(VLOOKUP(B652, PLANTA_BASE!A:R, 2, FALSE), "NO ENCONTRADO EN PLANTA"))</f>
        <v/>
      </c>
      <c r="B652" s="3" t="inlineStr"/>
      <c r="C652" s="4">
        <f>IF(B652="","",IFERROR(VLOOKUP(B652, PLANTA_BASE!A:R, 3, FALSE), ""))</f>
        <v/>
      </c>
      <c r="D652" s="2">
        <f>IF(B652="","",IFERROR(VLOOKUP(B652, PLANTA_BASE!A:R, 5, FALSE), "NO ENCONTRADO EN PLANTA"))</f>
        <v/>
      </c>
      <c r="E652" s="2">
        <f>IF(B652="","",IFERROR(VLOOKUP(B652, PLANTA_BASE!A:R, 6, FALSE), "NO ENCONTRADO EN PLANTA"))</f>
        <v/>
      </c>
      <c r="F652" s="4">
        <f>IF(B652="","",IFERROR(VLOOKUP(B652, PLANTA_BASE!A:R, 8, FALSE), "DOCENTE / FACILITADOR"))</f>
        <v/>
      </c>
      <c r="G652" s="4">
        <f>IF(B652="","",IFERROR(VLOOKUP(B652, PLANTA_BASE!A:R, 9, FALSE), "GENERAL"))</f>
        <v/>
      </c>
      <c r="H652" s="2">
        <f>IF(B652="","",IFERROR(VLOOKUP(B652, PLANTA_BASE!A:R, 17, FALSE), "GENERAL"))</f>
        <v/>
      </c>
    </row>
    <row r="653" ht="20" customHeight="1">
      <c r="A653" s="5">
        <f>IF(B653="","",IFERROR(VLOOKUP(B653, PLANTA_BASE!A:R, 2, FALSE), "NO ENCONTRADO EN PLANTA"))</f>
        <v/>
      </c>
      <c r="B653" s="6" t="inlineStr"/>
      <c r="C653" s="7">
        <f>IF(B653="","",IFERROR(VLOOKUP(B653, PLANTA_BASE!A:R, 3, FALSE), ""))</f>
        <v/>
      </c>
      <c r="D653" s="5">
        <f>IF(B653="","",IFERROR(VLOOKUP(B653, PLANTA_BASE!A:R, 5, FALSE), "NO ENCONTRADO EN PLANTA"))</f>
        <v/>
      </c>
      <c r="E653" s="5">
        <f>IF(B653="","",IFERROR(VLOOKUP(B653, PLANTA_BASE!A:R, 6, FALSE), "NO ENCONTRADO EN PLANTA"))</f>
        <v/>
      </c>
      <c r="F653" s="7">
        <f>IF(B653="","",IFERROR(VLOOKUP(B653, PLANTA_BASE!A:R, 8, FALSE), "DOCENTE / FACILITADOR"))</f>
        <v/>
      </c>
      <c r="G653" s="7">
        <f>IF(B653="","",IFERROR(VLOOKUP(B653, PLANTA_BASE!A:R, 9, FALSE), "GENERAL"))</f>
        <v/>
      </c>
      <c r="H653" s="5">
        <f>IF(B653="","",IFERROR(VLOOKUP(B653, PLANTA_BASE!A:R, 17, FALSE), "GENERAL"))</f>
        <v/>
      </c>
    </row>
    <row r="654" ht="20" customHeight="1">
      <c r="A654" s="2">
        <f>IF(B654="","",IFERROR(VLOOKUP(B654, PLANTA_BASE!A:R, 2, FALSE), "NO ENCONTRADO EN PLANTA"))</f>
        <v/>
      </c>
      <c r="B654" s="3" t="inlineStr"/>
      <c r="C654" s="4">
        <f>IF(B654="","",IFERROR(VLOOKUP(B654, PLANTA_BASE!A:R, 3, FALSE), ""))</f>
        <v/>
      </c>
      <c r="D654" s="2">
        <f>IF(B654="","",IFERROR(VLOOKUP(B654, PLANTA_BASE!A:R, 5, FALSE), "NO ENCONTRADO EN PLANTA"))</f>
        <v/>
      </c>
      <c r="E654" s="2">
        <f>IF(B654="","",IFERROR(VLOOKUP(B654, PLANTA_BASE!A:R, 6, FALSE), "NO ENCONTRADO EN PLANTA"))</f>
        <v/>
      </c>
      <c r="F654" s="4">
        <f>IF(B654="","",IFERROR(VLOOKUP(B654, PLANTA_BASE!A:R, 8, FALSE), "DOCENTE / FACILITADOR"))</f>
        <v/>
      </c>
      <c r="G654" s="4">
        <f>IF(B654="","",IFERROR(VLOOKUP(B654, PLANTA_BASE!A:R, 9, FALSE), "GENERAL"))</f>
        <v/>
      </c>
      <c r="H654" s="2">
        <f>IF(B654="","",IFERROR(VLOOKUP(B654, PLANTA_BASE!A:R, 17, FALSE), "GENERAL"))</f>
        <v/>
      </c>
    </row>
    <row r="655" ht="20" customHeight="1">
      <c r="A655" s="5">
        <f>IF(B655="","",IFERROR(VLOOKUP(B655, PLANTA_BASE!A:R, 2, FALSE), "NO ENCONTRADO EN PLANTA"))</f>
        <v/>
      </c>
      <c r="B655" s="6" t="inlineStr"/>
      <c r="C655" s="7">
        <f>IF(B655="","",IFERROR(VLOOKUP(B655, PLANTA_BASE!A:R, 3, FALSE), ""))</f>
        <v/>
      </c>
      <c r="D655" s="5">
        <f>IF(B655="","",IFERROR(VLOOKUP(B655, PLANTA_BASE!A:R, 5, FALSE), "NO ENCONTRADO EN PLANTA"))</f>
        <v/>
      </c>
      <c r="E655" s="5">
        <f>IF(B655="","",IFERROR(VLOOKUP(B655, PLANTA_BASE!A:R, 6, FALSE), "NO ENCONTRADO EN PLANTA"))</f>
        <v/>
      </c>
      <c r="F655" s="7">
        <f>IF(B655="","",IFERROR(VLOOKUP(B655, PLANTA_BASE!A:R, 8, FALSE), "DOCENTE / FACILITADOR"))</f>
        <v/>
      </c>
      <c r="G655" s="7">
        <f>IF(B655="","",IFERROR(VLOOKUP(B655, PLANTA_BASE!A:R, 9, FALSE), "GENERAL"))</f>
        <v/>
      </c>
      <c r="H655" s="5">
        <f>IF(B655="","",IFERROR(VLOOKUP(B655, PLANTA_BASE!A:R, 17, FALSE), "GENERAL"))</f>
        <v/>
      </c>
    </row>
    <row r="656" ht="20" customHeight="1">
      <c r="A656" s="2">
        <f>IF(B656="","",IFERROR(VLOOKUP(B656, PLANTA_BASE!A:R, 2, FALSE), "NO ENCONTRADO EN PLANTA"))</f>
        <v/>
      </c>
      <c r="B656" s="3" t="inlineStr"/>
      <c r="C656" s="4">
        <f>IF(B656="","",IFERROR(VLOOKUP(B656, PLANTA_BASE!A:R, 3, FALSE), ""))</f>
        <v/>
      </c>
      <c r="D656" s="2">
        <f>IF(B656="","",IFERROR(VLOOKUP(B656, PLANTA_BASE!A:R, 5, FALSE), "NO ENCONTRADO EN PLANTA"))</f>
        <v/>
      </c>
      <c r="E656" s="2">
        <f>IF(B656="","",IFERROR(VLOOKUP(B656, PLANTA_BASE!A:R, 6, FALSE), "NO ENCONTRADO EN PLANTA"))</f>
        <v/>
      </c>
      <c r="F656" s="4">
        <f>IF(B656="","",IFERROR(VLOOKUP(B656, PLANTA_BASE!A:R, 8, FALSE), "DOCENTE / FACILITADOR"))</f>
        <v/>
      </c>
      <c r="G656" s="4">
        <f>IF(B656="","",IFERROR(VLOOKUP(B656, PLANTA_BASE!A:R, 9, FALSE), "GENERAL"))</f>
        <v/>
      </c>
      <c r="H656" s="2">
        <f>IF(B656="","",IFERROR(VLOOKUP(B656, PLANTA_BASE!A:R, 17, FALSE), "GENERAL"))</f>
        <v/>
      </c>
    </row>
    <row r="657" ht="20" customHeight="1">
      <c r="A657" s="5">
        <f>IF(B657="","",IFERROR(VLOOKUP(B657, PLANTA_BASE!A:R, 2, FALSE), "NO ENCONTRADO EN PLANTA"))</f>
        <v/>
      </c>
      <c r="B657" s="6" t="inlineStr"/>
      <c r="C657" s="7">
        <f>IF(B657="","",IFERROR(VLOOKUP(B657, PLANTA_BASE!A:R, 3, FALSE), ""))</f>
        <v/>
      </c>
      <c r="D657" s="5">
        <f>IF(B657="","",IFERROR(VLOOKUP(B657, PLANTA_BASE!A:R, 5, FALSE), "NO ENCONTRADO EN PLANTA"))</f>
        <v/>
      </c>
      <c r="E657" s="5">
        <f>IF(B657="","",IFERROR(VLOOKUP(B657, PLANTA_BASE!A:R, 6, FALSE), "NO ENCONTRADO EN PLANTA"))</f>
        <v/>
      </c>
      <c r="F657" s="7">
        <f>IF(B657="","",IFERROR(VLOOKUP(B657, PLANTA_BASE!A:R, 8, FALSE), "DOCENTE / FACILITADOR"))</f>
        <v/>
      </c>
      <c r="G657" s="7">
        <f>IF(B657="","",IFERROR(VLOOKUP(B657, PLANTA_BASE!A:R, 9, FALSE), "GENERAL"))</f>
        <v/>
      </c>
      <c r="H657" s="5">
        <f>IF(B657="","",IFERROR(VLOOKUP(B657, PLANTA_BASE!A:R, 17, FALSE), "GENERAL"))</f>
        <v/>
      </c>
    </row>
    <row r="658" ht="20" customHeight="1">
      <c r="A658" s="2">
        <f>IF(B658="","",IFERROR(VLOOKUP(B658, PLANTA_BASE!A:R, 2, FALSE), "NO ENCONTRADO EN PLANTA"))</f>
        <v/>
      </c>
      <c r="B658" s="3" t="inlineStr"/>
      <c r="C658" s="4">
        <f>IF(B658="","",IFERROR(VLOOKUP(B658, PLANTA_BASE!A:R, 3, FALSE), ""))</f>
        <v/>
      </c>
      <c r="D658" s="2">
        <f>IF(B658="","",IFERROR(VLOOKUP(B658, PLANTA_BASE!A:R, 5, FALSE), "NO ENCONTRADO EN PLANTA"))</f>
        <v/>
      </c>
      <c r="E658" s="2">
        <f>IF(B658="","",IFERROR(VLOOKUP(B658, PLANTA_BASE!A:R, 6, FALSE), "NO ENCONTRADO EN PLANTA"))</f>
        <v/>
      </c>
      <c r="F658" s="4">
        <f>IF(B658="","",IFERROR(VLOOKUP(B658, PLANTA_BASE!A:R, 8, FALSE), "DOCENTE / FACILITADOR"))</f>
        <v/>
      </c>
      <c r="G658" s="4">
        <f>IF(B658="","",IFERROR(VLOOKUP(B658, PLANTA_BASE!A:R, 9, FALSE), "GENERAL"))</f>
        <v/>
      </c>
      <c r="H658" s="2">
        <f>IF(B658="","",IFERROR(VLOOKUP(B658, PLANTA_BASE!A:R, 17, FALSE), "GENERAL"))</f>
        <v/>
      </c>
    </row>
    <row r="659" ht="20" customHeight="1">
      <c r="A659" s="5">
        <f>IF(B659="","",IFERROR(VLOOKUP(B659, PLANTA_BASE!A:R, 2, FALSE), "NO ENCONTRADO EN PLANTA"))</f>
        <v/>
      </c>
      <c r="B659" s="6" t="inlineStr"/>
      <c r="C659" s="7">
        <f>IF(B659="","",IFERROR(VLOOKUP(B659, PLANTA_BASE!A:R, 3, FALSE), ""))</f>
        <v/>
      </c>
      <c r="D659" s="5">
        <f>IF(B659="","",IFERROR(VLOOKUP(B659, PLANTA_BASE!A:R, 5, FALSE), "NO ENCONTRADO EN PLANTA"))</f>
        <v/>
      </c>
      <c r="E659" s="5">
        <f>IF(B659="","",IFERROR(VLOOKUP(B659, PLANTA_BASE!A:R, 6, FALSE), "NO ENCONTRADO EN PLANTA"))</f>
        <v/>
      </c>
      <c r="F659" s="7">
        <f>IF(B659="","",IFERROR(VLOOKUP(B659, PLANTA_BASE!A:R, 8, FALSE), "DOCENTE / FACILITADOR"))</f>
        <v/>
      </c>
      <c r="G659" s="7">
        <f>IF(B659="","",IFERROR(VLOOKUP(B659, PLANTA_BASE!A:R, 9, FALSE), "GENERAL"))</f>
        <v/>
      </c>
      <c r="H659" s="5">
        <f>IF(B659="","",IFERROR(VLOOKUP(B659, PLANTA_BASE!A:R, 17, FALSE), "GENERAL"))</f>
        <v/>
      </c>
    </row>
    <row r="660" ht="20" customHeight="1">
      <c r="A660" s="2">
        <f>IF(B660="","",IFERROR(VLOOKUP(B660, PLANTA_BASE!A:R, 2, FALSE), "NO ENCONTRADO EN PLANTA"))</f>
        <v/>
      </c>
      <c r="B660" s="3" t="inlineStr"/>
      <c r="C660" s="4">
        <f>IF(B660="","",IFERROR(VLOOKUP(B660, PLANTA_BASE!A:R, 3, FALSE), ""))</f>
        <v/>
      </c>
      <c r="D660" s="2">
        <f>IF(B660="","",IFERROR(VLOOKUP(B660, PLANTA_BASE!A:R, 5, FALSE), "NO ENCONTRADO EN PLANTA"))</f>
        <v/>
      </c>
      <c r="E660" s="2">
        <f>IF(B660="","",IFERROR(VLOOKUP(B660, PLANTA_BASE!A:R, 6, FALSE), "NO ENCONTRADO EN PLANTA"))</f>
        <v/>
      </c>
      <c r="F660" s="4">
        <f>IF(B660="","",IFERROR(VLOOKUP(B660, PLANTA_BASE!A:R, 8, FALSE), "DOCENTE / FACILITADOR"))</f>
        <v/>
      </c>
      <c r="G660" s="4">
        <f>IF(B660="","",IFERROR(VLOOKUP(B660, PLANTA_BASE!A:R, 9, FALSE), "GENERAL"))</f>
        <v/>
      </c>
      <c r="H660" s="2">
        <f>IF(B660="","",IFERROR(VLOOKUP(B660, PLANTA_BASE!A:R, 17, FALSE), "GENERAL"))</f>
        <v/>
      </c>
    </row>
    <row r="661" ht="20" customHeight="1">
      <c r="A661" s="5">
        <f>IF(B661="","",IFERROR(VLOOKUP(B661, PLANTA_BASE!A:R, 2, FALSE), "NO ENCONTRADO EN PLANTA"))</f>
        <v/>
      </c>
      <c r="B661" s="6" t="inlineStr"/>
      <c r="C661" s="7">
        <f>IF(B661="","",IFERROR(VLOOKUP(B661, PLANTA_BASE!A:R, 3, FALSE), ""))</f>
        <v/>
      </c>
      <c r="D661" s="5">
        <f>IF(B661="","",IFERROR(VLOOKUP(B661, PLANTA_BASE!A:R, 5, FALSE), "NO ENCONTRADO EN PLANTA"))</f>
        <v/>
      </c>
      <c r="E661" s="5">
        <f>IF(B661="","",IFERROR(VLOOKUP(B661, PLANTA_BASE!A:R, 6, FALSE), "NO ENCONTRADO EN PLANTA"))</f>
        <v/>
      </c>
      <c r="F661" s="7">
        <f>IF(B661="","",IFERROR(VLOOKUP(B661, PLANTA_BASE!A:R, 8, FALSE), "DOCENTE / FACILITADOR"))</f>
        <v/>
      </c>
      <c r="G661" s="7">
        <f>IF(B661="","",IFERROR(VLOOKUP(B661, PLANTA_BASE!A:R, 9, FALSE), "GENERAL"))</f>
        <v/>
      </c>
      <c r="H661" s="5">
        <f>IF(B661="","",IFERROR(VLOOKUP(B661, PLANTA_BASE!A:R, 17, FALSE), "GENERAL"))</f>
        <v/>
      </c>
    </row>
    <row r="662" ht="20" customHeight="1">
      <c r="A662" s="2">
        <f>IF(B662="","",IFERROR(VLOOKUP(B662, PLANTA_BASE!A:R, 2, FALSE), "NO ENCONTRADO EN PLANTA"))</f>
        <v/>
      </c>
      <c r="B662" s="3" t="inlineStr"/>
      <c r="C662" s="4">
        <f>IF(B662="","",IFERROR(VLOOKUP(B662, PLANTA_BASE!A:R, 3, FALSE), ""))</f>
        <v/>
      </c>
      <c r="D662" s="2">
        <f>IF(B662="","",IFERROR(VLOOKUP(B662, PLANTA_BASE!A:R, 5, FALSE), "NO ENCONTRADO EN PLANTA"))</f>
        <v/>
      </c>
      <c r="E662" s="2">
        <f>IF(B662="","",IFERROR(VLOOKUP(B662, PLANTA_BASE!A:R, 6, FALSE), "NO ENCONTRADO EN PLANTA"))</f>
        <v/>
      </c>
      <c r="F662" s="4">
        <f>IF(B662="","",IFERROR(VLOOKUP(B662, PLANTA_BASE!A:R, 8, FALSE), "DOCENTE / FACILITADOR"))</f>
        <v/>
      </c>
      <c r="G662" s="4">
        <f>IF(B662="","",IFERROR(VLOOKUP(B662, PLANTA_BASE!A:R, 9, FALSE), "GENERAL"))</f>
        <v/>
      </c>
      <c r="H662" s="2">
        <f>IF(B662="","",IFERROR(VLOOKUP(B662, PLANTA_BASE!A:R, 17, FALSE), "GENERAL"))</f>
        <v/>
      </c>
    </row>
    <row r="663" ht="20" customHeight="1">
      <c r="A663" s="5">
        <f>IF(B663="","",IFERROR(VLOOKUP(B663, PLANTA_BASE!A:R, 2, FALSE), "NO ENCONTRADO EN PLANTA"))</f>
        <v/>
      </c>
      <c r="B663" s="6" t="inlineStr"/>
      <c r="C663" s="7">
        <f>IF(B663="","",IFERROR(VLOOKUP(B663, PLANTA_BASE!A:R, 3, FALSE), ""))</f>
        <v/>
      </c>
      <c r="D663" s="5">
        <f>IF(B663="","",IFERROR(VLOOKUP(B663, PLANTA_BASE!A:R, 5, FALSE), "NO ENCONTRADO EN PLANTA"))</f>
        <v/>
      </c>
      <c r="E663" s="5">
        <f>IF(B663="","",IFERROR(VLOOKUP(B663, PLANTA_BASE!A:R, 6, FALSE), "NO ENCONTRADO EN PLANTA"))</f>
        <v/>
      </c>
      <c r="F663" s="7">
        <f>IF(B663="","",IFERROR(VLOOKUP(B663, PLANTA_BASE!A:R, 8, FALSE), "DOCENTE / FACILITADOR"))</f>
        <v/>
      </c>
      <c r="G663" s="7">
        <f>IF(B663="","",IFERROR(VLOOKUP(B663, PLANTA_BASE!A:R, 9, FALSE), "GENERAL"))</f>
        <v/>
      </c>
      <c r="H663" s="5">
        <f>IF(B663="","",IFERROR(VLOOKUP(B663, PLANTA_BASE!A:R, 17, FALSE), "GENERAL"))</f>
        <v/>
      </c>
    </row>
    <row r="664" ht="20" customHeight="1">
      <c r="A664" s="2">
        <f>IF(B664="","",IFERROR(VLOOKUP(B664, PLANTA_BASE!A:R, 2, FALSE), "NO ENCONTRADO EN PLANTA"))</f>
        <v/>
      </c>
      <c r="B664" s="3" t="inlineStr"/>
      <c r="C664" s="4">
        <f>IF(B664="","",IFERROR(VLOOKUP(B664, PLANTA_BASE!A:R, 3, FALSE), ""))</f>
        <v/>
      </c>
      <c r="D664" s="2">
        <f>IF(B664="","",IFERROR(VLOOKUP(B664, PLANTA_BASE!A:R, 5, FALSE), "NO ENCONTRADO EN PLANTA"))</f>
        <v/>
      </c>
      <c r="E664" s="2">
        <f>IF(B664="","",IFERROR(VLOOKUP(B664, PLANTA_BASE!A:R, 6, FALSE), "NO ENCONTRADO EN PLANTA"))</f>
        <v/>
      </c>
      <c r="F664" s="4">
        <f>IF(B664="","",IFERROR(VLOOKUP(B664, PLANTA_BASE!A:R, 8, FALSE), "DOCENTE / FACILITADOR"))</f>
        <v/>
      </c>
      <c r="G664" s="4">
        <f>IF(B664="","",IFERROR(VLOOKUP(B664, PLANTA_BASE!A:R, 9, FALSE), "GENERAL"))</f>
        <v/>
      </c>
      <c r="H664" s="2">
        <f>IF(B664="","",IFERROR(VLOOKUP(B664, PLANTA_BASE!A:R, 17, FALSE), "GENERAL"))</f>
        <v/>
      </c>
    </row>
    <row r="665" ht="20" customHeight="1">
      <c r="A665" s="5">
        <f>IF(B665="","",IFERROR(VLOOKUP(B665, PLANTA_BASE!A:R, 2, FALSE), "NO ENCONTRADO EN PLANTA"))</f>
        <v/>
      </c>
      <c r="B665" s="6" t="inlineStr"/>
      <c r="C665" s="7">
        <f>IF(B665="","",IFERROR(VLOOKUP(B665, PLANTA_BASE!A:R, 3, FALSE), ""))</f>
        <v/>
      </c>
      <c r="D665" s="5">
        <f>IF(B665="","",IFERROR(VLOOKUP(B665, PLANTA_BASE!A:R, 5, FALSE), "NO ENCONTRADO EN PLANTA"))</f>
        <v/>
      </c>
      <c r="E665" s="5">
        <f>IF(B665="","",IFERROR(VLOOKUP(B665, PLANTA_BASE!A:R, 6, FALSE), "NO ENCONTRADO EN PLANTA"))</f>
        <v/>
      </c>
      <c r="F665" s="7">
        <f>IF(B665="","",IFERROR(VLOOKUP(B665, PLANTA_BASE!A:R, 8, FALSE), "DOCENTE / FACILITADOR"))</f>
        <v/>
      </c>
      <c r="G665" s="7">
        <f>IF(B665="","",IFERROR(VLOOKUP(B665, PLANTA_BASE!A:R, 9, FALSE), "GENERAL"))</f>
        <v/>
      </c>
      <c r="H665" s="5">
        <f>IF(B665="","",IFERROR(VLOOKUP(B665, PLANTA_BASE!A:R, 17, FALSE), "GENERAL"))</f>
        <v/>
      </c>
    </row>
    <row r="666" ht="20" customHeight="1">
      <c r="A666" s="2">
        <f>IF(B666="","",IFERROR(VLOOKUP(B666, PLANTA_BASE!A:R, 2, FALSE), "NO ENCONTRADO EN PLANTA"))</f>
        <v/>
      </c>
      <c r="B666" s="3" t="inlineStr"/>
      <c r="C666" s="4">
        <f>IF(B666="","",IFERROR(VLOOKUP(B666, PLANTA_BASE!A:R, 3, FALSE), ""))</f>
        <v/>
      </c>
      <c r="D666" s="2">
        <f>IF(B666="","",IFERROR(VLOOKUP(B666, PLANTA_BASE!A:R, 5, FALSE), "NO ENCONTRADO EN PLANTA"))</f>
        <v/>
      </c>
      <c r="E666" s="2">
        <f>IF(B666="","",IFERROR(VLOOKUP(B666, PLANTA_BASE!A:R, 6, FALSE), "NO ENCONTRADO EN PLANTA"))</f>
        <v/>
      </c>
      <c r="F666" s="4">
        <f>IF(B666="","",IFERROR(VLOOKUP(B666, PLANTA_BASE!A:R, 8, FALSE), "DOCENTE / FACILITADOR"))</f>
        <v/>
      </c>
      <c r="G666" s="4">
        <f>IF(B666="","",IFERROR(VLOOKUP(B666, PLANTA_BASE!A:R, 9, FALSE), "GENERAL"))</f>
        <v/>
      </c>
      <c r="H666" s="2">
        <f>IF(B666="","",IFERROR(VLOOKUP(B666, PLANTA_BASE!A:R, 17, FALSE), "GENERAL"))</f>
        <v/>
      </c>
    </row>
    <row r="667" ht="20" customHeight="1">
      <c r="A667" s="5">
        <f>IF(B667="","",IFERROR(VLOOKUP(B667, PLANTA_BASE!A:R, 2, FALSE), "NO ENCONTRADO EN PLANTA"))</f>
        <v/>
      </c>
      <c r="B667" s="6" t="inlineStr"/>
      <c r="C667" s="7">
        <f>IF(B667="","",IFERROR(VLOOKUP(B667, PLANTA_BASE!A:R, 3, FALSE), ""))</f>
        <v/>
      </c>
      <c r="D667" s="5">
        <f>IF(B667="","",IFERROR(VLOOKUP(B667, PLANTA_BASE!A:R, 5, FALSE), "NO ENCONTRADO EN PLANTA"))</f>
        <v/>
      </c>
      <c r="E667" s="5">
        <f>IF(B667="","",IFERROR(VLOOKUP(B667, PLANTA_BASE!A:R, 6, FALSE), "NO ENCONTRADO EN PLANTA"))</f>
        <v/>
      </c>
      <c r="F667" s="7">
        <f>IF(B667="","",IFERROR(VLOOKUP(B667, PLANTA_BASE!A:R, 8, FALSE), "DOCENTE / FACILITADOR"))</f>
        <v/>
      </c>
      <c r="G667" s="7">
        <f>IF(B667="","",IFERROR(VLOOKUP(B667, PLANTA_BASE!A:R, 9, FALSE), "GENERAL"))</f>
        <v/>
      </c>
      <c r="H667" s="5">
        <f>IF(B667="","",IFERROR(VLOOKUP(B667, PLANTA_BASE!A:R, 17, FALSE), "GENERAL"))</f>
        <v/>
      </c>
    </row>
    <row r="668" ht="20" customHeight="1">
      <c r="A668" s="2">
        <f>IF(B668="","",IFERROR(VLOOKUP(B668, PLANTA_BASE!A:R, 2, FALSE), "NO ENCONTRADO EN PLANTA"))</f>
        <v/>
      </c>
      <c r="B668" s="3" t="inlineStr"/>
      <c r="C668" s="4">
        <f>IF(B668="","",IFERROR(VLOOKUP(B668, PLANTA_BASE!A:R, 3, FALSE), ""))</f>
        <v/>
      </c>
      <c r="D668" s="2">
        <f>IF(B668="","",IFERROR(VLOOKUP(B668, PLANTA_BASE!A:R, 5, FALSE), "NO ENCONTRADO EN PLANTA"))</f>
        <v/>
      </c>
      <c r="E668" s="2">
        <f>IF(B668="","",IFERROR(VLOOKUP(B668, PLANTA_BASE!A:R, 6, FALSE), "NO ENCONTRADO EN PLANTA"))</f>
        <v/>
      </c>
      <c r="F668" s="4">
        <f>IF(B668="","",IFERROR(VLOOKUP(B668, PLANTA_BASE!A:R, 8, FALSE), "DOCENTE / FACILITADOR"))</f>
        <v/>
      </c>
      <c r="G668" s="4">
        <f>IF(B668="","",IFERROR(VLOOKUP(B668, PLANTA_BASE!A:R, 9, FALSE), "GENERAL"))</f>
        <v/>
      </c>
      <c r="H668" s="2">
        <f>IF(B668="","",IFERROR(VLOOKUP(B668, PLANTA_BASE!A:R, 17, FALSE), "GENERAL"))</f>
        <v/>
      </c>
    </row>
    <row r="669" ht="20" customHeight="1">
      <c r="A669" s="5">
        <f>IF(B669="","",IFERROR(VLOOKUP(B669, PLANTA_BASE!A:R, 2, FALSE), "NO ENCONTRADO EN PLANTA"))</f>
        <v/>
      </c>
      <c r="B669" s="6" t="inlineStr"/>
      <c r="C669" s="7">
        <f>IF(B669="","",IFERROR(VLOOKUP(B669, PLANTA_BASE!A:R, 3, FALSE), ""))</f>
        <v/>
      </c>
      <c r="D669" s="5">
        <f>IF(B669="","",IFERROR(VLOOKUP(B669, PLANTA_BASE!A:R, 5, FALSE), "NO ENCONTRADO EN PLANTA"))</f>
        <v/>
      </c>
      <c r="E669" s="5">
        <f>IF(B669="","",IFERROR(VLOOKUP(B669, PLANTA_BASE!A:R, 6, FALSE), "NO ENCONTRADO EN PLANTA"))</f>
        <v/>
      </c>
      <c r="F669" s="7">
        <f>IF(B669="","",IFERROR(VLOOKUP(B669, PLANTA_BASE!A:R, 8, FALSE), "DOCENTE / FACILITADOR"))</f>
        <v/>
      </c>
      <c r="G669" s="7">
        <f>IF(B669="","",IFERROR(VLOOKUP(B669, PLANTA_BASE!A:R, 9, FALSE), "GENERAL"))</f>
        <v/>
      </c>
      <c r="H669" s="5">
        <f>IF(B669="","",IFERROR(VLOOKUP(B669, PLANTA_BASE!A:R, 17, FALSE), "GENERAL"))</f>
        <v/>
      </c>
    </row>
    <row r="670" ht="20" customHeight="1">
      <c r="A670" s="2">
        <f>IF(B670="","",IFERROR(VLOOKUP(B670, PLANTA_BASE!A:R, 2, FALSE), "NO ENCONTRADO EN PLANTA"))</f>
        <v/>
      </c>
      <c r="B670" s="3" t="inlineStr"/>
      <c r="C670" s="4">
        <f>IF(B670="","",IFERROR(VLOOKUP(B670, PLANTA_BASE!A:R, 3, FALSE), ""))</f>
        <v/>
      </c>
      <c r="D670" s="2">
        <f>IF(B670="","",IFERROR(VLOOKUP(B670, PLANTA_BASE!A:R, 5, FALSE), "NO ENCONTRADO EN PLANTA"))</f>
        <v/>
      </c>
      <c r="E670" s="2">
        <f>IF(B670="","",IFERROR(VLOOKUP(B670, PLANTA_BASE!A:R, 6, FALSE), "NO ENCONTRADO EN PLANTA"))</f>
        <v/>
      </c>
      <c r="F670" s="4">
        <f>IF(B670="","",IFERROR(VLOOKUP(B670, PLANTA_BASE!A:R, 8, FALSE), "DOCENTE / FACILITADOR"))</f>
        <v/>
      </c>
      <c r="G670" s="4">
        <f>IF(B670="","",IFERROR(VLOOKUP(B670, PLANTA_BASE!A:R, 9, FALSE), "GENERAL"))</f>
        <v/>
      </c>
      <c r="H670" s="2">
        <f>IF(B670="","",IFERROR(VLOOKUP(B670, PLANTA_BASE!A:R, 17, FALSE), "GENERAL"))</f>
        <v/>
      </c>
    </row>
    <row r="671" ht="20" customHeight="1">
      <c r="A671" s="5">
        <f>IF(B671="","",IFERROR(VLOOKUP(B671, PLANTA_BASE!A:R, 2, FALSE), "NO ENCONTRADO EN PLANTA"))</f>
        <v/>
      </c>
      <c r="B671" s="6" t="inlineStr"/>
      <c r="C671" s="7">
        <f>IF(B671="","",IFERROR(VLOOKUP(B671, PLANTA_BASE!A:R, 3, FALSE), ""))</f>
        <v/>
      </c>
      <c r="D671" s="5">
        <f>IF(B671="","",IFERROR(VLOOKUP(B671, PLANTA_BASE!A:R, 5, FALSE), "NO ENCONTRADO EN PLANTA"))</f>
        <v/>
      </c>
      <c r="E671" s="5">
        <f>IF(B671="","",IFERROR(VLOOKUP(B671, PLANTA_BASE!A:R, 6, FALSE), "NO ENCONTRADO EN PLANTA"))</f>
        <v/>
      </c>
      <c r="F671" s="7">
        <f>IF(B671="","",IFERROR(VLOOKUP(B671, PLANTA_BASE!A:R, 8, FALSE), "DOCENTE / FACILITADOR"))</f>
        <v/>
      </c>
      <c r="G671" s="7">
        <f>IF(B671="","",IFERROR(VLOOKUP(B671, PLANTA_BASE!A:R, 9, FALSE), "GENERAL"))</f>
        <v/>
      </c>
      <c r="H671" s="5">
        <f>IF(B671="","",IFERROR(VLOOKUP(B671, PLANTA_BASE!A:R, 17, FALSE), "GENERAL"))</f>
        <v/>
      </c>
    </row>
    <row r="672" ht="20" customHeight="1">
      <c r="A672" s="2">
        <f>IF(B672="","",IFERROR(VLOOKUP(B672, PLANTA_BASE!A:R, 2, FALSE), "NO ENCONTRADO EN PLANTA"))</f>
        <v/>
      </c>
      <c r="B672" s="3" t="inlineStr"/>
      <c r="C672" s="4">
        <f>IF(B672="","",IFERROR(VLOOKUP(B672, PLANTA_BASE!A:R, 3, FALSE), ""))</f>
        <v/>
      </c>
      <c r="D672" s="2">
        <f>IF(B672="","",IFERROR(VLOOKUP(B672, PLANTA_BASE!A:R, 5, FALSE), "NO ENCONTRADO EN PLANTA"))</f>
        <v/>
      </c>
      <c r="E672" s="2">
        <f>IF(B672="","",IFERROR(VLOOKUP(B672, PLANTA_BASE!A:R, 6, FALSE), "NO ENCONTRADO EN PLANTA"))</f>
        <v/>
      </c>
      <c r="F672" s="4">
        <f>IF(B672="","",IFERROR(VLOOKUP(B672, PLANTA_BASE!A:R, 8, FALSE), "DOCENTE / FACILITADOR"))</f>
        <v/>
      </c>
      <c r="G672" s="4">
        <f>IF(B672="","",IFERROR(VLOOKUP(B672, PLANTA_BASE!A:R, 9, FALSE), "GENERAL"))</f>
        <v/>
      </c>
      <c r="H672" s="2">
        <f>IF(B672="","",IFERROR(VLOOKUP(B672, PLANTA_BASE!A:R, 17, FALSE), "GENERAL"))</f>
        <v/>
      </c>
    </row>
    <row r="673" ht="20" customHeight="1">
      <c r="A673" s="5">
        <f>IF(B673="","",IFERROR(VLOOKUP(B673, PLANTA_BASE!A:R, 2, FALSE), "NO ENCONTRADO EN PLANTA"))</f>
        <v/>
      </c>
      <c r="B673" s="6" t="inlineStr"/>
      <c r="C673" s="7">
        <f>IF(B673="","",IFERROR(VLOOKUP(B673, PLANTA_BASE!A:R, 3, FALSE), ""))</f>
        <v/>
      </c>
      <c r="D673" s="5">
        <f>IF(B673="","",IFERROR(VLOOKUP(B673, PLANTA_BASE!A:R, 5, FALSE), "NO ENCONTRADO EN PLANTA"))</f>
        <v/>
      </c>
      <c r="E673" s="5">
        <f>IF(B673="","",IFERROR(VLOOKUP(B673, PLANTA_BASE!A:R, 6, FALSE), "NO ENCONTRADO EN PLANTA"))</f>
        <v/>
      </c>
      <c r="F673" s="7">
        <f>IF(B673="","",IFERROR(VLOOKUP(B673, PLANTA_BASE!A:R, 8, FALSE), "DOCENTE / FACILITADOR"))</f>
        <v/>
      </c>
      <c r="G673" s="7">
        <f>IF(B673="","",IFERROR(VLOOKUP(B673, PLANTA_BASE!A:R, 9, FALSE), "GENERAL"))</f>
        <v/>
      </c>
      <c r="H673" s="5">
        <f>IF(B673="","",IFERROR(VLOOKUP(B673, PLANTA_BASE!A:R, 17, FALSE), "GENERAL"))</f>
        <v/>
      </c>
    </row>
    <row r="674" ht="20" customHeight="1">
      <c r="A674" s="2">
        <f>IF(B674="","",IFERROR(VLOOKUP(B674, PLANTA_BASE!A:R, 2, FALSE), "NO ENCONTRADO EN PLANTA"))</f>
        <v/>
      </c>
      <c r="B674" s="3" t="inlineStr"/>
      <c r="C674" s="4">
        <f>IF(B674="","",IFERROR(VLOOKUP(B674, PLANTA_BASE!A:R, 3, FALSE), ""))</f>
        <v/>
      </c>
      <c r="D674" s="2">
        <f>IF(B674="","",IFERROR(VLOOKUP(B674, PLANTA_BASE!A:R, 5, FALSE), "NO ENCONTRADO EN PLANTA"))</f>
        <v/>
      </c>
      <c r="E674" s="2">
        <f>IF(B674="","",IFERROR(VLOOKUP(B674, PLANTA_BASE!A:R, 6, FALSE), "NO ENCONTRADO EN PLANTA"))</f>
        <v/>
      </c>
      <c r="F674" s="4">
        <f>IF(B674="","",IFERROR(VLOOKUP(B674, PLANTA_BASE!A:R, 8, FALSE), "DOCENTE / FACILITADOR"))</f>
        <v/>
      </c>
      <c r="G674" s="4">
        <f>IF(B674="","",IFERROR(VLOOKUP(B674, PLANTA_BASE!A:R, 9, FALSE), "GENERAL"))</f>
        <v/>
      </c>
      <c r="H674" s="2">
        <f>IF(B674="","",IFERROR(VLOOKUP(B674, PLANTA_BASE!A:R, 17, FALSE), "GENERAL"))</f>
        <v/>
      </c>
    </row>
    <row r="675" ht="20" customHeight="1">
      <c r="A675" s="5">
        <f>IF(B675="","",IFERROR(VLOOKUP(B675, PLANTA_BASE!A:R, 2, FALSE), "NO ENCONTRADO EN PLANTA"))</f>
        <v/>
      </c>
      <c r="B675" s="6" t="inlineStr"/>
      <c r="C675" s="7">
        <f>IF(B675="","",IFERROR(VLOOKUP(B675, PLANTA_BASE!A:R, 3, FALSE), ""))</f>
        <v/>
      </c>
      <c r="D675" s="5">
        <f>IF(B675="","",IFERROR(VLOOKUP(B675, PLANTA_BASE!A:R, 5, FALSE), "NO ENCONTRADO EN PLANTA"))</f>
        <v/>
      </c>
      <c r="E675" s="5">
        <f>IF(B675="","",IFERROR(VLOOKUP(B675, PLANTA_BASE!A:R, 6, FALSE), "NO ENCONTRADO EN PLANTA"))</f>
        <v/>
      </c>
      <c r="F675" s="7">
        <f>IF(B675="","",IFERROR(VLOOKUP(B675, PLANTA_BASE!A:R, 8, FALSE), "DOCENTE / FACILITADOR"))</f>
        <v/>
      </c>
      <c r="G675" s="7">
        <f>IF(B675="","",IFERROR(VLOOKUP(B675, PLANTA_BASE!A:R, 9, FALSE), "GENERAL"))</f>
        <v/>
      </c>
      <c r="H675" s="5">
        <f>IF(B675="","",IFERROR(VLOOKUP(B675, PLANTA_BASE!A:R, 17, FALSE), "GENERAL"))</f>
        <v/>
      </c>
    </row>
    <row r="676" ht="20" customHeight="1">
      <c r="A676" s="2">
        <f>IF(B676="","",IFERROR(VLOOKUP(B676, PLANTA_BASE!A:R, 2, FALSE), "NO ENCONTRADO EN PLANTA"))</f>
        <v/>
      </c>
      <c r="B676" s="3" t="inlineStr"/>
      <c r="C676" s="4">
        <f>IF(B676="","",IFERROR(VLOOKUP(B676, PLANTA_BASE!A:R, 3, FALSE), ""))</f>
        <v/>
      </c>
      <c r="D676" s="2">
        <f>IF(B676="","",IFERROR(VLOOKUP(B676, PLANTA_BASE!A:R, 5, FALSE), "NO ENCONTRADO EN PLANTA"))</f>
        <v/>
      </c>
      <c r="E676" s="2">
        <f>IF(B676="","",IFERROR(VLOOKUP(B676, PLANTA_BASE!A:R, 6, FALSE), "NO ENCONTRADO EN PLANTA"))</f>
        <v/>
      </c>
      <c r="F676" s="4">
        <f>IF(B676="","",IFERROR(VLOOKUP(B676, PLANTA_BASE!A:R, 8, FALSE), "DOCENTE / FACILITADOR"))</f>
        <v/>
      </c>
      <c r="G676" s="4">
        <f>IF(B676="","",IFERROR(VLOOKUP(B676, PLANTA_BASE!A:R, 9, FALSE), "GENERAL"))</f>
        <v/>
      </c>
      <c r="H676" s="2">
        <f>IF(B676="","",IFERROR(VLOOKUP(B676, PLANTA_BASE!A:R, 17, FALSE), "GENERAL"))</f>
        <v/>
      </c>
    </row>
    <row r="677" ht="20" customHeight="1">
      <c r="A677" s="5">
        <f>IF(B677="","",IFERROR(VLOOKUP(B677, PLANTA_BASE!A:R, 2, FALSE), "NO ENCONTRADO EN PLANTA"))</f>
        <v/>
      </c>
      <c r="B677" s="6" t="inlineStr"/>
      <c r="C677" s="7">
        <f>IF(B677="","",IFERROR(VLOOKUP(B677, PLANTA_BASE!A:R, 3, FALSE), ""))</f>
        <v/>
      </c>
      <c r="D677" s="5">
        <f>IF(B677="","",IFERROR(VLOOKUP(B677, PLANTA_BASE!A:R, 5, FALSE), "NO ENCONTRADO EN PLANTA"))</f>
        <v/>
      </c>
      <c r="E677" s="5">
        <f>IF(B677="","",IFERROR(VLOOKUP(B677, PLANTA_BASE!A:R, 6, FALSE), "NO ENCONTRADO EN PLANTA"))</f>
        <v/>
      </c>
      <c r="F677" s="7">
        <f>IF(B677="","",IFERROR(VLOOKUP(B677, PLANTA_BASE!A:R, 8, FALSE), "DOCENTE / FACILITADOR"))</f>
        <v/>
      </c>
      <c r="G677" s="7">
        <f>IF(B677="","",IFERROR(VLOOKUP(B677, PLANTA_BASE!A:R, 9, FALSE), "GENERAL"))</f>
        <v/>
      </c>
      <c r="H677" s="5">
        <f>IF(B677="","",IFERROR(VLOOKUP(B677, PLANTA_BASE!A:R, 17, FALSE), "GENERAL"))</f>
        <v/>
      </c>
    </row>
    <row r="678" ht="20" customHeight="1">
      <c r="A678" s="2">
        <f>IF(B678="","",IFERROR(VLOOKUP(B678, PLANTA_BASE!A:R, 2, FALSE), "NO ENCONTRADO EN PLANTA"))</f>
        <v/>
      </c>
      <c r="B678" s="3" t="inlineStr"/>
      <c r="C678" s="4">
        <f>IF(B678="","",IFERROR(VLOOKUP(B678, PLANTA_BASE!A:R, 3, FALSE), ""))</f>
        <v/>
      </c>
      <c r="D678" s="2">
        <f>IF(B678="","",IFERROR(VLOOKUP(B678, PLANTA_BASE!A:R, 5, FALSE), "NO ENCONTRADO EN PLANTA"))</f>
        <v/>
      </c>
      <c r="E678" s="2">
        <f>IF(B678="","",IFERROR(VLOOKUP(B678, PLANTA_BASE!A:R, 6, FALSE), "NO ENCONTRADO EN PLANTA"))</f>
        <v/>
      </c>
      <c r="F678" s="4">
        <f>IF(B678="","",IFERROR(VLOOKUP(B678, PLANTA_BASE!A:R, 8, FALSE), "DOCENTE / FACILITADOR"))</f>
        <v/>
      </c>
      <c r="G678" s="4">
        <f>IF(B678="","",IFERROR(VLOOKUP(B678, PLANTA_BASE!A:R, 9, FALSE), "GENERAL"))</f>
        <v/>
      </c>
      <c r="H678" s="2">
        <f>IF(B678="","",IFERROR(VLOOKUP(B678, PLANTA_BASE!A:R, 17, FALSE), "GENERAL"))</f>
        <v/>
      </c>
    </row>
    <row r="679" ht="20" customHeight="1">
      <c r="A679" s="5">
        <f>IF(B679="","",IFERROR(VLOOKUP(B679, PLANTA_BASE!A:R, 2, FALSE), "NO ENCONTRADO EN PLANTA"))</f>
        <v/>
      </c>
      <c r="B679" s="6" t="inlineStr"/>
      <c r="C679" s="7">
        <f>IF(B679="","",IFERROR(VLOOKUP(B679, PLANTA_BASE!A:R, 3, FALSE), ""))</f>
        <v/>
      </c>
      <c r="D679" s="5">
        <f>IF(B679="","",IFERROR(VLOOKUP(B679, PLANTA_BASE!A:R, 5, FALSE), "NO ENCONTRADO EN PLANTA"))</f>
        <v/>
      </c>
      <c r="E679" s="5">
        <f>IF(B679="","",IFERROR(VLOOKUP(B679, PLANTA_BASE!A:R, 6, FALSE), "NO ENCONTRADO EN PLANTA"))</f>
        <v/>
      </c>
      <c r="F679" s="7">
        <f>IF(B679="","",IFERROR(VLOOKUP(B679, PLANTA_BASE!A:R, 8, FALSE), "DOCENTE / FACILITADOR"))</f>
        <v/>
      </c>
      <c r="G679" s="7">
        <f>IF(B679="","",IFERROR(VLOOKUP(B679, PLANTA_BASE!A:R, 9, FALSE), "GENERAL"))</f>
        <v/>
      </c>
      <c r="H679" s="5">
        <f>IF(B679="","",IFERROR(VLOOKUP(B679, PLANTA_BASE!A:R, 17, FALSE), "GENERAL"))</f>
        <v/>
      </c>
    </row>
    <row r="680" ht="20" customHeight="1">
      <c r="A680" s="2">
        <f>IF(B680="","",IFERROR(VLOOKUP(B680, PLANTA_BASE!A:R, 2, FALSE), "NO ENCONTRADO EN PLANTA"))</f>
        <v/>
      </c>
      <c r="B680" s="3" t="inlineStr"/>
      <c r="C680" s="4">
        <f>IF(B680="","",IFERROR(VLOOKUP(B680, PLANTA_BASE!A:R, 3, FALSE), ""))</f>
        <v/>
      </c>
      <c r="D680" s="2">
        <f>IF(B680="","",IFERROR(VLOOKUP(B680, PLANTA_BASE!A:R, 5, FALSE), "NO ENCONTRADO EN PLANTA"))</f>
        <v/>
      </c>
      <c r="E680" s="2">
        <f>IF(B680="","",IFERROR(VLOOKUP(B680, PLANTA_BASE!A:R, 6, FALSE), "NO ENCONTRADO EN PLANTA"))</f>
        <v/>
      </c>
      <c r="F680" s="4">
        <f>IF(B680="","",IFERROR(VLOOKUP(B680, PLANTA_BASE!A:R, 8, FALSE), "DOCENTE / FACILITADOR"))</f>
        <v/>
      </c>
      <c r="G680" s="4">
        <f>IF(B680="","",IFERROR(VLOOKUP(B680, PLANTA_BASE!A:R, 9, FALSE), "GENERAL"))</f>
        <v/>
      </c>
      <c r="H680" s="2">
        <f>IF(B680="","",IFERROR(VLOOKUP(B680, PLANTA_BASE!A:R, 17, FALSE), "GENERAL"))</f>
        <v/>
      </c>
    </row>
    <row r="681" ht="20" customHeight="1">
      <c r="A681" s="5">
        <f>IF(B681="","",IFERROR(VLOOKUP(B681, PLANTA_BASE!A:R, 2, FALSE), "NO ENCONTRADO EN PLANTA"))</f>
        <v/>
      </c>
      <c r="B681" s="6" t="inlineStr"/>
      <c r="C681" s="7">
        <f>IF(B681="","",IFERROR(VLOOKUP(B681, PLANTA_BASE!A:R, 3, FALSE), ""))</f>
        <v/>
      </c>
      <c r="D681" s="5">
        <f>IF(B681="","",IFERROR(VLOOKUP(B681, PLANTA_BASE!A:R, 5, FALSE), "NO ENCONTRADO EN PLANTA"))</f>
        <v/>
      </c>
      <c r="E681" s="5">
        <f>IF(B681="","",IFERROR(VLOOKUP(B681, PLANTA_BASE!A:R, 6, FALSE), "NO ENCONTRADO EN PLANTA"))</f>
        <v/>
      </c>
      <c r="F681" s="7">
        <f>IF(B681="","",IFERROR(VLOOKUP(B681, PLANTA_BASE!A:R, 8, FALSE), "DOCENTE / FACILITADOR"))</f>
        <v/>
      </c>
      <c r="G681" s="7">
        <f>IF(B681="","",IFERROR(VLOOKUP(B681, PLANTA_BASE!A:R, 9, FALSE), "GENERAL"))</f>
        <v/>
      </c>
      <c r="H681" s="5">
        <f>IF(B681="","",IFERROR(VLOOKUP(B681, PLANTA_BASE!A:R, 17, FALSE), "GENERAL"))</f>
        <v/>
      </c>
    </row>
    <row r="682" ht="20" customHeight="1">
      <c r="A682" s="2">
        <f>IF(B682="","",IFERROR(VLOOKUP(B682, PLANTA_BASE!A:R, 2, FALSE), "NO ENCONTRADO EN PLANTA"))</f>
        <v/>
      </c>
      <c r="B682" s="3" t="inlineStr"/>
      <c r="C682" s="4">
        <f>IF(B682="","",IFERROR(VLOOKUP(B682, PLANTA_BASE!A:R, 3, FALSE), ""))</f>
        <v/>
      </c>
      <c r="D682" s="2">
        <f>IF(B682="","",IFERROR(VLOOKUP(B682, PLANTA_BASE!A:R, 5, FALSE), "NO ENCONTRADO EN PLANTA"))</f>
        <v/>
      </c>
      <c r="E682" s="2">
        <f>IF(B682="","",IFERROR(VLOOKUP(B682, PLANTA_BASE!A:R, 6, FALSE), "NO ENCONTRADO EN PLANTA"))</f>
        <v/>
      </c>
      <c r="F682" s="4">
        <f>IF(B682="","",IFERROR(VLOOKUP(B682, PLANTA_BASE!A:R, 8, FALSE), "DOCENTE / FACILITADOR"))</f>
        <v/>
      </c>
      <c r="G682" s="4">
        <f>IF(B682="","",IFERROR(VLOOKUP(B682, PLANTA_BASE!A:R, 9, FALSE), "GENERAL"))</f>
        <v/>
      </c>
      <c r="H682" s="2">
        <f>IF(B682="","",IFERROR(VLOOKUP(B682, PLANTA_BASE!A:R, 17, FALSE), "GENERAL"))</f>
        <v/>
      </c>
    </row>
    <row r="683" ht="20" customHeight="1">
      <c r="A683" s="5">
        <f>IF(B683="","",IFERROR(VLOOKUP(B683, PLANTA_BASE!A:R, 2, FALSE), "NO ENCONTRADO EN PLANTA"))</f>
        <v/>
      </c>
      <c r="B683" s="6" t="inlineStr"/>
      <c r="C683" s="7">
        <f>IF(B683="","",IFERROR(VLOOKUP(B683, PLANTA_BASE!A:R, 3, FALSE), ""))</f>
        <v/>
      </c>
      <c r="D683" s="5">
        <f>IF(B683="","",IFERROR(VLOOKUP(B683, PLANTA_BASE!A:R, 5, FALSE), "NO ENCONTRADO EN PLANTA"))</f>
        <v/>
      </c>
      <c r="E683" s="5">
        <f>IF(B683="","",IFERROR(VLOOKUP(B683, PLANTA_BASE!A:R, 6, FALSE), "NO ENCONTRADO EN PLANTA"))</f>
        <v/>
      </c>
      <c r="F683" s="7">
        <f>IF(B683="","",IFERROR(VLOOKUP(B683, PLANTA_BASE!A:R, 8, FALSE), "DOCENTE / FACILITADOR"))</f>
        <v/>
      </c>
      <c r="G683" s="7">
        <f>IF(B683="","",IFERROR(VLOOKUP(B683, PLANTA_BASE!A:R, 9, FALSE), "GENERAL"))</f>
        <v/>
      </c>
      <c r="H683" s="5">
        <f>IF(B683="","",IFERROR(VLOOKUP(B683, PLANTA_BASE!A:R, 17, FALSE), "GENERAL"))</f>
        <v/>
      </c>
    </row>
    <row r="684" ht="20" customHeight="1">
      <c r="A684" s="2">
        <f>IF(B684="","",IFERROR(VLOOKUP(B684, PLANTA_BASE!A:R, 2, FALSE), "NO ENCONTRADO EN PLANTA"))</f>
        <v/>
      </c>
      <c r="B684" s="3" t="inlineStr"/>
      <c r="C684" s="4">
        <f>IF(B684="","",IFERROR(VLOOKUP(B684, PLANTA_BASE!A:R, 3, FALSE), ""))</f>
        <v/>
      </c>
      <c r="D684" s="2">
        <f>IF(B684="","",IFERROR(VLOOKUP(B684, PLANTA_BASE!A:R, 5, FALSE), "NO ENCONTRADO EN PLANTA"))</f>
        <v/>
      </c>
      <c r="E684" s="2">
        <f>IF(B684="","",IFERROR(VLOOKUP(B684, PLANTA_BASE!A:R, 6, FALSE), "NO ENCONTRADO EN PLANTA"))</f>
        <v/>
      </c>
      <c r="F684" s="4">
        <f>IF(B684="","",IFERROR(VLOOKUP(B684, PLANTA_BASE!A:R, 8, FALSE), "DOCENTE / FACILITADOR"))</f>
        <v/>
      </c>
      <c r="G684" s="4">
        <f>IF(B684="","",IFERROR(VLOOKUP(B684, PLANTA_BASE!A:R, 9, FALSE), "GENERAL"))</f>
        <v/>
      </c>
      <c r="H684" s="2">
        <f>IF(B684="","",IFERROR(VLOOKUP(B684, PLANTA_BASE!A:R, 17, FALSE), "GENERAL"))</f>
        <v/>
      </c>
    </row>
    <row r="685" ht="20" customHeight="1">
      <c r="A685" s="5">
        <f>IF(B685="","",IFERROR(VLOOKUP(B685, PLANTA_BASE!A:R, 2, FALSE), "NO ENCONTRADO EN PLANTA"))</f>
        <v/>
      </c>
      <c r="B685" s="6" t="inlineStr"/>
      <c r="C685" s="7">
        <f>IF(B685="","",IFERROR(VLOOKUP(B685, PLANTA_BASE!A:R, 3, FALSE), ""))</f>
        <v/>
      </c>
      <c r="D685" s="5">
        <f>IF(B685="","",IFERROR(VLOOKUP(B685, PLANTA_BASE!A:R, 5, FALSE), "NO ENCONTRADO EN PLANTA"))</f>
        <v/>
      </c>
      <c r="E685" s="5">
        <f>IF(B685="","",IFERROR(VLOOKUP(B685, PLANTA_BASE!A:R, 6, FALSE), "NO ENCONTRADO EN PLANTA"))</f>
        <v/>
      </c>
      <c r="F685" s="7">
        <f>IF(B685="","",IFERROR(VLOOKUP(B685, PLANTA_BASE!A:R, 8, FALSE), "DOCENTE / FACILITADOR"))</f>
        <v/>
      </c>
      <c r="G685" s="7">
        <f>IF(B685="","",IFERROR(VLOOKUP(B685, PLANTA_BASE!A:R, 9, FALSE), "GENERAL"))</f>
        <v/>
      </c>
      <c r="H685" s="5">
        <f>IF(B685="","",IFERROR(VLOOKUP(B685, PLANTA_BASE!A:R, 17, FALSE), "GENERAL"))</f>
        <v/>
      </c>
    </row>
    <row r="686" ht="20" customHeight="1">
      <c r="A686" s="2">
        <f>IF(B686="","",IFERROR(VLOOKUP(B686, PLANTA_BASE!A:R, 2, FALSE), "NO ENCONTRADO EN PLANTA"))</f>
        <v/>
      </c>
      <c r="B686" s="3" t="inlineStr"/>
      <c r="C686" s="4">
        <f>IF(B686="","",IFERROR(VLOOKUP(B686, PLANTA_BASE!A:R, 3, FALSE), ""))</f>
        <v/>
      </c>
      <c r="D686" s="2">
        <f>IF(B686="","",IFERROR(VLOOKUP(B686, PLANTA_BASE!A:R, 5, FALSE), "NO ENCONTRADO EN PLANTA"))</f>
        <v/>
      </c>
      <c r="E686" s="2">
        <f>IF(B686="","",IFERROR(VLOOKUP(B686, PLANTA_BASE!A:R, 6, FALSE), "NO ENCONTRADO EN PLANTA"))</f>
        <v/>
      </c>
      <c r="F686" s="4">
        <f>IF(B686="","",IFERROR(VLOOKUP(B686, PLANTA_BASE!A:R, 8, FALSE), "DOCENTE / FACILITADOR"))</f>
        <v/>
      </c>
      <c r="G686" s="4">
        <f>IF(B686="","",IFERROR(VLOOKUP(B686, PLANTA_BASE!A:R, 9, FALSE), "GENERAL"))</f>
        <v/>
      </c>
      <c r="H686" s="2">
        <f>IF(B686="","",IFERROR(VLOOKUP(B686, PLANTA_BASE!A:R, 17, FALSE), "GENERAL"))</f>
        <v/>
      </c>
    </row>
    <row r="687" ht="20" customHeight="1">
      <c r="A687" s="5">
        <f>IF(B687="","",IFERROR(VLOOKUP(B687, PLANTA_BASE!A:R, 2, FALSE), "NO ENCONTRADO EN PLANTA"))</f>
        <v/>
      </c>
      <c r="B687" s="6" t="inlineStr"/>
      <c r="C687" s="7">
        <f>IF(B687="","",IFERROR(VLOOKUP(B687, PLANTA_BASE!A:R, 3, FALSE), ""))</f>
        <v/>
      </c>
      <c r="D687" s="5">
        <f>IF(B687="","",IFERROR(VLOOKUP(B687, PLANTA_BASE!A:R, 5, FALSE), "NO ENCONTRADO EN PLANTA"))</f>
        <v/>
      </c>
      <c r="E687" s="5">
        <f>IF(B687="","",IFERROR(VLOOKUP(B687, PLANTA_BASE!A:R, 6, FALSE), "NO ENCONTRADO EN PLANTA"))</f>
        <v/>
      </c>
      <c r="F687" s="7">
        <f>IF(B687="","",IFERROR(VLOOKUP(B687, PLANTA_BASE!A:R, 8, FALSE), "DOCENTE / FACILITADOR"))</f>
        <v/>
      </c>
      <c r="G687" s="7">
        <f>IF(B687="","",IFERROR(VLOOKUP(B687, PLANTA_BASE!A:R, 9, FALSE), "GENERAL"))</f>
        <v/>
      </c>
      <c r="H687" s="5">
        <f>IF(B687="","",IFERROR(VLOOKUP(B687, PLANTA_BASE!A:R, 17, FALSE), "GENERAL"))</f>
        <v/>
      </c>
    </row>
    <row r="688" ht="20" customHeight="1">
      <c r="A688" s="2">
        <f>IF(B688="","",IFERROR(VLOOKUP(B688, PLANTA_BASE!A:R, 2, FALSE), "NO ENCONTRADO EN PLANTA"))</f>
        <v/>
      </c>
      <c r="B688" s="3" t="inlineStr"/>
      <c r="C688" s="4">
        <f>IF(B688="","",IFERROR(VLOOKUP(B688, PLANTA_BASE!A:R, 3, FALSE), ""))</f>
        <v/>
      </c>
      <c r="D688" s="2">
        <f>IF(B688="","",IFERROR(VLOOKUP(B688, PLANTA_BASE!A:R, 5, FALSE), "NO ENCONTRADO EN PLANTA"))</f>
        <v/>
      </c>
      <c r="E688" s="2">
        <f>IF(B688="","",IFERROR(VLOOKUP(B688, PLANTA_BASE!A:R, 6, FALSE), "NO ENCONTRADO EN PLANTA"))</f>
        <v/>
      </c>
      <c r="F688" s="4">
        <f>IF(B688="","",IFERROR(VLOOKUP(B688, PLANTA_BASE!A:R, 8, FALSE), "DOCENTE / FACILITADOR"))</f>
        <v/>
      </c>
      <c r="G688" s="4">
        <f>IF(B688="","",IFERROR(VLOOKUP(B688, PLANTA_BASE!A:R, 9, FALSE), "GENERAL"))</f>
        <v/>
      </c>
      <c r="H688" s="2">
        <f>IF(B688="","",IFERROR(VLOOKUP(B688, PLANTA_BASE!A:R, 17, FALSE), "GENERAL"))</f>
        <v/>
      </c>
    </row>
    <row r="689" ht="20" customHeight="1">
      <c r="A689" s="5">
        <f>IF(B689="","",IFERROR(VLOOKUP(B689, PLANTA_BASE!A:R, 2, FALSE), "NO ENCONTRADO EN PLANTA"))</f>
        <v/>
      </c>
      <c r="B689" s="6" t="inlineStr"/>
      <c r="C689" s="7">
        <f>IF(B689="","",IFERROR(VLOOKUP(B689, PLANTA_BASE!A:R, 3, FALSE), ""))</f>
        <v/>
      </c>
      <c r="D689" s="5">
        <f>IF(B689="","",IFERROR(VLOOKUP(B689, PLANTA_BASE!A:R, 5, FALSE), "NO ENCONTRADO EN PLANTA"))</f>
        <v/>
      </c>
      <c r="E689" s="5">
        <f>IF(B689="","",IFERROR(VLOOKUP(B689, PLANTA_BASE!A:R, 6, FALSE), "NO ENCONTRADO EN PLANTA"))</f>
        <v/>
      </c>
      <c r="F689" s="7">
        <f>IF(B689="","",IFERROR(VLOOKUP(B689, PLANTA_BASE!A:R, 8, FALSE), "DOCENTE / FACILITADOR"))</f>
        <v/>
      </c>
      <c r="G689" s="7">
        <f>IF(B689="","",IFERROR(VLOOKUP(B689, PLANTA_BASE!A:R, 9, FALSE), "GENERAL"))</f>
        <v/>
      </c>
      <c r="H689" s="5">
        <f>IF(B689="","",IFERROR(VLOOKUP(B689, PLANTA_BASE!A:R, 17, FALSE), "GENERAL"))</f>
        <v/>
      </c>
    </row>
    <row r="690" ht="20" customHeight="1">
      <c r="A690" s="2">
        <f>IF(B690="","",IFERROR(VLOOKUP(B690, PLANTA_BASE!A:R, 2, FALSE), "NO ENCONTRADO EN PLANTA"))</f>
        <v/>
      </c>
      <c r="B690" s="3" t="inlineStr"/>
      <c r="C690" s="4">
        <f>IF(B690="","",IFERROR(VLOOKUP(B690, PLANTA_BASE!A:R, 3, FALSE), ""))</f>
        <v/>
      </c>
      <c r="D690" s="2">
        <f>IF(B690="","",IFERROR(VLOOKUP(B690, PLANTA_BASE!A:R, 5, FALSE), "NO ENCONTRADO EN PLANTA"))</f>
        <v/>
      </c>
      <c r="E690" s="2">
        <f>IF(B690="","",IFERROR(VLOOKUP(B690, PLANTA_BASE!A:R, 6, FALSE), "NO ENCONTRADO EN PLANTA"))</f>
        <v/>
      </c>
      <c r="F690" s="4">
        <f>IF(B690="","",IFERROR(VLOOKUP(B690, PLANTA_BASE!A:R, 8, FALSE), "DOCENTE / FACILITADOR"))</f>
        <v/>
      </c>
      <c r="G690" s="4">
        <f>IF(B690="","",IFERROR(VLOOKUP(B690, PLANTA_BASE!A:R, 9, FALSE), "GENERAL"))</f>
        <v/>
      </c>
      <c r="H690" s="2">
        <f>IF(B690="","",IFERROR(VLOOKUP(B690, PLANTA_BASE!A:R, 17, FALSE), "GENERAL"))</f>
        <v/>
      </c>
    </row>
    <row r="691" ht="20" customHeight="1">
      <c r="A691" s="5">
        <f>IF(B691="","",IFERROR(VLOOKUP(B691, PLANTA_BASE!A:R, 2, FALSE), "NO ENCONTRADO EN PLANTA"))</f>
        <v/>
      </c>
      <c r="B691" s="6" t="inlineStr"/>
      <c r="C691" s="7">
        <f>IF(B691="","",IFERROR(VLOOKUP(B691, PLANTA_BASE!A:R, 3, FALSE), ""))</f>
        <v/>
      </c>
      <c r="D691" s="5">
        <f>IF(B691="","",IFERROR(VLOOKUP(B691, PLANTA_BASE!A:R, 5, FALSE), "NO ENCONTRADO EN PLANTA"))</f>
        <v/>
      </c>
      <c r="E691" s="5">
        <f>IF(B691="","",IFERROR(VLOOKUP(B691, PLANTA_BASE!A:R, 6, FALSE), "NO ENCONTRADO EN PLANTA"))</f>
        <v/>
      </c>
      <c r="F691" s="7">
        <f>IF(B691="","",IFERROR(VLOOKUP(B691, PLANTA_BASE!A:R, 8, FALSE), "DOCENTE / FACILITADOR"))</f>
        <v/>
      </c>
      <c r="G691" s="7">
        <f>IF(B691="","",IFERROR(VLOOKUP(B691, PLANTA_BASE!A:R, 9, FALSE), "GENERAL"))</f>
        <v/>
      </c>
      <c r="H691" s="5">
        <f>IF(B691="","",IFERROR(VLOOKUP(B691, PLANTA_BASE!A:R, 17, FALSE), "GENERAL"))</f>
        <v/>
      </c>
    </row>
    <row r="692" ht="20" customHeight="1">
      <c r="A692" s="2">
        <f>IF(B692="","",IFERROR(VLOOKUP(B692, PLANTA_BASE!A:R, 2, FALSE), "NO ENCONTRADO EN PLANTA"))</f>
        <v/>
      </c>
      <c r="B692" s="3" t="inlineStr"/>
      <c r="C692" s="4">
        <f>IF(B692="","",IFERROR(VLOOKUP(B692, PLANTA_BASE!A:R, 3, FALSE), ""))</f>
        <v/>
      </c>
      <c r="D692" s="2">
        <f>IF(B692="","",IFERROR(VLOOKUP(B692, PLANTA_BASE!A:R, 5, FALSE), "NO ENCONTRADO EN PLANTA"))</f>
        <v/>
      </c>
      <c r="E692" s="2">
        <f>IF(B692="","",IFERROR(VLOOKUP(B692, PLANTA_BASE!A:R, 6, FALSE), "NO ENCONTRADO EN PLANTA"))</f>
        <v/>
      </c>
      <c r="F692" s="4">
        <f>IF(B692="","",IFERROR(VLOOKUP(B692, PLANTA_BASE!A:R, 8, FALSE), "DOCENTE / FACILITADOR"))</f>
        <v/>
      </c>
      <c r="G692" s="4">
        <f>IF(B692="","",IFERROR(VLOOKUP(B692, PLANTA_BASE!A:R, 9, FALSE), "GENERAL"))</f>
        <v/>
      </c>
      <c r="H692" s="2">
        <f>IF(B692="","",IFERROR(VLOOKUP(B692, PLANTA_BASE!A:R, 17, FALSE), "GENERAL"))</f>
        <v/>
      </c>
    </row>
    <row r="693" ht="20" customHeight="1">
      <c r="A693" s="5">
        <f>IF(B693="","",IFERROR(VLOOKUP(B693, PLANTA_BASE!A:R, 2, FALSE), "NO ENCONTRADO EN PLANTA"))</f>
        <v/>
      </c>
      <c r="B693" s="6" t="inlineStr"/>
      <c r="C693" s="7">
        <f>IF(B693="","",IFERROR(VLOOKUP(B693, PLANTA_BASE!A:R, 3, FALSE), ""))</f>
        <v/>
      </c>
      <c r="D693" s="5">
        <f>IF(B693="","",IFERROR(VLOOKUP(B693, PLANTA_BASE!A:R, 5, FALSE), "NO ENCONTRADO EN PLANTA"))</f>
        <v/>
      </c>
      <c r="E693" s="5">
        <f>IF(B693="","",IFERROR(VLOOKUP(B693, PLANTA_BASE!A:R, 6, FALSE), "NO ENCONTRADO EN PLANTA"))</f>
        <v/>
      </c>
      <c r="F693" s="7">
        <f>IF(B693="","",IFERROR(VLOOKUP(B693, PLANTA_BASE!A:R, 8, FALSE), "DOCENTE / FACILITADOR"))</f>
        <v/>
      </c>
      <c r="G693" s="7">
        <f>IF(B693="","",IFERROR(VLOOKUP(B693, PLANTA_BASE!A:R, 9, FALSE), "GENERAL"))</f>
        <v/>
      </c>
      <c r="H693" s="5">
        <f>IF(B693="","",IFERROR(VLOOKUP(B693, PLANTA_BASE!A:R, 17, FALSE), "GENERAL"))</f>
        <v/>
      </c>
    </row>
    <row r="694" ht="20" customHeight="1">
      <c r="A694" s="2">
        <f>IF(B694="","",IFERROR(VLOOKUP(B694, PLANTA_BASE!A:R, 2, FALSE), "NO ENCONTRADO EN PLANTA"))</f>
        <v/>
      </c>
      <c r="B694" s="3" t="inlineStr"/>
      <c r="C694" s="4">
        <f>IF(B694="","",IFERROR(VLOOKUP(B694, PLANTA_BASE!A:R, 3, FALSE), ""))</f>
        <v/>
      </c>
      <c r="D694" s="2">
        <f>IF(B694="","",IFERROR(VLOOKUP(B694, PLANTA_BASE!A:R, 5, FALSE), "NO ENCONTRADO EN PLANTA"))</f>
        <v/>
      </c>
      <c r="E694" s="2">
        <f>IF(B694="","",IFERROR(VLOOKUP(B694, PLANTA_BASE!A:R, 6, FALSE), "NO ENCONTRADO EN PLANTA"))</f>
        <v/>
      </c>
      <c r="F694" s="4">
        <f>IF(B694="","",IFERROR(VLOOKUP(B694, PLANTA_BASE!A:R, 8, FALSE), "DOCENTE / FACILITADOR"))</f>
        <v/>
      </c>
      <c r="G694" s="4">
        <f>IF(B694="","",IFERROR(VLOOKUP(B694, PLANTA_BASE!A:R, 9, FALSE), "GENERAL"))</f>
        <v/>
      </c>
      <c r="H694" s="2">
        <f>IF(B694="","",IFERROR(VLOOKUP(B694, PLANTA_BASE!A:R, 17, FALSE), "GENERAL"))</f>
        <v/>
      </c>
    </row>
    <row r="695" ht="20" customHeight="1">
      <c r="A695" s="5">
        <f>IF(B695="","",IFERROR(VLOOKUP(B695, PLANTA_BASE!A:R, 2, FALSE), "NO ENCONTRADO EN PLANTA"))</f>
        <v/>
      </c>
      <c r="B695" s="6" t="inlineStr"/>
      <c r="C695" s="7">
        <f>IF(B695="","",IFERROR(VLOOKUP(B695, PLANTA_BASE!A:R, 3, FALSE), ""))</f>
        <v/>
      </c>
      <c r="D695" s="5">
        <f>IF(B695="","",IFERROR(VLOOKUP(B695, PLANTA_BASE!A:R, 5, FALSE), "NO ENCONTRADO EN PLANTA"))</f>
        <v/>
      </c>
      <c r="E695" s="5">
        <f>IF(B695="","",IFERROR(VLOOKUP(B695, PLANTA_BASE!A:R, 6, FALSE), "NO ENCONTRADO EN PLANTA"))</f>
        <v/>
      </c>
      <c r="F695" s="7">
        <f>IF(B695="","",IFERROR(VLOOKUP(B695, PLANTA_BASE!A:R, 8, FALSE), "DOCENTE / FACILITADOR"))</f>
        <v/>
      </c>
      <c r="G695" s="7">
        <f>IF(B695="","",IFERROR(VLOOKUP(B695, PLANTA_BASE!A:R, 9, FALSE), "GENERAL"))</f>
        <v/>
      </c>
      <c r="H695" s="5">
        <f>IF(B695="","",IFERROR(VLOOKUP(B695, PLANTA_BASE!A:R, 17, FALSE), "GENERAL"))</f>
        <v/>
      </c>
    </row>
    <row r="696" ht="20" customHeight="1">
      <c r="A696" s="2">
        <f>IF(B696="","",IFERROR(VLOOKUP(B696, PLANTA_BASE!A:R, 2, FALSE), "NO ENCONTRADO EN PLANTA"))</f>
        <v/>
      </c>
      <c r="B696" s="3" t="inlineStr"/>
      <c r="C696" s="4">
        <f>IF(B696="","",IFERROR(VLOOKUP(B696, PLANTA_BASE!A:R, 3, FALSE), ""))</f>
        <v/>
      </c>
      <c r="D696" s="2">
        <f>IF(B696="","",IFERROR(VLOOKUP(B696, PLANTA_BASE!A:R, 5, FALSE), "NO ENCONTRADO EN PLANTA"))</f>
        <v/>
      </c>
      <c r="E696" s="2">
        <f>IF(B696="","",IFERROR(VLOOKUP(B696, PLANTA_BASE!A:R, 6, FALSE), "NO ENCONTRADO EN PLANTA"))</f>
        <v/>
      </c>
      <c r="F696" s="4">
        <f>IF(B696="","",IFERROR(VLOOKUP(B696, PLANTA_BASE!A:R, 8, FALSE), "DOCENTE / FACILITADOR"))</f>
        <v/>
      </c>
      <c r="G696" s="4">
        <f>IF(B696="","",IFERROR(VLOOKUP(B696, PLANTA_BASE!A:R, 9, FALSE), "GENERAL"))</f>
        <v/>
      </c>
      <c r="H696" s="2">
        <f>IF(B696="","",IFERROR(VLOOKUP(B696, PLANTA_BASE!A:R, 17, FALSE), "GENERAL"))</f>
        <v/>
      </c>
    </row>
    <row r="697" ht="20" customHeight="1">
      <c r="A697" s="5">
        <f>IF(B697="","",IFERROR(VLOOKUP(B697, PLANTA_BASE!A:R, 2, FALSE), "NO ENCONTRADO EN PLANTA"))</f>
        <v/>
      </c>
      <c r="B697" s="6" t="inlineStr"/>
      <c r="C697" s="7">
        <f>IF(B697="","",IFERROR(VLOOKUP(B697, PLANTA_BASE!A:R, 3, FALSE), ""))</f>
        <v/>
      </c>
      <c r="D697" s="5">
        <f>IF(B697="","",IFERROR(VLOOKUP(B697, PLANTA_BASE!A:R, 5, FALSE), "NO ENCONTRADO EN PLANTA"))</f>
        <v/>
      </c>
      <c r="E697" s="5">
        <f>IF(B697="","",IFERROR(VLOOKUP(B697, PLANTA_BASE!A:R, 6, FALSE), "NO ENCONTRADO EN PLANTA"))</f>
        <v/>
      </c>
      <c r="F697" s="7">
        <f>IF(B697="","",IFERROR(VLOOKUP(B697, PLANTA_BASE!A:R, 8, FALSE), "DOCENTE / FACILITADOR"))</f>
        <v/>
      </c>
      <c r="G697" s="7">
        <f>IF(B697="","",IFERROR(VLOOKUP(B697, PLANTA_BASE!A:R, 9, FALSE), "GENERAL"))</f>
        <v/>
      </c>
      <c r="H697" s="5">
        <f>IF(B697="","",IFERROR(VLOOKUP(B697, PLANTA_BASE!A:R, 17, FALSE), "GENERAL"))</f>
        <v/>
      </c>
    </row>
    <row r="698" ht="20" customHeight="1">
      <c r="A698" s="2">
        <f>IF(B698="","",IFERROR(VLOOKUP(B698, PLANTA_BASE!A:R, 2, FALSE), "NO ENCONTRADO EN PLANTA"))</f>
        <v/>
      </c>
      <c r="B698" s="3" t="inlineStr"/>
      <c r="C698" s="4">
        <f>IF(B698="","",IFERROR(VLOOKUP(B698, PLANTA_BASE!A:R, 3, FALSE), ""))</f>
        <v/>
      </c>
      <c r="D698" s="2">
        <f>IF(B698="","",IFERROR(VLOOKUP(B698, PLANTA_BASE!A:R, 5, FALSE), "NO ENCONTRADO EN PLANTA"))</f>
        <v/>
      </c>
      <c r="E698" s="2">
        <f>IF(B698="","",IFERROR(VLOOKUP(B698, PLANTA_BASE!A:R, 6, FALSE), "NO ENCONTRADO EN PLANTA"))</f>
        <v/>
      </c>
      <c r="F698" s="4">
        <f>IF(B698="","",IFERROR(VLOOKUP(B698, PLANTA_BASE!A:R, 8, FALSE), "DOCENTE / FACILITADOR"))</f>
        <v/>
      </c>
      <c r="G698" s="4">
        <f>IF(B698="","",IFERROR(VLOOKUP(B698, PLANTA_BASE!A:R, 9, FALSE), "GENERAL"))</f>
        <v/>
      </c>
      <c r="H698" s="2">
        <f>IF(B698="","",IFERROR(VLOOKUP(B698, PLANTA_BASE!A:R, 17, FALSE), "GENERAL"))</f>
        <v/>
      </c>
    </row>
    <row r="699" ht="20" customHeight="1">
      <c r="A699" s="5">
        <f>IF(B699="","",IFERROR(VLOOKUP(B699, PLANTA_BASE!A:R, 2, FALSE), "NO ENCONTRADO EN PLANTA"))</f>
        <v/>
      </c>
      <c r="B699" s="6" t="inlineStr"/>
      <c r="C699" s="7">
        <f>IF(B699="","",IFERROR(VLOOKUP(B699, PLANTA_BASE!A:R, 3, FALSE), ""))</f>
        <v/>
      </c>
      <c r="D699" s="5">
        <f>IF(B699="","",IFERROR(VLOOKUP(B699, PLANTA_BASE!A:R, 5, FALSE), "NO ENCONTRADO EN PLANTA"))</f>
        <v/>
      </c>
      <c r="E699" s="5">
        <f>IF(B699="","",IFERROR(VLOOKUP(B699, PLANTA_BASE!A:R, 6, FALSE), "NO ENCONTRADO EN PLANTA"))</f>
        <v/>
      </c>
      <c r="F699" s="7">
        <f>IF(B699="","",IFERROR(VLOOKUP(B699, PLANTA_BASE!A:R, 8, FALSE), "DOCENTE / FACILITADOR"))</f>
        <v/>
      </c>
      <c r="G699" s="7">
        <f>IF(B699="","",IFERROR(VLOOKUP(B699, PLANTA_BASE!A:R, 9, FALSE), "GENERAL"))</f>
        <v/>
      </c>
      <c r="H699" s="5">
        <f>IF(B699="","",IFERROR(VLOOKUP(B699, PLANTA_BASE!A:R, 17, FALSE), "GENERAL"))</f>
        <v/>
      </c>
    </row>
    <row r="700" ht="20" customHeight="1">
      <c r="A700" s="2">
        <f>IF(B700="","",IFERROR(VLOOKUP(B700, PLANTA_BASE!A:R, 2, FALSE), "NO ENCONTRADO EN PLANTA"))</f>
        <v/>
      </c>
      <c r="B700" s="3" t="inlineStr"/>
      <c r="C700" s="4">
        <f>IF(B700="","",IFERROR(VLOOKUP(B700, PLANTA_BASE!A:R, 3, FALSE), ""))</f>
        <v/>
      </c>
      <c r="D700" s="2">
        <f>IF(B700="","",IFERROR(VLOOKUP(B700, PLANTA_BASE!A:R, 5, FALSE), "NO ENCONTRADO EN PLANTA"))</f>
        <v/>
      </c>
      <c r="E700" s="2">
        <f>IF(B700="","",IFERROR(VLOOKUP(B700, PLANTA_BASE!A:R, 6, FALSE), "NO ENCONTRADO EN PLANTA"))</f>
        <v/>
      </c>
      <c r="F700" s="4">
        <f>IF(B700="","",IFERROR(VLOOKUP(B700, PLANTA_BASE!A:R, 8, FALSE), "DOCENTE / FACILITADOR"))</f>
        <v/>
      </c>
      <c r="G700" s="4">
        <f>IF(B700="","",IFERROR(VLOOKUP(B700, PLANTA_BASE!A:R, 9, FALSE), "GENERAL"))</f>
        <v/>
      </c>
      <c r="H700" s="2">
        <f>IF(B700="","",IFERROR(VLOOKUP(B700, PLANTA_BASE!A:R, 17, FALSE), "GENERAL"))</f>
        <v/>
      </c>
    </row>
    <row r="701" ht="20" customHeight="1">
      <c r="A701" s="5">
        <f>IF(B701="","",IFERROR(VLOOKUP(B701, PLANTA_BASE!A:R, 2, FALSE), "NO ENCONTRADO EN PLANTA"))</f>
        <v/>
      </c>
      <c r="B701" s="6" t="inlineStr"/>
      <c r="C701" s="7">
        <f>IF(B701="","",IFERROR(VLOOKUP(B701, PLANTA_BASE!A:R, 3, FALSE), ""))</f>
        <v/>
      </c>
      <c r="D701" s="5">
        <f>IF(B701="","",IFERROR(VLOOKUP(B701, PLANTA_BASE!A:R, 5, FALSE), "NO ENCONTRADO EN PLANTA"))</f>
        <v/>
      </c>
      <c r="E701" s="5">
        <f>IF(B701="","",IFERROR(VLOOKUP(B701, PLANTA_BASE!A:R, 6, FALSE), "NO ENCONTRADO EN PLANTA"))</f>
        <v/>
      </c>
      <c r="F701" s="7">
        <f>IF(B701="","",IFERROR(VLOOKUP(B701, PLANTA_BASE!A:R, 8, FALSE), "DOCENTE / FACILITADOR"))</f>
        <v/>
      </c>
      <c r="G701" s="7">
        <f>IF(B701="","",IFERROR(VLOOKUP(B701, PLANTA_BASE!A:R, 9, FALSE), "GENERAL"))</f>
        <v/>
      </c>
      <c r="H701" s="5">
        <f>IF(B701="","",IFERROR(VLOOKUP(B701, PLANTA_BASE!A:R, 17, FALSE), "GENERAL"))</f>
        <v/>
      </c>
    </row>
    <row r="702" ht="20" customHeight="1">
      <c r="A702" s="2">
        <f>IF(B702="","",IFERROR(VLOOKUP(B702, PLANTA_BASE!A:R, 2, FALSE), "NO ENCONTRADO EN PLANTA"))</f>
        <v/>
      </c>
      <c r="B702" s="3" t="inlineStr"/>
      <c r="C702" s="4">
        <f>IF(B702="","",IFERROR(VLOOKUP(B702, PLANTA_BASE!A:R, 3, FALSE), ""))</f>
        <v/>
      </c>
      <c r="D702" s="2">
        <f>IF(B702="","",IFERROR(VLOOKUP(B702, PLANTA_BASE!A:R, 5, FALSE), "NO ENCONTRADO EN PLANTA"))</f>
        <v/>
      </c>
      <c r="E702" s="2">
        <f>IF(B702="","",IFERROR(VLOOKUP(B702, PLANTA_BASE!A:R, 6, FALSE), "NO ENCONTRADO EN PLANTA"))</f>
        <v/>
      </c>
      <c r="F702" s="4">
        <f>IF(B702="","",IFERROR(VLOOKUP(B702, PLANTA_BASE!A:R, 8, FALSE), "DOCENTE / FACILITADOR"))</f>
        <v/>
      </c>
      <c r="G702" s="4">
        <f>IF(B702="","",IFERROR(VLOOKUP(B702, PLANTA_BASE!A:R, 9, FALSE), "GENERAL"))</f>
        <v/>
      </c>
      <c r="H702" s="2">
        <f>IF(B702="","",IFERROR(VLOOKUP(B702, PLANTA_BASE!A:R, 17, FALSE), "GENERAL"))</f>
        <v/>
      </c>
    </row>
    <row r="703" ht="20" customHeight="1">
      <c r="A703" s="5">
        <f>IF(B703="","",IFERROR(VLOOKUP(B703, PLANTA_BASE!A:R, 2, FALSE), "NO ENCONTRADO EN PLANTA"))</f>
        <v/>
      </c>
      <c r="B703" s="6" t="inlineStr"/>
      <c r="C703" s="7">
        <f>IF(B703="","",IFERROR(VLOOKUP(B703, PLANTA_BASE!A:R, 3, FALSE), ""))</f>
        <v/>
      </c>
      <c r="D703" s="5">
        <f>IF(B703="","",IFERROR(VLOOKUP(B703, PLANTA_BASE!A:R, 5, FALSE), "NO ENCONTRADO EN PLANTA"))</f>
        <v/>
      </c>
      <c r="E703" s="5">
        <f>IF(B703="","",IFERROR(VLOOKUP(B703, PLANTA_BASE!A:R, 6, FALSE), "NO ENCONTRADO EN PLANTA"))</f>
        <v/>
      </c>
      <c r="F703" s="7">
        <f>IF(B703="","",IFERROR(VLOOKUP(B703, PLANTA_BASE!A:R, 8, FALSE), "DOCENTE / FACILITADOR"))</f>
        <v/>
      </c>
      <c r="G703" s="7">
        <f>IF(B703="","",IFERROR(VLOOKUP(B703, PLANTA_BASE!A:R, 9, FALSE), "GENERAL"))</f>
        <v/>
      </c>
      <c r="H703" s="5">
        <f>IF(B703="","",IFERROR(VLOOKUP(B703, PLANTA_BASE!A:R, 17, FALSE), "GENERAL"))</f>
        <v/>
      </c>
    </row>
    <row r="704" ht="20" customHeight="1">
      <c r="A704" s="2">
        <f>IF(B704="","",IFERROR(VLOOKUP(B704, PLANTA_BASE!A:R, 2, FALSE), "NO ENCONTRADO EN PLANTA"))</f>
        <v/>
      </c>
      <c r="B704" s="3" t="inlineStr"/>
      <c r="C704" s="4">
        <f>IF(B704="","",IFERROR(VLOOKUP(B704, PLANTA_BASE!A:R, 3, FALSE), ""))</f>
        <v/>
      </c>
      <c r="D704" s="2">
        <f>IF(B704="","",IFERROR(VLOOKUP(B704, PLANTA_BASE!A:R, 5, FALSE), "NO ENCONTRADO EN PLANTA"))</f>
        <v/>
      </c>
      <c r="E704" s="2">
        <f>IF(B704="","",IFERROR(VLOOKUP(B704, PLANTA_BASE!A:R, 6, FALSE), "NO ENCONTRADO EN PLANTA"))</f>
        <v/>
      </c>
      <c r="F704" s="4">
        <f>IF(B704="","",IFERROR(VLOOKUP(B704, PLANTA_BASE!A:R, 8, FALSE), "DOCENTE / FACILITADOR"))</f>
        <v/>
      </c>
      <c r="G704" s="4">
        <f>IF(B704="","",IFERROR(VLOOKUP(B704, PLANTA_BASE!A:R, 9, FALSE), "GENERAL"))</f>
        <v/>
      </c>
      <c r="H704" s="2">
        <f>IF(B704="","",IFERROR(VLOOKUP(B704, PLANTA_BASE!A:R, 17, FALSE), "GENERAL"))</f>
        <v/>
      </c>
    </row>
    <row r="705" ht="20" customHeight="1">
      <c r="A705" s="5">
        <f>IF(B705="","",IFERROR(VLOOKUP(B705, PLANTA_BASE!A:R, 2, FALSE), "NO ENCONTRADO EN PLANTA"))</f>
        <v/>
      </c>
      <c r="B705" s="6" t="inlineStr"/>
      <c r="C705" s="7">
        <f>IF(B705="","",IFERROR(VLOOKUP(B705, PLANTA_BASE!A:R, 3, FALSE), ""))</f>
        <v/>
      </c>
      <c r="D705" s="5">
        <f>IF(B705="","",IFERROR(VLOOKUP(B705, PLANTA_BASE!A:R, 5, FALSE), "NO ENCONTRADO EN PLANTA"))</f>
        <v/>
      </c>
      <c r="E705" s="5">
        <f>IF(B705="","",IFERROR(VLOOKUP(B705, PLANTA_BASE!A:R, 6, FALSE), "NO ENCONTRADO EN PLANTA"))</f>
        <v/>
      </c>
      <c r="F705" s="7">
        <f>IF(B705="","",IFERROR(VLOOKUP(B705, PLANTA_BASE!A:R, 8, FALSE), "DOCENTE / FACILITADOR"))</f>
        <v/>
      </c>
      <c r="G705" s="7">
        <f>IF(B705="","",IFERROR(VLOOKUP(B705, PLANTA_BASE!A:R, 9, FALSE), "GENERAL"))</f>
        <v/>
      </c>
      <c r="H705" s="5">
        <f>IF(B705="","",IFERROR(VLOOKUP(B705, PLANTA_BASE!A:R, 17, FALSE), "GENERAL"))</f>
        <v/>
      </c>
    </row>
    <row r="706" ht="20" customHeight="1">
      <c r="A706" s="2">
        <f>IF(B706="","",IFERROR(VLOOKUP(B706, PLANTA_BASE!A:R, 2, FALSE), "NO ENCONTRADO EN PLANTA"))</f>
        <v/>
      </c>
      <c r="B706" s="3" t="inlineStr"/>
      <c r="C706" s="4">
        <f>IF(B706="","",IFERROR(VLOOKUP(B706, PLANTA_BASE!A:R, 3, FALSE), ""))</f>
        <v/>
      </c>
      <c r="D706" s="2">
        <f>IF(B706="","",IFERROR(VLOOKUP(B706, PLANTA_BASE!A:R, 5, FALSE), "NO ENCONTRADO EN PLANTA"))</f>
        <v/>
      </c>
      <c r="E706" s="2">
        <f>IF(B706="","",IFERROR(VLOOKUP(B706, PLANTA_BASE!A:R, 6, FALSE), "NO ENCONTRADO EN PLANTA"))</f>
        <v/>
      </c>
      <c r="F706" s="4">
        <f>IF(B706="","",IFERROR(VLOOKUP(B706, PLANTA_BASE!A:R, 8, FALSE), "DOCENTE / FACILITADOR"))</f>
        <v/>
      </c>
      <c r="G706" s="4">
        <f>IF(B706="","",IFERROR(VLOOKUP(B706, PLANTA_BASE!A:R, 9, FALSE), "GENERAL"))</f>
        <v/>
      </c>
      <c r="H706" s="2">
        <f>IF(B706="","",IFERROR(VLOOKUP(B706, PLANTA_BASE!A:R, 17, FALSE), "GENERAL"))</f>
        <v/>
      </c>
    </row>
    <row r="707" ht="20" customHeight="1">
      <c r="A707" s="5">
        <f>IF(B707="","",IFERROR(VLOOKUP(B707, PLANTA_BASE!A:R, 2, FALSE), "NO ENCONTRADO EN PLANTA"))</f>
        <v/>
      </c>
      <c r="B707" s="6" t="inlineStr"/>
      <c r="C707" s="7">
        <f>IF(B707="","",IFERROR(VLOOKUP(B707, PLANTA_BASE!A:R, 3, FALSE), ""))</f>
        <v/>
      </c>
      <c r="D707" s="5">
        <f>IF(B707="","",IFERROR(VLOOKUP(B707, PLANTA_BASE!A:R, 5, FALSE), "NO ENCONTRADO EN PLANTA"))</f>
        <v/>
      </c>
      <c r="E707" s="5">
        <f>IF(B707="","",IFERROR(VLOOKUP(B707, PLANTA_BASE!A:R, 6, FALSE), "NO ENCONTRADO EN PLANTA"))</f>
        <v/>
      </c>
      <c r="F707" s="7">
        <f>IF(B707="","",IFERROR(VLOOKUP(B707, PLANTA_BASE!A:R, 8, FALSE), "DOCENTE / FACILITADOR"))</f>
        <v/>
      </c>
      <c r="G707" s="7">
        <f>IF(B707="","",IFERROR(VLOOKUP(B707, PLANTA_BASE!A:R, 9, FALSE), "GENERAL"))</f>
        <v/>
      </c>
      <c r="H707" s="5">
        <f>IF(B707="","",IFERROR(VLOOKUP(B707, PLANTA_BASE!A:R, 17, FALSE), "GENERAL"))</f>
        <v/>
      </c>
    </row>
    <row r="708" ht="20" customHeight="1">
      <c r="A708" s="2">
        <f>IF(B708="","",IFERROR(VLOOKUP(B708, PLANTA_BASE!A:R, 2, FALSE), "NO ENCONTRADO EN PLANTA"))</f>
        <v/>
      </c>
      <c r="B708" s="3" t="inlineStr"/>
      <c r="C708" s="4">
        <f>IF(B708="","",IFERROR(VLOOKUP(B708, PLANTA_BASE!A:R, 3, FALSE), ""))</f>
        <v/>
      </c>
      <c r="D708" s="2">
        <f>IF(B708="","",IFERROR(VLOOKUP(B708, PLANTA_BASE!A:R, 5, FALSE), "NO ENCONTRADO EN PLANTA"))</f>
        <v/>
      </c>
      <c r="E708" s="2">
        <f>IF(B708="","",IFERROR(VLOOKUP(B708, PLANTA_BASE!A:R, 6, FALSE), "NO ENCONTRADO EN PLANTA"))</f>
        <v/>
      </c>
      <c r="F708" s="4">
        <f>IF(B708="","",IFERROR(VLOOKUP(B708, PLANTA_BASE!A:R, 8, FALSE), "DOCENTE / FACILITADOR"))</f>
        <v/>
      </c>
      <c r="G708" s="4">
        <f>IF(B708="","",IFERROR(VLOOKUP(B708, PLANTA_BASE!A:R, 9, FALSE), "GENERAL"))</f>
        <v/>
      </c>
      <c r="H708" s="2">
        <f>IF(B708="","",IFERROR(VLOOKUP(B708, PLANTA_BASE!A:R, 17, FALSE), "GENERAL"))</f>
        <v/>
      </c>
    </row>
    <row r="709" ht="20" customHeight="1">
      <c r="A709" s="5">
        <f>IF(B709="","",IFERROR(VLOOKUP(B709, PLANTA_BASE!A:R, 2, FALSE), "NO ENCONTRADO EN PLANTA"))</f>
        <v/>
      </c>
      <c r="B709" s="6" t="inlineStr"/>
      <c r="C709" s="7">
        <f>IF(B709="","",IFERROR(VLOOKUP(B709, PLANTA_BASE!A:R, 3, FALSE), ""))</f>
        <v/>
      </c>
      <c r="D709" s="5">
        <f>IF(B709="","",IFERROR(VLOOKUP(B709, PLANTA_BASE!A:R, 5, FALSE), "NO ENCONTRADO EN PLANTA"))</f>
        <v/>
      </c>
      <c r="E709" s="5">
        <f>IF(B709="","",IFERROR(VLOOKUP(B709, PLANTA_BASE!A:R, 6, FALSE), "NO ENCONTRADO EN PLANTA"))</f>
        <v/>
      </c>
      <c r="F709" s="7">
        <f>IF(B709="","",IFERROR(VLOOKUP(B709, PLANTA_BASE!A:R, 8, FALSE), "DOCENTE / FACILITADOR"))</f>
        <v/>
      </c>
      <c r="G709" s="7">
        <f>IF(B709="","",IFERROR(VLOOKUP(B709, PLANTA_BASE!A:R, 9, FALSE), "GENERAL"))</f>
        <v/>
      </c>
      <c r="H709" s="5">
        <f>IF(B709="","",IFERROR(VLOOKUP(B709, PLANTA_BASE!A:R, 17, FALSE), "GENERAL"))</f>
        <v/>
      </c>
    </row>
    <row r="710" ht="20" customHeight="1">
      <c r="A710" s="2">
        <f>IF(B710="","",IFERROR(VLOOKUP(B710, PLANTA_BASE!A:R, 2, FALSE), "NO ENCONTRADO EN PLANTA"))</f>
        <v/>
      </c>
      <c r="B710" s="3" t="inlineStr"/>
      <c r="C710" s="4">
        <f>IF(B710="","",IFERROR(VLOOKUP(B710, PLANTA_BASE!A:R, 3, FALSE), ""))</f>
        <v/>
      </c>
      <c r="D710" s="2">
        <f>IF(B710="","",IFERROR(VLOOKUP(B710, PLANTA_BASE!A:R, 5, FALSE), "NO ENCONTRADO EN PLANTA"))</f>
        <v/>
      </c>
      <c r="E710" s="2">
        <f>IF(B710="","",IFERROR(VLOOKUP(B710, PLANTA_BASE!A:R, 6, FALSE), "NO ENCONTRADO EN PLANTA"))</f>
        <v/>
      </c>
      <c r="F710" s="4">
        <f>IF(B710="","",IFERROR(VLOOKUP(B710, PLANTA_BASE!A:R, 8, FALSE), "DOCENTE / FACILITADOR"))</f>
        <v/>
      </c>
      <c r="G710" s="4">
        <f>IF(B710="","",IFERROR(VLOOKUP(B710, PLANTA_BASE!A:R, 9, FALSE), "GENERAL"))</f>
        <v/>
      </c>
      <c r="H710" s="2">
        <f>IF(B710="","",IFERROR(VLOOKUP(B710, PLANTA_BASE!A:R, 17, FALSE), "GENERAL"))</f>
        <v/>
      </c>
    </row>
    <row r="711" ht="20" customHeight="1">
      <c r="A711" s="5">
        <f>IF(B711="","",IFERROR(VLOOKUP(B711, PLANTA_BASE!A:R, 2, FALSE), "NO ENCONTRADO EN PLANTA"))</f>
        <v/>
      </c>
      <c r="B711" s="6" t="inlineStr"/>
      <c r="C711" s="7">
        <f>IF(B711="","",IFERROR(VLOOKUP(B711, PLANTA_BASE!A:R, 3, FALSE), ""))</f>
        <v/>
      </c>
      <c r="D711" s="5">
        <f>IF(B711="","",IFERROR(VLOOKUP(B711, PLANTA_BASE!A:R, 5, FALSE), "NO ENCONTRADO EN PLANTA"))</f>
        <v/>
      </c>
      <c r="E711" s="5">
        <f>IF(B711="","",IFERROR(VLOOKUP(B711, PLANTA_BASE!A:R, 6, FALSE), "NO ENCONTRADO EN PLANTA"))</f>
        <v/>
      </c>
      <c r="F711" s="7">
        <f>IF(B711="","",IFERROR(VLOOKUP(B711, PLANTA_BASE!A:R, 8, FALSE), "DOCENTE / FACILITADOR"))</f>
        <v/>
      </c>
      <c r="G711" s="7">
        <f>IF(B711="","",IFERROR(VLOOKUP(B711, PLANTA_BASE!A:R, 9, FALSE), "GENERAL"))</f>
        <v/>
      </c>
      <c r="H711" s="5">
        <f>IF(B711="","",IFERROR(VLOOKUP(B711, PLANTA_BASE!A:R, 17, FALSE), "GENERAL"))</f>
        <v/>
      </c>
    </row>
    <row r="712" ht="20" customHeight="1">
      <c r="A712" s="2">
        <f>IF(B712="","",IFERROR(VLOOKUP(B712, PLANTA_BASE!A:R, 2, FALSE), "NO ENCONTRADO EN PLANTA"))</f>
        <v/>
      </c>
      <c r="B712" s="3" t="inlineStr"/>
      <c r="C712" s="4">
        <f>IF(B712="","",IFERROR(VLOOKUP(B712, PLANTA_BASE!A:R, 3, FALSE), ""))</f>
        <v/>
      </c>
      <c r="D712" s="2">
        <f>IF(B712="","",IFERROR(VLOOKUP(B712, PLANTA_BASE!A:R, 5, FALSE), "NO ENCONTRADO EN PLANTA"))</f>
        <v/>
      </c>
      <c r="E712" s="2">
        <f>IF(B712="","",IFERROR(VLOOKUP(B712, PLANTA_BASE!A:R, 6, FALSE), "NO ENCONTRADO EN PLANTA"))</f>
        <v/>
      </c>
      <c r="F712" s="4">
        <f>IF(B712="","",IFERROR(VLOOKUP(B712, PLANTA_BASE!A:R, 8, FALSE), "DOCENTE / FACILITADOR"))</f>
        <v/>
      </c>
      <c r="G712" s="4">
        <f>IF(B712="","",IFERROR(VLOOKUP(B712, PLANTA_BASE!A:R, 9, FALSE), "GENERAL"))</f>
        <v/>
      </c>
      <c r="H712" s="2">
        <f>IF(B712="","",IFERROR(VLOOKUP(B712, PLANTA_BASE!A:R, 17, FALSE), "GENERAL"))</f>
        <v/>
      </c>
    </row>
    <row r="713" ht="20" customHeight="1">
      <c r="A713" s="5">
        <f>IF(B713="","",IFERROR(VLOOKUP(B713, PLANTA_BASE!A:R, 2, FALSE), "NO ENCONTRADO EN PLANTA"))</f>
        <v/>
      </c>
      <c r="B713" s="6" t="inlineStr"/>
      <c r="C713" s="7">
        <f>IF(B713="","",IFERROR(VLOOKUP(B713, PLANTA_BASE!A:R, 3, FALSE), ""))</f>
        <v/>
      </c>
      <c r="D713" s="5">
        <f>IF(B713="","",IFERROR(VLOOKUP(B713, PLANTA_BASE!A:R, 5, FALSE), "NO ENCONTRADO EN PLANTA"))</f>
        <v/>
      </c>
      <c r="E713" s="5">
        <f>IF(B713="","",IFERROR(VLOOKUP(B713, PLANTA_BASE!A:R, 6, FALSE), "NO ENCONTRADO EN PLANTA"))</f>
        <v/>
      </c>
      <c r="F713" s="7">
        <f>IF(B713="","",IFERROR(VLOOKUP(B713, PLANTA_BASE!A:R, 8, FALSE), "DOCENTE / FACILITADOR"))</f>
        <v/>
      </c>
      <c r="G713" s="7">
        <f>IF(B713="","",IFERROR(VLOOKUP(B713, PLANTA_BASE!A:R, 9, FALSE), "GENERAL"))</f>
        <v/>
      </c>
      <c r="H713" s="5">
        <f>IF(B713="","",IFERROR(VLOOKUP(B713, PLANTA_BASE!A:R, 17, FALSE), "GENERAL"))</f>
        <v/>
      </c>
    </row>
    <row r="714" ht="20" customHeight="1">
      <c r="A714" s="2">
        <f>IF(B714="","",IFERROR(VLOOKUP(B714, PLANTA_BASE!A:R, 2, FALSE), "NO ENCONTRADO EN PLANTA"))</f>
        <v/>
      </c>
      <c r="B714" s="3" t="inlineStr"/>
      <c r="C714" s="4">
        <f>IF(B714="","",IFERROR(VLOOKUP(B714, PLANTA_BASE!A:R, 3, FALSE), ""))</f>
        <v/>
      </c>
      <c r="D714" s="2">
        <f>IF(B714="","",IFERROR(VLOOKUP(B714, PLANTA_BASE!A:R, 5, FALSE), "NO ENCONTRADO EN PLANTA"))</f>
        <v/>
      </c>
      <c r="E714" s="2">
        <f>IF(B714="","",IFERROR(VLOOKUP(B714, PLANTA_BASE!A:R, 6, FALSE), "NO ENCONTRADO EN PLANTA"))</f>
        <v/>
      </c>
      <c r="F714" s="4">
        <f>IF(B714="","",IFERROR(VLOOKUP(B714, PLANTA_BASE!A:R, 8, FALSE), "DOCENTE / FACILITADOR"))</f>
        <v/>
      </c>
      <c r="G714" s="4">
        <f>IF(B714="","",IFERROR(VLOOKUP(B714, PLANTA_BASE!A:R, 9, FALSE), "GENERAL"))</f>
        <v/>
      </c>
      <c r="H714" s="2">
        <f>IF(B714="","",IFERROR(VLOOKUP(B714, PLANTA_BASE!A:R, 17, FALSE), "GENERAL"))</f>
        <v/>
      </c>
    </row>
    <row r="715" ht="20" customHeight="1">
      <c r="A715" s="5">
        <f>IF(B715="","",IFERROR(VLOOKUP(B715, PLANTA_BASE!A:R, 2, FALSE), "NO ENCONTRADO EN PLANTA"))</f>
        <v/>
      </c>
      <c r="B715" s="6" t="inlineStr"/>
      <c r="C715" s="7">
        <f>IF(B715="","",IFERROR(VLOOKUP(B715, PLANTA_BASE!A:R, 3, FALSE), ""))</f>
        <v/>
      </c>
      <c r="D715" s="5">
        <f>IF(B715="","",IFERROR(VLOOKUP(B715, PLANTA_BASE!A:R, 5, FALSE), "NO ENCONTRADO EN PLANTA"))</f>
        <v/>
      </c>
      <c r="E715" s="5">
        <f>IF(B715="","",IFERROR(VLOOKUP(B715, PLANTA_BASE!A:R, 6, FALSE), "NO ENCONTRADO EN PLANTA"))</f>
        <v/>
      </c>
      <c r="F715" s="7">
        <f>IF(B715="","",IFERROR(VLOOKUP(B715, PLANTA_BASE!A:R, 8, FALSE), "DOCENTE / FACILITADOR"))</f>
        <v/>
      </c>
      <c r="G715" s="7">
        <f>IF(B715="","",IFERROR(VLOOKUP(B715, PLANTA_BASE!A:R, 9, FALSE), "GENERAL"))</f>
        <v/>
      </c>
      <c r="H715" s="5">
        <f>IF(B715="","",IFERROR(VLOOKUP(B715, PLANTA_BASE!A:R, 17, FALSE), "GENERAL"))</f>
        <v/>
      </c>
    </row>
    <row r="716" ht="20" customHeight="1">
      <c r="A716" s="2">
        <f>IF(B716="","",IFERROR(VLOOKUP(B716, PLANTA_BASE!A:R, 2, FALSE), "NO ENCONTRADO EN PLANTA"))</f>
        <v/>
      </c>
      <c r="B716" s="3" t="inlineStr"/>
      <c r="C716" s="4">
        <f>IF(B716="","",IFERROR(VLOOKUP(B716, PLANTA_BASE!A:R, 3, FALSE), ""))</f>
        <v/>
      </c>
      <c r="D716" s="2">
        <f>IF(B716="","",IFERROR(VLOOKUP(B716, PLANTA_BASE!A:R, 5, FALSE), "NO ENCONTRADO EN PLANTA"))</f>
        <v/>
      </c>
      <c r="E716" s="2">
        <f>IF(B716="","",IFERROR(VLOOKUP(B716, PLANTA_BASE!A:R, 6, FALSE), "NO ENCONTRADO EN PLANTA"))</f>
        <v/>
      </c>
      <c r="F716" s="4">
        <f>IF(B716="","",IFERROR(VLOOKUP(B716, PLANTA_BASE!A:R, 8, FALSE), "DOCENTE / FACILITADOR"))</f>
        <v/>
      </c>
      <c r="G716" s="4">
        <f>IF(B716="","",IFERROR(VLOOKUP(B716, PLANTA_BASE!A:R, 9, FALSE), "GENERAL"))</f>
        <v/>
      </c>
      <c r="H716" s="2">
        <f>IF(B716="","",IFERROR(VLOOKUP(B716, PLANTA_BASE!A:R, 17, FALSE), "GENERAL"))</f>
        <v/>
      </c>
    </row>
    <row r="717" ht="20" customHeight="1">
      <c r="A717" s="5">
        <f>IF(B717="","",IFERROR(VLOOKUP(B717, PLANTA_BASE!A:R, 2, FALSE), "NO ENCONTRADO EN PLANTA"))</f>
        <v/>
      </c>
      <c r="B717" s="6" t="inlineStr"/>
      <c r="C717" s="7">
        <f>IF(B717="","",IFERROR(VLOOKUP(B717, PLANTA_BASE!A:R, 3, FALSE), ""))</f>
        <v/>
      </c>
      <c r="D717" s="5">
        <f>IF(B717="","",IFERROR(VLOOKUP(B717, PLANTA_BASE!A:R, 5, FALSE), "NO ENCONTRADO EN PLANTA"))</f>
        <v/>
      </c>
      <c r="E717" s="5">
        <f>IF(B717="","",IFERROR(VLOOKUP(B717, PLANTA_BASE!A:R, 6, FALSE), "NO ENCONTRADO EN PLANTA"))</f>
        <v/>
      </c>
      <c r="F717" s="7">
        <f>IF(B717="","",IFERROR(VLOOKUP(B717, PLANTA_BASE!A:R, 8, FALSE), "DOCENTE / FACILITADOR"))</f>
        <v/>
      </c>
      <c r="G717" s="7">
        <f>IF(B717="","",IFERROR(VLOOKUP(B717, PLANTA_BASE!A:R, 9, FALSE), "GENERAL"))</f>
        <v/>
      </c>
      <c r="H717" s="5">
        <f>IF(B717="","",IFERROR(VLOOKUP(B717, PLANTA_BASE!A:R, 17, FALSE), "GENERAL"))</f>
        <v/>
      </c>
    </row>
    <row r="718" ht="20" customHeight="1">
      <c r="A718" s="2">
        <f>IF(B718="","",IFERROR(VLOOKUP(B718, PLANTA_BASE!A:R, 2, FALSE), "NO ENCONTRADO EN PLANTA"))</f>
        <v/>
      </c>
      <c r="B718" s="3" t="inlineStr"/>
      <c r="C718" s="4">
        <f>IF(B718="","",IFERROR(VLOOKUP(B718, PLANTA_BASE!A:R, 3, FALSE), ""))</f>
        <v/>
      </c>
      <c r="D718" s="2">
        <f>IF(B718="","",IFERROR(VLOOKUP(B718, PLANTA_BASE!A:R, 5, FALSE), "NO ENCONTRADO EN PLANTA"))</f>
        <v/>
      </c>
      <c r="E718" s="2">
        <f>IF(B718="","",IFERROR(VLOOKUP(B718, PLANTA_BASE!A:R, 6, FALSE), "NO ENCONTRADO EN PLANTA"))</f>
        <v/>
      </c>
      <c r="F718" s="4">
        <f>IF(B718="","",IFERROR(VLOOKUP(B718, PLANTA_BASE!A:R, 8, FALSE), "DOCENTE / FACILITADOR"))</f>
        <v/>
      </c>
      <c r="G718" s="4">
        <f>IF(B718="","",IFERROR(VLOOKUP(B718, PLANTA_BASE!A:R, 9, FALSE), "GENERAL"))</f>
        <v/>
      </c>
      <c r="H718" s="2">
        <f>IF(B718="","",IFERROR(VLOOKUP(B718, PLANTA_BASE!A:R, 17, FALSE), "GENERAL"))</f>
        <v/>
      </c>
    </row>
    <row r="719" ht="20" customHeight="1">
      <c r="A719" s="5">
        <f>IF(B719="","",IFERROR(VLOOKUP(B719, PLANTA_BASE!A:R, 2, FALSE), "NO ENCONTRADO EN PLANTA"))</f>
        <v/>
      </c>
      <c r="B719" s="6" t="inlineStr"/>
      <c r="C719" s="7">
        <f>IF(B719="","",IFERROR(VLOOKUP(B719, PLANTA_BASE!A:R, 3, FALSE), ""))</f>
        <v/>
      </c>
      <c r="D719" s="5">
        <f>IF(B719="","",IFERROR(VLOOKUP(B719, PLANTA_BASE!A:R, 5, FALSE), "NO ENCONTRADO EN PLANTA"))</f>
        <v/>
      </c>
      <c r="E719" s="5">
        <f>IF(B719="","",IFERROR(VLOOKUP(B719, PLANTA_BASE!A:R, 6, FALSE), "NO ENCONTRADO EN PLANTA"))</f>
        <v/>
      </c>
      <c r="F719" s="7">
        <f>IF(B719="","",IFERROR(VLOOKUP(B719, PLANTA_BASE!A:R, 8, FALSE), "DOCENTE / FACILITADOR"))</f>
        <v/>
      </c>
      <c r="G719" s="7">
        <f>IF(B719="","",IFERROR(VLOOKUP(B719, PLANTA_BASE!A:R, 9, FALSE), "GENERAL"))</f>
        <v/>
      </c>
      <c r="H719" s="5">
        <f>IF(B719="","",IFERROR(VLOOKUP(B719, PLANTA_BASE!A:R, 17, FALSE), "GENERAL"))</f>
        <v/>
      </c>
    </row>
    <row r="720" ht="20" customHeight="1">
      <c r="A720" s="2">
        <f>IF(B720="","",IFERROR(VLOOKUP(B720, PLANTA_BASE!A:R, 2, FALSE), "NO ENCONTRADO EN PLANTA"))</f>
        <v/>
      </c>
      <c r="B720" s="3" t="inlineStr"/>
      <c r="C720" s="4">
        <f>IF(B720="","",IFERROR(VLOOKUP(B720, PLANTA_BASE!A:R, 3, FALSE), ""))</f>
        <v/>
      </c>
      <c r="D720" s="2">
        <f>IF(B720="","",IFERROR(VLOOKUP(B720, PLANTA_BASE!A:R, 5, FALSE), "NO ENCONTRADO EN PLANTA"))</f>
        <v/>
      </c>
      <c r="E720" s="2">
        <f>IF(B720="","",IFERROR(VLOOKUP(B720, PLANTA_BASE!A:R, 6, FALSE), "NO ENCONTRADO EN PLANTA"))</f>
        <v/>
      </c>
      <c r="F720" s="4">
        <f>IF(B720="","",IFERROR(VLOOKUP(B720, PLANTA_BASE!A:R, 8, FALSE), "DOCENTE / FACILITADOR"))</f>
        <v/>
      </c>
      <c r="G720" s="4">
        <f>IF(B720="","",IFERROR(VLOOKUP(B720, PLANTA_BASE!A:R, 9, FALSE), "GENERAL"))</f>
        <v/>
      </c>
      <c r="H720" s="2">
        <f>IF(B720="","",IFERROR(VLOOKUP(B720, PLANTA_BASE!A:R, 17, FALSE), "GENERAL"))</f>
        <v/>
      </c>
    </row>
    <row r="721" ht="20" customHeight="1">
      <c r="A721" s="5">
        <f>IF(B721="","",IFERROR(VLOOKUP(B721, PLANTA_BASE!A:R, 2, FALSE), "NO ENCONTRADO EN PLANTA"))</f>
        <v/>
      </c>
      <c r="B721" s="6" t="inlineStr"/>
      <c r="C721" s="7">
        <f>IF(B721="","",IFERROR(VLOOKUP(B721, PLANTA_BASE!A:R, 3, FALSE), ""))</f>
        <v/>
      </c>
      <c r="D721" s="5">
        <f>IF(B721="","",IFERROR(VLOOKUP(B721, PLANTA_BASE!A:R, 5, FALSE), "NO ENCONTRADO EN PLANTA"))</f>
        <v/>
      </c>
      <c r="E721" s="5">
        <f>IF(B721="","",IFERROR(VLOOKUP(B721, PLANTA_BASE!A:R, 6, FALSE), "NO ENCONTRADO EN PLANTA"))</f>
        <v/>
      </c>
      <c r="F721" s="7">
        <f>IF(B721="","",IFERROR(VLOOKUP(B721, PLANTA_BASE!A:R, 8, FALSE), "DOCENTE / FACILITADOR"))</f>
        <v/>
      </c>
      <c r="G721" s="7">
        <f>IF(B721="","",IFERROR(VLOOKUP(B721, PLANTA_BASE!A:R, 9, FALSE), "GENERAL"))</f>
        <v/>
      </c>
      <c r="H721" s="5">
        <f>IF(B721="","",IFERROR(VLOOKUP(B721, PLANTA_BASE!A:R, 17, FALSE), "GENERAL"))</f>
        <v/>
      </c>
    </row>
    <row r="722" ht="20" customHeight="1">
      <c r="A722" s="2">
        <f>IF(B722="","",IFERROR(VLOOKUP(B722, PLANTA_BASE!A:R, 2, FALSE), "NO ENCONTRADO EN PLANTA"))</f>
        <v/>
      </c>
      <c r="B722" s="3" t="inlineStr"/>
      <c r="C722" s="4">
        <f>IF(B722="","",IFERROR(VLOOKUP(B722, PLANTA_BASE!A:R, 3, FALSE), ""))</f>
        <v/>
      </c>
      <c r="D722" s="2">
        <f>IF(B722="","",IFERROR(VLOOKUP(B722, PLANTA_BASE!A:R, 5, FALSE), "NO ENCONTRADO EN PLANTA"))</f>
        <v/>
      </c>
      <c r="E722" s="2">
        <f>IF(B722="","",IFERROR(VLOOKUP(B722, PLANTA_BASE!A:R, 6, FALSE), "NO ENCONTRADO EN PLANTA"))</f>
        <v/>
      </c>
      <c r="F722" s="4">
        <f>IF(B722="","",IFERROR(VLOOKUP(B722, PLANTA_BASE!A:R, 8, FALSE), "DOCENTE / FACILITADOR"))</f>
        <v/>
      </c>
      <c r="G722" s="4">
        <f>IF(B722="","",IFERROR(VLOOKUP(B722, PLANTA_BASE!A:R, 9, FALSE), "GENERAL"))</f>
        <v/>
      </c>
      <c r="H722" s="2">
        <f>IF(B722="","",IFERROR(VLOOKUP(B722, PLANTA_BASE!A:R, 17, FALSE), "GENERAL"))</f>
        <v/>
      </c>
    </row>
    <row r="723" ht="20" customHeight="1">
      <c r="A723" s="5">
        <f>IF(B723="","",IFERROR(VLOOKUP(B723, PLANTA_BASE!A:R, 2, FALSE), "NO ENCONTRADO EN PLANTA"))</f>
        <v/>
      </c>
      <c r="B723" s="6" t="inlineStr"/>
      <c r="C723" s="7">
        <f>IF(B723="","",IFERROR(VLOOKUP(B723, PLANTA_BASE!A:R, 3, FALSE), ""))</f>
        <v/>
      </c>
      <c r="D723" s="5">
        <f>IF(B723="","",IFERROR(VLOOKUP(B723, PLANTA_BASE!A:R, 5, FALSE), "NO ENCONTRADO EN PLANTA"))</f>
        <v/>
      </c>
      <c r="E723" s="5">
        <f>IF(B723="","",IFERROR(VLOOKUP(B723, PLANTA_BASE!A:R, 6, FALSE), "NO ENCONTRADO EN PLANTA"))</f>
        <v/>
      </c>
      <c r="F723" s="7">
        <f>IF(B723="","",IFERROR(VLOOKUP(B723, PLANTA_BASE!A:R, 8, FALSE), "DOCENTE / FACILITADOR"))</f>
        <v/>
      </c>
      <c r="G723" s="7">
        <f>IF(B723="","",IFERROR(VLOOKUP(B723, PLANTA_BASE!A:R, 9, FALSE), "GENERAL"))</f>
        <v/>
      </c>
      <c r="H723" s="5">
        <f>IF(B723="","",IFERROR(VLOOKUP(B723, PLANTA_BASE!A:R, 17, FALSE), "GENERAL"))</f>
        <v/>
      </c>
    </row>
    <row r="724" ht="20" customHeight="1">
      <c r="A724" s="2">
        <f>IF(B724="","",IFERROR(VLOOKUP(B724, PLANTA_BASE!A:R, 2, FALSE), "NO ENCONTRADO EN PLANTA"))</f>
        <v/>
      </c>
      <c r="B724" s="3" t="inlineStr"/>
      <c r="C724" s="4">
        <f>IF(B724="","",IFERROR(VLOOKUP(B724, PLANTA_BASE!A:R, 3, FALSE), ""))</f>
        <v/>
      </c>
      <c r="D724" s="2">
        <f>IF(B724="","",IFERROR(VLOOKUP(B724, PLANTA_BASE!A:R, 5, FALSE), "NO ENCONTRADO EN PLANTA"))</f>
        <v/>
      </c>
      <c r="E724" s="2">
        <f>IF(B724="","",IFERROR(VLOOKUP(B724, PLANTA_BASE!A:R, 6, FALSE), "NO ENCONTRADO EN PLANTA"))</f>
        <v/>
      </c>
      <c r="F724" s="4">
        <f>IF(B724="","",IFERROR(VLOOKUP(B724, PLANTA_BASE!A:R, 8, FALSE), "DOCENTE / FACILITADOR"))</f>
        <v/>
      </c>
      <c r="G724" s="4">
        <f>IF(B724="","",IFERROR(VLOOKUP(B724, PLANTA_BASE!A:R, 9, FALSE), "GENERAL"))</f>
        <v/>
      </c>
      <c r="H724" s="2">
        <f>IF(B724="","",IFERROR(VLOOKUP(B724, PLANTA_BASE!A:R, 17, FALSE), "GENERAL"))</f>
        <v/>
      </c>
    </row>
    <row r="725" ht="20" customHeight="1">
      <c r="A725" s="5">
        <f>IF(B725="","",IFERROR(VLOOKUP(B725, PLANTA_BASE!A:R, 2, FALSE), "NO ENCONTRADO EN PLANTA"))</f>
        <v/>
      </c>
      <c r="B725" s="6" t="inlineStr"/>
      <c r="C725" s="7">
        <f>IF(B725="","",IFERROR(VLOOKUP(B725, PLANTA_BASE!A:R, 3, FALSE), ""))</f>
        <v/>
      </c>
      <c r="D725" s="5">
        <f>IF(B725="","",IFERROR(VLOOKUP(B725, PLANTA_BASE!A:R, 5, FALSE), "NO ENCONTRADO EN PLANTA"))</f>
        <v/>
      </c>
      <c r="E725" s="5">
        <f>IF(B725="","",IFERROR(VLOOKUP(B725, PLANTA_BASE!A:R, 6, FALSE), "NO ENCONTRADO EN PLANTA"))</f>
        <v/>
      </c>
      <c r="F725" s="7">
        <f>IF(B725="","",IFERROR(VLOOKUP(B725, PLANTA_BASE!A:R, 8, FALSE), "DOCENTE / FACILITADOR"))</f>
        <v/>
      </c>
      <c r="G725" s="7">
        <f>IF(B725="","",IFERROR(VLOOKUP(B725, PLANTA_BASE!A:R, 9, FALSE), "GENERAL"))</f>
        <v/>
      </c>
      <c r="H725" s="5">
        <f>IF(B725="","",IFERROR(VLOOKUP(B725, PLANTA_BASE!A:R, 17, FALSE), "GENERAL"))</f>
        <v/>
      </c>
    </row>
    <row r="726" ht="20" customHeight="1">
      <c r="A726" s="2">
        <f>IF(B726="","",IFERROR(VLOOKUP(B726, PLANTA_BASE!A:R, 2, FALSE), "NO ENCONTRADO EN PLANTA"))</f>
        <v/>
      </c>
      <c r="B726" s="3" t="inlineStr"/>
      <c r="C726" s="4">
        <f>IF(B726="","",IFERROR(VLOOKUP(B726, PLANTA_BASE!A:R, 3, FALSE), ""))</f>
        <v/>
      </c>
      <c r="D726" s="2">
        <f>IF(B726="","",IFERROR(VLOOKUP(B726, PLANTA_BASE!A:R, 5, FALSE), "NO ENCONTRADO EN PLANTA"))</f>
        <v/>
      </c>
      <c r="E726" s="2">
        <f>IF(B726="","",IFERROR(VLOOKUP(B726, PLANTA_BASE!A:R, 6, FALSE), "NO ENCONTRADO EN PLANTA"))</f>
        <v/>
      </c>
      <c r="F726" s="4">
        <f>IF(B726="","",IFERROR(VLOOKUP(B726, PLANTA_BASE!A:R, 8, FALSE), "DOCENTE / FACILITADOR"))</f>
        <v/>
      </c>
      <c r="G726" s="4">
        <f>IF(B726="","",IFERROR(VLOOKUP(B726, PLANTA_BASE!A:R, 9, FALSE), "GENERAL"))</f>
        <v/>
      </c>
      <c r="H726" s="2">
        <f>IF(B726="","",IFERROR(VLOOKUP(B726, PLANTA_BASE!A:R, 17, FALSE), "GENERAL"))</f>
        <v/>
      </c>
    </row>
    <row r="727" ht="20" customHeight="1">
      <c r="A727" s="5">
        <f>IF(B727="","",IFERROR(VLOOKUP(B727, PLANTA_BASE!A:R, 2, FALSE), "NO ENCONTRADO EN PLANTA"))</f>
        <v/>
      </c>
      <c r="B727" s="6" t="inlineStr"/>
      <c r="C727" s="7">
        <f>IF(B727="","",IFERROR(VLOOKUP(B727, PLANTA_BASE!A:R, 3, FALSE), ""))</f>
        <v/>
      </c>
      <c r="D727" s="5">
        <f>IF(B727="","",IFERROR(VLOOKUP(B727, PLANTA_BASE!A:R, 5, FALSE), "NO ENCONTRADO EN PLANTA"))</f>
        <v/>
      </c>
      <c r="E727" s="5">
        <f>IF(B727="","",IFERROR(VLOOKUP(B727, PLANTA_BASE!A:R, 6, FALSE), "NO ENCONTRADO EN PLANTA"))</f>
        <v/>
      </c>
      <c r="F727" s="7">
        <f>IF(B727="","",IFERROR(VLOOKUP(B727, PLANTA_BASE!A:R, 8, FALSE), "DOCENTE / FACILITADOR"))</f>
        <v/>
      </c>
      <c r="G727" s="7">
        <f>IF(B727="","",IFERROR(VLOOKUP(B727, PLANTA_BASE!A:R, 9, FALSE), "GENERAL"))</f>
        <v/>
      </c>
      <c r="H727" s="5">
        <f>IF(B727="","",IFERROR(VLOOKUP(B727, PLANTA_BASE!A:R, 17, FALSE), "GENERAL"))</f>
        <v/>
      </c>
    </row>
    <row r="728" ht="20" customHeight="1">
      <c r="A728" s="2">
        <f>IF(B728="","",IFERROR(VLOOKUP(B728, PLANTA_BASE!A:R, 2, FALSE), "NO ENCONTRADO EN PLANTA"))</f>
        <v/>
      </c>
      <c r="B728" s="3" t="inlineStr"/>
      <c r="C728" s="4">
        <f>IF(B728="","",IFERROR(VLOOKUP(B728, PLANTA_BASE!A:R, 3, FALSE), ""))</f>
        <v/>
      </c>
      <c r="D728" s="2">
        <f>IF(B728="","",IFERROR(VLOOKUP(B728, PLANTA_BASE!A:R, 5, FALSE), "NO ENCONTRADO EN PLANTA"))</f>
        <v/>
      </c>
      <c r="E728" s="2">
        <f>IF(B728="","",IFERROR(VLOOKUP(B728, PLANTA_BASE!A:R, 6, FALSE), "NO ENCONTRADO EN PLANTA"))</f>
        <v/>
      </c>
      <c r="F728" s="4">
        <f>IF(B728="","",IFERROR(VLOOKUP(B728, PLANTA_BASE!A:R, 8, FALSE), "DOCENTE / FACILITADOR"))</f>
        <v/>
      </c>
      <c r="G728" s="4">
        <f>IF(B728="","",IFERROR(VLOOKUP(B728, PLANTA_BASE!A:R, 9, FALSE), "GENERAL"))</f>
        <v/>
      </c>
      <c r="H728" s="2">
        <f>IF(B728="","",IFERROR(VLOOKUP(B728, PLANTA_BASE!A:R, 17, FALSE), "GENERAL"))</f>
        <v/>
      </c>
    </row>
    <row r="729" ht="20" customHeight="1">
      <c r="A729" s="5">
        <f>IF(B729="","",IFERROR(VLOOKUP(B729, PLANTA_BASE!A:R, 2, FALSE), "NO ENCONTRADO EN PLANTA"))</f>
        <v/>
      </c>
      <c r="B729" s="6" t="inlineStr"/>
      <c r="C729" s="7">
        <f>IF(B729="","",IFERROR(VLOOKUP(B729, PLANTA_BASE!A:R, 3, FALSE), ""))</f>
        <v/>
      </c>
      <c r="D729" s="5">
        <f>IF(B729="","",IFERROR(VLOOKUP(B729, PLANTA_BASE!A:R, 5, FALSE), "NO ENCONTRADO EN PLANTA"))</f>
        <v/>
      </c>
      <c r="E729" s="5">
        <f>IF(B729="","",IFERROR(VLOOKUP(B729, PLANTA_BASE!A:R, 6, FALSE), "NO ENCONTRADO EN PLANTA"))</f>
        <v/>
      </c>
      <c r="F729" s="7">
        <f>IF(B729="","",IFERROR(VLOOKUP(B729, PLANTA_BASE!A:R, 8, FALSE), "DOCENTE / FACILITADOR"))</f>
        <v/>
      </c>
      <c r="G729" s="7">
        <f>IF(B729="","",IFERROR(VLOOKUP(B729, PLANTA_BASE!A:R, 9, FALSE), "GENERAL"))</f>
        <v/>
      </c>
      <c r="H729" s="5">
        <f>IF(B729="","",IFERROR(VLOOKUP(B729, PLANTA_BASE!A:R, 17, FALSE), "GENERAL"))</f>
        <v/>
      </c>
    </row>
    <row r="730" ht="20" customHeight="1">
      <c r="A730" s="2">
        <f>IF(B730="","",IFERROR(VLOOKUP(B730, PLANTA_BASE!A:R, 2, FALSE), "NO ENCONTRADO EN PLANTA"))</f>
        <v/>
      </c>
      <c r="B730" s="3" t="inlineStr"/>
      <c r="C730" s="4">
        <f>IF(B730="","",IFERROR(VLOOKUP(B730, PLANTA_BASE!A:R, 3, FALSE), ""))</f>
        <v/>
      </c>
      <c r="D730" s="2">
        <f>IF(B730="","",IFERROR(VLOOKUP(B730, PLANTA_BASE!A:R, 5, FALSE), "NO ENCONTRADO EN PLANTA"))</f>
        <v/>
      </c>
      <c r="E730" s="2">
        <f>IF(B730="","",IFERROR(VLOOKUP(B730, PLANTA_BASE!A:R, 6, FALSE), "NO ENCONTRADO EN PLANTA"))</f>
        <v/>
      </c>
      <c r="F730" s="4">
        <f>IF(B730="","",IFERROR(VLOOKUP(B730, PLANTA_BASE!A:R, 8, FALSE), "DOCENTE / FACILITADOR"))</f>
        <v/>
      </c>
      <c r="G730" s="4">
        <f>IF(B730="","",IFERROR(VLOOKUP(B730, PLANTA_BASE!A:R, 9, FALSE), "GENERAL"))</f>
        <v/>
      </c>
      <c r="H730" s="2">
        <f>IF(B730="","",IFERROR(VLOOKUP(B730, PLANTA_BASE!A:R, 17, FALSE), "GENERAL"))</f>
        <v/>
      </c>
    </row>
    <row r="731" ht="20" customHeight="1">
      <c r="A731" s="5">
        <f>IF(B731="","",IFERROR(VLOOKUP(B731, PLANTA_BASE!A:R, 2, FALSE), "NO ENCONTRADO EN PLANTA"))</f>
        <v/>
      </c>
      <c r="B731" s="6" t="inlineStr"/>
      <c r="C731" s="7">
        <f>IF(B731="","",IFERROR(VLOOKUP(B731, PLANTA_BASE!A:R, 3, FALSE), ""))</f>
        <v/>
      </c>
      <c r="D731" s="5">
        <f>IF(B731="","",IFERROR(VLOOKUP(B731, PLANTA_BASE!A:R, 5, FALSE), "NO ENCONTRADO EN PLANTA"))</f>
        <v/>
      </c>
      <c r="E731" s="5">
        <f>IF(B731="","",IFERROR(VLOOKUP(B731, PLANTA_BASE!A:R, 6, FALSE), "NO ENCONTRADO EN PLANTA"))</f>
        <v/>
      </c>
      <c r="F731" s="7">
        <f>IF(B731="","",IFERROR(VLOOKUP(B731, PLANTA_BASE!A:R, 8, FALSE), "DOCENTE / FACILITADOR"))</f>
        <v/>
      </c>
      <c r="G731" s="7">
        <f>IF(B731="","",IFERROR(VLOOKUP(B731, PLANTA_BASE!A:R, 9, FALSE), "GENERAL"))</f>
        <v/>
      </c>
      <c r="H731" s="5">
        <f>IF(B731="","",IFERROR(VLOOKUP(B731, PLANTA_BASE!A:R, 17, FALSE), "GENERAL"))</f>
        <v/>
      </c>
    </row>
    <row r="732" ht="20" customHeight="1">
      <c r="A732" s="2">
        <f>IF(B732="","",IFERROR(VLOOKUP(B732, PLANTA_BASE!A:R, 2, FALSE), "NO ENCONTRADO EN PLANTA"))</f>
        <v/>
      </c>
      <c r="B732" s="3" t="inlineStr"/>
      <c r="C732" s="4">
        <f>IF(B732="","",IFERROR(VLOOKUP(B732, PLANTA_BASE!A:R, 3, FALSE), ""))</f>
        <v/>
      </c>
      <c r="D732" s="2">
        <f>IF(B732="","",IFERROR(VLOOKUP(B732, PLANTA_BASE!A:R, 5, FALSE), "NO ENCONTRADO EN PLANTA"))</f>
        <v/>
      </c>
      <c r="E732" s="2">
        <f>IF(B732="","",IFERROR(VLOOKUP(B732, PLANTA_BASE!A:R, 6, FALSE), "NO ENCONTRADO EN PLANTA"))</f>
        <v/>
      </c>
      <c r="F732" s="4">
        <f>IF(B732="","",IFERROR(VLOOKUP(B732, PLANTA_BASE!A:R, 8, FALSE), "DOCENTE / FACILITADOR"))</f>
        <v/>
      </c>
      <c r="G732" s="4">
        <f>IF(B732="","",IFERROR(VLOOKUP(B732, PLANTA_BASE!A:R, 9, FALSE), "GENERAL"))</f>
        <v/>
      </c>
      <c r="H732" s="2">
        <f>IF(B732="","",IFERROR(VLOOKUP(B732, PLANTA_BASE!A:R, 17, FALSE), "GENERAL"))</f>
        <v/>
      </c>
    </row>
    <row r="733" ht="20" customHeight="1">
      <c r="A733" s="5">
        <f>IF(B733="","",IFERROR(VLOOKUP(B733, PLANTA_BASE!A:R, 2, FALSE), "NO ENCONTRADO EN PLANTA"))</f>
        <v/>
      </c>
      <c r="B733" s="6" t="inlineStr"/>
      <c r="C733" s="7">
        <f>IF(B733="","",IFERROR(VLOOKUP(B733, PLANTA_BASE!A:R, 3, FALSE), ""))</f>
        <v/>
      </c>
      <c r="D733" s="5">
        <f>IF(B733="","",IFERROR(VLOOKUP(B733, PLANTA_BASE!A:R, 5, FALSE), "NO ENCONTRADO EN PLANTA"))</f>
        <v/>
      </c>
      <c r="E733" s="5">
        <f>IF(B733="","",IFERROR(VLOOKUP(B733, PLANTA_BASE!A:R, 6, FALSE), "NO ENCONTRADO EN PLANTA"))</f>
        <v/>
      </c>
      <c r="F733" s="7">
        <f>IF(B733="","",IFERROR(VLOOKUP(B733, PLANTA_BASE!A:R, 8, FALSE), "DOCENTE / FACILITADOR"))</f>
        <v/>
      </c>
      <c r="G733" s="7">
        <f>IF(B733="","",IFERROR(VLOOKUP(B733, PLANTA_BASE!A:R, 9, FALSE), "GENERAL"))</f>
        <v/>
      </c>
      <c r="H733" s="5">
        <f>IF(B733="","",IFERROR(VLOOKUP(B733, PLANTA_BASE!A:R, 17, FALSE), "GENERAL"))</f>
        <v/>
      </c>
    </row>
    <row r="734" ht="20" customHeight="1">
      <c r="A734" s="2">
        <f>IF(B734="","",IFERROR(VLOOKUP(B734, PLANTA_BASE!A:R, 2, FALSE), "NO ENCONTRADO EN PLANTA"))</f>
        <v/>
      </c>
      <c r="B734" s="3" t="inlineStr"/>
      <c r="C734" s="4">
        <f>IF(B734="","",IFERROR(VLOOKUP(B734, PLANTA_BASE!A:R, 3, FALSE), ""))</f>
        <v/>
      </c>
      <c r="D734" s="2">
        <f>IF(B734="","",IFERROR(VLOOKUP(B734, PLANTA_BASE!A:R, 5, FALSE), "NO ENCONTRADO EN PLANTA"))</f>
        <v/>
      </c>
      <c r="E734" s="2">
        <f>IF(B734="","",IFERROR(VLOOKUP(B734, PLANTA_BASE!A:R, 6, FALSE), "NO ENCONTRADO EN PLANTA"))</f>
        <v/>
      </c>
      <c r="F734" s="4">
        <f>IF(B734="","",IFERROR(VLOOKUP(B734, PLANTA_BASE!A:R, 8, FALSE), "DOCENTE / FACILITADOR"))</f>
        <v/>
      </c>
      <c r="G734" s="4">
        <f>IF(B734="","",IFERROR(VLOOKUP(B734, PLANTA_BASE!A:R, 9, FALSE), "GENERAL"))</f>
        <v/>
      </c>
      <c r="H734" s="2">
        <f>IF(B734="","",IFERROR(VLOOKUP(B734, PLANTA_BASE!A:R, 17, FALSE), "GENERAL"))</f>
        <v/>
      </c>
    </row>
    <row r="735" ht="20" customHeight="1">
      <c r="A735" s="5">
        <f>IF(B735="","",IFERROR(VLOOKUP(B735, PLANTA_BASE!A:R, 2, FALSE), "NO ENCONTRADO EN PLANTA"))</f>
        <v/>
      </c>
      <c r="B735" s="6" t="inlineStr"/>
      <c r="C735" s="7">
        <f>IF(B735="","",IFERROR(VLOOKUP(B735, PLANTA_BASE!A:R, 3, FALSE), ""))</f>
        <v/>
      </c>
      <c r="D735" s="5">
        <f>IF(B735="","",IFERROR(VLOOKUP(B735, PLANTA_BASE!A:R, 5, FALSE), "NO ENCONTRADO EN PLANTA"))</f>
        <v/>
      </c>
      <c r="E735" s="5">
        <f>IF(B735="","",IFERROR(VLOOKUP(B735, PLANTA_BASE!A:R, 6, FALSE), "NO ENCONTRADO EN PLANTA"))</f>
        <v/>
      </c>
      <c r="F735" s="7">
        <f>IF(B735="","",IFERROR(VLOOKUP(B735, PLANTA_BASE!A:R, 8, FALSE), "DOCENTE / FACILITADOR"))</f>
        <v/>
      </c>
      <c r="G735" s="7">
        <f>IF(B735="","",IFERROR(VLOOKUP(B735, PLANTA_BASE!A:R, 9, FALSE), "GENERAL"))</f>
        <v/>
      </c>
      <c r="H735" s="5">
        <f>IF(B735="","",IFERROR(VLOOKUP(B735, PLANTA_BASE!A:R, 17, FALSE), "GENERAL"))</f>
        <v/>
      </c>
    </row>
    <row r="736" ht="20" customHeight="1">
      <c r="A736" s="2">
        <f>IF(B736="","",IFERROR(VLOOKUP(B736, PLANTA_BASE!A:R, 2, FALSE), "NO ENCONTRADO EN PLANTA"))</f>
        <v/>
      </c>
      <c r="B736" s="3" t="inlineStr"/>
      <c r="C736" s="4">
        <f>IF(B736="","",IFERROR(VLOOKUP(B736, PLANTA_BASE!A:R, 3, FALSE), ""))</f>
        <v/>
      </c>
      <c r="D736" s="2">
        <f>IF(B736="","",IFERROR(VLOOKUP(B736, PLANTA_BASE!A:R, 5, FALSE), "NO ENCONTRADO EN PLANTA"))</f>
        <v/>
      </c>
      <c r="E736" s="2">
        <f>IF(B736="","",IFERROR(VLOOKUP(B736, PLANTA_BASE!A:R, 6, FALSE), "NO ENCONTRADO EN PLANTA"))</f>
        <v/>
      </c>
      <c r="F736" s="4">
        <f>IF(B736="","",IFERROR(VLOOKUP(B736, PLANTA_BASE!A:R, 8, FALSE), "DOCENTE / FACILITADOR"))</f>
        <v/>
      </c>
      <c r="G736" s="4">
        <f>IF(B736="","",IFERROR(VLOOKUP(B736, PLANTA_BASE!A:R, 9, FALSE), "GENERAL"))</f>
        <v/>
      </c>
      <c r="H736" s="2">
        <f>IF(B736="","",IFERROR(VLOOKUP(B736, PLANTA_BASE!A:R, 17, FALSE), "GENERAL"))</f>
        <v/>
      </c>
    </row>
    <row r="737" ht="20" customHeight="1">
      <c r="A737" s="5">
        <f>IF(B737="","",IFERROR(VLOOKUP(B737, PLANTA_BASE!A:R, 2, FALSE), "NO ENCONTRADO EN PLANTA"))</f>
        <v/>
      </c>
      <c r="B737" s="6" t="inlineStr"/>
      <c r="C737" s="7">
        <f>IF(B737="","",IFERROR(VLOOKUP(B737, PLANTA_BASE!A:R, 3, FALSE), ""))</f>
        <v/>
      </c>
      <c r="D737" s="5">
        <f>IF(B737="","",IFERROR(VLOOKUP(B737, PLANTA_BASE!A:R, 5, FALSE), "NO ENCONTRADO EN PLANTA"))</f>
        <v/>
      </c>
      <c r="E737" s="5">
        <f>IF(B737="","",IFERROR(VLOOKUP(B737, PLANTA_BASE!A:R, 6, FALSE), "NO ENCONTRADO EN PLANTA"))</f>
        <v/>
      </c>
      <c r="F737" s="7">
        <f>IF(B737="","",IFERROR(VLOOKUP(B737, PLANTA_BASE!A:R, 8, FALSE), "DOCENTE / FACILITADOR"))</f>
        <v/>
      </c>
      <c r="G737" s="7">
        <f>IF(B737="","",IFERROR(VLOOKUP(B737, PLANTA_BASE!A:R, 9, FALSE), "GENERAL"))</f>
        <v/>
      </c>
      <c r="H737" s="5">
        <f>IF(B737="","",IFERROR(VLOOKUP(B737, PLANTA_BASE!A:R, 17, FALSE), "GENERAL"))</f>
        <v/>
      </c>
    </row>
    <row r="738" ht="20" customHeight="1">
      <c r="A738" s="2">
        <f>IF(B738="","",IFERROR(VLOOKUP(B738, PLANTA_BASE!A:R, 2, FALSE), "NO ENCONTRADO EN PLANTA"))</f>
        <v/>
      </c>
      <c r="B738" s="3" t="inlineStr"/>
      <c r="C738" s="4">
        <f>IF(B738="","",IFERROR(VLOOKUP(B738, PLANTA_BASE!A:R, 3, FALSE), ""))</f>
        <v/>
      </c>
      <c r="D738" s="2">
        <f>IF(B738="","",IFERROR(VLOOKUP(B738, PLANTA_BASE!A:R, 5, FALSE), "NO ENCONTRADO EN PLANTA"))</f>
        <v/>
      </c>
      <c r="E738" s="2">
        <f>IF(B738="","",IFERROR(VLOOKUP(B738, PLANTA_BASE!A:R, 6, FALSE), "NO ENCONTRADO EN PLANTA"))</f>
        <v/>
      </c>
      <c r="F738" s="4">
        <f>IF(B738="","",IFERROR(VLOOKUP(B738, PLANTA_BASE!A:R, 8, FALSE), "DOCENTE / FACILITADOR"))</f>
        <v/>
      </c>
      <c r="G738" s="4">
        <f>IF(B738="","",IFERROR(VLOOKUP(B738, PLANTA_BASE!A:R, 9, FALSE), "GENERAL"))</f>
        <v/>
      </c>
      <c r="H738" s="2">
        <f>IF(B738="","",IFERROR(VLOOKUP(B738, PLANTA_BASE!A:R, 17, FALSE), "GENERAL"))</f>
        <v/>
      </c>
    </row>
    <row r="739" ht="20" customHeight="1">
      <c r="A739" s="5">
        <f>IF(B739="","",IFERROR(VLOOKUP(B739, PLANTA_BASE!A:R, 2, FALSE), "NO ENCONTRADO EN PLANTA"))</f>
        <v/>
      </c>
      <c r="B739" s="6" t="inlineStr"/>
      <c r="C739" s="7">
        <f>IF(B739="","",IFERROR(VLOOKUP(B739, PLANTA_BASE!A:R, 3, FALSE), ""))</f>
        <v/>
      </c>
      <c r="D739" s="5">
        <f>IF(B739="","",IFERROR(VLOOKUP(B739, PLANTA_BASE!A:R, 5, FALSE), "NO ENCONTRADO EN PLANTA"))</f>
        <v/>
      </c>
      <c r="E739" s="5">
        <f>IF(B739="","",IFERROR(VLOOKUP(B739, PLANTA_BASE!A:R, 6, FALSE), "NO ENCONTRADO EN PLANTA"))</f>
        <v/>
      </c>
      <c r="F739" s="7">
        <f>IF(B739="","",IFERROR(VLOOKUP(B739, PLANTA_BASE!A:R, 8, FALSE), "DOCENTE / FACILITADOR"))</f>
        <v/>
      </c>
      <c r="G739" s="7">
        <f>IF(B739="","",IFERROR(VLOOKUP(B739, PLANTA_BASE!A:R, 9, FALSE), "GENERAL"))</f>
        <v/>
      </c>
      <c r="H739" s="5">
        <f>IF(B739="","",IFERROR(VLOOKUP(B739, PLANTA_BASE!A:R, 17, FALSE), "GENERAL"))</f>
        <v/>
      </c>
    </row>
    <row r="740" ht="20" customHeight="1">
      <c r="A740" s="2">
        <f>IF(B740="","",IFERROR(VLOOKUP(B740, PLANTA_BASE!A:R, 2, FALSE), "NO ENCONTRADO EN PLANTA"))</f>
        <v/>
      </c>
      <c r="B740" s="3" t="inlineStr"/>
      <c r="C740" s="4">
        <f>IF(B740="","",IFERROR(VLOOKUP(B740, PLANTA_BASE!A:R, 3, FALSE), ""))</f>
        <v/>
      </c>
      <c r="D740" s="2">
        <f>IF(B740="","",IFERROR(VLOOKUP(B740, PLANTA_BASE!A:R, 5, FALSE), "NO ENCONTRADO EN PLANTA"))</f>
        <v/>
      </c>
      <c r="E740" s="2">
        <f>IF(B740="","",IFERROR(VLOOKUP(B740, PLANTA_BASE!A:R, 6, FALSE), "NO ENCONTRADO EN PLANTA"))</f>
        <v/>
      </c>
      <c r="F740" s="4">
        <f>IF(B740="","",IFERROR(VLOOKUP(B740, PLANTA_BASE!A:R, 8, FALSE), "DOCENTE / FACILITADOR"))</f>
        <v/>
      </c>
      <c r="G740" s="4">
        <f>IF(B740="","",IFERROR(VLOOKUP(B740, PLANTA_BASE!A:R, 9, FALSE), "GENERAL"))</f>
        <v/>
      </c>
      <c r="H740" s="2">
        <f>IF(B740="","",IFERROR(VLOOKUP(B740, PLANTA_BASE!A:R, 17, FALSE), "GENERAL"))</f>
        <v/>
      </c>
    </row>
    <row r="741" ht="20" customHeight="1">
      <c r="A741" s="5">
        <f>IF(B741="","",IFERROR(VLOOKUP(B741, PLANTA_BASE!A:R, 2, FALSE), "NO ENCONTRADO EN PLANTA"))</f>
        <v/>
      </c>
      <c r="B741" s="6" t="inlineStr"/>
      <c r="C741" s="7">
        <f>IF(B741="","",IFERROR(VLOOKUP(B741, PLANTA_BASE!A:R, 3, FALSE), ""))</f>
        <v/>
      </c>
      <c r="D741" s="5">
        <f>IF(B741="","",IFERROR(VLOOKUP(B741, PLANTA_BASE!A:R, 5, FALSE), "NO ENCONTRADO EN PLANTA"))</f>
        <v/>
      </c>
      <c r="E741" s="5">
        <f>IF(B741="","",IFERROR(VLOOKUP(B741, PLANTA_BASE!A:R, 6, FALSE), "NO ENCONTRADO EN PLANTA"))</f>
        <v/>
      </c>
      <c r="F741" s="7">
        <f>IF(B741="","",IFERROR(VLOOKUP(B741, PLANTA_BASE!A:R, 8, FALSE), "DOCENTE / FACILITADOR"))</f>
        <v/>
      </c>
      <c r="G741" s="7">
        <f>IF(B741="","",IFERROR(VLOOKUP(B741, PLANTA_BASE!A:R, 9, FALSE), "GENERAL"))</f>
        <v/>
      </c>
      <c r="H741" s="5">
        <f>IF(B741="","",IFERROR(VLOOKUP(B741, PLANTA_BASE!A:R, 17, FALSE), "GENERAL"))</f>
        <v/>
      </c>
    </row>
    <row r="742" ht="20" customHeight="1">
      <c r="A742" s="2">
        <f>IF(B742="","",IFERROR(VLOOKUP(B742, PLANTA_BASE!A:R, 2, FALSE), "NO ENCONTRADO EN PLANTA"))</f>
        <v/>
      </c>
      <c r="B742" s="3" t="inlineStr"/>
      <c r="C742" s="4">
        <f>IF(B742="","",IFERROR(VLOOKUP(B742, PLANTA_BASE!A:R, 3, FALSE), ""))</f>
        <v/>
      </c>
      <c r="D742" s="2">
        <f>IF(B742="","",IFERROR(VLOOKUP(B742, PLANTA_BASE!A:R, 5, FALSE), "NO ENCONTRADO EN PLANTA"))</f>
        <v/>
      </c>
      <c r="E742" s="2">
        <f>IF(B742="","",IFERROR(VLOOKUP(B742, PLANTA_BASE!A:R, 6, FALSE), "NO ENCONTRADO EN PLANTA"))</f>
        <v/>
      </c>
      <c r="F742" s="4">
        <f>IF(B742="","",IFERROR(VLOOKUP(B742, PLANTA_BASE!A:R, 8, FALSE), "DOCENTE / FACILITADOR"))</f>
        <v/>
      </c>
      <c r="G742" s="4">
        <f>IF(B742="","",IFERROR(VLOOKUP(B742, PLANTA_BASE!A:R, 9, FALSE), "GENERAL"))</f>
        <v/>
      </c>
      <c r="H742" s="2">
        <f>IF(B742="","",IFERROR(VLOOKUP(B742, PLANTA_BASE!A:R, 17, FALSE), "GENERAL"))</f>
        <v/>
      </c>
    </row>
    <row r="743" ht="20" customHeight="1">
      <c r="A743" s="5">
        <f>IF(B743="","",IFERROR(VLOOKUP(B743, PLANTA_BASE!A:R, 2, FALSE), "NO ENCONTRADO EN PLANTA"))</f>
        <v/>
      </c>
      <c r="B743" s="6" t="inlineStr"/>
      <c r="C743" s="7">
        <f>IF(B743="","",IFERROR(VLOOKUP(B743, PLANTA_BASE!A:R, 3, FALSE), ""))</f>
        <v/>
      </c>
      <c r="D743" s="5">
        <f>IF(B743="","",IFERROR(VLOOKUP(B743, PLANTA_BASE!A:R, 5, FALSE), "NO ENCONTRADO EN PLANTA"))</f>
        <v/>
      </c>
      <c r="E743" s="5">
        <f>IF(B743="","",IFERROR(VLOOKUP(B743, PLANTA_BASE!A:R, 6, FALSE), "NO ENCONTRADO EN PLANTA"))</f>
        <v/>
      </c>
      <c r="F743" s="7">
        <f>IF(B743="","",IFERROR(VLOOKUP(B743, PLANTA_BASE!A:R, 8, FALSE), "DOCENTE / FACILITADOR"))</f>
        <v/>
      </c>
      <c r="G743" s="7">
        <f>IF(B743="","",IFERROR(VLOOKUP(B743, PLANTA_BASE!A:R, 9, FALSE), "GENERAL"))</f>
        <v/>
      </c>
      <c r="H743" s="5">
        <f>IF(B743="","",IFERROR(VLOOKUP(B743, PLANTA_BASE!A:R, 17, FALSE), "GENERAL"))</f>
        <v/>
      </c>
    </row>
    <row r="744" ht="20" customHeight="1">
      <c r="A744" s="2">
        <f>IF(B744="","",IFERROR(VLOOKUP(B744, PLANTA_BASE!A:R, 2, FALSE), "NO ENCONTRADO EN PLANTA"))</f>
        <v/>
      </c>
      <c r="B744" s="3" t="inlineStr"/>
      <c r="C744" s="4">
        <f>IF(B744="","",IFERROR(VLOOKUP(B744, PLANTA_BASE!A:R, 3, FALSE), ""))</f>
        <v/>
      </c>
      <c r="D744" s="2">
        <f>IF(B744="","",IFERROR(VLOOKUP(B744, PLANTA_BASE!A:R, 5, FALSE), "NO ENCONTRADO EN PLANTA"))</f>
        <v/>
      </c>
      <c r="E744" s="2">
        <f>IF(B744="","",IFERROR(VLOOKUP(B744, PLANTA_BASE!A:R, 6, FALSE), "NO ENCONTRADO EN PLANTA"))</f>
        <v/>
      </c>
      <c r="F744" s="4">
        <f>IF(B744="","",IFERROR(VLOOKUP(B744, PLANTA_BASE!A:R, 8, FALSE), "DOCENTE / FACILITADOR"))</f>
        <v/>
      </c>
      <c r="G744" s="4">
        <f>IF(B744="","",IFERROR(VLOOKUP(B744, PLANTA_BASE!A:R, 9, FALSE), "GENERAL"))</f>
        <v/>
      </c>
      <c r="H744" s="2">
        <f>IF(B744="","",IFERROR(VLOOKUP(B744, PLANTA_BASE!A:R, 17, FALSE), "GENERAL"))</f>
        <v/>
      </c>
    </row>
    <row r="745" ht="20" customHeight="1">
      <c r="A745" s="5">
        <f>IF(B745="","",IFERROR(VLOOKUP(B745, PLANTA_BASE!A:R, 2, FALSE), "NO ENCONTRADO EN PLANTA"))</f>
        <v/>
      </c>
      <c r="B745" s="6" t="inlineStr"/>
      <c r="C745" s="7">
        <f>IF(B745="","",IFERROR(VLOOKUP(B745, PLANTA_BASE!A:R, 3, FALSE), ""))</f>
        <v/>
      </c>
      <c r="D745" s="5">
        <f>IF(B745="","",IFERROR(VLOOKUP(B745, PLANTA_BASE!A:R, 5, FALSE), "NO ENCONTRADO EN PLANTA"))</f>
        <v/>
      </c>
      <c r="E745" s="5">
        <f>IF(B745="","",IFERROR(VLOOKUP(B745, PLANTA_BASE!A:R, 6, FALSE), "NO ENCONTRADO EN PLANTA"))</f>
        <v/>
      </c>
      <c r="F745" s="7">
        <f>IF(B745="","",IFERROR(VLOOKUP(B745, PLANTA_BASE!A:R, 8, FALSE), "DOCENTE / FACILITADOR"))</f>
        <v/>
      </c>
      <c r="G745" s="7">
        <f>IF(B745="","",IFERROR(VLOOKUP(B745, PLANTA_BASE!A:R, 9, FALSE), "GENERAL"))</f>
        <v/>
      </c>
      <c r="H745" s="5">
        <f>IF(B745="","",IFERROR(VLOOKUP(B745, PLANTA_BASE!A:R, 17, FALSE), "GENERAL"))</f>
        <v/>
      </c>
    </row>
    <row r="746" ht="20" customHeight="1">
      <c r="A746" s="2">
        <f>IF(B746="","",IFERROR(VLOOKUP(B746, PLANTA_BASE!A:R, 2, FALSE), "NO ENCONTRADO EN PLANTA"))</f>
        <v/>
      </c>
      <c r="B746" s="3" t="inlineStr"/>
      <c r="C746" s="4">
        <f>IF(B746="","",IFERROR(VLOOKUP(B746, PLANTA_BASE!A:R, 3, FALSE), ""))</f>
        <v/>
      </c>
      <c r="D746" s="2">
        <f>IF(B746="","",IFERROR(VLOOKUP(B746, PLANTA_BASE!A:R, 5, FALSE), "NO ENCONTRADO EN PLANTA"))</f>
        <v/>
      </c>
      <c r="E746" s="2">
        <f>IF(B746="","",IFERROR(VLOOKUP(B746, PLANTA_BASE!A:R, 6, FALSE), "NO ENCONTRADO EN PLANTA"))</f>
        <v/>
      </c>
      <c r="F746" s="4">
        <f>IF(B746="","",IFERROR(VLOOKUP(B746, PLANTA_BASE!A:R, 8, FALSE), "DOCENTE / FACILITADOR"))</f>
        <v/>
      </c>
      <c r="G746" s="4">
        <f>IF(B746="","",IFERROR(VLOOKUP(B746, PLANTA_BASE!A:R, 9, FALSE), "GENERAL"))</f>
        <v/>
      </c>
      <c r="H746" s="2">
        <f>IF(B746="","",IFERROR(VLOOKUP(B746, PLANTA_BASE!A:R, 17, FALSE), "GENERAL"))</f>
        <v/>
      </c>
    </row>
    <row r="747" ht="20" customHeight="1">
      <c r="A747" s="5">
        <f>IF(B747="","",IFERROR(VLOOKUP(B747, PLANTA_BASE!A:R, 2, FALSE), "NO ENCONTRADO EN PLANTA"))</f>
        <v/>
      </c>
      <c r="B747" s="6" t="inlineStr"/>
      <c r="C747" s="7">
        <f>IF(B747="","",IFERROR(VLOOKUP(B747, PLANTA_BASE!A:R, 3, FALSE), ""))</f>
        <v/>
      </c>
      <c r="D747" s="5">
        <f>IF(B747="","",IFERROR(VLOOKUP(B747, PLANTA_BASE!A:R, 5, FALSE), "NO ENCONTRADO EN PLANTA"))</f>
        <v/>
      </c>
      <c r="E747" s="5">
        <f>IF(B747="","",IFERROR(VLOOKUP(B747, PLANTA_BASE!A:R, 6, FALSE), "NO ENCONTRADO EN PLANTA"))</f>
        <v/>
      </c>
      <c r="F747" s="7">
        <f>IF(B747="","",IFERROR(VLOOKUP(B747, PLANTA_BASE!A:R, 8, FALSE), "DOCENTE / FACILITADOR"))</f>
        <v/>
      </c>
      <c r="G747" s="7">
        <f>IF(B747="","",IFERROR(VLOOKUP(B747, PLANTA_BASE!A:R, 9, FALSE), "GENERAL"))</f>
        <v/>
      </c>
      <c r="H747" s="5">
        <f>IF(B747="","",IFERROR(VLOOKUP(B747, PLANTA_BASE!A:R, 17, FALSE), "GENERAL"))</f>
        <v/>
      </c>
    </row>
    <row r="748" ht="20" customHeight="1">
      <c r="A748" s="2">
        <f>IF(B748="","",IFERROR(VLOOKUP(B748, PLANTA_BASE!A:R, 2, FALSE), "NO ENCONTRADO EN PLANTA"))</f>
        <v/>
      </c>
      <c r="B748" s="3" t="inlineStr"/>
      <c r="C748" s="4">
        <f>IF(B748="","",IFERROR(VLOOKUP(B748, PLANTA_BASE!A:R, 3, FALSE), ""))</f>
        <v/>
      </c>
      <c r="D748" s="2">
        <f>IF(B748="","",IFERROR(VLOOKUP(B748, PLANTA_BASE!A:R, 5, FALSE), "NO ENCONTRADO EN PLANTA"))</f>
        <v/>
      </c>
      <c r="E748" s="2">
        <f>IF(B748="","",IFERROR(VLOOKUP(B748, PLANTA_BASE!A:R, 6, FALSE), "NO ENCONTRADO EN PLANTA"))</f>
        <v/>
      </c>
      <c r="F748" s="4">
        <f>IF(B748="","",IFERROR(VLOOKUP(B748, PLANTA_BASE!A:R, 8, FALSE), "DOCENTE / FACILITADOR"))</f>
        <v/>
      </c>
      <c r="G748" s="4">
        <f>IF(B748="","",IFERROR(VLOOKUP(B748, PLANTA_BASE!A:R, 9, FALSE), "GENERAL"))</f>
        <v/>
      </c>
      <c r="H748" s="2">
        <f>IF(B748="","",IFERROR(VLOOKUP(B748, PLANTA_BASE!A:R, 17, FALSE), "GENERAL"))</f>
        <v/>
      </c>
    </row>
    <row r="749" ht="20" customHeight="1">
      <c r="A749" s="5">
        <f>IF(B749="","",IFERROR(VLOOKUP(B749, PLANTA_BASE!A:R, 2, FALSE), "NO ENCONTRADO EN PLANTA"))</f>
        <v/>
      </c>
      <c r="B749" s="6" t="inlineStr"/>
      <c r="C749" s="7">
        <f>IF(B749="","",IFERROR(VLOOKUP(B749, PLANTA_BASE!A:R, 3, FALSE), ""))</f>
        <v/>
      </c>
      <c r="D749" s="5">
        <f>IF(B749="","",IFERROR(VLOOKUP(B749, PLANTA_BASE!A:R, 5, FALSE), "NO ENCONTRADO EN PLANTA"))</f>
        <v/>
      </c>
      <c r="E749" s="5">
        <f>IF(B749="","",IFERROR(VLOOKUP(B749, PLANTA_BASE!A:R, 6, FALSE), "NO ENCONTRADO EN PLANTA"))</f>
        <v/>
      </c>
      <c r="F749" s="7">
        <f>IF(B749="","",IFERROR(VLOOKUP(B749, PLANTA_BASE!A:R, 8, FALSE), "DOCENTE / FACILITADOR"))</f>
        <v/>
      </c>
      <c r="G749" s="7">
        <f>IF(B749="","",IFERROR(VLOOKUP(B749, PLANTA_BASE!A:R, 9, FALSE), "GENERAL"))</f>
        <v/>
      </c>
      <c r="H749" s="5">
        <f>IF(B749="","",IFERROR(VLOOKUP(B749, PLANTA_BASE!A:R, 17, FALSE), "GENERAL"))</f>
        <v/>
      </c>
    </row>
    <row r="750" ht="20" customHeight="1">
      <c r="A750" s="2">
        <f>IF(B750="","",IFERROR(VLOOKUP(B750, PLANTA_BASE!A:R, 2, FALSE), "NO ENCONTRADO EN PLANTA"))</f>
        <v/>
      </c>
      <c r="B750" s="3" t="inlineStr"/>
      <c r="C750" s="4">
        <f>IF(B750="","",IFERROR(VLOOKUP(B750, PLANTA_BASE!A:R, 3, FALSE), ""))</f>
        <v/>
      </c>
      <c r="D750" s="2">
        <f>IF(B750="","",IFERROR(VLOOKUP(B750, PLANTA_BASE!A:R, 5, FALSE), "NO ENCONTRADO EN PLANTA"))</f>
        <v/>
      </c>
      <c r="E750" s="2">
        <f>IF(B750="","",IFERROR(VLOOKUP(B750, PLANTA_BASE!A:R, 6, FALSE), "NO ENCONTRADO EN PLANTA"))</f>
        <v/>
      </c>
      <c r="F750" s="4">
        <f>IF(B750="","",IFERROR(VLOOKUP(B750, PLANTA_BASE!A:R, 8, FALSE), "DOCENTE / FACILITADOR"))</f>
        <v/>
      </c>
      <c r="G750" s="4">
        <f>IF(B750="","",IFERROR(VLOOKUP(B750, PLANTA_BASE!A:R, 9, FALSE), "GENERAL"))</f>
        <v/>
      </c>
      <c r="H750" s="2">
        <f>IF(B750="","",IFERROR(VLOOKUP(B750, PLANTA_BASE!A:R, 17, FALSE), "GENERAL"))</f>
        <v/>
      </c>
    </row>
    <row r="751" ht="20" customHeight="1">
      <c r="A751" s="5">
        <f>IF(B751="","",IFERROR(VLOOKUP(B751, PLANTA_BASE!A:R, 2, FALSE), "NO ENCONTRADO EN PLANTA"))</f>
        <v/>
      </c>
      <c r="B751" s="6" t="inlineStr"/>
      <c r="C751" s="7">
        <f>IF(B751="","",IFERROR(VLOOKUP(B751, PLANTA_BASE!A:R, 3, FALSE), ""))</f>
        <v/>
      </c>
      <c r="D751" s="5">
        <f>IF(B751="","",IFERROR(VLOOKUP(B751, PLANTA_BASE!A:R, 5, FALSE), "NO ENCONTRADO EN PLANTA"))</f>
        <v/>
      </c>
      <c r="E751" s="5">
        <f>IF(B751="","",IFERROR(VLOOKUP(B751, PLANTA_BASE!A:R, 6, FALSE), "NO ENCONTRADO EN PLANTA"))</f>
        <v/>
      </c>
      <c r="F751" s="7">
        <f>IF(B751="","",IFERROR(VLOOKUP(B751, PLANTA_BASE!A:R, 8, FALSE), "DOCENTE / FACILITADOR"))</f>
        <v/>
      </c>
      <c r="G751" s="7">
        <f>IF(B751="","",IFERROR(VLOOKUP(B751, PLANTA_BASE!A:R, 9, FALSE), "GENERAL"))</f>
        <v/>
      </c>
      <c r="H751" s="5">
        <f>IF(B751="","",IFERROR(VLOOKUP(B751, PLANTA_BASE!A:R, 17, FALSE), "GENERAL"))</f>
        <v/>
      </c>
    </row>
    <row r="752" ht="20" customHeight="1">
      <c r="A752" s="2">
        <f>IF(B752="","",IFERROR(VLOOKUP(B752, PLANTA_BASE!A:R, 2, FALSE), "NO ENCONTRADO EN PLANTA"))</f>
        <v/>
      </c>
      <c r="B752" s="3" t="inlineStr"/>
      <c r="C752" s="4">
        <f>IF(B752="","",IFERROR(VLOOKUP(B752, PLANTA_BASE!A:R, 3, FALSE), ""))</f>
        <v/>
      </c>
      <c r="D752" s="2">
        <f>IF(B752="","",IFERROR(VLOOKUP(B752, PLANTA_BASE!A:R, 5, FALSE), "NO ENCONTRADO EN PLANTA"))</f>
        <v/>
      </c>
      <c r="E752" s="2">
        <f>IF(B752="","",IFERROR(VLOOKUP(B752, PLANTA_BASE!A:R, 6, FALSE), "NO ENCONTRADO EN PLANTA"))</f>
        <v/>
      </c>
      <c r="F752" s="4">
        <f>IF(B752="","",IFERROR(VLOOKUP(B752, PLANTA_BASE!A:R, 8, FALSE), "DOCENTE / FACILITADOR"))</f>
        <v/>
      </c>
      <c r="G752" s="4">
        <f>IF(B752="","",IFERROR(VLOOKUP(B752, PLANTA_BASE!A:R, 9, FALSE), "GENERAL"))</f>
        <v/>
      </c>
      <c r="H752" s="2">
        <f>IF(B752="","",IFERROR(VLOOKUP(B752, PLANTA_BASE!A:R, 17, FALSE), "GENERAL"))</f>
        <v/>
      </c>
    </row>
    <row r="753" ht="20" customHeight="1">
      <c r="A753" s="5">
        <f>IF(B753="","",IFERROR(VLOOKUP(B753, PLANTA_BASE!A:R, 2, FALSE), "NO ENCONTRADO EN PLANTA"))</f>
        <v/>
      </c>
      <c r="B753" s="6" t="inlineStr"/>
      <c r="C753" s="7">
        <f>IF(B753="","",IFERROR(VLOOKUP(B753, PLANTA_BASE!A:R, 3, FALSE), ""))</f>
        <v/>
      </c>
      <c r="D753" s="5">
        <f>IF(B753="","",IFERROR(VLOOKUP(B753, PLANTA_BASE!A:R, 5, FALSE), "NO ENCONTRADO EN PLANTA"))</f>
        <v/>
      </c>
      <c r="E753" s="5">
        <f>IF(B753="","",IFERROR(VLOOKUP(B753, PLANTA_BASE!A:R, 6, FALSE), "NO ENCONTRADO EN PLANTA"))</f>
        <v/>
      </c>
      <c r="F753" s="7">
        <f>IF(B753="","",IFERROR(VLOOKUP(B753, PLANTA_BASE!A:R, 8, FALSE), "DOCENTE / FACILITADOR"))</f>
        <v/>
      </c>
      <c r="G753" s="7">
        <f>IF(B753="","",IFERROR(VLOOKUP(B753, PLANTA_BASE!A:R, 9, FALSE), "GENERAL"))</f>
        <v/>
      </c>
      <c r="H753" s="5">
        <f>IF(B753="","",IFERROR(VLOOKUP(B753, PLANTA_BASE!A:R, 17, FALSE), "GENERAL"))</f>
        <v/>
      </c>
    </row>
    <row r="754" ht="20" customHeight="1">
      <c r="A754" s="2">
        <f>IF(B754="","",IFERROR(VLOOKUP(B754, PLANTA_BASE!A:R, 2, FALSE), "NO ENCONTRADO EN PLANTA"))</f>
        <v/>
      </c>
      <c r="B754" s="3" t="inlineStr"/>
      <c r="C754" s="4">
        <f>IF(B754="","",IFERROR(VLOOKUP(B754, PLANTA_BASE!A:R, 3, FALSE), ""))</f>
        <v/>
      </c>
      <c r="D754" s="2">
        <f>IF(B754="","",IFERROR(VLOOKUP(B754, PLANTA_BASE!A:R, 5, FALSE), "NO ENCONTRADO EN PLANTA"))</f>
        <v/>
      </c>
      <c r="E754" s="2">
        <f>IF(B754="","",IFERROR(VLOOKUP(B754, PLANTA_BASE!A:R, 6, FALSE), "NO ENCONTRADO EN PLANTA"))</f>
        <v/>
      </c>
      <c r="F754" s="4">
        <f>IF(B754="","",IFERROR(VLOOKUP(B754, PLANTA_BASE!A:R, 8, FALSE), "DOCENTE / FACILITADOR"))</f>
        <v/>
      </c>
      <c r="G754" s="4">
        <f>IF(B754="","",IFERROR(VLOOKUP(B754, PLANTA_BASE!A:R, 9, FALSE), "GENERAL"))</f>
        <v/>
      </c>
      <c r="H754" s="2">
        <f>IF(B754="","",IFERROR(VLOOKUP(B754, PLANTA_BASE!A:R, 17, FALSE), "GENERAL"))</f>
        <v/>
      </c>
    </row>
    <row r="755" ht="20" customHeight="1">
      <c r="A755" s="5">
        <f>IF(B755="","",IFERROR(VLOOKUP(B755, PLANTA_BASE!A:R, 2, FALSE), "NO ENCONTRADO EN PLANTA"))</f>
        <v/>
      </c>
      <c r="B755" s="6" t="inlineStr"/>
      <c r="C755" s="7">
        <f>IF(B755="","",IFERROR(VLOOKUP(B755, PLANTA_BASE!A:R, 3, FALSE), ""))</f>
        <v/>
      </c>
      <c r="D755" s="5">
        <f>IF(B755="","",IFERROR(VLOOKUP(B755, PLANTA_BASE!A:R, 5, FALSE), "NO ENCONTRADO EN PLANTA"))</f>
        <v/>
      </c>
      <c r="E755" s="5">
        <f>IF(B755="","",IFERROR(VLOOKUP(B755, PLANTA_BASE!A:R, 6, FALSE), "NO ENCONTRADO EN PLANTA"))</f>
        <v/>
      </c>
      <c r="F755" s="7">
        <f>IF(B755="","",IFERROR(VLOOKUP(B755, PLANTA_BASE!A:R, 8, FALSE), "DOCENTE / FACILITADOR"))</f>
        <v/>
      </c>
      <c r="G755" s="7">
        <f>IF(B755="","",IFERROR(VLOOKUP(B755, PLANTA_BASE!A:R, 9, FALSE), "GENERAL"))</f>
        <v/>
      </c>
      <c r="H755" s="5">
        <f>IF(B755="","",IFERROR(VLOOKUP(B755, PLANTA_BASE!A:R, 17, FALSE), "GENERAL"))</f>
        <v/>
      </c>
    </row>
    <row r="756" ht="20" customHeight="1">
      <c r="A756" s="2">
        <f>IF(B756="","",IFERROR(VLOOKUP(B756, PLANTA_BASE!A:R, 2, FALSE), "NO ENCONTRADO EN PLANTA"))</f>
        <v/>
      </c>
      <c r="B756" s="3" t="inlineStr"/>
      <c r="C756" s="4">
        <f>IF(B756="","",IFERROR(VLOOKUP(B756, PLANTA_BASE!A:R, 3, FALSE), ""))</f>
        <v/>
      </c>
      <c r="D756" s="2">
        <f>IF(B756="","",IFERROR(VLOOKUP(B756, PLANTA_BASE!A:R, 5, FALSE), "NO ENCONTRADO EN PLANTA"))</f>
        <v/>
      </c>
      <c r="E756" s="2">
        <f>IF(B756="","",IFERROR(VLOOKUP(B756, PLANTA_BASE!A:R, 6, FALSE), "NO ENCONTRADO EN PLANTA"))</f>
        <v/>
      </c>
      <c r="F756" s="4">
        <f>IF(B756="","",IFERROR(VLOOKUP(B756, PLANTA_BASE!A:R, 8, FALSE), "DOCENTE / FACILITADOR"))</f>
        <v/>
      </c>
      <c r="G756" s="4">
        <f>IF(B756="","",IFERROR(VLOOKUP(B756, PLANTA_BASE!A:R, 9, FALSE), "GENERAL"))</f>
        <v/>
      </c>
      <c r="H756" s="2">
        <f>IF(B756="","",IFERROR(VLOOKUP(B756, PLANTA_BASE!A:R, 17, FALSE), "GENERAL"))</f>
        <v/>
      </c>
    </row>
    <row r="757" ht="20" customHeight="1">
      <c r="A757" s="5">
        <f>IF(B757="","",IFERROR(VLOOKUP(B757, PLANTA_BASE!A:R, 2, FALSE), "NO ENCONTRADO EN PLANTA"))</f>
        <v/>
      </c>
      <c r="B757" s="6" t="inlineStr"/>
      <c r="C757" s="7">
        <f>IF(B757="","",IFERROR(VLOOKUP(B757, PLANTA_BASE!A:R, 3, FALSE), ""))</f>
        <v/>
      </c>
      <c r="D757" s="5">
        <f>IF(B757="","",IFERROR(VLOOKUP(B757, PLANTA_BASE!A:R, 5, FALSE), "NO ENCONTRADO EN PLANTA"))</f>
        <v/>
      </c>
      <c r="E757" s="5">
        <f>IF(B757="","",IFERROR(VLOOKUP(B757, PLANTA_BASE!A:R, 6, FALSE), "NO ENCONTRADO EN PLANTA"))</f>
        <v/>
      </c>
      <c r="F757" s="7">
        <f>IF(B757="","",IFERROR(VLOOKUP(B757, PLANTA_BASE!A:R, 8, FALSE), "DOCENTE / FACILITADOR"))</f>
        <v/>
      </c>
      <c r="G757" s="7">
        <f>IF(B757="","",IFERROR(VLOOKUP(B757, PLANTA_BASE!A:R, 9, FALSE), "GENERAL"))</f>
        <v/>
      </c>
      <c r="H757" s="5">
        <f>IF(B757="","",IFERROR(VLOOKUP(B757, PLANTA_BASE!A:R, 17, FALSE), "GENERAL"))</f>
        <v/>
      </c>
    </row>
    <row r="758" ht="20" customHeight="1">
      <c r="A758" s="2">
        <f>IF(B758="","",IFERROR(VLOOKUP(B758, PLANTA_BASE!A:R, 2, FALSE), "NO ENCONTRADO EN PLANTA"))</f>
        <v/>
      </c>
      <c r="B758" s="3" t="inlineStr"/>
      <c r="C758" s="4">
        <f>IF(B758="","",IFERROR(VLOOKUP(B758, PLANTA_BASE!A:R, 3, FALSE), ""))</f>
        <v/>
      </c>
      <c r="D758" s="2">
        <f>IF(B758="","",IFERROR(VLOOKUP(B758, PLANTA_BASE!A:R, 5, FALSE), "NO ENCONTRADO EN PLANTA"))</f>
        <v/>
      </c>
      <c r="E758" s="2">
        <f>IF(B758="","",IFERROR(VLOOKUP(B758, PLANTA_BASE!A:R, 6, FALSE), "NO ENCONTRADO EN PLANTA"))</f>
        <v/>
      </c>
      <c r="F758" s="4">
        <f>IF(B758="","",IFERROR(VLOOKUP(B758, PLANTA_BASE!A:R, 8, FALSE), "DOCENTE / FACILITADOR"))</f>
        <v/>
      </c>
      <c r="G758" s="4">
        <f>IF(B758="","",IFERROR(VLOOKUP(B758, PLANTA_BASE!A:R, 9, FALSE), "GENERAL"))</f>
        <v/>
      </c>
      <c r="H758" s="2">
        <f>IF(B758="","",IFERROR(VLOOKUP(B758, PLANTA_BASE!A:R, 17, FALSE), "GENERAL"))</f>
        <v/>
      </c>
    </row>
    <row r="759" ht="20" customHeight="1">
      <c r="A759" s="5">
        <f>IF(B759="","",IFERROR(VLOOKUP(B759, PLANTA_BASE!A:R, 2, FALSE), "NO ENCONTRADO EN PLANTA"))</f>
        <v/>
      </c>
      <c r="B759" s="6" t="inlineStr"/>
      <c r="C759" s="7">
        <f>IF(B759="","",IFERROR(VLOOKUP(B759, PLANTA_BASE!A:R, 3, FALSE), ""))</f>
        <v/>
      </c>
      <c r="D759" s="5">
        <f>IF(B759="","",IFERROR(VLOOKUP(B759, PLANTA_BASE!A:R, 5, FALSE), "NO ENCONTRADO EN PLANTA"))</f>
        <v/>
      </c>
      <c r="E759" s="5">
        <f>IF(B759="","",IFERROR(VLOOKUP(B759, PLANTA_BASE!A:R, 6, FALSE), "NO ENCONTRADO EN PLANTA"))</f>
        <v/>
      </c>
      <c r="F759" s="7">
        <f>IF(B759="","",IFERROR(VLOOKUP(B759, PLANTA_BASE!A:R, 8, FALSE), "DOCENTE / FACILITADOR"))</f>
        <v/>
      </c>
      <c r="G759" s="7">
        <f>IF(B759="","",IFERROR(VLOOKUP(B759, PLANTA_BASE!A:R, 9, FALSE), "GENERAL"))</f>
        <v/>
      </c>
      <c r="H759" s="5">
        <f>IF(B759="","",IFERROR(VLOOKUP(B759, PLANTA_BASE!A:R, 17, FALSE), "GENERAL"))</f>
        <v/>
      </c>
    </row>
    <row r="760" ht="20" customHeight="1">
      <c r="A760" s="2">
        <f>IF(B760="","",IFERROR(VLOOKUP(B760, PLANTA_BASE!A:R, 2, FALSE), "NO ENCONTRADO EN PLANTA"))</f>
        <v/>
      </c>
      <c r="B760" s="3" t="inlineStr"/>
      <c r="C760" s="4">
        <f>IF(B760="","",IFERROR(VLOOKUP(B760, PLANTA_BASE!A:R, 3, FALSE), ""))</f>
        <v/>
      </c>
      <c r="D760" s="2">
        <f>IF(B760="","",IFERROR(VLOOKUP(B760, PLANTA_BASE!A:R, 5, FALSE), "NO ENCONTRADO EN PLANTA"))</f>
        <v/>
      </c>
      <c r="E760" s="2">
        <f>IF(B760="","",IFERROR(VLOOKUP(B760, PLANTA_BASE!A:R, 6, FALSE), "NO ENCONTRADO EN PLANTA"))</f>
        <v/>
      </c>
      <c r="F760" s="4">
        <f>IF(B760="","",IFERROR(VLOOKUP(B760, PLANTA_BASE!A:R, 8, FALSE), "DOCENTE / FACILITADOR"))</f>
        <v/>
      </c>
      <c r="G760" s="4">
        <f>IF(B760="","",IFERROR(VLOOKUP(B760, PLANTA_BASE!A:R, 9, FALSE), "GENERAL"))</f>
        <v/>
      </c>
      <c r="H760" s="2">
        <f>IF(B760="","",IFERROR(VLOOKUP(B760, PLANTA_BASE!A:R, 17, FALSE), "GENERAL"))</f>
        <v/>
      </c>
    </row>
    <row r="761" ht="20" customHeight="1">
      <c r="A761" s="5">
        <f>IF(B761="","",IFERROR(VLOOKUP(B761, PLANTA_BASE!A:R, 2, FALSE), "NO ENCONTRADO EN PLANTA"))</f>
        <v/>
      </c>
      <c r="B761" s="6" t="inlineStr"/>
      <c r="C761" s="7">
        <f>IF(B761="","",IFERROR(VLOOKUP(B761, PLANTA_BASE!A:R, 3, FALSE), ""))</f>
        <v/>
      </c>
      <c r="D761" s="5">
        <f>IF(B761="","",IFERROR(VLOOKUP(B761, PLANTA_BASE!A:R, 5, FALSE), "NO ENCONTRADO EN PLANTA"))</f>
        <v/>
      </c>
      <c r="E761" s="5">
        <f>IF(B761="","",IFERROR(VLOOKUP(B761, PLANTA_BASE!A:R, 6, FALSE), "NO ENCONTRADO EN PLANTA"))</f>
        <v/>
      </c>
      <c r="F761" s="7">
        <f>IF(B761="","",IFERROR(VLOOKUP(B761, PLANTA_BASE!A:R, 8, FALSE), "DOCENTE / FACILITADOR"))</f>
        <v/>
      </c>
      <c r="G761" s="7">
        <f>IF(B761="","",IFERROR(VLOOKUP(B761, PLANTA_BASE!A:R, 9, FALSE), "GENERAL"))</f>
        <v/>
      </c>
      <c r="H761" s="5">
        <f>IF(B761="","",IFERROR(VLOOKUP(B761, PLANTA_BASE!A:R, 17, FALSE), "GENERAL"))</f>
        <v/>
      </c>
    </row>
    <row r="762" ht="20" customHeight="1">
      <c r="A762" s="2">
        <f>IF(B762="","",IFERROR(VLOOKUP(B762, PLANTA_BASE!A:R, 2, FALSE), "NO ENCONTRADO EN PLANTA"))</f>
        <v/>
      </c>
      <c r="B762" s="3" t="inlineStr"/>
      <c r="C762" s="4">
        <f>IF(B762="","",IFERROR(VLOOKUP(B762, PLANTA_BASE!A:R, 3, FALSE), ""))</f>
        <v/>
      </c>
      <c r="D762" s="2">
        <f>IF(B762="","",IFERROR(VLOOKUP(B762, PLANTA_BASE!A:R, 5, FALSE), "NO ENCONTRADO EN PLANTA"))</f>
        <v/>
      </c>
      <c r="E762" s="2">
        <f>IF(B762="","",IFERROR(VLOOKUP(B762, PLANTA_BASE!A:R, 6, FALSE), "NO ENCONTRADO EN PLANTA"))</f>
        <v/>
      </c>
      <c r="F762" s="4">
        <f>IF(B762="","",IFERROR(VLOOKUP(B762, PLANTA_BASE!A:R, 8, FALSE), "DOCENTE / FACILITADOR"))</f>
        <v/>
      </c>
      <c r="G762" s="4">
        <f>IF(B762="","",IFERROR(VLOOKUP(B762, PLANTA_BASE!A:R, 9, FALSE), "GENERAL"))</f>
        <v/>
      </c>
      <c r="H762" s="2">
        <f>IF(B762="","",IFERROR(VLOOKUP(B762, PLANTA_BASE!A:R, 17, FALSE), "GENERAL"))</f>
        <v/>
      </c>
    </row>
    <row r="763" ht="20" customHeight="1">
      <c r="A763" s="5">
        <f>IF(B763="","",IFERROR(VLOOKUP(B763, PLANTA_BASE!A:R, 2, FALSE), "NO ENCONTRADO EN PLANTA"))</f>
        <v/>
      </c>
      <c r="B763" s="6" t="inlineStr"/>
      <c r="C763" s="7">
        <f>IF(B763="","",IFERROR(VLOOKUP(B763, PLANTA_BASE!A:R, 3, FALSE), ""))</f>
        <v/>
      </c>
      <c r="D763" s="5">
        <f>IF(B763="","",IFERROR(VLOOKUP(B763, PLANTA_BASE!A:R, 5, FALSE), "NO ENCONTRADO EN PLANTA"))</f>
        <v/>
      </c>
      <c r="E763" s="5">
        <f>IF(B763="","",IFERROR(VLOOKUP(B763, PLANTA_BASE!A:R, 6, FALSE), "NO ENCONTRADO EN PLANTA"))</f>
        <v/>
      </c>
      <c r="F763" s="7">
        <f>IF(B763="","",IFERROR(VLOOKUP(B763, PLANTA_BASE!A:R, 8, FALSE), "DOCENTE / FACILITADOR"))</f>
        <v/>
      </c>
      <c r="G763" s="7">
        <f>IF(B763="","",IFERROR(VLOOKUP(B763, PLANTA_BASE!A:R, 9, FALSE), "GENERAL"))</f>
        <v/>
      </c>
      <c r="H763" s="5">
        <f>IF(B763="","",IFERROR(VLOOKUP(B763, PLANTA_BASE!A:R, 17, FALSE), "GENERAL"))</f>
        <v/>
      </c>
    </row>
    <row r="764" ht="20" customHeight="1">
      <c r="A764" s="2">
        <f>IF(B764="","",IFERROR(VLOOKUP(B764, PLANTA_BASE!A:R, 2, FALSE), "NO ENCONTRADO EN PLANTA"))</f>
        <v/>
      </c>
      <c r="B764" s="3" t="inlineStr"/>
      <c r="C764" s="4">
        <f>IF(B764="","",IFERROR(VLOOKUP(B764, PLANTA_BASE!A:R, 3, FALSE), ""))</f>
        <v/>
      </c>
      <c r="D764" s="2">
        <f>IF(B764="","",IFERROR(VLOOKUP(B764, PLANTA_BASE!A:R, 5, FALSE), "NO ENCONTRADO EN PLANTA"))</f>
        <v/>
      </c>
      <c r="E764" s="2">
        <f>IF(B764="","",IFERROR(VLOOKUP(B764, PLANTA_BASE!A:R, 6, FALSE), "NO ENCONTRADO EN PLANTA"))</f>
        <v/>
      </c>
      <c r="F764" s="4">
        <f>IF(B764="","",IFERROR(VLOOKUP(B764, PLANTA_BASE!A:R, 8, FALSE), "DOCENTE / FACILITADOR"))</f>
        <v/>
      </c>
      <c r="G764" s="4">
        <f>IF(B764="","",IFERROR(VLOOKUP(B764, PLANTA_BASE!A:R, 9, FALSE), "GENERAL"))</f>
        <v/>
      </c>
      <c r="H764" s="2">
        <f>IF(B764="","",IFERROR(VLOOKUP(B764, PLANTA_BASE!A:R, 17, FALSE), "GENERAL"))</f>
        <v/>
      </c>
    </row>
    <row r="765" ht="20" customHeight="1">
      <c r="A765" s="5">
        <f>IF(B765="","",IFERROR(VLOOKUP(B765, PLANTA_BASE!A:R, 2, FALSE), "NO ENCONTRADO EN PLANTA"))</f>
        <v/>
      </c>
      <c r="B765" s="6" t="inlineStr"/>
      <c r="C765" s="7">
        <f>IF(B765="","",IFERROR(VLOOKUP(B765, PLANTA_BASE!A:R, 3, FALSE), ""))</f>
        <v/>
      </c>
      <c r="D765" s="5">
        <f>IF(B765="","",IFERROR(VLOOKUP(B765, PLANTA_BASE!A:R, 5, FALSE), "NO ENCONTRADO EN PLANTA"))</f>
        <v/>
      </c>
      <c r="E765" s="5">
        <f>IF(B765="","",IFERROR(VLOOKUP(B765, PLANTA_BASE!A:R, 6, FALSE), "NO ENCONTRADO EN PLANTA"))</f>
        <v/>
      </c>
      <c r="F765" s="7">
        <f>IF(B765="","",IFERROR(VLOOKUP(B765, PLANTA_BASE!A:R, 8, FALSE), "DOCENTE / FACILITADOR"))</f>
        <v/>
      </c>
      <c r="G765" s="7">
        <f>IF(B765="","",IFERROR(VLOOKUP(B765, PLANTA_BASE!A:R, 9, FALSE), "GENERAL"))</f>
        <v/>
      </c>
      <c r="H765" s="5">
        <f>IF(B765="","",IFERROR(VLOOKUP(B765, PLANTA_BASE!A:R, 17, FALSE), "GENERAL"))</f>
        <v/>
      </c>
    </row>
    <row r="766" ht="20" customHeight="1">
      <c r="A766" s="2">
        <f>IF(B766="","",IFERROR(VLOOKUP(B766, PLANTA_BASE!A:R, 2, FALSE), "NO ENCONTRADO EN PLANTA"))</f>
        <v/>
      </c>
      <c r="B766" s="3" t="inlineStr"/>
      <c r="C766" s="4">
        <f>IF(B766="","",IFERROR(VLOOKUP(B766, PLANTA_BASE!A:R, 3, FALSE), ""))</f>
        <v/>
      </c>
      <c r="D766" s="2">
        <f>IF(B766="","",IFERROR(VLOOKUP(B766, PLANTA_BASE!A:R, 5, FALSE), "NO ENCONTRADO EN PLANTA"))</f>
        <v/>
      </c>
      <c r="E766" s="2">
        <f>IF(B766="","",IFERROR(VLOOKUP(B766, PLANTA_BASE!A:R, 6, FALSE), "NO ENCONTRADO EN PLANTA"))</f>
        <v/>
      </c>
      <c r="F766" s="4">
        <f>IF(B766="","",IFERROR(VLOOKUP(B766, PLANTA_BASE!A:R, 8, FALSE), "DOCENTE / FACILITADOR"))</f>
        <v/>
      </c>
      <c r="G766" s="4">
        <f>IF(B766="","",IFERROR(VLOOKUP(B766, PLANTA_BASE!A:R, 9, FALSE), "GENERAL"))</f>
        <v/>
      </c>
      <c r="H766" s="2">
        <f>IF(B766="","",IFERROR(VLOOKUP(B766, PLANTA_BASE!A:R, 17, FALSE), "GENERAL"))</f>
        <v/>
      </c>
    </row>
    <row r="767" ht="20" customHeight="1">
      <c r="A767" s="5">
        <f>IF(B767="","",IFERROR(VLOOKUP(B767, PLANTA_BASE!A:R, 2, FALSE), "NO ENCONTRADO EN PLANTA"))</f>
        <v/>
      </c>
      <c r="B767" s="6" t="inlineStr"/>
      <c r="C767" s="7">
        <f>IF(B767="","",IFERROR(VLOOKUP(B767, PLANTA_BASE!A:R, 3, FALSE), ""))</f>
        <v/>
      </c>
      <c r="D767" s="5">
        <f>IF(B767="","",IFERROR(VLOOKUP(B767, PLANTA_BASE!A:R, 5, FALSE), "NO ENCONTRADO EN PLANTA"))</f>
        <v/>
      </c>
      <c r="E767" s="5">
        <f>IF(B767="","",IFERROR(VLOOKUP(B767, PLANTA_BASE!A:R, 6, FALSE), "NO ENCONTRADO EN PLANTA"))</f>
        <v/>
      </c>
      <c r="F767" s="7">
        <f>IF(B767="","",IFERROR(VLOOKUP(B767, PLANTA_BASE!A:R, 8, FALSE), "DOCENTE / FACILITADOR"))</f>
        <v/>
      </c>
      <c r="G767" s="7">
        <f>IF(B767="","",IFERROR(VLOOKUP(B767, PLANTA_BASE!A:R, 9, FALSE), "GENERAL"))</f>
        <v/>
      </c>
      <c r="H767" s="5">
        <f>IF(B767="","",IFERROR(VLOOKUP(B767, PLANTA_BASE!A:R, 17, FALSE), "GENERAL"))</f>
        <v/>
      </c>
    </row>
    <row r="768" ht="20" customHeight="1">
      <c r="A768" s="2">
        <f>IF(B768="","",IFERROR(VLOOKUP(B768, PLANTA_BASE!A:R, 2, FALSE), "NO ENCONTRADO EN PLANTA"))</f>
        <v/>
      </c>
      <c r="B768" s="3" t="inlineStr"/>
      <c r="C768" s="4">
        <f>IF(B768="","",IFERROR(VLOOKUP(B768, PLANTA_BASE!A:R, 3, FALSE), ""))</f>
        <v/>
      </c>
      <c r="D768" s="2">
        <f>IF(B768="","",IFERROR(VLOOKUP(B768, PLANTA_BASE!A:R, 5, FALSE), "NO ENCONTRADO EN PLANTA"))</f>
        <v/>
      </c>
      <c r="E768" s="2">
        <f>IF(B768="","",IFERROR(VLOOKUP(B768, PLANTA_BASE!A:R, 6, FALSE), "NO ENCONTRADO EN PLANTA"))</f>
        <v/>
      </c>
      <c r="F768" s="4">
        <f>IF(B768="","",IFERROR(VLOOKUP(B768, PLANTA_BASE!A:R, 8, FALSE), "DOCENTE / FACILITADOR"))</f>
        <v/>
      </c>
      <c r="G768" s="4">
        <f>IF(B768="","",IFERROR(VLOOKUP(B768, PLANTA_BASE!A:R, 9, FALSE), "GENERAL"))</f>
        <v/>
      </c>
      <c r="H768" s="2">
        <f>IF(B768="","",IFERROR(VLOOKUP(B768, PLANTA_BASE!A:R, 17, FALSE), "GENERAL"))</f>
        <v/>
      </c>
    </row>
    <row r="769" ht="20" customHeight="1">
      <c r="A769" s="5">
        <f>IF(B769="","",IFERROR(VLOOKUP(B769, PLANTA_BASE!A:R, 2, FALSE), "NO ENCONTRADO EN PLANTA"))</f>
        <v/>
      </c>
      <c r="B769" s="6" t="inlineStr"/>
      <c r="C769" s="7">
        <f>IF(B769="","",IFERROR(VLOOKUP(B769, PLANTA_BASE!A:R, 3, FALSE), ""))</f>
        <v/>
      </c>
      <c r="D769" s="5">
        <f>IF(B769="","",IFERROR(VLOOKUP(B769, PLANTA_BASE!A:R, 5, FALSE), "NO ENCONTRADO EN PLANTA"))</f>
        <v/>
      </c>
      <c r="E769" s="5">
        <f>IF(B769="","",IFERROR(VLOOKUP(B769, PLANTA_BASE!A:R, 6, FALSE), "NO ENCONTRADO EN PLANTA"))</f>
        <v/>
      </c>
      <c r="F769" s="7">
        <f>IF(B769="","",IFERROR(VLOOKUP(B769, PLANTA_BASE!A:R, 8, FALSE), "DOCENTE / FACILITADOR"))</f>
        <v/>
      </c>
      <c r="G769" s="7">
        <f>IF(B769="","",IFERROR(VLOOKUP(B769, PLANTA_BASE!A:R, 9, FALSE), "GENERAL"))</f>
        <v/>
      </c>
      <c r="H769" s="5">
        <f>IF(B769="","",IFERROR(VLOOKUP(B769, PLANTA_BASE!A:R, 17, FALSE), "GENERAL"))</f>
        <v/>
      </c>
    </row>
    <row r="770" ht="20" customHeight="1">
      <c r="A770" s="2">
        <f>IF(B770="","",IFERROR(VLOOKUP(B770, PLANTA_BASE!A:R, 2, FALSE), "NO ENCONTRADO EN PLANTA"))</f>
        <v/>
      </c>
      <c r="B770" s="3" t="inlineStr"/>
      <c r="C770" s="4">
        <f>IF(B770="","",IFERROR(VLOOKUP(B770, PLANTA_BASE!A:R, 3, FALSE), ""))</f>
        <v/>
      </c>
      <c r="D770" s="2">
        <f>IF(B770="","",IFERROR(VLOOKUP(B770, PLANTA_BASE!A:R, 5, FALSE), "NO ENCONTRADO EN PLANTA"))</f>
        <v/>
      </c>
      <c r="E770" s="2">
        <f>IF(B770="","",IFERROR(VLOOKUP(B770, PLANTA_BASE!A:R, 6, FALSE), "NO ENCONTRADO EN PLANTA"))</f>
        <v/>
      </c>
      <c r="F770" s="4">
        <f>IF(B770="","",IFERROR(VLOOKUP(B770, PLANTA_BASE!A:R, 8, FALSE), "DOCENTE / FACILITADOR"))</f>
        <v/>
      </c>
      <c r="G770" s="4">
        <f>IF(B770="","",IFERROR(VLOOKUP(B770, PLANTA_BASE!A:R, 9, FALSE), "GENERAL"))</f>
        <v/>
      </c>
      <c r="H770" s="2">
        <f>IF(B770="","",IFERROR(VLOOKUP(B770, PLANTA_BASE!A:R, 17, FALSE), "GENERAL"))</f>
        <v/>
      </c>
    </row>
    <row r="771" ht="20" customHeight="1">
      <c r="A771" s="5">
        <f>IF(B771="","",IFERROR(VLOOKUP(B771, PLANTA_BASE!A:R, 2, FALSE), "NO ENCONTRADO EN PLANTA"))</f>
        <v/>
      </c>
      <c r="B771" s="6" t="inlineStr"/>
      <c r="C771" s="7">
        <f>IF(B771="","",IFERROR(VLOOKUP(B771, PLANTA_BASE!A:R, 3, FALSE), ""))</f>
        <v/>
      </c>
      <c r="D771" s="5">
        <f>IF(B771="","",IFERROR(VLOOKUP(B771, PLANTA_BASE!A:R, 5, FALSE), "NO ENCONTRADO EN PLANTA"))</f>
        <v/>
      </c>
      <c r="E771" s="5">
        <f>IF(B771="","",IFERROR(VLOOKUP(B771, PLANTA_BASE!A:R, 6, FALSE), "NO ENCONTRADO EN PLANTA"))</f>
        <v/>
      </c>
      <c r="F771" s="7">
        <f>IF(B771="","",IFERROR(VLOOKUP(B771, PLANTA_BASE!A:R, 8, FALSE), "DOCENTE / FACILITADOR"))</f>
        <v/>
      </c>
      <c r="G771" s="7">
        <f>IF(B771="","",IFERROR(VLOOKUP(B771, PLANTA_BASE!A:R, 9, FALSE), "GENERAL"))</f>
        <v/>
      </c>
      <c r="H771" s="5">
        <f>IF(B771="","",IFERROR(VLOOKUP(B771, PLANTA_BASE!A:R, 17, FALSE), "GENERAL"))</f>
        <v/>
      </c>
    </row>
    <row r="772" ht="20" customHeight="1">
      <c r="A772" s="2">
        <f>IF(B772="","",IFERROR(VLOOKUP(B772, PLANTA_BASE!A:R, 2, FALSE), "NO ENCONTRADO EN PLANTA"))</f>
        <v/>
      </c>
      <c r="B772" s="3" t="inlineStr"/>
      <c r="C772" s="4">
        <f>IF(B772="","",IFERROR(VLOOKUP(B772, PLANTA_BASE!A:R, 3, FALSE), ""))</f>
        <v/>
      </c>
      <c r="D772" s="2">
        <f>IF(B772="","",IFERROR(VLOOKUP(B772, PLANTA_BASE!A:R, 5, FALSE), "NO ENCONTRADO EN PLANTA"))</f>
        <v/>
      </c>
      <c r="E772" s="2">
        <f>IF(B772="","",IFERROR(VLOOKUP(B772, PLANTA_BASE!A:R, 6, FALSE), "NO ENCONTRADO EN PLANTA"))</f>
        <v/>
      </c>
      <c r="F772" s="4">
        <f>IF(B772="","",IFERROR(VLOOKUP(B772, PLANTA_BASE!A:R, 8, FALSE), "DOCENTE / FACILITADOR"))</f>
        <v/>
      </c>
      <c r="G772" s="4">
        <f>IF(B772="","",IFERROR(VLOOKUP(B772, PLANTA_BASE!A:R, 9, FALSE), "GENERAL"))</f>
        <v/>
      </c>
      <c r="H772" s="2">
        <f>IF(B772="","",IFERROR(VLOOKUP(B772, PLANTA_BASE!A:R, 17, FALSE), "GENERAL"))</f>
        <v/>
      </c>
    </row>
    <row r="773" ht="20" customHeight="1">
      <c r="A773" s="5">
        <f>IF(B773="","",IFERROR(VLOOKUP(B773, PLANTA_BASE!A:R, 2, FALSE), "NO ENCONTRADO EN PLANTA"))</f>
        <v/>
      </c>
      <c r="B773" s="6" t="inlineStr"/>
      <c r="C773" s="7">
        <f>IF(B773="","",IFERROR(VLOOKUP(B773, PLANTA_BASE!A:R, 3, FALSE), ""))</f>
        <v/>
      </c>
      <c r="D773" s="5">
        <f>IF(B773="","",IFERROR(VLOOKUP(B773, PLANTA_BASE!A:R, 5, FALSE), "NO ENCONTRADO EN PLANTA"))</f>
        <v/>
      </c>
      <c r="E773" s="5">
        <f>IF(B773="","",IFERROR(VLOOKUP(B773, PLANTA_BASE!A:R, 6, FALSE), "NO ENCONTRADO EN PLANTA"))</f>
        <v/>
      </c>
      <c r="F773" s="7">
        <f>IF(B773="","",IFERROR(VLOOKUP(B773, PLANTA_BASE!A:R, 8, FALSE), "DOCENTE / FACILITADOR"))</f>
        <v/>
      </c>
      <c r="G773" s="7">
        <f>IF(B773="","",IFERROR(VLOOKUP(B773, PLANTA_BASE!A:R, 9, FALSE), "GENERAL"))</f>
        <v/>
      </c>
      <c r="H773" s="5">
        <f>IF(B773="","",IFERROR(VLOOKUP(B773, PLANTA_BASE!A:R, 17, FALSE), "GENERAL"))</f>
        <v/>
      </c>
    </row>
    <row r="774" ht="20" customHeight="1">
      <c r="A774" s="2">
        <f>IF(B774="","",IFERROR(VLOOKUP(B774, PLANTA_BASE!A:R, 2, FALSE), "NO ENCONTRADO EN PLANTA"))</f>
        <v/>
      </c>
      <c r="B774" s="3" t="inlineStr"/>
      <c r="C774" s="4">
        <f>IF(B774="","",IFERROR(VLOOKUP(B774, PLANTA_BASE!A:R, 3, FALSE), ""))</f>
        <v/>
      </c>
      <c r="D774" s="2">
        <f>IF(B774="","",IFERROR(VLOOKUP(B774, PLANTA_BASE!A:R, 5, FALSE), "NO ENCONTRADO EN PLANTA"))</f>
        <v/>
      </c>
      <c r="E774" s="2">
        <f>IF(B774="","",IFERROR(VLOOKUP(B774, PLANTA_BASE!A:R, 6, FALSE), "NO ENCONTRADO EN PLANTA"))</f>
        <v/>
      </c>
      <c r="F774" s="4">
        <f>IF(B774="","",IFERROR(VLOOKUP(B774, PLANTA_BASE!A:R, 8, FALSE), "DOCENTE / FACILITADOR"))</f>
        <v/>
      </c>
      <c r="G774" s="4">
        <f>IF(B774="","",IFERROR(VLOOKUP(B774, PLANTA_BASE!A:R, 9, FALSE), "GENERAL"))</f>
        <v/>
      </c>
      <c r="H774" s="2">
        <f>IF(B774="","",IFERROR(VLOOKUP(B774, PLANTA_BASE!A:R, 17, FALSE), "GENERAL"))</f>
        <v/>
      </c>
    </row>
    <row r="775" ht="20" customHeight="1">
      <c r="A775" s="5">
        <f>IF(B775="","",IFERROR(VLOOKUP(B775, PLANTA_BASE!A:R, 2, FALSE), "NO ENCONTRADO EN PLANTA"))</f>
        <v/>
      </c>
      <c r="B775" s="6" t="inlineStr"/>
      <c r="C775" s="7">
        <f>IF(B775="","",IFERROR(VLOOKUP(B775, PLANTA_BASE!A:R, 3, FALSE), ""))</f>
        <v/>
      </c>
      <c r="D775" s="5">
        <f>IF(B775="","",IFERROR(VLOOKUP(B775, PLANTA_BASE!A:R, 5, FALSE), "NO ENCONTRADO EN PLANTA"))</f>
        <v/>
      </c>
      <c r="E775" s="5">
        <f>IF(B775="","",IFERROR(VLOOKUP(B775, PLANTA_BASE!A:R, 6, FALSE), "NO ENCONTRADO EN PLANTA"))</f>
        <v/>
      </c>
      <c r="F775" s="7">
        <f>IF(B775="","",IFERROR(VLOOKUP(B775, PLANTA_BASE!A:R, 8, FALSE), "DOCENTE / FACILITADOR"))</f>
        <v/>
      </c>
      <c r="G775" s="7">
        <f>IF(B775="","",IFERROR(VLOOKUP(B775, PLANTA_BASE!A:R, 9, FALSE), "GENERAL"))</f>
        <v/>
      </c>
      <c r="H775" s="5">
        <f>IF(B775="","",IFERROR(VLOOKUP(B775, PLANTA_BASE!A:R, 17, FALSE), "GENERAL"))</f>
        <v/>
      </c>
    </row>
    <row r="776" ht="20" customHeight="1">
      <c r="A776" s="2">
        <f>IF(B776="","",IFERROR(VLOOKUP(B776, PLANTA_BASE!A:R, 2, FALSE), "NO ENCONTRADO EN PLANTA"))</f>
        <v/>
      </c>
      <c r="B776" s="3" t="inlineStr"/>
      <c r="C776" s="4">
        <f>IF(B776="","",IFERROR(VLOOKUP(B776, PLANTA_BASE!A:R, 3, FALSE), ""))</f>
        <v/>
      </c>
      <c r="D776" s="2">
        <f>IF(B776="","",IFERROR(VLOOKUP(B776, PLANTA_BASE!A:R, 5, FALSE), "NO ENCONTRADO EN PLANTA"))</f>
        <v/>
      </c>
      <c r="E776" s="2">
        <f>IF(B776="","",IFERROR(VLOOKUP(B776, PLANTA_BASE!A:R, 6, FALSE), "NO ENCONTRADO EN PLANTA"))</f>
        <v/>
      </c>
      <c r="F776" s="4">
        <f>IF(B776="","",IFERROR(VLOOKUP(B776, PLANTA_BASE!A:R, 8, FALSE), "DOCENTE / FACILITADOR"))</f>
        <v/>
      </c>
      <c r="G776" s="4">
        <f>IF(B776="","",IFERROR(VLOOKUP(B776, PLANTA_BASE!A:R, 9, FALSE), "GENERAL"))</f>
        <v/>
      </c>
      <c r="H776" s="2">
        <f>IF(B776="","",IFERROR(VLOOKUP(B776, PLANTA_BASE!A:R, 17, FALSE), "GENERAL"))</f>
        <v/>
      </c>
    </row>
    <row r="777" ht="20" customHeight="1">
      <c r="A777" s="5">
        <f>IF(B777="","",IFERROR(VLOOKUP(B777, PLANTA_BASE!A:R, 2, FALSE), "NO ENCONTRADO EN PLANTA"))</f>
        <v/>
      </c>
      <c r="B777" s="6" t="inlineStr"/>
      <c r="C777" s="7">
        <f>IF(B777="","",IFERROR(VLOOKUP(B777, PLANTA_BASE!A:R, 3, FALSE), ""))</f>
        <v/>
      </c>
      <c r="D777" s="5">
        <f>IF(B777="","",IFERROR(VLOOKUP(B777, PLANTA_BASE!A:R, 5, FALSE), "NO ENCONTRADO EN PLANTA"))</f>
        <v/>
      </c>
      <c r="E777" s="5">
        <f>IF(B777="","",IFERROR(VLOOKUP(B777, PLANTA_BASE!A:R, 6, FALSE), "NO ENCONTRADO EN PLANTA"))</f>
        <v/>
      </c>
      <c r="F777" s="7">
        <f>IF(B777="","",IFERROR(VLOOKUP(B777, PLANTA_BASE!A:R, 8, FALSE), "DOCENTE / FACILITADOR"))</f>
        <v/>
      </c>
      <c r="G777" s="7">
        <f>IF(B777="","",IFERROR(VLOOKUP(B777, PLANTA_BASE!A:R, 9, FALSE), "GENERAL"))</f>
        <v/>
      </c>
      <c r="H777" s="5">
        <f>IF(B777="","",IFERROR(VLOOKUP(B777, PLANTA_BASE!A:R, 17, FALSE), "GENERAL"))</f>
        <v/>
      </c>
    </row>
    <row r="778" ht="20" customHeight="1">
      <c r="A778" s="2">
        <f>IF(B778="","",IFERROR(VLOOKUP(B778, PLANTA_BASE!A:R, 2, FALSE), "NO ENCONTRADO EN PLANTA"))</f>
        <v/>
      </c>
      <c r="B778" s="3" t="inlineStr"/>
      <c r="C778" s="4">
        <f>IF(B778="","",IFERROR(VLOOKUP(B778, PLANTA_BASE!A:R, 3, FALSE), ""))</f>
        <v/>
      </c>
      <c r="D778" s="2">
        <f>IF(B778="","",IFERROR(VLOOKUP(B778, PLANTA_BASE!A:R, 5, FALSE), "NO ENCONTRADO EN PLANTA"))</f>
        <v/>
      </c>
      <c r="E778" s="2">
        <f>IF(B778="","",IFERROR(VLOOKUP(B778, PLANTA_BASE!A:R, 6, FALSE), "NO ENCONTRADO EN PLANTA"))</f>
        <v/>
      </c>
      <c r="F778" s="4">
        <f>IF(B778="","",IFERROR(VLOOKUP(B778, PLANTA_BASE!A:R, 8, FALSE), "DOCENTE / FACILITADOR"))</f>
        <v/>
      </c>
      <c r="G778" s="4">
        <f>IF(B778="","",IFERROR(VLOOKUP(B778, PLANTA_BASE!A:R, 9, FALSE), "GENERAL"))</f>
        <v/>
      </c>
      <c r="H778" s="2">
        <f>IF(B778="","",IFERROR(VLOOKUP(B778, PLANTA_BASE!A:R, 17, FALSE), "GENERAL"))</f>
        <v/>
      </c>
    </row>
    <row r="779" ht="20" customHeight="1">
      <c r="A779" s="5">
        <f>IF(B779="","",IFERROR(VLOOKUP(B779, PLANTA_BASE!A:R, 2, FALSE), "NO ENCONTRADO EN PLANTA"))</f>
        <v/>
      </c>
      <c r="B779" s="6" t="inlineStr"/>
      <c r="C779" s="7">
        <f>IF(B779="","",IFERROR(VLOOKUP(B779, PLANTA_BASE!A:R, 3, FALSE), ""))</f>
        <v/>
      </c>
      <c r="D779" s="5">
        <f>IF(B779="","",IFERROR(VLOOKUP(B779, PLANTA_BASE!A:R, 5, FALSE), "NO ENCONTRADO EN PLANTA"))</f>
        <v/>
      </c>
      <c r="E779" s="5">
        <f>IF(B779="","",IFERROR(VLOOKUP(B779, PLANTA_BASE!A:R, 6, FALSE), "NO ENCONTRADO EN PLANTA"))</f>
        <v/>
      </c>
      <c r="F779" s="7">
        <f>IF(B779="","",IFERROR(VLOOKUP(B779, PLANTA_BASE!A:R, 8, FALSE), "DOCENTE / FACILITADOR"))</f>
        <v/>
      </c>
      <c r="G779" s="7">
        <f>IF(B779="","",IFERROR(VLOOKUP(B779, PLANTA_BASE!A:R, 9, FALSE), "GENERAL"))</f>
        <v/>
      </c>
      <c r="H779" s="5">
        <f>IF(B779="","",IFERROR(VLOOKUP(B779, PLANTA_BASE!A:R, 17, FALSE), "GENERAL"))</f>
        <v/>
      </c>
    </row>
    <row r="780" ht="20" customHeight="1">
      <c r="A780" s="2">
        <f>IF(B780="","",IFERROR(VLOOKUP(B780, PLANTA_BASE!A:R, 2, FALSE), "NO ENCONTRADO EN PLANTA"))</f>
        <v/>
      </c>
      <c r="B780" s="3" t="inlineStr"/>
      <c r="C780" s="4">
        <f>IF(B780="","",IFERROR(VLOOKUP(B780, PLANTA_BASE!A:R, 3, FALSE), ""))</f>
        <v/>
      </c>
      <c r="D780" s="2">
        <f>IF(B780="","",IFERROR(VLOOKUP(B780, PLANTA_BASE!A:R, 5, FALSE), "NO ENCONTRADO EN PLANTA"))</f>
        <v/>
      </c>
      <c r="E780" s="2">
        <f>IF(B780="","",IFERROR(VLOOKUP(B780, PLANTA_BASE!A:R, 6, FALSE), "NO ENCONTRADO EN PLANTA"))</f>
        <v/>
      </c>
      <c r="F780" s="4">
        <f>IF(B780="","",IFERROR(VLOOKUP(B780, PLANTA_BASE!A:R, 8, FALSE), "DOCENTE / FACILITADOR"))</f>
        <v/>
      </c>
      <c r="G780" s="4">
        <f>IF(B780="","",IFERROR(VLOOKUP(B780, PLANTA_BASE!A:R, 9, FALSE), "GENERAL"))</f>
        <v/>
      </c>
      <c r="H780" s="2">
        <f>IF(B780="","",IFERROR(VLOOKUP(B780, PLANTA_BASE!A:R, 17, FALSE), "GENERAL"))</f>
        <v/>
      </c>
    </row>
    <row r="781" ht="20" customHeight="1">
      <c r="A781" s="5">
        <f>IF(B781="","",IFERROR(VLOOKUP(B781, PLANTA_BASE!A:R, 2, FALSE), "NO ENCONTRADO EN PLANTA"))</f>
        <v/>
      </c>
      <c r="B781" s="6" t="inlineStr"/>
      <c r="C781" s="7">
        <f>IF(B781="","",IFERROR(VLOOKUP(B781, PLANTA_BASE!A:R, 3, FALSE), ""))</f>
        <v/>
      </c>
      <c r="D781" s="5">
        <f>IF(B781="","",IFERROR(VLOOKUP(B781, PLANTA_BASE!A:R, 5, FALSE), "NO ENCONTRADO EN PLANTA"))</f>
        <v/>
      </c>
      <c r="E781" s="5">
        <f>IF(B781="","",IFERROR(VLOOKUP(B781, PLANTA_BASE!A:R, 6, FALSE), "NO ENCONTRADO EN PLANTA"))</f>
        <v/>
      </c>
      <c r="F781" s="7">
        <f>IF(B781="","",IFERROR(VLOOKUP(B781, PLANTA_BASE!A:R, 8, FALSE), "DOCENTE / FACILITADOR"))</f>
        <v/>
      </c>
      <c r="G781" s="7">
        <f>IF(B781="","",IFERROR(VLOOKUP(B781, PLANTA_BASE!A:R, 9, FALSE), "GENERAL"))</f>
        <v/>
      </c>
      <c r="H781" s="5">
        <f>IF(B781="","",IFERROR(VLOOKUP(B781, PLANTA_BASE!A:R, 17, FALSE), "GENERAL"))</f>
        <v/>
      </c>
    </row>
    <row r="782" ht="20" customHeight="1">
      <c r="A782" s="2">
        <f>IF(B782="","",IFERROR(VLOOKUP(B782, PLANTA_BASE!A:R, 2, FALSE), "NO ENCONTRADO EN PLANTA"))</f>
        <v/>
      </c>
      <c r="B782" s="3" t="inlineStr"/>
      <c r="C782" s="4">
        <f>IF(B782="","",IFERROR(VLOOKUP(B782, PLANTA_BASE!A:R, 3, FALSE), ""))</f>
        <v/>
      </c>
      <c r="D782" s="2">
        <f>IF(B782="","",IFERROR(VLOOKUP(B782, PLANTA_BASE!A:R, 5, FALSE), "NO ENCONTRADO EN PLANTA"))</f>
        <v/>
      </c>
      <c r="E782" s="2">
        <f>IF(B782="","",IFERROR(VLOOKUP(B782, PLANTA_BASE!A:R, 6, FALSE), "NO ENCONTRADO EN PLANTA"))</f>
        <v/>
      </c>
      <c r="F782" s="4">
        <f>IF(B782="","",IFERROR(VLOOKUP(B782, PLANTA_BASE!A:R, 8, FALSE), "DOCENTE / FACILITADOR"))</f>
        <v/>
      </c>
      <c r="G782" s="4">
        <f>IF(B782="","",IFERROR(VLOOKUP(B782, PLANTA_BASE!A:R, 9, FALSE), "GENERAL"))</f>
        <v/>
      </c>
      <c r="H782" s="2">
        <f>IF(B782="","",IFERROR(VLOOKUP(B782, PLANTA_BASE!A:R, 17, FALSE), "GENERAL"))</f>
        <v/>
      </c>
    </row>
    <row r="783" ht="20" customHeight="1">
      <c r="A783" s="5">
        <f>IF(B783="","",IFERROR(VLOOKUP(B783, PLANTA_BASE!A:R, 2, FALSE), "NO ENCONTRADO EN PLANTA"))</f>
        <v/>
      </c>
      <c r="B783" s="6" t="inlineStr"/>
      <c r="C783" s="7">
        <f>IF(B783="","",IFERROR(VLOOKUP(B783, PLANTA_BASE!A:R, 3, FALSE), ""))</f>
        <v/>
      </c>
      <c r="D783" s="5">
        <f>IF(B783="","",IFERROR(VLOOKUP(B783, PLANTA_BASE!A:R, 5, FALSE), "NO ENCONTRADO EN PLANTA"))</f>
        <v/>
      </c>
      <c r="E783" s="5">
        <f>IF(B783="","",IFERROR(VLOOKUP(B783, PLANTA_BASE!A:R, 6, FALSE), "NO ENCONTRADO EN PLANTA"))</f>
        <v/>
      </c>
      <c r="F783" s="7">
        <f>IF(B783="","",IFERROR(VLOOKUP(B783, PLANTA_BASE!A:R, 8, FALSE), "DOCENTE / FACILITADOR"))</f>
        <v/>
      </c>
      <c r="G783" s="7">
        <f>IF(B783="","",IFERROR(VLOOKUP(B783, PLANTA_BASE!A:R, 9, FALSE), "GENERAL"))</f>
        <v/>
      </c>
      <c r="H783" s="5">
        <f>IF(B783="","",IFERROR(VLOOKUP(B783, PLANTA_BASE!A:R, 17, FALSE), "GENERAL"))</f>
        <v/>
      </c>
    </row>
    <row r="784" ht="20" customHeight="1">
      <c r="A784" s="2">
        <f>IF(B784="","",IFERROR(VLOOKUP(B784, PLANTA_BASE!A:R, 2, FALSE), "NO ENCONTRADO EN PLANTA"))</f>
        <v/>
      </c>
      <c r="B784" s="3" t="inlineStr"/>
      <c r="C784" s="4">
        <f>IF(B784="","",IFERROR(VLOOKUP(B784, PLANTA_BASE!A:R, 3, FALSE), ""))</f>
        <v/>
      </c>
      <c r="D784" s="2">
        <f>IF(B784="","",IFERROR(VLOOKUP(B784, PLANTA_BASE!A:R, 5, FALSE), "NO ENCONTRADO EN PLANTA"))</f>
        <v/>
      </c>
      <c r="E784" s="2">
        <f>IF(B784="","",IFERROR(VLOOKUP(B784, PLANTA_BASE!A:R, 6, FALSE), "NO ENCONTRADO EN PLANTA"))</f>
        <v/>
      </c>
      <c r="F784" s="4">
        <f>IF(B784="","",IFERROR(VLOOKUP(B784, PLANTA_BASE!A:R, 8, FALSE), "DOCENTE / FACILITADOR"))</f>
        <v/>
      </c>
      <c r="G784" s="4">
        <f>IF(B784="","",IFERROR(VLOOKUP(B784, PLANTA_BASE!A:R, 9, FALSE), "GENERAL"))</f>
        <v/>
      </c>
      <c r="H784" s="2">
        <f>IF(B784="","",IFERROR(VLOOKUP(B784, PLANTA_BASE!A:R, 17, FALSE), "GENERAL"))</f>
        <v/>
      </c>
    </row>
    <row r="785" ht="20" customHeight="1">
      <c r="A785" s="5">
        <f>IF(B785="","",IFERROR(VLOOKUP(B785, PLANTA_BASE!A:R, 2, FALSE), "NO ENCONTRADO EN PLANTA"))</f>
        <v/>
      </c>
      <c r="B785" s="6" t="inlineStr"/>
      <c r="C785" s="7">
        <f>IF(B785="","",IFERROR(VLOOKUP(B785, PLANTA_BASE!A:R, 3, FALSE), ""))</f>
        <v/>
      </c>
      <c r="D785" s="5">
        <f>IF(B785="","",IFERROR(VLOOKUP(B785, PLANTA_BASE!A:R, 5, FALSE), "NO ENCONTRADO EN PLANTA"))</f>
        <v/>
      </c>
      <c r="E785" s="5">
        <f>IF(B785="","",IFERROR(VLOOKUP(B785, PLANTA_BASE!A:R, 6, FALSE), "NO ENCONTRADO EN PLANTA"))</f>
        <v/>
      </c>
      <c r="F785" s="7">
        <f>IF(B785="","",IFERROR(VLOOKUP(B785, PLANTA_BASE!A:R, 8, FALSE), "DOCENTE / FACILITADOR"))</f>
        <v/>
      </c>
      <c r="G785" s="7">
        <f>IF(B785="","",IFERROR(VLOOKUP(B785, PLANTA_BASE!A:R, 9, FALSE), "GENERAL"))</f>
        <v/>
      </c>
      <c r="H785" s="5">
        <f>IF(B785="","",IFERROR(VLOOKUP(B785, PLANTA_BASE!A:R, 17, FALSE), "GENERAL"))</f>
        <v/>
      </c>
    </row>
    <row r="786" ht="20" customHeight="1">
      <c r="A786" s="2">
        <f>IF(B786="","",IFERROR(VLOOKUP(B786, PLANTA_BASE!A:R, 2, FALSE), "NO ENCONTRADO EN PLANTA"))</f>
        <v/>
      </c>
      <c r="B786" s="3" t="inlineStr"/>
      <c r="C786" s="4">
        <f>IF(B786="","",IFERROR(VLOOKUP(B786, PLANTA_BASE!A:R, 3, FALSE), ""))</f>
        <v/>
      </c>
      <c r="D786" s="2">
        <f>IF(B786="","",IFERROR(VLOOKUP(B786, PLANTA_BASE!A:R, 5, FALSE), "NO ENCONTRADO EN PLANTA"))</f>
        <v/>
      </c>
      <c r="E786" s="2">
        <f>IF(B786="","",IFERROR(VLOOKUP(B786, PLANTA_BASE!A:R, 6, FALSE), "NO ENCONTRADO EN PLANTA"))</f>
        <v/>
      </c>
      <c r="F786" s="4">
        <f>IF(B786="","",IFERROR(VLOOKUP(B786, PLANTA_BASE!A:R, 8, FALSE), "DOCENTE / FACILITADOR"))</f>
        <v/>
      </c>
      <c r="G786" s="4">
        <f>IF(B786="","",IFERROR(VLOOKUP(B786, PLANTA_BASE!A:R, 9, FALSE), "GENERAL"))</f>
        <v/>
      </c>
      <c r="H786" s="2">
        <f>IF(B786="","",IFERROR(VLOOKUP(B786, PLANTA_BASE!A:R, 17, FALSE), "GENERAL"))</f>
        <v/>
      </c>
    </row>
    <row r="787" ht="20" customHeight="1">
      <c r="A787" s="5">
        <f>IF(B787="","",IFERROR(VLOOKUP(B787, PLANTA_BASE!A:R, 2, FALSE), "NO ENCONTRADO EN PLANTA"))</f>
        <v/>
      </c>
      <c r="B787" s="6" t="inlineStr"/>
      <c r="C787" s="7">
        <f>IF(B787="","",IFERROR(VLOOKUP(B787, PLANTA_BASE!A:R, 3, FALSE), ""))</f>
        <v/>
      </c>
      <c r="D787" s="5">
        <f>IF(B787="","",IFERROR(VLOOKUP(B787, PLANTA_BASE!A:R, 5, FALSE), "NO ENCONTRADO EN PLANTA"))</f>
        <v/>
      </c>
      <c r="E787" s="5">
        <f>IF(B787="","",IFERROR(VLOOKUP(B787, PLANTA_BASE!A:R, 6, FALSE), "NO ENCONTRADO EN PLANTA"))</f>
        <v/>
      </c>
      <c r="F787" s="7">
        <f>IF(B787="","",IFERROR(VLOOKUP(B787, PLANTA_BASE!A:R, 8, FALSE), "DOCENTE / FACILITADOR"))</f>
        <v/>
      </c>
      <c r="G787" s="7">
        <f>IF(B787="","",IFERROR(VLOOKUP(B787, PLANTA_BASE!A:R, 9, FALSE), "GENERAL"))</f>
        <v/>
      </c>
      <c r="H787" s="5">
        <f>IF(B787="","",IFERROR(VLOOKUP(B787, PLANTA_BASE!A:R, 17, FALSE), "GENERAL"))</f>
        <v/>
      </c>
    </row>
    <row r="788" ht="20" customHeight="1">
      <c r="A788" s="2">
        <f>IF(B788="","",IFERROR(VLOOKUP(B788, PLANTA_BASE!A:R, 2, FALSE), "NO ENCONTRADO EN PLANTA"))</f>
        <v/>
      </c>
      <c r="B788" s="3" t="inlineStr"/>
      <c r="C788" s="4">
        <f>IF(B788="","",IFERROR(VLOOKUP(B788, PLANTA_BASE!A:R, 3, FALSE), ""))</f>
        <v/>
      </c>
      <c r="D788" s="2">
        <f>IF(B788="","",IFERROR(VLOOKUP(B788, PLANTA_BASE!A:R, 5, FALSE), "NO ENCONTRADO EN PLANTA"))</f>
        <v/>
      </c>
      <c r="E788" s="2">
        <f>IF(B788="","",IFERROR(VLOOKUP(B788, PLANTA_BASE!A:R, 6, FALSE), "NO ENCONTRADO EN PLANTA"))</f>
        <v/>
      </c>
      <c r="F788" s="4">
        <f>IF(B788="","",IFERROR(VLOOKUP(B788, PLANTA_BASE!A:R, 8, FALSE), "DOCENTE / FACILITADOR"))</f>
        <v/>
      </c>
      <c r="G788" s="4">
        <f>IF(B788="","",IFERROR(VLOOKUP(B788, PLANTA_BASE!A:R, 9, FALSE), "GENERAL"))</f>
        <v/>
      </c>
      <c r="H788" s="2">
        <f>IF(B788="","",IFERROR(VLOOKUP(B788, PLANTA_BASE!A:R, 17, FALSE), "GENERAL"))</f>
        <v/>
      </c>
    </row>
    <row r="789" ht="20" customHeight="1">
      <c r="A789" s="5">
        <f>IF(B789="","",IFERROR(VLOOKUP(B789, PLANTA_BASE!A:R, 2, FALSE), "NO ENCONTRADO EN PLANTA"))</f>
        <v/>
      </c>
      <c r="B789" s="6" t="inlineStr"/>
      <c r="C789" s="7">
        <f>IF(B789="","",IFERROR(VLOOKUP(B789, PLANTA_BASE!A:R, 3, FALSE), ""))</f>
        <v/>
      </c>
      <c r="D789" s="5">
        <f>IF(B789="","",IFERROR(VLOOKUP(B789, PLANTA_BASE!A:R, 5, FALSE), "NO ENCONTRADO EN PLANTA"))</f>
        <v/>
      </c>
      <c r="E789" s="5">
        <f>IF(B789="","",IFERROR(VLOOKUP(B789, PLANTA_BASE!A:R, 6, FALSE), "NO ENCONTRADO EN PLANTA"))</f>
        <v/>
      </c>
      <c r="F789" s="7">
        <f>IF(B789="","",IFERROR(VLOOKUP(B789, PLANTA_BASE!A:R, 8, FALSE), "DOCENTE / FACILITADOR"))</f>
        <v/>
      </c>
      <c r="G789" s="7">
        <f>IF(B789="","",IFERROR(VLOOKUP(B789, PLANTA_BASE!A:R, 9, FALSE), "GENERAL"))</f>
        <v/>
      </c>
      <c r="H789" s="5">
        <f>IF(B789="","",IFERROR(VLOOKUP(B789, PLANTA_BASE!A:R, 17, FALSE), "GENERAL"))</f>
        <v/>
      </c>
    </row>
    <row r="790" ht="20" customHeight="1">
      <c r="A790" s="2">
        <f>IF(B790="","",IFERROR(VLOOKUP(B790, PLANTA_BASE!A:R, 2, FALSE), "NO ENCONTRADO EN PLANTA"))</f>
        <v/>
      </c>
      <c r="B790" s="3" t="inlineStr"/>
      <c r="C790" s="4">
        <f>IF(B790="","",IFERROR(VLOOKUP(B790, PLANTA_BASE!A:R, 3, FALSE), ""))</f>
        <v/>
      </c>
      <c r="D790" s="2">
        <f>IF(B790="","",IFERROR(VLOOKUP(B790, PLANTA_BASE!A:R, 5, FALSE), "NO ENCONTRADO EN PLANTA"))</f>
        <v/>
      </c>
      <c r="E790" s="2">
        <f>IF(B790="","",IFERROR(VLOOKUP(B790, PLANTA_BASE!A:R, 6, FALSE), "NO ENCONTRADO EN PLANTA"))</f>
        <v/>
      </c>
      <c r="F790" s="4">
        <f>IF(B790="","",IFERROR(VLOOKUP(B790, PLANTA_BASE!A:R, 8, FALSE), "DOCENTE / FACILITADOR"))</f>
        <v/>
      </c>
      <c r="G790" s="4">
        <f>IF(B790="","",IFERROR(VLOOKUP(B790, PLANTA_BASE!A:R, 9, FALSE), "GENERAL"))</f>
        <v/>
      </c>
      <c r="H790" s="2">
        <f>IF(B790="","",IFERROR(VLOOKUP(B790, PLANTA_BASE!A:R, 17, FALSE), "GENERAL"))</f>
        <v/>
      </c>
    </row>
    <row r="791" ht="20" customHeight="1">
      <c r="A791" s="5">
        <f>IF(B791="","",IFERROR(VLOOKUP(B791, PLANTA_BASE!A:R, 2, FALSE), "NO ENCONTRADO EN PLANTA"))</f>
        <v/>
      </c>
      <c r="B791" s="6" t="inlineStr"/>
      <c r="C791" s="7">
        <f>IF(B791="","",IFERROR(VLOOKUP(B791, PLANTA_BASE!A:R, 3, FALSE), ""))</f>
        <v/>
      </c>
      <c r="D791" s="5">
        <f>IF(B791="","",IFERROR(VLOOKUP(B791, PLANTA_BASE!A:R, 5, FALSE), "NO ENCONTRADO EN PLANTA"))</f>
        <v/>
      </c>
      <c r="E791" s="5">
        <f>IF(B791="","",IFERROR(VLOOKUP(B791, PLANTA_BASE!A:R, 6, FALSE), "NO ENCONTRADO EN PLANTA"))</f>
        <v/>
      </c>
      <c r="F791" s="7">
        <f>IF(B791="","",IFERROR(VLOOKUP(B791, PLANTA_BASE!A:R, 8, FALSE), "DOCENTE / FACILITADOR"))</f>
        <v/>
      </c>
      <c r="G791" s="7">
        <f>IF(B791="","",IFERROR(VLOOKUP(B791, PLANTA_BASE!A:R, 9, FALSE), "GENERAL"))</f>
        <v/>
      </c>
      <c r="H791" s="5">
        <f>IF(B791="","",IFERROR(VLOOKUP(B791, PLANTA_BASE!A:R, 17, FALSE), "GENERAL"))</f>
        <v/>
      </c>
    </row>
    <row r="792" ht="20" customHeight="1">
      <c r="A792" s="2">
        <f>IF(B792="","",IFERROR(VLOOKUP(B792, PLANTA_BASE!A:R, 2, FALSE), "NO ENCONTRADO EN PLANTA"))</f>
        <v/>
      </c>
      <c r="B792" s="3" t="inlineStr"/>
      <c r="C792" s="4">
        <f>IF(B792="","",IFERROR(VLOOKUP(B792, PLANTA_BASE!A:R, 3, FALSE), ""))</f>
        <v/>
      </c>
      <c r="D792" s="2">
        <f>IF(B792="","",IFERROR(VLOOKUP(B792, PLANTA_BASE!A:R, 5, FALSE), "NO ENCONTRADO EN PLANTA"))</f>
        <v/>
      </c>
      <c r="E792" s="2">
        <f>IF(B792="","",IFERROR(VLOOKUP(B792, PLANTA_BASE!A:R, 6, FALSE), "NO ENCONTRADO EN PLANTA"))</f>
        <v/>
      </c>
      <c r="F792" s="4">
        <f>IF(B792="","",IFERROR(VLOOKUP(B792, PLANTA_BASE!A:R, 8, FALSE), "DOCENTE / FACILITADOR"))</f>
        <v/>
      </c>
      <c r="G792" s="4">
        <f>IF(B792="","",IFERROR(VLOOKUP(B792, PLANTA_BASE!A:R, 9, FALSE), "GENERAL"))</f>
        <v/>
      </c>
      <c r="H792" s="2">
        <f>IF(B792="","",IFERROR(VLOOKUP(B792, PLANTA_BASE!A:R, 17, FALSE), "GENERAL"))</f>
        <v/>
      </c>
    </row>
    <row r="793" ht="20" customHeight="1">
      <c r="A793" s="5">
        <f>IF(B793="","",IFERROR(VLOOKUP(B793, PLANTA_BASE!A:R, 2, FALSE), "NO ENCONTRADO EN PLANTA"))</f>
        <v/>
      </c>
      <c r="B793" s="6" t="inlineStr"/>
      <c r="C793" s="7">
        <f>IF(B793="","",IFERROR(VLOOKUP(B793, PLANTA_BASE!A:R, 3, FALSE), ""))</f>
        <v/>
      </c>
      <c r="D793" s="5">
        <f>IF(B793="","",IFERROR(VLOOKUP(B793, PLANTA_BASE!A:R, 5, FALSE), "NO ENCONTRADO EN PLANTA"))</f>
        <v/>
      </c>
      <c r="E793" s="5">
        <f>IF(B793="","",IFERROR(VLOOKUP(B793, PLANTA_BASE!A:R, 6, FALSE), "NO ENCONTRADO EN PLANTA"))</f>
        <v/>
      </c>
      <c r="F793" s="7">
        <f>IF(B793="","",IFERROR(VLOOKUP(B793, PLANTA_BASE!A:R, 8, FALSE), "DOCENTE / FACILITADOR"))</f>
        <v/>
      </c>
      <c r="G793" s="7">
        <f>IF(B793="","",IFERROR(VLOOKUP(B793, PLANTA_BASE!A:R, 9, FALSE), "GENERAL"))</f>
        <v/>
      </c>
      <c r="H793" s="5">
        <f>IF(B793="","",IFERROR(VLOOKUP(B793, PLANTA_BASE!A:R, 17, FALSE), "GENERAL"))</f>
        <v/>
      </c>
    </row>
    <row r="794" ht="20" customHeight="1">
      <c r="A794" s="2">
        <f>IF(B794="","",IFERROR(VLOOKUP(B794, PLANTA_BASE!A:R, 2, FALSE), "NO ENCONTRADO EN PLANTA"))</f>
        <v/>
      </c>
      <c r="B794" s="3" t="inlineStr"/>
      <c r="C794" s="4">
        <f>IF(B794="","",IFERROR(VLOOKUP(B794, PLANTA_BASE!A:R, 3, FALSE), ""))</f>
        <v/>
      </c>
      <c r="D794" s="2">
        <f>IF(B794="","",IFERROR(VLOOKUP(B794, PLANTA_BASE!A:R, 5, FALSE), "NO ENCONTRADO EN PLANTA"))</f>
        <v/>
      </c>
      <c r="E794" s="2">
        <f>IF(B794="","",IFERROR(VLOOKUP(B794, PLANTA_BASE!A:R, 6, FALSE), "NO ENCONTRADO EN PLANTA"))</f>
        <v/>
      </c>
      <c r="F794" s="4">
        <f>IF(B794="","",IFERROR(VLOOKUP(B794, PLANTA_BASE!A:R, 8, FALSE), "DOCENTE / FACILITADOR"))</f>
        <v/>
      </c>
      <c r="G794" s="4">
        <f>IF(B794="","",IFERROR(VLOOKUP(B794, PLANTA_BASE!A:R, 9, FALSE), "GENERAL"))</f>
        <v/>
      </c>
      <c r="H794" s="2">
        <f>IF(B794="","",IFERROR(VLOOKUP(B794, PLANTA_BASE!A:R, 17, FALSE), "GENERAL"))</f>
        <v/>
      </c>
    </row>
    <row r="795" ht="20" customHeight="1">
      <c r="A795" s="5">
        <f>IF(B795="","",IFERROR(VLOOKUP(B795, PLANTA_BASE!A:R, 2, FALSE), "NO ENCONTRADO EN PLANTA"))</f>
        <v/>
      </c>
      <c r="B795" s="6" t="inlineStr"/>
      <c r="C795" s="7">
        <f>IF(B795="","",IFERROR(VLOOKUP(B795, PLANTA_BASE!A:R, 3, FALSE), ""))</f>
        <v/>
      </c>
      <c r="D795" s="5">
        <f>IF(B795="","",IFERROR(VLOOKUP(B795, PLANTA_BASE!A:R, 5, FALSE), "NO ENCONTRADO EN PLANTA"))</f>
        <v/>
      </c>
      <c r="E795" s="5">
        <f>IF(B795="","",IFERROR(VLOOKUP(B795, PLANTA_BASE!A:R, 6, FALSE), "NO ENCONTRADO EN PLANTA"))</f>
        <v/>
      </c>
      <c r="F795" s="7">
        <f>IF(B795="","",IFERROR(VLOOKUP(B795, PLANTA_BASE!A:R, 8, FALSE), "DOCENTE / FACILITADOR"))</f>
        <v/>
      </c>
      <c r="G795" s="7">
        <f>IF(B795="","",IFERROR(VLOOKUP(B795, PLANTA_BASE!A:R, 9, FALSE), "GENERAL"))</f>
        <v/>
      </c>
      <c r="H795" s="5">
        <f>IF(B795="","",IFERROR(VLOOKUP(B795, PLANTA_BASE!A:R, 17, FALSE), "GENERAL"))</f>
        <v/>
      </c>
    </row>
    <row r="796" ht="20" customHeight="1">
      <c r="A796" s="2">
        <f>IF(B796="","",IFERROR(VLOOKUP(B796, PLANTA_BASE!A:R, 2, FALSE), "NO ENCONTRADO EN PLANTA"))</f>
        <v/>
      </c>
      <c r="B796" s="3" t="inlineStr"/>
      <c r="C796" s="4">
        <f>IF(B796="","",IFERROR(VLOOKUP(B796, PLANTA_BASE!A:R, 3, FALSE), ""))</f>
        <v/>
      </c>
      <c r="D796" s="2">
        <f>IF(B796="","",IFERROR(VLOOKUP(B796, PLANTA_BASE!A:R, 5, FALSE), "NO ENCONTRADO EN PLANTA"))</f>
        <v/>
      </c>
      <c r="E796" s="2">
        <f>IF(B796="","",IFERROR(VLOOKUP(B796, PLANTA_BASE!A:R, 6, FALSE), "NO ENCONTRADO EN PLANTA"))</f>
        <v/>
      </c>
      <c r="F796" s="4">
        <f>IF(B796="","",IFERROR(VLOOKUP(B796, PLANTA_BASE!A:R, 8, FALSE), "DOCENTE / FACILITADOR"))</f>
        <v/>
      </c>
      <c r="G796" s="4">
        <f>IF(B796="","",IFERROR(VLOOKUP(B796, PLANTA_BASE!A:R, 9, FALSE), "GENERAL"))</f>
        <v/>
      </c>
      <c r="H796" s="2">
        <f>IF(B796="","",IFERROR(VLOOKUP(B796, PLANTA_BASE!A:R, 17, FALSE), "GENERAL"))</f>
        <v/>
      </c>
    </row>
    <row r="797" ht="20" customHeight="1">
      <c r="A797" s="5">
        <f>IF(B797="","",IFERROR(VLOOKUP(B797, PLANTA_BASE!A:R, 2, FALSE), "NO ENCONTRADO EN PLANTA"))</f>
        <v/>
      </c>
      <c r="B797" s="6" t="inlineStr"/>
      <c r="C797" s="7">
        <f>IF(B797="","",IFERROR(VLOOKUP(B797, PLANTA_BASE!A:R, 3, FALSE), ""))</f>
        <v/>
      </c>
      <c r="D797" s="5">
        <f>IF(B797="","",IFERROR(VLOOKUP(B797, PLANTA_BASE!A:R, 5, FALSE), "NO ENCONTRADO EN PLANTA"))</f>
        <v/>
      </c>
      <c r="E797" s="5">
        <f>IF(B797="","",IFERROR(VLOOKUP(B797, PLANTA_BASE!A:R, 6, FALSE), "NO ENCONTRADO EN PLANTA"))</f>
        <v/>
      </c>
      <c r="F797" s="7">
        <f>IF(B797="","",IFERROR(VLOOKUP(B797, PLANTA_BASE!A:R, 8, FALSE), "DOCENTE / FACILITADOR"))</f>
        <v/>
      </c>
      <c r="G797" s="7">
        <f>IF(B797="","",IFERROR(VLOOKUP(B797, PLANTA_BASE!A:R, 9, FALSE), "GENERAL"))</f>
        <v/>
      </c>
      <c r="H797" s="5">
        <f>IF(B797="","",IFERROR(VLOOKUP(B797, PLANTA_BASE!A:R, 17, FALSE), "GENERAL"))</f>
        <v/>
      </c>
    </row>
    <row r="798" ht="20" customHeight="1">
      <c r="A798" s="2">
        <f>IF(B798="","",IFERROR(VLOOKUP(B798, PLANTA_BASE!A:R, 2, FALSE), "NO ENCONTRADO EN PLANTA"))</f>
        <v/>
      </c>
      <c r="B798" s="3" t="inlineStr"/>
      <c r="C798" s="4">
        <f>IF(B798="","",IFERROR(VLOOKUP(B798, PLANTA_BASE!A:R, 3, FALSE), ""))</f>
        <v/>
      </c>
      <c r="D798" s="2">
        <f>IF(B798="","",IFERROR(VLOOKUP(B798, PLANTA_BASE!A:R, 5, FALSE), "NO ENCONTRADO EN PLANTA"))</f>
        <v/>
      </c>
      <c r="E798" s="2">
        <f>IF(B798="","",IFERROR(VLOOKUP(B798, PLANTA_BASE!A:R, 6, FALSE), "NO ENCONTRADO EN PLANTA"))</f>
        <v/>
      </c>
      <c r="F798" s="4">
        <f>IF(B798="","",IFERROR(VLOOKUP(B798, PLANTA_BASE!A:R, 8, FALSE), "DOCENTE / FACILITADOR"))</f>
        <v/>
      </c>
      <c r="G798" s="4">
        <f>IF(B798="","",IFERROR(VLOOKUP(B798, PLANTA_BASE!A:R, 9, FALSE), "GENERAL"))</f>
        <v/>
      </c>
      <c r="H798" s="2">
        <f>IF(B798="","",IFERROR(VLOOKUP(B798, PLANTA_BASE!A:R, 17, FALSE), "GENERAL"))</f>
        <v/>
      </c>
    </row>
    <row r="799" ht="20" customHeight="1">
      <c r="A799" s="5">
        <f>IF(B799="","",IFERROR(VLOOKUP(B799, PLANTA_BASE!A:R, 2, FALSE), "NO ENCONTRADO EN PLANTA"))</f>
        <v/>
      </c>
      <c r="B799" s="6" t="inlineStr"/>
      <c r="C799" s="7">
        <f>IF(B799="","",IFERROR(VLOOKUP(B799, PLANTA_BASE!A:R, 3, FALSE), ""))</f>
        <v/>
      </c>
      <c r="D799" s="5">
        <f>IF(B799="","",IFERROR(VLOOKUP(B799, PLANTA_BASE!A:R, 5, FALSE), "NO ENCONTRADO EN PLANTA"))</f>
        <v/>
      </c>
      <c r="E799" s="5">
        <f>IF(B799="","",IFERROR(VLOOKUP(B799, PLANTA_BASE!A:R, 6, FALSE), "NO ENCONTRADO EN PLANTA"))</f>
        <v/>
      </c>
      <c r="F799" s="7">
        <f>IF(B799="","",IFERROR(VLOOKUP(B799, PLANTA_BASE!A:R, 8, FALSE), "DOCENTE / FACILITADOR"))</f>
        <v/>
      </c>
      <c r="G799" s="7">
        <f>IF(B799="","",IFERROR(VLOOKUP(B799, PLANTA_BASE!A:R, 9, FALSE), "GENERAL"))</f>
        <v/>
      </c>
      <c r="H799" s="5">
        <f>IF(B799="","",IFERROR(VLOOKUP(B799, PLANTA_BASE!A:R, 17, FALSE), "GENERAL"))</f>
        <v/>
      </c>
    </row>
    <row r="800" ht="20" customHeight="1">
      <c r="A800" s="2">
        <f>IF(B800="","",IFERROR(VLOOKUP(B800, PLANTA_BASE!A:R, 2, FALSE), "NO ENCONTRADO EN PLANTA"))</f>
        <v/>
      </c>
      <c r="B800" s="3" t="inlineStr"/>
      <c r="C800" s="4">
        <f>IF(B800="","",IFERROR(VLOOKUP(B800, PLANTA_BASE!A:R, 3, FALSE), ""))</f>
        <v/>
      </c>
      <c r="D800" s="2">
        <f>IF(B800="","",IFERROR(VLOOKUP(B800, PLANTA_BASE!A:R, 5, FALSE), "NO ENCONTRADO EN PLANTA"))</f>
        <v/>
      </c>
      <c r="E800" s="2">
        <f>IF(B800="","",IFERROR(VLOOKUP(B800, PLANTA_BASE!A:R, 6, FALSE), "NO ENCONTRADO EN PLANTA"))</f>
        <v/>
      </c>
      <c r="F800" s="4">
        <f>IF(B800="","",IFERROR(VLOOKUP(B800, PLANTA_BASE!A:R, 8, FALSE), "DOCENTE / FACILITADOR"))</f>
        <v/>
      </c>
      <c r="G800" s="4">
        <f>IF(B800="","",IFERROR(VLOOKUP(B800, PLANTA_BASE!A:R, 9, FALSE), "GENERAL"))</f>
        <v/>
      </c>
      <c r="H800" s="2">
        <f>IF(B800="","",IFERROR(VLOOKUP(B800, PLANTA_BASE!A:R, 17, FALSE), "GENERAL"))</f>
        <v/>
      </c>
    </row>
    <row r="801" ht="20" customHeight="1">
      <c r="A801" s="5">
        <f>IF(B801="","",IFERROR(VLOOKUP(B801, PLANTA_BASE!A:R, 2, FALSE), "NO ENCONTRADO EN PLANTA"))</f>
        <v/>
      </c>
      <c r="B801" s="6" t="inlineStr"/>
      <c r="C801" s="7">
        <f>IF(B801="","",IFERROR(VLOOKUP(B801, PLANTA_BASE!A:R, 3, FALSE), ""))</f>
        <v/>
      </c>
      <c r="D801" s="5">
        <f>IF(B801="","",IFERROR(VLOOKUP(B801, PLANTA_BASE!A:R, 5, FALSE), "NO ENCONTRADO EN PLANTA"))</f>
        <v/>
      </c>
      <c r="E801" s="5">
        <f>IF(B801="","",IFERROR(VLOOKUP(B801, PLANTA_BASE!A:R, 6, FALSE), "NO ENCONTRADO EN PLANTA"))</f>
        <v/>
      </c>
      <c r="F801" s="7">
        <f>IF(B801="","",IFERROR(VLOOKUP(B801, PLANTA_BASE!A:R, 8, FALSE), "DOCENTE / FACILITADOR"))</f>
        <v/>
      </c>
      <c r="G801" s="7">
        <f>IF(B801="","",IFERROR(VLOOKUP(B801, PLANTA_BASE!A:R, 9, FALSE), "GENERAL"))</f>
        <v/>
      </c>
      <c r="H801" s="5">
        <f>IF(B801="","",IFERROR(VLOOKUP(B801, PLANTA_BASE!A:R, 17, FALSE), "GENERAL"))</f>
        <v/>
      </c>
    </row>
    <row r="802" ht="20" customHeight="1">
      <c r="A802" s="2">
        <f>IF(B802="","",IFERROR(VLOOKUP(B802, PLANTA_BASE!A:R, 2, FALSE), "NO ENCONTRADO EN PLANTA"))</f>
        <v/>
      </c>
      <c r="B802" s="3" t="inlineStr"/>
      <c r="C802" s="4">
        <f>IF(B802="","",IFERROR(VLOOKUP(B802, PLANTA_BASE!A:R, 3, FALSE), ""))</f>
        <v/>
      </c>
      <c r="D802" s="2">
        <f>IF(B802="","",IFERROR(VLOOKUP(B802, PLANTA_BASE!A:R, 5, FALSE), "NO ENCONTRADO EN PLANTA"))</f>
        <v/>
      </c>
      <c r="E802" s="2">
        <f>IF(B802="","",IFERROR(VLOOKUP(B802, PLANTA_BASE!A:R, 6, FALSE), "NO ENCONTRADO EN PLANTA"))</f>
        <v/>
      </c>
      <c r="F802" s="4">
        <f>IF(B802="","",IFERROR(VLOOKUP(B802, PLANTA_BASE!A:R, 8, FALSE), "DOCENTE / FACILITADOR"))</f>
        <v/>
      </c>
      <c r="G802" s="4">
        <f>IF(B802="","",IFERROR(VLOOKUP(B802, PLANTA_BASE!A:R, 9, FALSE), "GENERAL"))</f>
        <v/>
      </c>
      <c r="H802" s="2">
        <f>IF(B802="","",IFERROR(VLOOKUP(B802, PLANTA_BASE!A:R, 17, FALSE), "GENERAL"))</f>
        <v/>
      </c>
    </row>
    <row r="803" ht="20" customHeight="1">
      <c r="A803" s="5">
        <f>IF(B803="","",IFERROR(VLOOKUP(B803, PLANTA_BASE!A:R, 2, FALSE), "NO ENCONTRADO EN PLANTA"))</f>
        <v/>
      </c>
      <c r="B803" s="6" t="inlineStr"/>
      <c r="C803" s="7">
        <f>IF(B803="","",IFERROR(VLOOKUP(B803, PLANTA_BASE!A:R, 3, FALSE), ""))</f>
        <v/>
      </c>
      <c r="D803" s="5">
        <f>IF(B803="","",IFERROR(VLOOKUP(B803, PLANTA_BASE!A:R, 5, FALSE), "NO ENCONTRADO EN PLANTA"))</f>
        <v/>
      </c>
      <c r="E803" s="5">
        <f>IF(B803="","",IFERROR(VLOOKUP(B803, PLANTA_BASE!A:R, 6, FALSE), "NO ENCONTRADO EN PLANTA"))</f>
        <v/>
      </c>
      <c r="F803" s="7">
        <f>IF(B803="","",IFERROR(VLOOKUP(B803, PLANTA_BASE!A:R, 8, FALSE), "DOCENTE / FACILITADOR"))</f>
        <v/>
      </c>
      <c r="G803" s="7">
        <f>IF(B803="","",IFERROR(VLOOKUP(B803, PLANTA_BASE!A:R, 9, FALSE), "GENERAL"))</f>
        <v/>
      </c>
      <c r="H803" s="5">
        <f>IF(B803="","",IFERROR(VLOOKUP(B803, PLANTA_BASE!A:R, 17, FALSE), "GENERAL"))</f>
        <v/>
      </c>
    </row>
    <row r="804" ht="20" customHeight="1">
      <c r="A804" s="2">
        <f>IF(B804="","",IFERROR(VLOOKUP(B804, PLANTA_BASE!A:R, 2, FALSE), "NO ENCONTRADO EN PLANTA"))</f>
        <v/>
      </c>
      <c r="B804" s="3" t="inlineStr"/>
      <c r="C804" s="4">
        <f>IF(B804="","",IFERROR(VLOOKUP(B804, PLANTA_BASE!A:R, 3, FALSE), ""))</f>
        <v/>
      </c>
      <c r="D804" s="2">
        <f>IF(B804="","",IFERROR(VLOOKUP(B804, PLANTA_BASE!A:R, 5, FALSE), "NO ENCONTRADO EN PLANTA"))</f>
        <v/>
      </c>
      <c r="E804" s="2">
        <f>IF(B804="","",IFERROR(VLOOKUP(B804, PLANTA_BASE!A:R, 6, FALSE), "NO ENCONTRADO EN PLANTA"))</f>
        <v/>
      </c>
      <c r="F804" s="4">
        <f>IF(B804="","",IFERROR(VLOOKUP(B804, PLANTA_BASE!A:R, 8, FALSE), "DOCENTE / FACILITADOR"))</f>
        <v/>
      </c>
      <c r="G804" s="4">
        <f>IF(B804="","",IFERROR(VLOOKUP(B804, PLANTA_BASE!A:R, 9, FALSE), "GENERAL"))</f>
        <v/>
      </c>
      <c r="H804" s="2">
        <f>IF(B804="","",IFERROR(VLOOKUP(B804, PLANTA_BASE!A:R, 17, FALSE), "GENERAL"))</f>
        <v/>
      </c>
    </row>
    <row r="805" ht="20" customHeight="1">
      <c r="A805" s="5">
        <f>IF(B805="","",IFERROR(VLOOKUP(B805, PLANTA_BASE!A:R, 2, FALSE), "NO ENCONTRADO EN PLANTA"))</f>
        <v/>
      </c>
      <c r="B805" s="6" t="inlineStr"/>
      <c r="C805" s="7">
        <f>IF(B805="","",IFERROR(VLOOKUP(B805, PLANTA_BASE!A:R, 3, FALSE), ""))</f>
        <v/>
      </c>
      <c r="D805" s="5">
        <f>IF(B805="","",IFERROR(VLOOKUP(B805, PLANTA_BASE!A:R, 5, FALSE), "NO ENCONTRADO EN PLANTA"))</f>
        <v/>
      </c>
      <c r="E805" s="5">
        <f>IF(B805="","",IFERROR(VLOOKUP(B805, PLANTA_BASE!A:R, 6, FALSE), "NO ENCONTRADO EN PLANTA"))</f>
        <v/>
      </c>
      <c r="F805" s="7">
        <f>IF(B805="","",IFERROR(VLOOKUP(B805, PLANTA_BASE!A:R, 8, FALSE), "DOCENTE / FACILITADOR"))</f>
        <v/>
      </c>
      <c r="G805" s="7">
        <f>IF(B805="","",IFERROR(VLOOKUP(B805, PLANTA_BASE!A:R, 9, FALSE), "GENERAL"))</f>
        <v/>
      </c>
      <c r="H805" s="5">
        <f>IF(B805="","",IFERROR(VLOOKUP(B805, PLANTA_BASE!A:R, 17, FALSE), "GENERAL"))</f>
        <v/>
      </c>
    </row>
    <row r="806" ht="20" customHeight="1">
      <c r="A806" s="2">
        <f>IF(B806="","",IFERROR(VLOOKUP(B806, PLANTA_BASE!A:R, 2, FALSE), "NO ENCONTRADO EN PLANTA"))</f>
        <v/>
      </c>
      <c r="B806" s="3" t="inlineStr"/>
      <c r="C806" s="4">
        <f>IF(B806="","",IFERROR(VLOOKUP(B806, PLANTA_BASE!A:R, 3, FALSE), ""))</f>
        <v/>
      </c>
      <c r="D806" s="2">
        <f>IF(B806="","",IFERROR(VLOOKUP(B806, PLANTA_BASE!A:R, 5, FALSE), "NO ENCONTRADO EN PLANTA"))</f>
        <v/>
      </c>
      <c r="E806" s="2">
        <f>IF(B806="","",IFERROR(VLOOKUP(B806, PLANTA_BASE!A:R, 6, FALSE), "NO ENCONTRADO EN PLANTA"))</f>
        <v/>
      </c>
      <c r="F806" s="4">
        <f>IF(B806="","",IFERROR(VLOOKUP(B806, PLANTA_BASE!A:R, 8, FALSE), "DOCENTE / FACILITADOR"))</f>
        <v/>
      </c>
      <c r="G806" s="4">
        <f>IF(B806="","",IFERROR(VLOOKUP(B806, PLANTA_BASE!A:R, 9, FALSE), "GENERAL"))</f>
        <v/>
      </c>
      <c r="H806" s="2">
        <f>IF(B806="","",IFERROR(VLOOKUP(B806, PLANTA_BASE!A:R, 17, FALSE), "GENERAL"))</f>
        <v/>
      </c>
    </row>
    <row r="807" ht="20" customHeight="1">
      <c r="A807" s="5">
        <f>IF(B807="","",IFERROR(VLOOKUP(B807, PLANTA_BASE!A:R, 2, FALSE), "NO ENCONTRADO EN PLANTA"))</f>
        <v/>
      </c>
      <c r="B807" s="6" t="inlineStr"/>
      <c r="C807" s="7">
        <f>IF(B807="","",IFERROR(VLOOKUP(B807, PLANTA_BASE!A:R, 3, FALSE), ""))</f>
        <v/>
      </c>
      <c r="D807" s="5">
        <f>IF(B807="","",IFERROR(VLOOKUP(B807, PLANTA_BASE!A:R, 5, FALSE), "NO ENCONTRADO EN PLANTA"))</f>
        <v/>
      </c>
      <c r="E807" s="5">
        <f>IF(B807="","",IFERROR(VLOOKUP(B807, PLANTA_BASE!A:R, 6, FALSE), "NO ENCONTRADO EN PLANTA"))</f>
        <v/>
      </c>
      <c r="F807" s="7">
        <f>IF(B807="","",IFERROR(VLOOKUP(B807, PLANTA_BASE!A:R, 8, FALSE), "DOCENTE / FACILITADOR"))</f>
        <v/>
      </c>
      <c r="G807" s="7">
        <f>IF(B807="","",IFERROR(VLOOKUP(B807, PLANTA_BASE!A:R, 9, FALSE), "GENERAL"))</f>
        <v/>
      </c>
      <c r="H807" s="5">
        <f>IF(B807="","",IFERROR(VLOOKUP(B807, PLANTA_BASE!A:R, 17, FALSE), "GENERAL"))</f>
        <v/>
      </c>
    </row>
    <row r="808" ht="20" customHeight="1">
      <c r="A808" s="2">
        <f>IF(B808="","",IFERROR(VLOOKUP(B808, PLANTA_BASE!A:R, 2, FALSE), "NO ENCONTRADO EN PLANTA"))</f>
        <v/>
      </c>
      <c r="B808" s="3" t="inlineStr"/>
      <c r="C808" s="4">
        <f>IF(B808="","",IFERROR(VLOOKUP(B808, PLANTA_BASE!A:R, 3, FALSE), ""))</f>
        <v/>
      </c>
      <c r="D808" s="2">
        <f>IF(B808="","",IFERROR(VLOOKUP(B808, PLANTA_BASE!A:R, 5, FALSE), "NO ENCONTRADO EN PLANTA"))</f>
        <v/>
      </c>
      <c r="E808" s="2">
        <f>IF(B808="","",IFERROR(VLOOKUP(B808, PLANTA_BASE!A:R, 6, FALSE), "NO ENCONTRADO EN PLANTA"))</f>
        <v/>
      </c>
      <c r="F808" s="4">
        <f>IF(B808="","",IFERROR(VLOOKUP(B808, PLANTA_BASE!A:R, 8, FALSE), "DOCENTE / FACILITADOR"))</f>
        <v/>
      </c>
      <c r="G808" s="4">
        <f>IF(B808="","",IFERROR(VLOOKUP(B808, PLANTA_BASE!A:R, 9, FALSE), "GENERAL"))</f>
        <v/>
      </c>
      <c r="H808" s="2">
        <f>IF(B808="","",IFERROR(VLOOKUP(B808, PLANTA_BASE!A:R, 17, FALSE), "GENERAL"))</f>
        <v/>
      </c>
    </row>
    <row r="809" ht="20" customHeight="1">
      <c r="A809" s="5">
        <f>IF(B809="","",IFERROR(VLOOKUP(B809, PLANTA_BASE!A:R, 2, FALSE), "NO ENCONTRADO EN PLANTA"))</f>
        <v/>
      </c>
      <c r="B809" s="6" t="inlineStr"/>
      <c r="C809" s="7">
        <f>IF(B809="","",IFERROR(VLOOKUP(B809, PLANTA_BASE!A:R, 3, FALSE), ""))</f>
        <v/>
      </c>
      <c r="D809" s="5">
        <f>IF(B809="","",IFERROR(VLOOKUP(B809, PLANTA_BASE!A:R, 5, FALSE), "NO ENCONTRADO EN PLANTA"))</f>
        <v/>
      </c>
      <c r="E809" s="5">
        <f>IF(B809="","",IFERROR(VLOOKUP(B809, PLANTA_BASE!A:R, 6, FALSE), "NO ENCONTRADO EN PLANTA"))</f>
        <v/>
      </c>
      <c r="F809" s="7">
        <f>IF(B809="","",IFERROR(VLOOKUP(B809, PLANTA_BASE!A:R, 8, FALSE), "DOCENTE / FACILITADOR"))</f>
        <v/>
      </c>
      <c r="G809" s="7">
        <f>IF(B809="","",IFERROR(VLOOKUP(B809, PLANTA_BASE!A:R, 9, FALSE), "GENERAL"))</f>
        <v/>
      </c>
      <c r="H809" s="5">
        <f>IF(B809="","",IFERROR(VLOOKUP(B809, PLANTA_BASE!A:R, 17, FALSE), "GENERAL"))</f>
        <v/>
      </c>
    </row>
    <row r="810" ht="20" customHeight="1">
      <c r="A810" s="2">
        <f>IF(B810="","",IFERROR(VLOOKUP(B810, PLANTA_BASE!A:R, 2, FALSE), "NO ENCONTRADO EN PLANTA"))</f>
        <v/>
      </c>
      <c r="B810" s="3" t="inlineStr"/>
      <c r="C810" s="4">
        <f>IF(B810="","",IFERROR(VLOOKUP(B810, PLANTA_BASE!A:R, 3, FALSE), ""))</f>
        <v/>
      </c>
      <c r="D810" s="2">
        <f>IF(B810="","",IFERROR(VLOOKUP(B810, PLANTA_BASE!A:R, 5, FALSE), "NO ENCONTRADO EN PLANTA"))</f>
        <v/>
      </c>
      <c r="E810" s="2">
        <f>IF(B810="","",IFERROR(VLOOKUP(B810, PLANTA_BASE!A:R, 6, FALSE), "NO ENCONTRADO EN PLANTA"))</f>
        <v/>
      </c>
      <c r="F810" s="4">
        <f>IF(B810="","",IFERROR(VLOOKUP(B810, PLANTA_BASE!A:R, 8, FALSE), "DOCENTE / FACILITADOR"))</f>
        <v/>
      </c>
      <c r="G810" s="4">
        <f>IF(B810="","",IFERROR(VLOOKUP(B810, PLANTA_BASE!A:R, 9, FALSE), "GENERAL"))</f>
        <v/>
      </c>
      <c r="H810" s="2">
        <f>IF(B810="","",IFERROR(VLOOKUP(B810, PLANTA_BASE!A:R, 17, FALSE), "GENERAL"))</f>
        <v/>
      </c>
    </row>
    <row r="811" ht="20" customHeight="1">
      <c r="A811" s="5">
        <f>IF(B811="","",IFERROR(VLOOKUP(B811, PLANTA_BASE!A:R, 2, FALSE), "NO ENCONTRADO EN PLANTA"))</f>
        <v/>
      </c>
      <c r="B811" s="6" t="inlineStr"/>
      <c r="C811" s="7">
        <f>IF(B811="","",IFERROR(VLOOKUP(B811, PLANTA_BASE!A:R, 3, FALSE), ""))</f>
        <v/>
      </c>
      <c r="D811" s="5">
        <f>IF(B811="","",IFERROR(VLOOKUP(B811, PLANTA_BASE!A:R, 5, FALSE), "NO ENCONTRADO EN PLANTA"))</f>
        <v/>
      </c>
      <c r="E811" s="5">
        <f>IF(B811="","",IFERROR(VLOOKUP(B811, PLANTA_BASE!A:R, 6, FALSE), "NO ENCONTRADO EN PLANTA"))</f>
        <v/>
      </c>
      <c r="F811" s="7">
        <f>IF(B811="","",IFERROR(VLOOKUP(B811, PLANTA_BASE!A:R, 8, FALSE), "DOCENTE / FACILITADOR"))</f>
        <v/>
      </c>
      <c r="G811" s="7">
        <f>IF(B811="","",IFERROR(VLOOKUP(B811, PLANTA_BASE!A:R, 9, FALSE), "GENERAL"))</f>
        <v/>
      </c>
      <c r="H811" s="5">
        <f>IF(B811="","",IFERROR(VLOOKUP(B811, PLANTA_BASE!A:R, 17, FALSE), "GENERAL"))</f>
        <v/>
      </c>
    </row>
    <row r="812" ht="20" customHeight="1">
      <c r="A812" s="2">
        <f>IF(B812="","",IFERROR(VLOOKUP(B812, PLANTA_BASE!A:R, 2, FALSE), "NO ENCONTRADO EN PLANTA"))</f>
        <v/>
      </c>
      <c r="B812" s="3" t="inlineStr"/>
      <c r="C812" s="4">
        <f>IF(B812="","",IFERROR(VLOOKUP(B812, PLANTA_BASE!A:R, 3, FALSE), ""))</f>
        <v/>
      </c>
      <c r="D812" s="2">
        <f>IF(B812="","",IFERROR(VLOOKUP(B812, PLANTA_BASE!A:R, 5, FALSE), "NO ENCONTRADO EN PLANTA"))</f>
        <v/>
      </c>
      <c r="E812" s="2">
        <f>IF(B812="","",IFERROR(VLOOKUP(B812, PLANTA_BASE!A:R, 6, FALSE), "NO ENCONTRADO EN PLANTA"))</f>
        <v/>
      </c>
      <c r="F812" s="4">
        <f>IF(B812="","",IFERROR(VLOOKUP(B812, PLANTA_BASE!A:R, 8, FALSE), "DOCENTE / FACILITADOR"))</f>
        <v/>
      </c>
      <c r="G812" s="4">
        <f>IF(B812="","",IFERROR(VLOOKUP(B812, PLANTA_BASE!A:R, 9, FALSE), "GENERAL"))</f>
        <v/>
      </c>
      <c r="H812" s="2">
        <f>IF(B812="","",IFERROR(VLOOKUP(B812, PLANTA_BASE!A:R, 17, FALSE), "GENERAL"))</f>
        <v/>
      </c>
    </row>
    <row r="813" ht="20" customHeight="1">
      <c r="A813" s="5">
        <f>IF(B813="","",IFERROR(VLOOKUP(B813, PLANTA_BASE!A:R, 2, FALSE), "NO ENCONTRADO EN PLANTA"))</f>
        <v/>
      </c>
      <c r="B813" s="6" t="inlineStr"/>
      <c r="C813" s="7">
        <f>IF(B813="","",IFERROR(VLOOKUP(B813, PLANTA_BASE!A:R, 3, FALSE), ""))</f>
        <v/>
      </c>
      <c r="D813" s="5">
        <f>IF(B813="","",IFERROR(VLOOKUP(B813, PLANTA_BASE!A:R, 5, FALSE), "NO ENCONTRADO EN PLANTA"))</f>
        <v/>
      </c>
      <c r="E813" s="5">
        <f>IF(B813="","",IFERROR(VLOOKUP(B813, PLANTA_BASE!A:R, 6, FALSE), "NO ENCONTRADO EN PLANTA"))</f>
        <v/>
      </c>
      <c r="F813" s="7">
        <f>IF(B813="","",IFERROR(VLOOKUP(B813, PLANTA_BASE!A:R, 8, FALSE), "DOCENTE / FACILITADOR"))</f>
        <v/>
      </c>
      <c r="G813" s="7">
        <f>IF(B813="","",IFERROR(VLOOKUP(B813, PLANTA_BASE!A:R, 9, FALSE), "GENERAL"))</f>
        <v/>
      </c>
      <c r="H813" s="5">
        <f>IF(B813="","",IFERROR(VLOOKUP(B813, PLANTA_BASE!A:R, 17, FALSE), "GENERAL"))</f>
        <v/>
      </c>
    </row>
    <row r="814" ht="20" customHeight="1">
      <c r="A814" s="2">
        <f>IF(B814="","",IFERROR(VLOOKUP(B814, PLANTA_BASE!A:R, 2, FALSE), "NO ENCONTRADO EN PLANTA"))</f>
        <v/>
      </c>
      <c r="B814" s="3" t="inlineStr"/>
      <c r="C814" s="4">
        <f>IF(B814="","",IFERROR(VLOOKUP(B814, PLANTA_BASE!A:R, 3, FALSE), ""))</f>
        <v/>
      </c>
      <c r="D814" s="2">
        <f>IF(B814="","",IFERROR(VLOOKUP(B814, PLANTA_BASE!A:R, 5, FALSE), "NO ENCONTRADO EN PLANTA"))</f>
        <v/>
      </c>
      <c r="E814" s="2">
        <f>IF(B814="","",IFERROR(VLOOKUP(B814, PLANTA_BASE!A:R, 6, FALSE), "NO ENCONTRADO EN PLANTA"))</f>
        <v/>
      </c>
      <c r="F814" s="4">
        <f>IF(B814="","",IFERROR(VLOOKUP(B814, PLANTA_BASE!A:R, 8, FALSE), "DOCENTE / FACILITADOR"))</f>
        <v/>
      </c>
      <c r="G814" s="4">
        <f>IF(B814="","",IFERROR(VLOOKUP(B814, PLANTA_BASE!A:R, 9, FALSE), "GENERAL"))</f>
        <v/>
      </c>
      <c r="H814" s="2">
        <f>IF(B814="","",IFERROR(VLOOKUP(B814, PLANTA_BASE!A:R, 17, FALSE), "GENERAL"))</f>
        <v/>
      </c>
    </row>
    <row r="815" ht="20" customHeight="1">
      <c r="A815" s="5">
        <f>IF(B815="","",IFERROR(VLOOKUP(B815, PLANTA_BASE!A:R, 2, FALSE), "NO ENCONTRADO EN PLANTA"))</f>
        <v/>
      </c>
      <c r="B815" s="6" t="inlineStr"/>
      <c r="C815" s="7">
        <f>IF(B815="","",IFERROR(VLOOKUP(B815, PLANTA_BASE!A:R, 3, FALSE), ""))</f>
        <v/>
      </c>
      <c r="D815" s="5">
        <f>IF(B815="","",IFERROR(VLOOKUP(B815, PLANTA_BASE!A:R, 5, FALSE), "NO ENCONTRADO EN PLANTA"))</f>
        <v/>
      </c>
      <c r="E815" s="5">
        <f>IF(B815="","",IFERROR(VLOOKUP(B815, PLANTA_BASE!A:R, 6, FALSE), "NO ENCONTRADO EN PLANTA"))</f>
        <v/>
      </c>
      <c r="F815" s="7">
        <f>IF(B815="","",IFERROR(VLOOKUP(B815, PLANTA_BASE!A:R, 8, FALSE), "DOCENTE / FACILITADOR"))</f>
        <v/>
      </c>
      <c r="G815" s="7">
        <f>IF(B815="","",IFERROR(VLOOKUP(B815, PLANTA_BASE!A:R, 9, FALSE), "GENERAL"))</f>
        <v/>
      </c>
      <c r="H815" s="5">
        <f>IF(B815="","",IFERROR(VLOOKUP(B815, PLANTA_BASE!A:R, 17, FALSE), "GENERAL"))</f>
        <v/>
      </c>
    </row>
    <row r="816" ht="20" customHeight="1">
      <c r="A816" s="2">
        <f>IF(B816="","",IFERROR(VLOOKUP(B816, PLANTA_BASE!A:R, 2, FALSE), "NO ENCONTRADO EN PLANTA"))</f>
        <v/>
      </c>
      <c r="B816" s="3" t="inlineStr"/>
      <c r="C816" s="4">
        <f>IF(B816="","",IFERROR(VLOOKUP(B816, PLANTA_BASE!A:R, 3, FALSE), ""))</f>
        <v/>
      </c>
      <c r="D816" s="2">
        <f>IF(B816="","",IFERROR(VLOOKUP(B816, PLANTA_BASE!A:R, 5, FALSE), "NO ENCONTRADO EN PLANTA"))</f>
        <v/>
      </c>
      <c r="E816" s="2">
        <f>IF(B816="","",IFERROR(VLOOKUP(B816, PLANTA_BASE!A:R, 6, FALSE), "NO ENCONTRADO EN PLANTA"))</f>
        <v/>
      </c>
      <c r="F816" s="4">
        <f>IF(B816="","",IFERROR(VLOOKUP(B816, PLANTA_BASE!A:R, 8, FALSE), "DOCENTE / FACILITADOR"))</f>
        <v/>
      </c>
      <c r="G816" s="4">
        <f>IF(B816="","",IFERROR(VLOOKUP(B816, PLANTA_BASE!A:R, 9, FALSE), "GENERAL"))</f>
        <v/>
      </c>
      <c r="H816" s="2">
        <f>IF(B816="","",IFERROR(VLOOKUP(B816, PLANTA_BASE!A:R, 17, FALSE), "GENERAL"))</f>
        <v/>
      </c>
    </row>
    <row r="817" ht="20" customHeight="1">
      <c r="A817" s="5">
        <f>IF(B817="","",IFERROR(VLOOKUP(B817, PLANTA_BASE!A:R, 2, FALSE), "NO ENCONTRADO EN PLANTA"))</f>
        <v/>
      </c>
      <c r="B817" s="6" t="inlineStr"/>
      <c r="C817" s="7">
        <f>IF(B817="","",IFERROR(VLOOKUP(B817, PLANTA_BASE!A:R, 3, FALSE), ""))</f>
        <v/>
      </c>
      <c r="D817" s="5">
        <f>IF(B817="","",IFERROR(VLOOKUP(B817, PLANTA_BASE!A:R, 5, FALSE), "NO ENCONTRADO EN PLANTA"))</f>
        <v/>
      </c>
      <c r="E817" s="5">
        <f>IF(B817="","",IFERROR(VLOOKUP(B817, PLANTA_BASE!A:R, 6, FALSE), "NO ENCONTRADO EN PLANTA"))</f>
        <v/>
      </c>
      <c r="F817" s="7">
        <f>IF(B817="","",IFERROR(VLOOKUP(B817, PLANTA_BASE!A:R, 8, FALSE), "DOCENTE / FACILITADOR"))</f>
        <v/>
      </c>
      <c r="G817" s="7">
        <f>IF(B817="","",IFERROR(VLOOKUP(B817, PLANTA_BASE!A:R, 9, FALSE), "GENERAL"))</f>
        <v/>
      </c>
      <c r="H817" s="5">
        <f>IF(B817="","",IFERROR(VLOOKUP(B817, PLANTA_BASE!A:R, 17, FALSE), "GENERAL"))</f>
        <v/>
      </c>
    </row>
    <row r="818" ht="20" customHeight="1">
      <c r="A818" s="2">
        <f>IF(B818="","",IFERROR(VLOOKUP(B818, PLANTA_BASE!A:R, 2, FALSE), "NO ENCONTRADO EN PLANTA"))</f>
        <v/>
      </c>
      <c r="B818" s="3" t="inlineStr"/>
      <c r="C818" s="4">
        <f>IF(B818="","",IFERROR(VLOOKUP(B818, PLANTA_BASE!A:R, 3, FALSE), ""))</f>
        <v/>
      </c>
      <c r="D818" s="2">
        <f>IF(B818="","",IFERROR(VLOOKUP(B818, PLANTA_BASE!A:R, 5, FALSE), "NO ENCONTRADO EN PLANTA"))</f>
        <v/>
      </c>
      <c r="E818" s="2">
        <f>IF(B818="","",IFERROR(VLOOKUP(B818, PLANTA_BASE!A:R, 6, FALSE), "NO ENCONTRADO EN PLANTA"))</f>
        <v/>
      </c>
      <c r="F818" s="4">
        <f>IF(B818="","",IFERROR(VLOOKUP(B818, PLANTA_BASE!A:R, 8, FALSE), "DOCENTE / FACILITADOR"))</f>
        <v/>
      </c>
      <c r="G818" s="4">
        <f>IF(B818="","",IFERROR(VLOOKUP(B818, PLANTA_BASE!A:R, 9, FALSE), "GENERAL"))</f>
        <v/>
      </c>
      <c r="H818" s="2">
        <f>IF(B818="","",IFERROR(VLOOKUP(B818, PLANTA_BASE!A:R, 17, FALSE), "GENERAL"))</f>
        <v/>
      </c>
    </row>
    <row r="819" ht="20" customHeight="1">
      <c r="A819" s="5">
        <f>IF(B819="","",IFERROR(VLOOKUP(B819, PLANTA_BASE!A:R, 2, FALSE), "NO ENCONTRADO EN PLANTA"))</f>
        <v/>
      </c>
      <c r="B819" s="6" t="inlineStr"/>
      <c r="C819" s="7">
        <f>IF(B819="","",IFERROR(VLOOKUP(B819, PLANTA_BASE!A:R, 3, FALSE), ""))</f>
        <v/>
      </c>
      <c r="D819" s="5">
        <f>IF(B819="","",IFERROR(VLOOKUP(B819, PLANTA_BASE!A:R, 5, FALSE), "NO ENCONTRADO EN PLANTA"))</f>
        <v/>
      </c>
      <c r="E819" s="5">
        <f>IF(B819="","",IFERROR(VLOOKUP(B819, PLANTA_BASE!A:R, 6, FALSE), "NO ENCONTRADO EN PLANTA"))</f>
        <v/>
      </c>
      <c r="F819" s="7">
        <f>IF(B819="","",IFERROR(VLOOKUP(B819, PLANTA_BASE!A:R, 8, FALSE), "DOCENTE / FACILITADOR"))</f>
        <v/>
      </c>
      <c r="G819" s="7">
        <f>IF(B819="","",IFERROR(VLOOKUP(B819, PLANTA_BASE!A:R, 9, FALSE), "GENERAL"))</f>
        <v/>
      </c>
      <c r="H819" s="5">
        <f>IF(B819="","",IFERROR(VLOOKUP(B819, PLANTA_BASE!A:R, 17, FALSE), "GENERAL"))</f>
        <v/>
      </c>
    </row>
    <row r="820" ht="20" customHeight="1">
      <c r="A820" s="2">
        <f>IF(B820="","",IFERROR(VLOOKUP(B820, PLANTA_BASE!A:R, 2, FALSE), "NO ENCONTRADO EN PLANTA"))</f>
        <v/>
      </c>
      <c r="B820" s="3" t="inlineStr"/>
      <c r="C820" s="4">
        <f>IF(B820="","",IFERROR(VLOOKUP(B820, PLANTA_BASE!A:R, 3, FALSE), ""))</f>
        <v/>
      </c>
      <c r="D820" s="2">
        <f>IF(B820="","",IFERROR(VLOOKUP(B820, PLANTA_BASE!A:R, 5, FALSE), "NO ENCONTRADO EN PLANTA"))</f>
        <v/>
      </c>
      <c r="E820" s="2">
        <f>IF(B820="","",IFERROR(VLOOKUP(B820, PLANTA_BASE!A:R, 6, FALSE), "NO ENCONTRADO EN PLANTA"))</f>
        <v/>
      </c>
      <c r="F820" s="4">
        <f>IF(B820="","",IFERROR(VLOOKUP(B820, PLANTA_BASE!A:R, 8, FALSE), "DOCENTE / FACILITADOR"))</f>
        <v/>
      </c>
      <c r="G820" s="4">
        <f>IF(B820="","",IFERROR(VLOOKUP(B820, PLANTA_BASE!A:R, 9, FALSE), "GENERAL"))</f>
        <v/>
      </c>
      <c r="H820" s="2">
        <f>IF(B820="","",IFERROR(VLOOKUP(B820, PLANTA_BASE!A:R, 17, FALSE), "GENERAL"))</f>
        <v/>
      </c>
    </row>
    <row r="821" ht="20" customHeight="1">
      <c r="A821" s="5">
        <f>IF(B821="","",IFERROR(VLOOKUP(B821, PLANTA_BASE!A:R, 2, FALSE), "NO ENCONTRADO EN PLANTA"))</f>
        <v/>
      </c>
      <c r="B821" s="6" t="inlineStr"/>
      <c r="C821" s="7">
        <f>IF(B821="","",IFERROR(VLOOKUP(B821, PLANTA_BASE!A:R, 3, FALSE), ""))</f>
        <v/>
      </c>
      <c r="D821" s="5">
        <f>IF(B821="","",IFERROR(VLOOKUP(B821, PLANTA_BASE!A:R, 5, FALSE), "NO ENCONTRADO EN PLANTA"))</f>
        <v/>
      </c>
      <c r="E821" s="5">
        <f>IF(B821="","",IFERROR(VLOOKUP(B821, PLANTA_BASE!A:R, 6, FALSE), "NO ENCONTRADO EN PLANTA"))</f>
        <v/>
      </c>
      <c r="F821" s="7">
        <f>IF(B821="","",IFERROR(VLOOKUP(B821, PLANTA_BASE!A:R, 8, FALSE), "DOCENTE / FACILITADOR"))</f>
        <v/>
      </c>
      <c r="G821" s="7">
        <f>IF(B821="","",IFERROR(VLOOKUP(B821, PLANTA_BASE!A:R, 9, FALSE), "GENERAL"))</f>
        <v/>
      </c>
      <c r="H821" s="5">
        <f>IF(B821="","",IFERROR(VLOOKUP(B821, PLANTA_BASE!A:R, 17, FALSE), "GENERAL"))</f>
        <v/>
      </c>
    </row>
    <row r="822" ht="20" customHeight="1">
      <c r="A822" s="2">
        <f>IF(B822="","",IFERROR(VLOOKUP(B822, PLANTA_BASE!A:R, 2, FALSE), "NO ENCONTRADO EN PLANTA"))</f>
        <v/>
      </c>
      <c r="B822" s="3" t="inlineStr"/>
      <c r="C822" s="4">
        <f>IF(B822="","",IFERROR(VLOOKUP(B822, PLANTA_BASE!A:R, 3, FALSE), ""))</f>
        <v/>
      </c>
      <c r="D822" s="2">
        <f>IF(B822="","",IFERROR(VLOOKUP(B822, PLANTA_BASE!A:R, 5, FALSE), "NO ENCONTRADO EN PLANTA"))</f>
        <v/>
      </c>
      <c r="E822" s="2">
        <f>IF(B822="","",IFERROR(VLOOKUP(B822, PLANTA_BASE!A:R, 6, FALSE), "NO ENCONTRADO EN PLANTA"))</f>
        <v/>
      </c>
      <c r="F822" s="4">
        <f>IF(B822="","",IFERROR(VLOOKUP(B822, PLANTA_BASE!A:R, 8, FALSE), "DOCENTE / FACILITADOR"))</f>
        <v/>
      </c>
      <c r="G822" s="4">
        <f>IF(B822="","",IFERROR(VLOOKUP(B822, PLANTA_BASE!A:R, 9, FALSE), "GENERAL"))</f>
        <v/>
      </c>
      <c r="H822" s="2">
        <f>IF(B822="","",IFERROR(VLOOKUP(B822, PLANTA_BASE!A:R, 17, FALSE), "GENERAL"))</f>
        <v/>
      </c>
    </row>
    <row r="823" ht="20" customHeight="1">
      <c r="A823" s="5">
        <f>IF(B823="","",IFERROR(VLOOKUP(B823, PLANTA_BASE!A:R, 2, FALSE), "NO ENCONTRADO EN PLANTA"))</f>
        <v/>
      </c>
      <c r="B823" s="6" t="inlineStr"/>
      <c r="C823" s="7">
        <f>IF(B823="","",IFERROR(VLOOKUP(B823, PLANTA_BASE!A:R, 3, FALSE), ""))</f>
        <v/>
      </c>
      <c r="D823" s="5">
        <f>IF(B823="","",IFERROR(VLOOKUP(B823, PLANTA_BASE!A:R, 5, FALSE), "NO ENCONTRADO EN PLANTA"))</f>
        <v/>
      </c>
      <c r="E823" s="5">
        <f>IF(B823="","",IFERROR(VLOOKUP(B823, PLANTA_BASE!A:R, 6, FALSE), "NO ENCONTRADO EN PLANTA"))</f>
        <v/>
      </c>
      <c r="F823" s="7">
        <f>IF(B823="","",IFERROR(VLOOKUP(B823, PLANTA_BASE!A:R, 8, FALSE), "DOCENTE / FACILITADOR"))</f>
        <v/>
      </c>
      <c r="G823" s="7">
        <f>IF(B823="","",IFERROR(VLOOKUP(B823, PLANTA_BASE!A:R, 9, FALSE), "GENERAL"))</f>
        <v/>
      </c>
      <c r="H823" s="5">
        <f>IF(B823="","",IFERROR(VLOOKUP(B823, PLANTA_BASE!A:R, 17, FALSE), "GENERAL"))</f>
        <v/>
      </c>
    </row>
    <row r="824" ht="20" customHeight="1">
      <c r="A824" s="2">
        <f>IF(B824="","",IFERROR(VLOOKUP(B824, PLANTA_BASE!A:R, 2, FALSE), "NO ENCONTRADO EN PLANTA"))</f>
        <v/>
      </c>
      <c r="B824" s="3" t="inlineStr"/>
      <c r="C824" s="4">
        <f>IF(B824="","",IFERROR(VLOOKUP(B824, PLANTA_BASE!A:R, 3, FALSE), ""))</f>
        <v/>
      </c>
      <c r="D824" s="2">
        <f>IF(B824="","",IFERROR(VLOOKUP(B824, PLANTA_BASE!A:R, 5, FALSE), "NO ENCONTRADO EN PLANTA"))</f>
        <v/>
      </c>
      <c r="E824" s="2">
        <f>IF(B824="","",IFERROR(VLOOKUP(B824, PLANTA_BASE!A:R, 6, FALSE), "NO ENCONTRADO EN PLANTA"))</f>
        <v/>
      </c>
      <c r="F824" s="4">
        <f>IF(B824="","",IFERROR(VLOOKUP(B824, PLANTA_BASE!A:R, 8, FALSE), "DOCENTE / FACILITADOR"))</f>
        <v/>
      </c>
      <c r="G824" s="4">
        <f>IF(B824="","",IFERROR(VLOOKUP(B824, PLANTA_BASE!A:R, 9, FALSE), "GENERAL"))</f>
        <v/>
      </c>
      <c r="H824" s="2">
        <f>IF(B824="","",IFERROR(VLOOKUP(B824, PLANTA_BASE!A:R, 17, FALSE), "GENERAL"))</f>
        <v/>
      </c>
    </row>
    <row r="825" ht="20" customHeight="1">
      <c r="A825" s="5">
        <f>IF(B825="","",IFERROR(VLOOKUP(B825, PLANTA_BASE!A:R, 2, FALSE), "NO ENCONTRADO EN PLANTA"))</f>
        <v/>
      </c>
      <c r="B825" s="6" t="inlineStr"/>
      <c r="C825" s="7">
        <f>IF(B825="","",IFERROR(VLOOKUP(B825, PLANTA_BASE!A:R, 3, FALSE), ""))</f>
        <v/>
      </c>
      <c r="D825" s="5">
        <f>IF(B825="","",IFERROR(VLOOKUP(B825, PLANTA_BASE!A:R, 5, FALSE), "NO ENCONTRADO EN PLANTA"))</f>
        <v/>
      </c>
      <c r="E825" s="5">
        <f>IF(B825="","",IFERROR(VLOOKUP(B825, PLANTA_BASE!A:R, 6, FALSE), "NO ENCONTRADO EN PLANTA"))</f>
        <v/>
      </c>
      <c r="F825" s="7">
        <f>IF(B825="","",IFERROR(VLOOKUP(B825, PLANTA_BASE!A:R, 8, FALSE), "DOCENTE / FACILITADOR"))</f>
        <v/>
      </c>
      <c r="G825" s="7">
        <f>IF(B825="","",IFERROR(VLOOKUP(B825, PLANTA_BASE!A:R, 9, FALSE), "GENERAL"))</f>
        <v/>
      </c>
      <c r="H825" s="5">
        <f>IF(B825="","",IFERROR(VLOOKUP(B825, PLANTA_BASE!A:R, 17, FALSE), "GENERAL"))</f>
        <v/>
      </c>
    </row>
    <row r="826" ht="20" customHeight="1">
      <c r="A826" s="2">
        <f>IF(B826="","",IFERROR(VLOOKUP(B826, PLANTA_BASE!A:R, 2, FALSE), "NO ENCONTRADO EN PLANTA"))</f>
        <v/>
      </c>
      <c r="B826" s="3" t="inlineStr"/>
      <c r="C826" s="4">
        <f>IF(B826="","",IFERROR(VLOOKUP(B826, PLANTA_BASE!A:R, 3, FALSE), ""))</f>
        <v/>
      </c>
      <c r="D826" s="2">
        <f>IF(B826="","",IFERROR(VLOOKUP(B826, PLANTA_BASE!A:R, 5, FALSE), "NO ENCONTRADO EN PLANTA"))</f>
        <v/>
      </c>
      <c r="E826" s="2">
        <f>IF(B826="","",IFERROR(VLOOKUP(B826, PLANTA_BASE!A:R, 6, FALSE), "NO ENCONTRADO EN PLANTA"))</f>
        <v/>
      </c>
      <c r="F826" s="4">
        <f>IF(B826="","",IFERROR(VLOOKUP(B826, PLANTA_BASE!A:R, 8, FALSE), "DOCENTE / FACILITADOR"))</f>
        <v/>
      </c>
      <c r="G826" s="4">
        <f>IF(B826="","",IFERROR(VLOOKUP(B826, PLANTA_BASE!A:R, 9, FALSE), "GENERAL"))</f>
        <v/>
      </c>
      <c r="H826" s="2">
        <f>IF(B826="","",IFERROR(VLOOKUP(B826, PLANTA_BASE!A:R, 17, FALSE), "GENERAL"))</f>
        <v/>
      </c>
    </row>
    <row r="827" ht="20" customHeight="1">
      <c r="A827" s="5">
        <f>IF(B827="","",IFERROR(VLOOKUP(B827, PLANTA_BASE!A:R, 2, FALSE), "NO ENCONTRADO EN PLANTA"))</f>
        <v/>
      </c>
      <c r="B827" s="6" t="inlineStr"/>
      <c r="C827" s="7">
        <f>IF(B827="","",IFERROR(VLOOKUP(B827, PLANTA_BASE!A:R, 3, FALSE), ""))</f>
        <v/>
      </c>
      <c r="D827" s="5">
        <f>IF(B827="","",IFERROR(VLOOKUP(B827, PLANTA_BASE!A:R, 5, FALSE), "NO ENCONTRADO EN PLANTA"))</f>
        <v/>
      </c>
      <c r="E827" s="5">
        <f>IF(B827="","",IFERROR(VLOOKUP(B827, PLANTA_BASE!A:R, 6, FALSE), "NO ENCONTRADO EN PLANTA"))</f>
        <v/>
      </c>
      <c r="F827" s="7">
        <f>IF(B827="","",IFERROR(VLOOKUP(B827, PLANTA_BASE!A:R, 8, FALSE), "DOCENTE / FACILITADOR"))</f>
        <v/>
      </c>
      <c r="G827" s="7">
        <f>IF(B827="","",IFERROR(VLOOKUP(B827, PLANTA_BASE!A:R, 9, FALSE), "GENERAL"))</f>
        <v/>
      </c>
      <c r="H827" s="5">
        <f>IF(B827="","",IFERROR(VLOOKUP(B827, PLANTA_BASE!A:R, 17, FALSE), "GENERAL"))</f>
        <v/>
      </c>
    </row>
    <row r="828" ht="20" customHeight="1">
      <c r="A828" s="2">
        <f>IF(B828="","",IFERROR(VLOOKUP(B828, PLANTA_BASE!A:R, 2, FALSE), "NO ENCONTRADO EN PLANTA"))</f>
        <v/>
      </c>
      <c r="B828" s="3" t="inlineStr"/>
      <c r="C828" s="4">
        <f>IF(B828="","",IFERROR(VLOOKUP(B828, PLANTA_BASE!A:R, 3, FALSE), ""))</f>
        <v/>
      </c>
      <c r="D828" s="2">
        <f>IF(B828="","",IFERROR(VLOOKUP(B828, PLANTA_BASE!A:R, 5, FALSE), "NO ENCONTRADO EN PLANTA"))</f>
        <v/>
      </c>
      <c r="E828" s="2">
        <f>IF(B828="","",IFERROR(VLOOKUP(B828, PLANTA_BASE!A:R, 6, FALSE), "NO ENCONTRADO EN PLANTA"))</f>
        <v/>
      </c>
      <c r="F828" s="4">
        <f>IF(B828="","",IFERROR(VLOOKUP(B828, PLANTA_BASE!A:R, 8, FALSE), "DOCENTE / FACILITADOR"))</f>
        <v/>
      </c>
      <c r="G828" s="4">
        <f>IF(B828="","",IFERROR(VLOOKUP(B828, PLANTA_BASE!A:R, 9, FALSE), "GENERAL"))</f>
        <v/>
      </c>
      <c r="H828" s="2">
        <f>IF(B828="","",IFERROR(VLOOKUP(B828, PLANTA_BASE!A:R, 17, FALSE), "GENERAL"))</f>
        <v/>
      </c>
    </row>
    <row r="829" ht="20" customHeight="1">
      <c r="A829" s="5">
        <f>IF(B829="","",IFERROR(VLOOKUP(B829, PLANTA_BASE!A:R, 2, FALSE), "NO ENCONTRADO EN PLANTA"))</f>
        <v/>
      </c>
      <c r="B829" s="6" t="inlineStr"/>
      <c r="C829" s="7">
        <f>IF(B829="","",IFERROR(VLOOKUP(B829, PLANTA_BASE!A:R, 3, FALSE), ""))</f>
        <v/>
      </c>
      <c r="D829" s="5">
        <f>IF(B829="","",IFERROR(VLOOKUP(B829, PLANTA_BASE!A:R, 5, FALSE), "NO ENCONTRADO EN PLANTA"))</f>
        <v/>
      </c>
      <c r="E829" s="5">
        <f>IF(B829="","",IFERROR(VLOOKUP(B829, PLANTA_BASE!A:R, 6, FALSE), "NO ENCONTRADO EN PLANTA"))</f>
        <v/>
      </c>
      <c r="F829" s="7">
        <f>IF(B829="","",IFERROR(VLOOKUP(B829, PLANTA_BASE!A:R, 8, FALSE), "DOCENTE / FACILITADOR"))</f>
        <v/>
      </c>
      <c r="G829" s="7">
        <f>IF(B829="","",IFERROR(VLOOKUP(B829, PLANTA_BASE!A:R, 9, FALSE), "GENERAL"))</f>
        <v/>
      </c>
      <c r="H829" s="5">
        <f>IF(B829="","",IFERROR(VLOOKUP(B829, PLANTA_BASE!A:R, 17, FALSE), "GENERAL"))</f>
        <v/>
      </c>
    </row>
    <row r="830" ht="20" customHeight="1">
      <c r="A830" s="2">
        <f>IF(B830="","",IFERROR(VLOOKUP(B830, PLANTA_BASE!A:R, 2, FALSE), "NO ENCONTRADO EN PLANTA"))</f>
        <v/>
      </c>
      <c r="B830" s="3" t="inlineStr"/>
      <c r="C830" s="4">
        <f>IF(B830="","",IFERROR(VLOOKUP(B830, PLANTA_BASE!A:R, 3, FALSE), ""))</f>
        <v/>
      </c>
      <c r="D830" s="2">
        <f>IF(B830="","",IFERROR(VLOOKUP(B830, PLANTA_BASE!A:R, 5, FALSE), "NO ENCONTRADO EN PLANTA"))</f>
        <v/>
      </c>
      <c r="E830" s="2">
        <f>IF(B830="","",IFERROR(VLOOKUP(B830, PLANTA_BASE!A:R, 6, FALSE), "NO ENCONTRADO EN PLANTA"))</f>
        <v/>
      </c>
      <c r="F830" s="4">
        <f>IF(B830="","",IFERROR(VLOOKUP(B830, PLANTA_BASE!A:R, 8, FALSE), "DOCENTE / FACILITADOR"))</f>
        <v/>
      </c>
      <c r="G830" s="4">
        <f>IF(B830="","",IFERROR(VLOOKUP(B830, PLANTA_BASE!A:R, 9, FALSE), "GENERAL"))</f>
        <v/>
      </c>
      <c r="H830" s="2">
        <f>IF(B830="","",IFERROR(VLOOKUP(B830, PLANTA_BASE!A:R, 17, FALSE), "GENERAL"))</f>
        <v/>
      </c>
    </row>
    <row r="831" ht="20" customHeight="1">
      <c r="A831" s="5">
        <f>IF(B831="","",IFERROR(VLOOKUP(B831, PLANTA_BASE!A:R, 2, FALSE), "NO ENCONTRADO EN PLANTA"))</f>
        <v/>
      </c>
      <c r="B831" s="6" t="inlineStr"/>
      <c r="C831" s="7">
        <f>IF(B831="","",IFERROR(VLOOKUP(B831, PLANTA_BASE!A:R, 3, FALSE), ""))</f>
        <v/>
      </c>
      <c r="D831" s="5">
        <f>IF(B831="","",IFERROR(VLOOKUP(B831, PLANTA_BASE!A:R, 5, FALSE), "NO ENCONTRADO EN PLANTA"))</f>
        <v/>
      </c>
      <c r="E831" s="5">
        <f>IF(B831="","",IFERROR(VLOOKUP(B831, PLANTA_BASE!A:R, 6, FALSE), "NO ENCONTRADO EN PLANTA"))</f>
        <v/>
      </c>
      <c r="F831" s="7">
        <f>IF(B831="","",IFERROR(VLOOKUP(B831, PLANTA_BASE!A:R, 8, FALSE), "DOCENTE / FACILITADOR"))</f>
        <v/>
      </c>
      <c r="G831" s="7">
        <f>IF(B831="","",IFERROR(VLOOKUP(B831, PLANTA_BASE!A:R, 9, FALSE), "GENERAL"))</f>
        <v/>
      </c>
      <c r="H831" s="5">
        <f>IF(B831="","",IFERROR(VLOOKUP(B831, PLANTA_BASE!A:R, 17, FALSE), "GENERAL"))</f>
        <v/>
      </c>
    </row>
    <row r="832" ht="20" customHeight="1">
      <c r="A832" s="2">
        <f>IF(B832="","",IFERROR(VLOOKUP(B832, PLANTA_BASE!A:R, 2, FALSE), "NO ENCONTRADO EN PLANTA"))</f>
        <v/>
      </c>
      <c r="B832" s="3" t="inlineStr"/>
      <c r="C832" s="4">
        <f>IF(B832="","",IFERROR(VLOOKUP(B832, PLANTA_BASE!A:R, 3, FALSE), ""))</f>
        <v/>
      </c>
      <c r="D832" s="2">
        <f>IF(B832="","",IFERROR(VLOOKUP(B832, PLANTA_BASE!A:R, 5, FALSE), "NO ENCONTRADO EN PLANTA"))</f>
        <v/>
      </c>
      <c r="E832" s="2">
        <f>IF(B832="","",IFERROR(VLOOKUP(B832, PLANTA_BASE!A:R, 6, FALSE), "NO ENCONTRADO EN PLANTA"))</f>
        <v/>
      </c>
      <c r="F832" s="4">
        <f>IF(B832="","",IFERROR(VLOOKUP(B832, PLANTA_BASE!A:R, 8, FALSE), "DOCENTE / FACILITADOR"))</f>
        <v/>
      </c>
      <c r="G832" s="4">
        <f>IF(B832="","",IFERROR(VLOOKUP(B832, PLANTA_BASE!A:R, 9, FALSE), "GENERAL"))</f>
        <v/>
      </c>
      <c r="H832" s="2">
        <f>IF(B832="","",IFERROR(VLOOKUP(B832, PLANTA_BASE!A:R, 17, FALSE), "GENERAL"))</f>
        <v/>
      </c>
    </row>
    <row r="833" ht="20" customHeight="1">
      <c r="A833" s="5">
        <f>IF(B833="","",IFERROR(VLOOKUP(B833, PLANTA_BASE!A:R, 2, FALSE), "NO ENCONTRADO EN PLANTA"))</f>
        <v/>
      </c>
      <c r="B833" s="6" t="inlineStr"/>
      <c r="C833" s="7">
        <f>IF(B833="","",IFERROR(VLOOKUP(B833, PLANTA_BASE!A:R, 3, FALSE), ""))</f>
        <v/>
      </c>
      <c r="D833" s="5">
        <f>IF(B833="","",IFERROR(VLOOKUP(B833, PLANTA_BASE!A:R, 5, FALSE), "NO ENCONTRADO EN PLANTA"))</f>
        <v/>
      </c>
      <c r="E833" s="5">
        <f>IF(B833="","",IFERROR(VLOOKUP(B833, PLANTA_BASE!A:R, 6, FALSE), "NO ENCONTRADO EN PLANTA"))</f>
        <v/>
      </c>
      <c r="F833" s="7">
        <f>IF(B833="","",IFERROR(VLOOKUP(B833, PLANTA_BASE!A:R, 8, FALSE), "DOCENTE / FACILITADOR"))</f>
        <v/>
      </c>
      <c r="G833" s="7">
        <f>IF(B833="","",IFERROR(VLOOKUP(B833, PLANTA_BASE!A:R, 9, FALSE), "GENERAL"))</f>
        <v/>
      </c>
      <c r="H833" s="5">
        <f>IF(B833="","",IFERROR(VLOOKUP(B833, PLANTA_BASE!A:R, 17, FALSE), "GENERAL"))</f>
        <v/>
      </c>
    </row>
    <row r="834" ht="20" customHeight="1">
      <c r="A834" s="2">
        <f>IF(B834="","",IFERROR(VLOOKUP(B834, PLANTA_BASE!A:R, 2, FALSE), "NO ENCONTRADO EN PLANTA"))</f>
        <v/>
      </c>
      <c r="B834" s="3" t="inlineStr"/>
      <c r="C834" s="4">
        <f>IF(B834="","",IFERROR(VLOOKUP(B834, PLANTA_BASE!A:R, 3, FALSE), ""))</f>
        <v/>
      </c>
      <c r="D834" s="2">
        <f>IF(B834="","",IFERROR(VLOOKUP(B834, PLANTA_BASE!A:R, 5, FALSE), "NO ENCONTRADO EN PLANTA"))</f>
        <v/>
      </c>
      <c r="E834" s="2">
        <f>IF(B834="","",IFERROR(VLOOKUP(B834, PLANTA_BASE!A:R, 6, FALSE), "NO ENCONTRADO EN PLANTA"))</f>
        <v/>
      </c>
      <c r="F834" s="4">
        <f>IF(B834="","",IFERROR(VLOOKUP(B834, PLANTA_BASE!A:R, 8, FALSE), "DOCENTE / FACILITADOR"))</f>
        <v/>
      </c>
      <c r="G834" s="4">
        <f>IF(B834="","",IFERROR(VLOOKUP(B834, PLANTA_BASE!A:R, 9, FALSE), "GENERAL"))</f>
        <v/>
      </c>
      <c r="H834" s="2">
        <f>IF(B834="","",IFERROR(VLOOKUP(B834, PLANTA_BASE!A:R, 17, FALSE), "GENERAL"))</f>
        <v/>
      </c>
    </row>
    <row r="835" ht="20" customHeight="1">
      <c r="A835" s="5">
        <f>IF(B835="","",IFERROR(VLOOKUP(B835, PLANTA_BASE!A:R, 2, FALSE), "NO ENCONTRADO EN PLANTA"))</f>
        <v/>
      </c>
      <c r="B835" s="6" t="inlineStr"/>
      <c r="C835" s="7">
        <f>IF(B835="","",IFERROR(VLOOKUP(B835, PLANTA_BASE!A:R, 3, FALSE), ""))</f>
        <v/>
      </c>
      <c r="D835" s="5">
        <f>IF(B835="","",IFERROR(VLOOKUP(B835, PLANTA_BASE!A:R, 5, FALSE), "NO ENCONTRADO EN PLANTA"))</f>
        <v/>
      </c>
      <c r="E835" s="5">
        <f>IF(B835="","",IFERROR(VLOOKUP(B835, PLANTA_BASE!A:R, 6, FALSE), "NO ENCONTRADO EN PLANTA"))</f>
        <v/>
      </c>
      <c r="F835" s="7">
        <f>IF(B835="","",IFERROR(VLOOKUP(B835, PLANTA_BASE!A:R, 8, FALSE), "DOCENTE / FACILITADOR"))</f>
        <v/>
      </c>
      <c r="G835" s="7">
        <f>IF(B835="","",IFERROR(VLOOKUP(B835, PLANTA_BASE!A:R, 9, FALSE), "GENERAL"))</f>
        <v/>
      </c>
      <c r="H835" s="5">
        <f>IF(B835="","",IFERROR(VLOOKUP(B835, PLANTA_BASE!A:R, 17, FALSE), "GENERAL"))</f>
        <v/>
      </c>
    </row>
    <row r="836" ht="20" customHeight="1">
      <c r="A836" s="2">
        <f>IF(B836="","",IFERROR(VLOOKUP(B836, PLANTA_BASE!A:R, 2, FALSE), "NO ENCONTRADO EN PLANTA"))</f>
        <v/>
      </c>
      <c r="B836" s="3" t="inlineStr"/>
      <c r="C836" s="4">
        <f>IF(B836="","",IFERROR(VLOOKUP(B836, PLANTA_BASE!A:R, 3, FALSE), ""))</f>
        <v/>
      </c>
      <c r="D836" s="2">
        <f>IF(B836="","",IFERROR(VLOOKUP(B836, PLANTA_BASE!A:R, 5, FALSE), "NO ENCONTRADO EN PLANTA"))</f>
        <v/>
      </c>
      <c r="E836" s="2">
        <f>IF(B836="","",IFERROR(VLOOKUP(B836, PLANTA_BASE!A:R, 6, FALSE), "NO ENCONTRADO EN PLANTA"))</f>
        <v/>
      </c>
      <c r="F836" s="4">
        <f>IF(B836="","",IFERROR(VLOOKUP(B836, PLANTA_BASE!A:R, 8, FALSE), "DOCENTE / FACILITADOR"))</f>
        <v/>
      </c>
      <c r="G836" s="4">
        <f>IF(B836="","",IFERROR(VLOOKUP(B836, PLANTA_BASE!A:R, 9, FALSE), "GENERAL"))</f>
        <v/>
      </c>
      <c r="H836" s="2">
        <f>IF(B836="","",IFERROR(VLOOKUP(B836, PLANTA_BASE!A:R, 17, FALSE), "GENERAL"))</f>
        <v/>
      </c>
    </row>
    <row r="837" ht="20" customHeight="1">
      <c r="A837" s="5">
        <f>IF(B837="","",IFERROR(VLOOKUP(B837, PLANTA_BASE!A:R, 2, FALSE), "NO ENCONTRADO EN PLANTA"))</f>
        <v/>
      </c>
      <c r="B837" s="6" t="inlineStr"/>
      <c r="C837" s="7">
        <f>IF(B837="","",IFERROR(VLOOKUP(B837, PLANTA_BASE!A:R, 3, FALSE), ""))</f>
        <v/>
      </c>
      <c r="D837" s="5">
        <f>IF(B837="","",IFERROR(VLOOKUP(B837, PLANTA_BASE!A:R, 5, FALSE), "NO ENCONTRADO EN PLANTA"))</f>
        <v/>
      </c>
      <c r="E837" s="5">
        <f>IF(B837="","",IFERROR(VLOOKUP(B837, PLANTA_BASE!A:R, 6, FALSE), "NO ENCONTRADO EN PLANTA"))</f>
        <v/>
      </c>
      <c r="F837" s="7">
        <f>IF(B837="","",IFERROR(VLOOKUP(B837, PLANTA_BASE!A:R, 8, FALSE), "DOCENTE / FACILITADOR"))</f>
        <v/>
      </c>
      <c r="G837" s="7">
        <f>IF(B837="","",IFERROR(VLOOKUP(B837, PLANTA_BASE!A:R, 9, FALSE), "GENERAL"))</f>
        <v/>
      </c>
      <c r="H837" s="5">
        <f>IF(B837="","",IFERROR(VLOOKUP(B837, PLANTA_BASE!A:R, 17, FALSE), "GENERAL"))</f>
        <v/>
      </c>
    </row>
    <row r="838" ht="20" customHeight="1">
      <c r="A838" s="2">
        <f>IF(B838="","",IFERROR(VLOOKUP(B838, PLANTA_BASE!A:R, 2, FALSE), "NO ENCONTRADO EN PLANTA"))</f>
        <v/>
      </c>
      <c r="B838" s="3" t="inlineStr"/>
      <c r="C838" s="4">
        <f>IF(B838="","",IFERROR(VLOOKUP(B838, PLANTA_BASE!A:R, 3, FALSE), ""))</f>
        <v/>
      </c>
      <c r="D838" s="2">
        <f>IF(B838="","",IFERROR(VLOOKUP(B838, PLANTA_BASE!A:R, 5, FALSE), "NO ENCONTRADO EN PLANTA"))</f>
        <v/>
      </c>
      <c r="E838" s="2">
        <f>IF(B838="","",IFERROR(VLOOKUP(B838, PLANTA_BASE!A:R, 6, FALSE), "NO ENCONTRADO EN PLANTA"))</f>
        <v/>
      </c>
      <c r="F838" s="4">
        <f>IF(B838="","",IFERROR(VLOOKUP(B838, PLANTA_BASE!A:R, 8, FALSE), "DOCENTE / FACILITADOR"))</f>
        <v/>
      </c>
      <c r="G838" s="4">
        <f>IF(B838="","",IFERROR(VLOOKUP(B838, PLANTA_BASE!A:R, 9, FALSE), "GENERAL"))</f>
        <v/>
      </c>
      <c r="H838" s="2">
        <f>IF(B838="","",IFERROR(VLOOKUP(B838, PLANTA_BASE!A:R, 17, FALSE), "GENERAL"))</f>
        <v/>
      </c>
    </row>
    <row r="839" ht="20" customHeight="1">
      <c r="A839" s="5">
        <f>IF(B839="","",IFERROR(VLOOKUP(B839, PLANTA_BASE!A:R, 2, FALSE), "NO ENCONTRADO EN PLANTA"))</f>
        <v/>
      </c>
      <c r="B839" s="6" t="inlineStr"/>
      <c r="C839" s="7">
        <f>IF(B839="","",IFERROR(VLOOKUP(B839, PLANTA_BASE!A:R, 3, FALSE), ""))</f>
        <v/>
      </c>
      <c r="D839" s="5">
        <f>IF(B839="","",IFERROR(VLOOKUP(B839, PLANTA_BASE!A:R, 5, FALSE), "NO ENCONTRADO EN PLANTA"))</f>
        <v/>
      </c>
      <c r="E839" s="5">
        <f>IF(B839="","",IFERROR(VLOOKUP(B839, PLANTA_BASE!A:R, 6, FALSE), "NO ENCONTRADO EN PLANTA"))</f>
        <v/>
      </c>
      <c r="F839" s="7">
        <f>IF(B839="","",IFERROR(VLOOKUP(B839, PLANTA_BASE!A:R, 8, FALSE), "DOCENTE / FACILITADOR"))</f>
        <v/>
      </c>
      <c r="G839" s="7">
        <f>IF(B839="","",IFERROR(VLOOKUP(B839, PLANTA_BASE!A:R, 9, FALSE), "GENERAL"))</f>
        <v/>
      </c>
      <c r="H839" s="5">
        <f>IF(B839="","",IFERROR(VLOOKUP(B839, PLANTA_BASE!A:R, 17, FALSE), "GENERAL"))</f>
        <v/>
      </c>
    </row>
    <row r="840" ht="20" customHeight="1">
      <c r="A840" s="2">
        <f>IF(B840="","",IFERROR(VLOOKUP(B840, PLANTA_BASE!A:R, 2, FALSE), "NO ENCONTRADO EN PLANTA"))</f>
        <v/>
      </c>
      <c r="B840" s="3" t="inlineStr"/>
      <c r="C840" s="4">
        <f>IF(B840="","",IFERROR(VLOOKUP(B840, PLANTA_BASE!A:R, 3, FALSE), ""))</f>
        <v/>
      </c>
      <c r="D840" s="2">
        <f>IF(B840="","",IFERROR(VLOOKUP(B840, PLANTA_BASE!A:R, 5, FALSE), "NO ENCONTRADO EN PLANTA"))</f>
        <v/>
      </c>
      <c r="E840" s="2">
        <f>IF(B840="","",IFERROR(VLOOKUP(B840, PLANTA_BASE!A:R, 6, FALSE), "NO ENCONTRADO EN PLANTA"))</f>
        <v/>
      </c>
      <c r="F840" s="4">
        <f>IF(B840="","",IFERROR(VLOOKUP(B840, PLANTA_BASE!A:R, 8, FALSE), "DOCENTE / FACILITADOR"))</f>
        <v/>
      </c>
      <c r="G840" s="4">
        <f>IF(B840="","",IFERROR(VLOOKUP(B840, PLANTA_BASE!A:R, 9, FALSE), "GENERAL"))</f>
        <v/>
      </c>
      <c r="H840" s="2">
        <f>IF(B840="","",IFERROR(VLOOKUP(B840, PLANTA_BASE!A:R, 17, FALSE), "GENERAL"))</f>
        <v/>
      </c>
    </row>
    <row r="841" ht="20" customHeight="1">
      <c r="A841" s="5">
        <f>IF(B841="","",IFERROR(VLOOKUP(B841, PLANTA_BASE!A:R, 2, FALSE), "NO ENCONTRADO EN PLANTA"))</f>
        <v/>
      </c>
      <c r="B841" s="6" t="inlineStr"/>
      <c r="C841" s="7">
        <f>IF(B841="","",IFERROR(VLOOKUP(B841, PLANTA_BASE!A:R, 3, FALSE), ""))</f>
        <v/>
      </c>
      <c r="D841" s="5">
        <f>IF(B841="","",IFERROR(VLOOKUP(B841, PLANTA_BASE!A:R, 5, FALSE), "NO ENCONTRADO EN PLANTA"))</f>
        <v/>
      </c>
      <c r="E841" s="5">
        <f>IF(B841="","",IFERROR(VLOOKUP(B841, PLANTA_BASE!A:R, 6, FALSE), "NO ENCONTRADO EN PLANTA"))</f>
        <v/>
      </c>
      <c r="F841" s="7">
        <f>IF(B841="","",IFERROR(VLOOKUP(B841, PLANTA_BASE!A:R, 8, FALSE), "DOCENTE / FACILITADOR"))</f>
        <v/>
      </c>
      <c r="G841" s="7">
        <f>IF(B841="","",IFERROR(VLOOKUP(B841, PLANTA_BASE!A:R, 9, FALSE), "GENERAL"))</f>
        <v/>
      </c>
      <c r="H841" s="5">
        <f>IF(B841="","",IFERROR(VLOOKUP(B841, PLANTA_BASE!A:R, 17, FALSE), "GENERAL"))</f>
        <v/>
      </c>
    </row>
    <row r="842" ht="20" customHeight="1">
      <c r="A842" s="2">
        <f>IF(B842="","",IFERROR(VLOOKUP(B842, PLANTA_BASE!A:R, 2, FALSE), "NO ENCONTRADO EN PLANTA"))</f>
        <v/>
      </c>
      <c r="B842" s="3" t="inlineStr"/>
      <c r="C842" s="4">
        <f>IF(B842="","",IFERROR(VLOOKUP(B842, PLANTA_BASE!A:R, 3, FALSE), ""))</f>
        <v/>
      </c>
      <c r="D842" s="2">
        <f>IF(B842="","",IFERROR(VLOOKUP(B842, PLANTA_BASE!A:R, 5, FALSE), "NO ENCONTRADO EN PLANTA"))</f>
        <v/>
      </c>
      <c r="E842" s="2">
        <f>IF(B842="","",IFERROR(VLOOKUP(B842, PLANTA_BASE!A:R, 6, FALSE), "NO ENCONTRADO EN PLANTA"))</f>
        <v/>
      </c>
      <c r="F842" s="4">
        <f>IF(B842="","",IFERROR(VLOOKUP(B842, PLANTA_BASE!A:R, 8, FALSE), "DOCENTE / FACILITADOR"))</f>
        <v/>
      </c>
      <c r="G842" s="4">
        <f>IF(B842="","",IFERROR(VLOOKUP(B842, PLANTA_BASE!A:R, 9, FALSE), "GENERAL"))</f>
        <v/>
      </c>
      <c r="H842" s="2">
        <f>IF(B842="","",IFERROR(VLOOKUP(B842, PLANTA_BASE!A:R, 17, FALSE), "GENERAL"))</f>
        <v/>
      </c>
    </row>
    <row r="843" ht="20" customHeight="1">
      <c r="A843" s="5">
        <f>IF(B843="","",IFERROR(VLOOKUP(B843, PLANTA_BASE!A:R, 2, FALSE), "NO ENCONTRADO EN PLANTA"))</f>
        <v/>
      </c>
      <c r="B843" s="6" t="inlineStr"/>
      <c r="C843" s="7">
        <f>IF(B843="","",IFERROR(VLOOKUP(B843, PLANTA_BASE!A:R, 3, FALSE), ""))</f>
        <v/>
      </c>
      <c r="D843" s="5">
        <f>IF(B843="","",IFERROR(VLOOKUP(B843, PLANTA_BASE!A:R, 5, FALSE), "NO ENCONTRADO EN PLANTA"))</f>
        <v/>
      </c>
      <c r="E843" s="5">
        <f>IF(B843="","",IFERROR(VLOOKUP(B843, PLANTA_BASE!A:R, 6, FALSE), "NO ENCONTRADO EN PLANTA"))</f>
        <v/>
      </c>
      <c r="F843" s="7">
        <f>IF(B843="","",IFERROR(VLOOKUP(B843, PLANTA_BASE!A:R, 8, FALSE), "DOCENTE / FACILITADOR"))</f>
        <v/>
      </c>
      <c r="G843" s="7">
        <f>IF(B843="","",IFERROR(VLOOKUP(B843, PLANTA_BASE!A:R, 9, FALSE), "GENERAL"))</f>
        <v/>
      </c>
      <c r="H843" s="5">
        <f>IF(B843="","",IFERROR(VLOOKUP(B843, PLANTA_BASE!A:R, 17, FALSE), "GENERAL"))</f>
        <v/>
      </c>
    </row>
    <row r="844" ht="20" customHeight="1">
      <c r="A844" s="2">
        <f>IF(B844="","",IFERROR(VLOOKUP(B844, PLANTA_BASE!A:R, 2, FALSE), "NO ENCONTRADO EN PLANTA"))</f>
        <v/>
      </c>
      <c r="B844" s="3" t="inlineStr"/>
      <c r="C844" s="4">
        <f>IF(B844="","",IFERROR(VLOOKUP(B844, PLANTA_BASE!A:R, 3, FALSE), ""))</f>
        <v/>
      </c>
      <c r="D844" s="2">
        <f>IF(B844="","",IFERROR(VLOOKUP(B844, PLANTA_BASE!A:R, 5, FALSE), "NO ENCONTRADO EN PLANTA"))</f>
        <v/>
      </c>
      <c r="E844" s="2">
        <f>IF(B844="","",IFERROR(VLOOKUP(B844, PLANTA_BASE!A:R, 6, FALSE), "NO ENCONTRADO EN PLANTA"))</f>
        <v/>
      </c>
      <c r="F844" s="4">
        <f>IF(B844="","",IFERROR(VLOOKUP(B844, PLANTA_BASE!A:R, 8, FALSE), "DOCENTE / FACILITADOR"))</f>
        <v/>
      </c>
      <c r="G844" s="4">
        <f>IF(B844="","",IFERROR(VLOOKUP(B844, PLANTA_BASE!A:R, 9, FALSE), "GENERAL"))</f>
        <v/>
      </c>
      <c r="H844" s="2">
        <f>IF(B844="","",IFERROR(VLOOKUP(B844, PLANTA_BASE!A:R, 17, FALSE), "GENERAL"))</f>
        <v/>
      </c>
    </row>
    <row r="845" ht="20" customHeight="1">
      <c r="A845" s="5">
        <f>IF(B845="","",IFERROR(VLOOKUP(B845, PLANTA_BASE!A:R, 2, FALSE), "NO ENCONTRADO EN PLANTA"))</f>
        <v/>
      </c>
      <c r="B845" s="6" t="inlineStr"/>
      <c r="C845" s="7">
        <f>IF(B845="","",IFERROR(VLOOKUP(B845, PLANTA_BASE!A:R, 3, FALSE), ""))</f>
        <v/>
      </c>
      <c r="D845" s="5">
        <f>IF(B845="","",IFERROR(VLOOKUP(B845, PLANTA_BASE!A:R, 5, FALSE), "NO ENCONTRADO EN PLANTA"))</f>
        <v/>
      </c>
      <c r="E845" s="5">
        <f>IF(B845="","",IFERROR(VLOOKUP(B845, PLANTA_BASE!A:R, 6, FALSE), "NO ENCONTRADO EN PLANTA"))</f>
        <v/>
      </c>
      <c r="F845" s="7">
        <f>IF(B845="","",IFERROR(VLOOKUP(B845, PLANTA_BASE!A:R, 8, FALSE), "DOCENTE / FACILITADOR"))</f>
        <v/>
      </c>
      <c r="G845" s="7">
        <f>IF(B845="","",IFERROR(VLOOKUP(B845, PLANTA_BASE!A:R, 9, FALSE), "GENERAL"))</f>
        <v/>
      </c>
      <c r="H845" s="5">
        <f>IF(B845="","",IFERROR(VLOOKUP(B845, PLANTA_BASE!A:R, 17, FALSE), "GENERAL"))</f>
        <v/>
      </c>
    </row>
    <row r="846" ht="20" customHeight="1">
      <c r="A846" s="2">
        <f>IF(B846="","",IFERROR(VLOOKUP(B846, PLANTA_BASE!A:R, 2, FALSE), "NO ENCONTRADO EN PLANTA"))</f>
        <v/>
      </c>
      <c r="B846" s="3" t="inlineStr"/>
      <c r="C846" s="4">
        <f>IF(B846="","",IFERROR(VLOOKUP(B846, PLANTA_BASE!A:R, 3, FALSE), ""))</f>
        <v/>
      </c>
      <c r="D846" s="2">
        <f>IF(B846="","",IFERROR(VLOOKUP(B846, PLANTA_BASE!A:R, 5, FALSE), "NO ENCONTRADO EN PLANTA"))</f>
        <v/>
      </c>
      <c r="E846" s="2">
        <f>IF(B846="","",IFERROR(VLOOKUP(B846, PLANTA_BASE!A:R, 6, FALSE), "NO ENCONTRADO EN PLANTA"))</f>
        <v/>
      </c>
      <c r="F846" s="4">
        <f>IF(B846="","",IFERROR(VLOOKUP(B846, PLANTA_BASE!A:R, 8, FALSE), "DOCENTE / FACILITADOR"))</f>
        <v/>
      </c>
      <c r="G846" s="4">
        <f>IF(B846="","",IFERROR(VLOOKUP(B846, PLANTA_BASE!A:R, 9, FALSE), "GENERAL"))</f>
        <v/>
      </c>
      <c r="H846" s="2">
        <f>IF(B846="","",IFERROR(VLOOKUP(B846, PLANTA_BASE!A:R, 17, FALSE), "GENERAL"))</f>
        <v/>
      </c>
    </row>
    <row r="847" ht="20" customHeight="1">
      <c r="A847" s="5">
        <f>IF(B847="","",IFERROR(VLOOKUP(B847, PLANTA_BASE!A:R, 2, FALSE), "NO ENCONTRADO EN PLANTA"))</f>
        <v/>
      </c>
      <c r="B847" s="6" t="inlineStr"/>
      <c r="C847" s="7">
        <f>IF(B847="","",IFERROR(VLOOKUP(B847, PLANTA_BASE!A:R, 3, FALSE), ""))</f>
        <v/>
      </c>
      <c r="D847" s="5">
        <f>IF(B847="","",IFERROR(VLOOKUP(B847, PLANTA_BASE!A:R, 5, FALSE), "NO ENCONTRADO EN PLANTA"))</f>
        <v/>
      </c>
      <c r="E847" s="5">
        <f>IF(B847="","",IFERROR(VLOOKUP(B847, PLANTA_BASE!A:R, 6, FALSE), "NO ENCONTRADO EN PLANTA"))</f>
        <v/>
      </c>
      <c r="F847" s="7">
        <f>IF(B847="","",IFERROR(VLOOKUP(B847, PLANTA_BASE!A:R, 8, FALSE), "DOCENTE / FACILITADOR"))</f>
        <v/>
      </c>
      <c r="G847" s="7">
        <f>IF(B847="","",IFERROR(VLOOKUP(B847, PLANTA_BASE!A:R, 9, FALSE), "GENERAL"))</f>
        <v/>
      </c>
      <c r="H847" s="5">
        <f>IF(B847="","",IFERROR(VLOOKUP(B847, PLANTA_BASE!A:R, 17, FALSE), "GENERAL"))</f>
        <v/>
      </c>
    </row>
    <row r="848" ht="20" customHeight="1">
      <c r="A848" s="2">
        <f>IF(B848="","",IFERROR(VLOOKUP(B848, PLANTA_BASE!A:R, 2, FALSE), "NO ENCONTRADO EN PLANTA"))</f>
        <v/>
      </c>
      <c r="B848" s="3" t="inlineStr"/>
      <c r="C848" s="4">
        <f>IF(B848="","",IFERROR(VLOOKUP(B848, PLANTA_BASE!A:R, 3, FALSE), ""))</f>
        <v/>
      </c>
      <c r="D848" s="2">
        <f>IF(B848="","",IFERROR(VLOOKUP(B848, PLANTA_BASE!A:R, 5, FALSE), "NO ENCONTRADO EN PLANTA"))</f>
        <v/>
      </c>
      <c r="E848" s="2">
        <f>IF(B848="","",IFERROR(VLOOKUP(B848, PLANTA_BASE!A:R, 6, FALSE), "NO ENCONTRADO EN PLANTA"))</f>
        <v/>
      </c>
      <c r="F848" s="4">
        <f>IF(B848="","",IFERROR(VLOOKUP(B848, PLANTA_BASE!A:R, 8, FALSE), "DOCENTE / FACILITADOR"))</f>
        <v/>
      </c>
      <c r="G848" s="4">
        <f>IF(B848="","",IFERROR(VLOOKUP(B848, PLANTA_BASE!A:R, 9, FALSE), "GENERAL"))</f>
        <v/>
      </c>
      <c r="H848" s="2">
        <f>IF(B848="","",IFERROR(VLOOKUP(B848, PLANTA_BASE!A:R, 17, FALSE), "GENERAL"))</f>
        <v/>
      </c>
    </row>
    <row r="849" ht="20" customHeight="1">
      <c r="A849" s="5">
        <f>IF(B849="","",IFERROR(VLOOKUP(B849, PLANTA_BASE!A:R, 2, FALSE), "NO ENCONTRADO EN PLANTA"))</f>
        <v/>
      </c>
      <c r="B849" s="6" t="inlineStr"/>
      <c r="C849" s="7">
        <f>IF(B849="","",IFERROR(VLOOKUP(B849, PLANTA_BASE!A:R, 3, FALSE), ""))</f>
        <v/>
      </c>
      <c r="D849" s="5">
        <f>IF(B849="","",IFERROR(VLOOKUP(B849, PLANTA_BASE!A:R, 5, FALSE), "NO ENCONTRADO EN PLANTA"))</f>
        <v/>
      </c>
      <c r="E849" s="5">
        <f>IF(B849="","",IFERROR(VLOOKUP(B849, PLANTA_BASE!A:R, 6, FALSE), "NO ENCONTRADO EN PLANTA"))</f>
        <v/>
      </c>
      <c r="F849" s="7">
        <f>IF(B849="","",IFERROR(VLOOKUP(B849, PLANTA_BASE!A:R, 8, FALSE), "DOCENTE / FACILITADOR"))</f>
        <v/>
      </c>
      <c r="G849" s="7">
        <f>IF(B849="","",IFERROR(VLOOKUP(B849, PLANTA_BASE!A:R, 9, FALSE), "GENERAL"))</f>
        <v/>
      </c>
      <c r="H849" s="5">
        <f>IF(B849="","",IFERROR(VLOOKUP(B849, PLANTA_BASE!A:R, 17, FALSE), "GENERAL"))</f>
        <v/>
      </c>
    </row>
    <row r="850" ht="20" customHeight="1">
      <c r="A850" s="2">
        <f>IF(B850="","",IFERROR(VLOOKUP(B850, PLANTA_BASE!A:R, 2, FALSE), "NO ENCONTRADO EN PLANTA"))</f>
        <v/>
      </c>
      <c r="B850" s="3" t="inlineStr"/>
      <c r="C850" s="4">
        <f>IF(B850="","",IFERROR(VLOOKUP(B850, PLANTA_BASE!A:R, 3, FALSE), ""))</f>
        <v/>
      </c>
      <c r="D850" s="2">
        <f>IF(B850="","",IFERROR(VLOOKUP(B850, PLANTA_BASE!A:R, 5, FALSE), "NO ENCONTRADO EN PLANTA"))</f>
        <v/>
      </c>
      <c r="E850" s="2">
        <f>IF(B850="","",IFERROR(VLOOKUP(B850, PLANTA_BASE!A:R, 6, FALSE), "NO ENCONTRADO EN PLANTA"))</f>
        <v/>
      </c>
      <c r="F850" s="4">
        <f>IF(B850="","",IFERROR(VLOOKUP(B850, PLANTA_BASE!A:R, 8, FALSE), "DOCENTE / FACILITADOR"))</f>
        <v/>
      </c>
      <c r="G850" s="4">
        <f>IF(B850="","",IFERROR(VLOOKUP(B850, PLANTA_BASE!A:R, 9, FALSE), "GENERAL"))</f>
        <v/>
      </c>
      <c r="H850" s="2">
        <f>IF(B850="","",IFERROR(VLOOKUP(B850, PLANTA_BASE!A:R, 17, FALSE), "GENERAL"))</f>
        <v/>
      </c>
    </row>
    <row r="851" ht="20" customHeight="1">
      <c r="A851" s="5">
        <f>IF(B851="","",IFERROR(VLOOKUP(B851, PLANTA_BASE!A:R, 2, FALSE), "NO ENCONTRADO EN PLANTA"))</f>
        <v/>
      </c>
      <c r="B851" s="6" t="inlineStr"/>
      <c r="C851" s="7">
        <f>IF(B851="","",IFERROR(VLOOKUP(B851, PLANTA_BASE!A:R, 3, FALSE), ""))</f>
        <v/>
      </c>
      <c r="D851" s="5">
        <f>IF(B851="","",IFERROR(VLOOKUP(B851, PLANTA_BASE!A:R, 5, FALSE), "NO ENCONTRADO EN PLANTA"))</f>
        <v/>
      </c>
      <c r="E851" s="5">
        <f>IF(B851="","",IFERROR(VLOOKUP(B851, PLANTA_BASE!A:R, 6, FALSE), "NO ENCONTRADO EN PLANTA"))</f>
        <v/>
      </c>
      <c r="F851" s="7">
        <f>IF(B851="","",IFERROR(VLOOKUP(B851, PLANTA_BASE!A:R, 8, FALSE), "DOCENTE / FACILITADOR"))</f>
        <v/>
      </c>
      <c r="G851" s="7">
        <f>IF(B851="","",IFERROR(VLOOKUP(B851, PLANTA_BASE!A:R, 9, FALSE), "GENERAL"))</f>
        <v/>
      </c>
      <c r="H851" s="5">
        <f>IF(B851="","",IFERROR(VLOOKUP(B851, PLANTA_BASE!A:R, 17, FALSE), "GENERAL"))</f>
        <v/>
      </c>
    </row>
    <row r="852" ht="20" customHeight="1">
      <c r="A852" s="2">
        <f>IF(B852="","",IFERROR(VLOOKUP(B852, PLANTA_BASE!A:R, 2, FALSE), "NO ENCONTRADO EN PLANTA"))</f>
        <v/>
      </c>
      <c r="B852" s="3" t="inlineStr"/>
      <c r="C852" s="4">
        <f>IF(B852="","",IFERROR(VLOOKUP(B852, PLANTA_BASE!A:R, 3, FALSE), ""))</f>
        <v/>
      </c>
      <c r="D852" s="2">
        <f>IF(B852="","",IFERROR(VLOOKUP(B852, PLANTA_BASE!A:R, 5, FALSE), "NO ENCONTRADO EN PLANTA"))</f>
        <v/>
      </c>
      <c r="E852" s="2">
        <f>IF(B852="","",IFERROR(VLOOKUP(B852, PLANTA_BASE!A:R, 6, FALSE), "NO ENCONTRADO EN PLANTA"))</f>
        <v/>
      </c>
      <c r="F852" s="4">
        <f>IF(B852="","",IFERROR(VLOOKUP(B852, PLANTA_BASE!A:R, 8, FALSE), "DOCENTE / FACILITADOR"))</f>
        <v/>
      </c>
      <c r="G852" s="4">
        <f>IF(B852="","",IFERROR(VLOOKUP(B852, PLANTA_BASE!A:R, 9, FALSE), "GENERAL"))</f>
        <v/>
      </c>
      <c r="H852" s="2">
        <f>IF(B852="","",IFERROR(VLOOKUP(B852, PLANTA_BASE!A:R, 17, FALSE), "GENERAL"))</f>
        <v/>
      </c>
    </row>
    <row r="853" ht="20" customHeight="1">
      <c r="A853" s="5">
        <f>IF(B853="","",IFERROR(VLOOKUP(B853, PLANTA_BASE!A:R, 2, FALSE), "NO ENCONTRADO EN PLANTA"))</f>
        <v/>
      </c>
      <c r="B853" s="6" t="inlineStr"/>
      <c r="C853" s="7">
        <f>IF(B853="","",IFERROR(VLOOKUP(B853, PLANTA_BASE!A:R, 3, FALSE), ""))</f>
        <v/>
      </c>
      <c r="D853" s="5">
        <f>IF(B853="","",IFERROR(VLOOKUP(B853, PLANTA_BASE!A:R, 5, FALSE), "NO ENCONTRADO EN PLANTA"))</f>
        <v/>
      </c>
      <c r="E853" s="5">
        <f>IF(B853="","",IFERROR(VLOOKUP(B853, PLANTA_BASE!A:R, 6, FALSE), "NO ENCONTRADO EN PLANTA"))</f>
        <v/>
      </c>
      <c r="F853" s="7">
        <f>IF(B853="","",IFERROR(VLOOKUP(B853, PLANTA_BASE!A:R, 8, FALSE), "DOCENTE / FACILITADOR"))</f>
        <v/>
      </c>
      <c r="G853" s="7">
        <f>IF(B853="","",IFERROR(VLOOKUP(B853, PLANTA_BASE!A:R, 9, FALSE), "GENERAL"))</f>
        <v/>
      </c>
      <c r="H853" s="5">
        <f>IF(B853="","",IFERROR(VLOOKUP(B853, PLANTA_BASE!A:R, 17, FALSE), "GENERAL"))</f>
        <v/>
      </c>
    </row>
    <row r="854" ht="20" customHeight="1">
      <c r="A854" s="2">
        <f>IF(B854="","",IFERROR(VLOOKUP(B854, PLANTA_BASE!A:R, 2, FALSE), "NO ENCONTRADO EN PLANTA"))</f>
        <v/>
      </c>
      <c r="B854" s="3" t="inlineStr"/>
      <c r="C854" s="4">
        <f>IF(B854="","",IFERROR(VLOOKUP(B854, PLANTA_BASE!A:R, 3, FALSE), ""))</f>
        <v/>
      </c>
      <c r="D854" s="2">
        <f>IF(B854="","",IFERROR(VLOOKUP(B854, PLANTA_BASE!A:R, 5, FALSE), "NO ENCONTRADO EN PLANTA"))</f>
        <v/>
      </c>
      <c r="E854" s="2">
        <f>IF(B854="","",IFERROR(VLOOKUP(B854, PLANTA_BASE!A:R, 6, FALSE), "NO ENCONTRADO EN PLANTA"))</f>
        <v/>
      </c>
      <c r="F854" s="4">
        <f>IF(B854="","",IFERROR(VLOOKUP(B854, PLANTA_BASE!A:R, 8, FALSE), "DOCENTE / FACILITADOR"))</f>
        <v/>
      </c>
      <c r="G854" s="4">
        <f>IF(B854="","",IFERROR(VLOOKUP(B854, PLANTA_BASE!A:R, 9, FALSE), "GENERAL"))</f>
        <v/>
      </c>
      <c r="H854" s="2">
        <f>IF(B854="","",IFERROR(VLOOKUP(B854, PLANTA_BASE!A:R, 17, FALSE), "GENERAL"))</f>
        <v/>
      </c>
    </row>
    <row r="855" ht="20" customHeight="1">
      <c r="A855" s="5">
        <f>IF(B855="","",IFERROR(VLOOKUP(B855, PLANTA_BASE!A:R, 2, FALSE), "NO ENCONTRADO EN PLANTA"))</f>
        <v/>
      </c>
      <c r="B855" s="6" t="inlineStr"/>
      <c r="C855" s="7">
        <f>IF(B855="","",IFERROR(VLOOKUP(B855, PLANTA_BASE!A:R, 3, FALSE), ""))</f>
        <v/>
      </c>
      <c r="D855" s="5">
        <f>IF(B855="","",IFERROR(VLOOKUP(B855, PLANTA_BASE!A:R, 5, FALSE), "NO ENCONTRADO EN PLANTA"))</f>
        <v/>
      </c>
      <c r="E855" s="5">
        <f>IF(B855="","",IFERROR(VLOOKUP(B855, PLANTA_BASE!A:R, 6, FALSE), "NO ENCONTRADO EN PLANTA"))</f>
        <v/>
      </c>
      <c r="F855" s="7">
        <f>IF(B855="","",IFERROR(VLOOKUP(B855, PLANTA_BASE!A:R, 8, FALSE), "DOCENTE / FACILITADOR"))</f>
        <v/>
      </c>
      <c r="G855" s="7">
        <f>IF(B855="","",IFERROR(VLOOKUP(B855, PLANTA_BASE!A:R, 9, FALSE), "GENERAL"))</f>
        <v/>
      </c>
      <c r="H855" s="5">
        <f>IF(B855="","",IFERROR(VLOOKUP(B855, PLANTA_BASE!A:R, 17, FALSE), "GENERAL"))</f>
        <v/>
      </c>
    </row>
    <row r="856" ht="20" customHeight="1">
      <c r="A856" s="2">
        <f>IF(B856="","",IFERROR(VLOOKUP(B856, PLANTA_BASE!A:R, 2, FALSE), "NO ENCONTRADO EN PLANTA"))</f>
        <v/>
      </c>
      <c r="B856" s="3" t="inlineStr"/>
      <c r="C856" s="4">
        <f>IF(B856="","",IFERROR(VLOOKUP(B856, PLANTA_BASE!A:R, 3, FALSE), ""))</f>
        <v/>
      </c>
      <c r="D856" s="2">
        <f>IF(B856="","",IFERROR(VLOOKUP(B856, PLANTA_BASE!A:R, 5, FALSE), "NO ENCONTRADO EN PLANTA"))</f>
        <v/>
      </c>
      <c r="E856" s="2">
        <f>IF(B856="","",IFERROR(VLOOKUP(B856, PLANTA_BASE!A:R, 6, FALSE), "NO ENCONTRADO EN PLANTA"))</f>
        <v/>
      </c>
      <c r="F856" s="4">
        <f>IF(B856="","",IFERROR(VLOOKUP(B856, PLANTA_BASE!A:R, 8, FALSE), "DOCENTE / FACILITADOR"))</f>
        <v/>
      </c>
      <c r="G856" s="4">
        <f>IF(B856="","",IFERROR(VLOOKUP(B856, PLANTA_BASE!A:R, 9, FALSE), "GENERAL"))</f>
        <v/>
      </c>
      <c r="H856" s="2">
        <f>IF(B856="","",IFERROR(VLOOKUP(B856, PLANTA_BASE!A:R, 17, FALSE), "GENERAL"))</f>
        <v/>
      </c>
    </row>
    <row r="857" ht="20" customHeight="1">
      <c r="A857" s="5">
        <f>IF(B857="","",IFERROR(VLOOKUP(B857, PLANTA_BASE!A:R, 2, FALSE), "NO ENCONTRADO EN PLANTA"))</f>
        <v/>
      </c>
      <c r="B857" s="6" t="inlineStr"/>
      <c r="C857" s="7">
        <f>IF(B857="","",IFERROR(VLOOKUP(B857, PLANTA_BASE!A:R, 3, FALSE), ""))</f>
        <v/>
      </c>
      <c r="D857" s="5">
        <f>IF(B857="","",IFERROR(VLOOKUP(B857, PLANTA_BASE!A:R, 5, FALSE), "NO ENCONTRADO EN PLANTA"))</f>
        <v/>
      </c>
      <c r="E857" s="5">
        <f>IF(B857="","",IFERROR(VLOOKUP(B857, PLANTA_BASE!A:R, 6, FALSE), "NO ENCONTRADO EN PLANTA"))</f>
        <v/>
      </c>
      <c r="F857" s="7">
        <f>IF(B857="","",IFERROR(VLOOKUP(B857, PLANTA_BASE!A:R, 8, FALSE), "DOCENTE / FACILITADOR"))</f>
        <v/>
      </c>
      <c r="G857" s="7">
        <f>IF(B857="","",IFERROR(VLOOKUP(B857, PLANTA_BASE!A:R, 9, FALSE), "GENERAL"))</f>
        <v/>
      </c>
      <c r="H857" s="5">
        <f>IF(B857="","",IFERROR(VLOOKUP(B857, PLANTA_BASE!A:R, 17, FALSE), "GENERAL"))</f>
        <v/>
      </c>
    </row>
    <row r="858" ht="20" customHeight="1">
      <c r="A858" s="2">
        <f>IF(B858="","",IFERROR(VLOOKUP(B858, PLANTA_BASE!A:R, 2, FALSE), "NO ENCONTRADO EN PLANTA"))</f>
        <v/>
      </c>
      <c r="B858" s="3" t="inlineStr"/>
      <c r="C858" s="4">
        <f>IF(B858="","",IFERROR(VLOOKUP(B858, PLANTA_BASE!A:R, 3, FALSE), ""))</f>
        <v/>
      </c>
      <c r="D858" s="2">
        <f>IF(B858="","",IFERROR(VLOOKUP(B858, PLANTA_BASE!A:R, 5, FALSE), "NO ENCONTRADO EN PLANTA"))</f>
        <v/>
      </c>
      <c r="E858" s="2">
        <f>IF(B858="","",IFERROR(VLOOKUP(B858, PLANTA_BASE!A:R, 6, FALSE), "NO ENCONTRADO EN PLANTA"))</f>
        <v/>
      </c>
      <c r="F858" s="4">
        <f>IF(B858="","",IFERROR(VLOOKUP(B858, PLANTA_BASE!A:R, 8, FALSE), "DOCENTE / FACILITADOR"))</f>
        <v/>
      </c>
      <c r="G858" s="4">
        <f>IF(B858="","",IFERROR(VLOOKUP(B858, PLANTA_BASE!A:R, 9, FALSE), "GENERAL"))</f>
        <v/>
      </c>
      <c r="H858" s="2">
        <f>IF(B858="","",IFERROR(VLOOKUP(B858, PLANTA_BASE!A:R, 17, FALSE), "GENERAL"))</f>
        <v/>
      </c>
    </row>
    <row r="859" ht="20" customHeight="1">
      <c r="A859" s="5">
        <f>IF(B859="","",IFERROR(VLOOKUP(B859, PLANTA_BASE!A:R, 2, FALSE), "NO ENCONTRADO EN PLANTA"))</f>
        <v/>
      </c>
      <c r="B859" s="6" t="inlineStr"/>
      <c r="C859" s="7">
        <f>IF(B859="","",IFERROR(VLOOKUP(B859, PLANTA_BASE!A:R, 3, FALSE), ""))</f>
        <v/>
      </c>
      <c r="D859" s="5">
        <f>IF(B859="","",IFERROR(VLOOKUP(B859, PLANTA_BASE!A:R, 5, FALSE), "NO ENCONTRADO EN PLANTA"))</f>
        <v/>
      </c>
      <c r="E859" s="5">
        <f>IF(B859="","",IFERROR(VLOOKUP(B859, PLANTA_BASE!A:R, 6, FALSE), "NO ENCONTRADO EN PLANTA"))</f>
        <v/>
      </c>
      <c r="F859" s="7">
        <f>IF(B859="","",IFERROR(VLOOKUP(B859, PLANTA_BASE!A:R, 8, FALSE), "DOCENTE / FACILITADOR"))</f>
        <v/>
      </c>
      <c r="G859" s="7">
        <f>IF(B859="","",IFERROR(VLOOKUP(B859, PLANTA_BASE!A:R, 9, FALSE), "GENERAL"))</f>
        <v/>
      </c>
      <c r="H859" s="5">
        <f>IF(B859="","",IFERROR(VLOOKUP(B859, PLANTA_BASE!A:R, 17, FALSE), "GENERAL"))</f>
        <v/>
      </c>
    </row>
    <row r="860" ht="20" customHeight="1">
      <c r="A860" s="2">
        <f>IF(B860="","",IFERROR(VLOOKUP(B860, PLANTA_BASE!A:R, 2, FALSE), "NO ENCONTRADO EN PLANTA"))</f>
        <v/>
      </c>
      <c r="B860" s="3" t="inlineStr"/>
      <c r="C860" s="4">
        <f>IF(B860="","",IFERROR(VLOOKUP(B860, PLANTA_BASE!A:R, 3, FALSE), ""))</f>
        <v/>
      </c>
      <c r="D860" s="2">
        <f>IF(B860="","",IFERROR(VLOOKUP(B860, PLANTA_BASE!A:R, 5, FALSE), "NO ENCONTRADO EN PLANTA"))</f>
        <v/>
      </c>
      <c r="E860" s="2">
        <f>IF(B860="","",IFERROR(VLOOKUP(B860, PLANTA_BASE!A:R, 6, FALSE), "NO ENCONTRADO EN PLANTA"))</f>
        <v/>
      </c>
      <c r="F860" s="4">
        <f>IF(B860="","",IFERROR(VLOOKUP(B860, PLANTA_BASE!A:R, 8, FALSE), "DOCENTE / FACILITADOR"))</f>
        <v/>
      </c>
      <c r="G860" s="4">
        <f>IF(B860="","",IFERROR(VLOOKUP(B860, PLANTA_BASE!A:R, 9, FALSE), "GENERAL"))</f>
        <v/>
      </c>
      <c r="H860" s="2">
        <f>IF(B860="","",IFERROR(VLOOKUP(B860, PLANTA_BASE!A:R, 17, FALSE), "GENERAL"))</f>
        <v/>
      </c>
    </row>
    <row r="861" ht="20" customHeight="1">
      <c r="A861" s="5">
        <f>IF(B861="","",IFERROR(VLOOKUP(B861, PLANTA_BASE!A:R, 2, FALSE), "NO ENCONTRADO EN PLANTA"))</f>
        <v/>
      </c>
      <c r="B861" s="6" t="inlineStr"/>
      <c r="C861" s="7">
        <f>IF(B861="","",IFERROR(VLOOKUP(B861, PLANTA_BASE!A:R, 3, FALSE), ""))</f>
        <v/>
      </c>
      <c r="D861" s="5">
        <f>IF(B861="","",IFERROR(VLOOKUP(B861, PLANTA_BASE!A:R, 5, FALSE), "NO ENCONTRADO EN PLANTA"))</f>
        <v/>
      </c>
      <c r="E861" s="5">
        <f>IF(B861="","",IFERROR(VLOOKUP(B861, PLANTA_BASE!A:R, 6, FALSE), "NO ENCONTRADO EN PLANTA"))</f>
        <v/>
      </c>
      <c r="F861" s="7">
        <f>IF(B861="","",IFERROR(VLOOKUP(B861, PLANTA_BASE!A:R, 8, FALSE), "DOCENTE / FACILITADOR"))</f>
        <v/>
      </c>
      <c r="G861" s="7">
        <f>IF(B861="","",IFERROR(VLOOKUP(B861, PLANTA_BASE!A:R, 9, FALSE), "GENERAL"))</f>
        <v/>
      </c>
      <c r="H861" s="5">
        <f>IF(B861="","",IFERROR(VLOOKUP(B861, PLANTA_BASE!A:R, 17, FALSE), "GENERAL"))</f>
        <v/>
      </c>
    </row>
    <row r="862" ht="20" customHeight="1">
      <c r="A862" s="2">
        <f>IF(B862="","",IFERROR(VLOOKUP(B862, PLANTA_BASE!A:R, 2, FALSE), "NO ENCONTRADO EN PLANTA"))</f>
        <v/>
      </c>
      <c r="B862" s="3" t="inlineStr"/>
      <c r="C862" s="4">
        <f>IF(B862="","",IFERROR(VLOOKUP(B862, PLANTA_BASE!A:R, 3, FALSE), ""))</f>
        <v/>
      </c>
      <c r="D862" s="2">
        <f>IF(B862="","",IFERROR(VLOOKUP(B862, PLANTA_BASE!A:R, 5, FALSE), "NO ENCONTRADO EN PLANTA"))</f>
        <v/>
      </c>
      <c r="E862" s="2">
        <f>IF(B862="","",IFERROR(VLOOKUP(B862, PLANTA_BASE!A:R, 6, FALSE), "NO ENCONTRADO EN PLANTA"))</f>
        <v/>
      </c>
      <c r="F862" s="4">
        <f>IF(B862="","",IFERROR(VLOOKUP(B862, PLANTA_BASE!A:R, 8, FALSE), "DOCENTE / FACILITADOR"))</f>
        <v/>
      </c>
      <c r="G862" s="4">
        <f>IF(B862="","",IFERROR(VLOOKUP(B862, PLANTA_BASE!A:R, 9, FALSE), "GENERAL"))</f>
        <v/>
      </c>
      <c r="H862" s="2">
        <f>IF(B862="","",IFERROR(VLOOKUP(B862, PLANTA_BASE!A:R, 17, FALSE), "GENERAL"))</f>
        <v/>
      </c>
    </row>
    <row r="863" ht="20" customHeight="1">
      <c r="A863" s="5">
        <f>IF(B863="","",IFERROR(VLOOKUP(B863, PLANTA_BASE!A:R, 2, FALSE), "NO ENCONTRADO EN PLANTA"))</f>
        <v/>
      </c>
      <c r="B863" s="6" t="inlineStr"/>
      <c r="C863" s="7">
        <f>IF(B863="","",IFERROR(VLOOKUP(B863, PLANTA_BASE!A:R, 3, FALSE), ""))</f>
        <v/>
      </c>
      <c r="D863" s="5">
        <f>IF(B863="","",IFERROR(VLOOKUP(B863, PLANTA_BASE!A:R, 5, FALSE), "NO ENCONTRADO EN PLANTA"))</f>
        <v/>
      </c>
      <c r="E863" s="5">
        <f>IF(B863="","",IFERROR(VLOOKUP(B863, PLANTA_BASE!A:R, 6, FALSE), "NO ENCONTRADO EN PLANTA"))</f>
        <v/>
      </c>
      <c r="F863" s="7">
        <f>IF(B863="","",IFERROR(VLOOKUP(B863, PLANTA_BASE!A:R, 8, FALSE), "DOCENTE / FACILITADOR"))</f>
        <v/>
      </c>
      <c r="G863" s="7">
        <f>IF(B863="","",IFERROR(VLOOKUP(B863, PLANTA_BASE!A:R, 9, FALSE), "GENERAL"))</f>
        <v/>
      </c>
      <c r="H863" s="5">
        <f>IF(B863="","",IFERROR(VLOOKUP(B863, PLANTA_BASE!A:R, 17, FALSE), "GENERAL"))</f>
        <v/>
      </c>
    </row>
    <row r="864" ht="20" customHeight="1">
      <c r="A864" s="2">
        <f>IF(B864="","",IFERROR(VLOOKUP(B864, PLANTA_BASE!A:R, 2, FALSE), "NO ENCONTRADO EN PLANTA"))</f>
        <v/>
      </c>
      <c r="B864" s="3" t="inlineStr"/>
      <c r="C864" s="4">
        <f>IF(B864="","",IFERROR(VLOOKUP(B864, PLANTA_BASE!A:R, 3, FALSE), ""))</f>
        <v/>
      </c>
      <c r="D864" s="2">
        <f>IF(B864="","",IFERROR(VLOOKUP(B864, PLANTA_BASE!A:R, 5, FALSE), "NO ENCONTRADO EN PLANTA"))</f>
        <v/>
      </c>
      <c r="E864" s="2">
        <f>IF(B864="","",IFERROR(VLOOKUP(B864, PLANTA_BASE!A:R, 6, FALSE), "NO ENCONTRADO EN PLANTA"))</f>
        <v/>
      </c>
      <c r="F864" s="4">
        <f>IF(B864="","",IFERROR(VLOOKUP(B864, PLANTA_BASE!A:R, 8, FALSE), "DOCENTE / FACILITADOR"))</f>
        <v/>
      </c>
      <c r="G864" s="4">
        <f>IF(B864="","",IFERROR(VLOOKUP(B864, PLANTA_BASE!A:R, 9, FALSE), "GENERAL"))</f>
        <v/>
      </c>
      <c r="H864" s="2">
        <f>IF(B864="","",IFERROR(VLOOKUP(B864, PLANTA_BASE!A:R, 17, FALSE), "GENERAL"))</f>
        <v/>
      </c>
    </row>
    <row r="865" ht="20" customHeight="1">
      <c r="A865" s="5">
        <f>IF(B865="","",IFERROR(VLOOKUP(B865, PLANTA_BASE!A:R, 2, FALSE), "NO ENCONTRADO EN PLANTA"))</f>
        <v/>
      </c>
      <c r="B865" s="6" t="inlineStr"/>
      <c r="C865" s="7">
        <f>IF(B865="","",IFERROR(VLOOKUP(B865, PLANTA_BASE!A:R, 3, FALSE), ""))</f>
        <v/>
      </c>
      <c r="D865" s="5">
        <f>IF(B865="","",IFERROR(VLOOKUP(B865, PLANTA_BASE!A:R, 5, FALSE), "NO ENCONTRADO EN PLANTA"))</f>
        <v/>
      </c>
      <c r="E865" s="5">
        <f>IF(B865="","",IFERROR(VLOOKUP(B865, PLANTA_BASE!A:R, 6, FALSE), "NO ENCONTRADO EN PLANTA"))</f>
        <v/>
      </c>
      <c r="F865" s="7">
        <f>IF(B865="","",IFERROR(VLOOKUP(B865, PLANTA_BASE!A:R, 8, FALSE), "DOCENTE / FACILITADOR"))</f>
        <v/>
      </c>
      <c r="G865" s="7">
        <f>IF(B865="","",IFERROR(VLOOKUP(B865, PLANTA_BASE!A:R, 9, FALSE), "GENERAL"))</f>
        <v/>
      </c>
      <c r="H865" s="5">
        <f>IF(B865="","",IFERROR(VLOOKUP(B865, PLANTA_BASE!A:R, 17, FALSE), "GENERAL"))</f>
        <v/>
      </c>
    </row>
    <row r="866" ht="20" customHeight="1">
      <c r="A866" s="2">
        <f>IF(B866="","",IFERROR(VLOOKUP(B866, PLANTA_BASE!A:R, 2, FALSE), "NO ENCONTRADO EN PLANTA"))</f>
        <v/>
      </c>
      <c r="B866" s="3" t="inlineStr"/>
      <c r="C866" s="4">
        <f>IF(B866="","",IFERROR(VLOOKUP(B866, PLANTA_BASE!A:R, 3, FALSE), ""))</f>
        <v/>
      </c>
      <c r="D866" s="2">
        <f>IF(B866="","",IFERROR(VLOOKUP(B866, PLANTA_BASE!A:R, 5, FALSE), "NO ENCONTRADO EN PLANTA"))</f>
        <v/>
      </c>
      <c r="E866" s="2">
        <f>IF(B866="","",IFERROR(VLOOKUP(B866, PLANTA_BASE!A:R, 6, FALSE), "NO ENCONTRADO EN PLANTA"))</f>
        <v/>
      </c>
      <c r="F866" s="4">
        <f>IF(B866="","",IFERROR(VLOOKUP(B866, PLANTA_BASE!A:R, 8, FALSE), "DOCENTE / FACILITADOR"))</f>
        <v/>
      </c>
      <c r="G866" s="4">
        <f>IF(B866="","",IFERROR(VLOOKUP(B866, PLANTA_BASE!A:R, 9, FALSE), "GENERAL"))</f>
        <v/>
      </c>
      <c r="H866" s="2">
        <f>IF(B866="","",IFERROR(VLOOKUP(B866, PLANTA_BASE!A:R, 17, FALSE), "GENERAL"))</f>
        <v/>
      </c>
    </row>
    <row r="867" ht="20" customHeight="1">
      <c r="A867" s="5">
        <f>IF(B867="","",IFERROR(VLOOKUP(B867, PLANTA_BASE!A:R, 2, FALSE), "NO ENCONTRADO EN PLANTA"))</f>
        <v/>
      </c>
      <c r="B867" s="6" t="inlineStr"/>
      <c r="C867" s="7">
        <f>IF(B867="","",IFERROR(VLOOKUP(B867, PLANTA_BASE!A:R, 3, FALSE), ""))</f>
        <v/>
      </c>
      <c r="D867" s="5">
        <f>IF(B867="","",IFERROR(VLOOKUP(B867, PLANTA_BASE!A:R, 5, FALSE), "NO ENCONTRADO EN PLANTA"))</f>
        <v/>
      </c>
      <c r="E867" s="5">
        <f>IF(B867="","",IFERROR(VLOOKUP(B867, PLANTA_BASE!A:R, 6, FALSE), "NO ENCONTRADO EN PLANTA"))</f>
        <v/>
      </c>
      <c r="F867" s="7">
        <f>IF(B867="","",IFERROR(VLOOKUP(B867, PLANTA_BASE!A:R, 8, FALSE), "DOCENTE / FACILITADOR"))</f>
        <v/>
      </c>
      <c r="G867" s="7">
        <f>IF(B867="","",IFERROR(VLOOKUP(B867, PLANTA_BASE!A:R, 9, FALSE), "GENERAL"))</f>
        <v/>
      </c>
      <c r="H867" s="5">
        <f>IF(B867="","",IFERROR(VLOOKUP(B867, PLANTA_BASE!A:R, 17, FALSE), "GENERAL"))</f>
        <v/>
      </c>
    </row>
    <row r="868" ht="20" customHeight="1">
      <c r="A868" s="2">
        <f>IF(B868="","",IFERROR(VLOOKUP(B868, PLANTA_BASE!A:R, 2, FALSE), "NO ENCONTRADO EN PLANTA"))</f>
        <v/>
      </c>
      <c r="B868" s="3" t="inlineStr"/>
      <c r="C868" s="4">
        <f>IF(B868="","",IFERROR(VLOOKUP(B868, PLANTA_BASE!A:R, 3, FALSE), ""))</f>
        <v/>
      </c>
      <c r="D868" s="2">
        <f>IF(B868="","",IFERROR(VLOOKUP(B868, PLANTA_BASE!A:R, 5, FALSE), "NO ENCONTRADO EN PLANTA"))</f>
        <v/>
      </c>
      <c r="E868" s="2">
        <f>IF(B868="","",IFERROR(VLOOKUP(B868, PLANTA_BASE!A:R, 6, FALSE), "NO ENCONTRADO EN PLANTA"))</f>
        <v/>
      </c>
      <c r="F868" s="4">
        <f>IF(B868="","",IFERROR(VLOOKUP(B868, PLANTA_BASE!A:R, 8, FALSE), "DOCENTE / FACILITADOR"))</f>
        <v/>
      </c>
      <c r="G868" s="4">
        <f>IF(B868="","",IFERROR(VLOOKUP(B868, PLANTA_BASE!A:R, 9, FALSE), "GENERAL"))</f>
        <v/>
      </c>
      <c r="H868" s="2">
        <f>IF(B868="","",IFERROR(VLOOKUP(B868, PLANTA_BASE!A:R, 17, FALSE), "GENERAL"))</f>
        <v/>
      </c>
    </row>
    <row r="869" ht="20" customHeight="1">
      <c r="A869" s="5">
        <f>IF(B869="","",IFERROR(VLOOKUP(B869, PLANTA_BASE!A:R, 2, FALSE), "NO ENCONTRADO EN PLANTA"))</f>
        <v/>
      </c>
      <c r="B869" s="6" t="inlineStr"/>
      <c r="C869" s="7">
        <f>IF(B869="","",IFERROR(VLOOKUP(B869, PLANTA_BASE!A:R, 3, FALSE), ""))</f>
        <v/>
      </c>
      <c r="D869" s="5">
        <f>IF(B869="","",IFERROR(VLOOKUP(B869, PLANTA_BASE!A:R, 5, FALSE), "NO ENCONTRADO EN PLANTA"))</f>
        <v/>
      </c>
      <c r="E869" s="5">
        <f>IF(B869="","",IFERROR(VLOOKUP(B869, PLANTA_BASE!A:R, 6, FALSE), "NO ENCONTRADO EN PLANTA"))</f>
        <v/>
      </c>
      <c r="F869" s="7">
        <f>IF(B869="","",IFERROR(VLOOKUP(B869, PLANTA_BASE!A:R, 8, FALSE), "DOCENTE / FACILITADOR"))</f>
        <v/>
      </c>
      <c r="G869" s="7">
        <f>IF(B869="","",IFERROR(VLOOKUP(B869, PLANTA_BASE!A:R, 9, FALSE), "GENERAL"))</f>
        <v/>
      </c>
      <c r="H869" s="5">
        <f>IF(B869="","",IFERROR(VLOOKUP(B869, PLANTA_BASE!A:R, 17, FALSE), "GENERAL"))</f>
        <v/>
      </c>
    </row>
    <row r="870" ht="20" customHeight="1">
      <c r="A870" s="2">
        <f>IF(B870="","",IFERROR(VLOOKUP(B870, PLANTA_BASE!A:R, 2, FALSE), "NO ENCONTRADO EN PLANTA"))</f>
        <v/>
      </c>
      <c r="B870" s="3" t="inlineStr"/>
      <c r="C870" s="4">
        <f>IF(B870="","",IFERROR(VLOOKUP(B870, PLANTA_BASE!A:R, 3, FALSE), ""))</f>
        <v/>
      </c>
      <c r="D870" s="2">
        <f>IF(B870="","",IFERROR(VLOOKUP(B870, PLANTA_BASE!A:R, 5, FALSE), "NO ENCONTRADO EN PLANTA"))</f>
        <v/>
      </c>
      <c r="E870" s="2">
        <f>IF(B870="","",IFERROR(VLOOKUP(B870, PLANTA_BASE!A:R, 6, FALSE), "NO ENCONTRADO EN PLANTA"))</f>
        <v/>
      </c>
      <c r="F870" s="4">
        <f>IF(B870="","",IFERROR(VLOOKUP(B870, PLANTA_BASE!A:R, 8, FALSE), "DOCENTE / FACILITADOR"))</f>
        <v/>
      </c>
      <c r="G870" s="4">
        <f>IF(B870="","",IFERROR(VLOOKUP(B870, PLANTA_BASE!A:R, 9, FALSE), "GENERAL"))</f>
        <v/>
      </c>
      <c r="H870" s="2">
        <f>IF(B870="","",IFERROR(VLOOKUP(B870, PLANTA_BASE!A:R, 17, FALSE), "GENERAL"))</f>
        <v/>
      </c>
    </row>
    <row r="871" ht="20" customHeight="1">
      <c r="A871" s="5">
        <f>IF(B871="","",IFERROR(VLOOKUP(B871, PLANTA_BASE!A:R, 2, FALSE), "NO ENCONTRADO EN PLANTA"))</f>
        <v/>
      </c>
      <c r="B871" s="6" t="inlineStr"/>
      <c r="C871" s="7">
        <f>IF(B871="","",IFERROR(VLOOKUP(B871, PLANTA_BASE!A:R, 3, FALSE), ""))</f>
        <v/>
      </c>
      <c r="D871" s="5">
        <f>IF(B871="","",IFERROR(VLOOKUP(B871, PLANTA_BASE!A:R, 5, FALSE), "NO ENCONTRADO EN PLANTA"))</f>
        <v/>
      </c>
      <c r="E871" s="5">
        <f>IF(B871="","",IFERROR(VLOOKUP(B871, PLANTA_BASE!A:R, 6, FALSE), "NO ENCONTRADO EN PLANTA"))</f>
        <v/>
      </c>
      <c r="F871" s="7">
        <f>IF(B871="","",IFERROR(VLOOKUP(B871, PLANTA_BASE!A:R, 8, FALSE), "DOCENTE / FACILITADOR"))</f>
        <v/>
      </c>
      <c r="G871" s="7">
        <f>IF(B871="","",IFERROR(VLOOKUP(B871, PLANTA_BASE!A:R, 9, FALSE), "GENERAL"))</f>
        <v/>
      </c>
      <c r="H871" s="5">
        <f>IF(B871="","",IFERROR(VLOOKUP(B871, PLANTA_BASE!A:R, 17, FALSE), "GENERAL"))</f>
        <v/>
      </c>
    </row>
    <row r="872" ht="20" customHeight="1">
      <c r="A872" s="2">
        <f>IF(B872="","",IFERROR(VLOOKUP(B872, PLANTA_BASE!A:R, 2, FALSE), "NO ENCONTRADO EN PLANTA"))</f>
        <v/>
      </c>
      <c r="B872" s="3" t="inlineStr"/>
      <c r="C872" s="4">
        <f>IF(B872="","",IFERROR(VLOOKUP(B872, PLANTA_BASE!A:R, 3, FALSE), ""))</f>
        <v/>
      </c>
      <c r="D872" s="2">
        <f>IF(B872="","",IFERROR(VLOOKUP(B872, PLANTA_BASE!A:R, 5, FALSE), "NO ENCONTRADO EN PLANTA"))</f>
        <v/>
      </c>
      <c r="E872" s="2">
        <f>IF(B872="","",IFERROR(VLOOKUP(B872, PLANTA_BASE!A:R, 6, FALSE), "NO ENCONTRADO EN PLANTA"))</f>
        <v/>
      </c>
      <c r="F872" s="4">
        <f>IF(B872="","",IFERROR(VLOOKUP(B872, PLANTA_BASE!A:R, 8, FALSE), "DOCENTE / FACILITADOR"))</f>
        <v/>
      </c>
      <c r="G872" s="4">
        <f>IF(B872="","",IFERROR(VLOOKUP(B872, PLANTA_BASE!A:R, 9, FALSE), "GENERAL"))</f>
        <v/>
      </c>
      <c r="H872" s="2">
        <f>IF(B872="","",IFERROR(VLOOKUP(B872, PLANTA_BASE!A:R, 17, FALSE), "GENERAL"))</f>
        <v/>
      </c>
    </row>
    <row r="873" ht="20" customHeight="1">
      <c r="A873" s="5">
        <f>IF(B873="","",IFERROR(VLOOKUP(B873, PLANTA_BASE!A:R, 2, FALSE), "NO ENCONTRADO EN PLANTA"))</f>
        <v/>
      </c>
      <c r="B873" s="6" t="inlineStr"/>
      <c r="C873" s="7">
        <f>IF(B873="","",IFERROR(VLOOKUP(B873, PLANTA_BASE!A:R, 3, FALSE), ""))</f>
        <v/>
      </c>
      <c r="D873" s="5">
        <f>IF(B873="","",IFERROR(VLOOKUP(B873, PLANTA_BASE!A:R, 5, FALSE), "NO ENCONTRADO EN PLANTA"))</f>
        <v/>
      </c>
      <c r="E873" s="5">
        <f>IF(B873="","",IFERROR(VLOOKUP(B873, PLANTA_BASE!A:R, 6, FALSE), "NO ENCONTRADO EN PLANTA"))</f>
        <v/>
      </c>
      <c r="F873" s="7">
        <f>IF(B873="","",IFERROR(VLOOKUP(B873, PLANTA_BASE!A:R, 8, FALSE), "DOCENTE / FACILITADOR"))</f>
        <v/>
      </c>
      <c r="G873" s="7">
        <f>IF(B873="","",IFERROR(VLOOKUP(B873, PLANTA_BASE!A:R, 9, FALSE), "GENERAL"))</f>
        <v/>
      </c>
      <c r="H873" s="5">
        <f>IF(B873="","",IFERROR(VLOOKUP(B873, PLANTA_BASE!A:R, 17, FALSE), "GENERAL"))</f>
        <v/>
      </c>
    </row>
    <row r="874" ht="20" customHeight="1">
      <c r="A874" s="2">
        <f>IF(B874="","",IFERROR(VLOOKUP(B874, PLANTA_BASE!A:R, 2, FALSE), "NO ENCONTRADO EN PLANTA"))</f>
        <v/>
      </c>
      <c r="B874" s="3" t="inlineStr"/>
      <c r="C874" s="4">
        <f>IF(B874="","",IFERROR(VLOOKUP(B874, PLANTA_BASE!A:R, 3, FALSE), ""))</f>
        <v/>
      </c>
      <c r="D874" s="2">
        <f>IF(B874="","",IFERROR(VLOOKUP(B874, PLANTA_BASE!A:R, 5, FALSE), "NO ENCONTRADO EN PLANTA"))</f>
        <v/>
      </c>
      <c r="E874" s="2">
        <f>IF(B874="","",IFERROR(VLOOKUP(B874, PLANTA_BASE!A:R, 6, FALSE), "NO ENCONTRADO EN PLANTA"))</f>
        <v/>
      </c>
      <c r="F874" s="4">
        <f>IF(B874="","",IFERROR(VLOOKUP(B874, PLANTA_BASE!A:R, 8, FALSE), "DOCENTE / FACILITADOR"))</f>
        <v/>
      </c>
      <c r="G874" s="4">
        <f>IF(B874="","",IFERROR(VLOOKUP(B874, PLANTA_BASE!A:R, 9, FALSE), "GENERAL"))</f>
        <v/>
      </c>
      <c r="H874" s="2">
        <f>IF(B874="","",IFERROR(VLOOKUP(B874, PLANTA_BASE!A:R, 17, FALSE), "GENERAL"))</f>
        <v/>
      </c>
    </row>
    <row r="875" ht="20" customHeight="1">
      <c r="A875" s="5">
        <f>IF(B875="","",IFERROR(VLOOKUP(B875, PLANTA_BASE!A:R, 2, FALSE), "NO ENCONTRADO EN PLANTA"))</f>
        <v/>
      </c>
      <c r="B875" s="6" t="inlineStr"/>
      <c r="C875" s="7">
        <f>IF(B875="","",IFERROR(VLOOKUP(B875, PLANTA_BASE!A:R, 3, FALSE), ""))</f>
        <v/>
      </c>
      <c r="D875" s="5">
        <f>IF(B875="","",IFERROR(VLOOKUP(B875, PLANTA_BASE!A:R, 5, FALSE), "NO ENCONTRADO EN PLANTA"))</f>
        <v/>
      </c>
      <c r="E875" s="5">
        <f>IF(B875="","",IFERROR(VLOOKUP(B875, PLANTA_BASE!A:R, 6, FALSE), "NO ENCONTRADO EN PLANTA"))</f>
        <v/>
      </c>
      <c r="F875" s="7">
        <f>IF(B875="","",IFERROR(VLOOKUP(B875, PLANTA_BASE!A:R, 8, FALSE), "DOCENTE / FACILITADOR"))</f>
        <v/>
      </c>
      <c r="G875" s="7">
        <f>IF(B875="","",IFERROR(VLOOKUP(B875, PLANTA_BASE!A:R, 9, FALSE), "GENERAL"))</f>
        <v/>
      </c>
      <c r="H875" s="5">
        <f>IF(B875="","",IFERROR(VLOOKUP(B875, PLANTA_BASE!A:R, 17, FALSE), "GENERAL"))</f>
        <v/>
      </c>
    </row>
    <row r="876" ht="20" customHeight="1">
      <c r="A876" s="2">
        <f>IF(B876="","",IFERROR(VLOOKUP(B876, PLANTA_BASE!A:R, 2, FALSE), "NO ENCONTRADO EN PLANTA"))</f>
        <v/>
      </c>
      <c r="B876" s="3" t="inlineStr"/>
      <c r="C876" s="4">
        <f>IF(B876="","",IFERROR(VLOOKUP(B876, PLANTA_BASE!A:R, 3, FALSE), ""))</f>
        <v/>
      </c>
      <c r="D876" s="2">
        <f>IF(B876="","",IFERROR(VLOOKUP(B876, PLANTA_BASE!A:R, 5, FALSE), "NO ENCONTRADO EN PLANTA"))</f>
        <v/>
      </c>
      <c r="E876" s="2">
        <f>IF(B876="","",IFERROR(VLOOKUP(B876, PLANTA_BASE!A:R, 6, FALSE), "NO ENCONTRADO EN PLANTA"))</f>
        <v/>
      </c>
      <c r="F876" s="4">
        <f>IF(B876="","",IFERROR(VLOOKUP(B876, PLANTA_BASE!A:R, 8, FALSE), "DOCENTE / FACILITADOR"))</f>
        <v/>
      </c>
      <c r="G876" s="4">
        <f>IF(B876="","",IFERROR(VLOOKUP(B876, PLANTA_BASE!A:R, 9, FALSE), "GENERAL"))</f>
        <v/>
      </c>
      <c r="H876" s="2">
        <f>IF(B876="","",IFERROR(VLOOKUP(B876, PLANTA_BASE!A:R, 17, FALSE), "GENERAL"))</f>
        <v/>
      </c>
    </row>
    <row r="877" ht="20" customHeight="1">
      <c r="A877" s="5">
        <f>IF(B877="","",IFERROR(VLOOKUP(B877, PLANTA_BASE!A:R, 2, FALSE), "NO ENCONTRADO EN PLANTA"))</f>
        <v/>
      </c>
      <c r="B877" s="6" t="inlineStr"/>
      <c r="C877" s="7">
        <f>IF(B877="","",IFERROR(VLOOKUP(B877, PLANTA_BASE!A:R, 3, FALSE), ""))</f>
        <v/>
      </c>
      <c r="D877" s="5">
        <f>IF(B877="","",IFERROR(VLOOKUP(B877, PLANTA_BASE!A:R, 5, FALSE), "NO ENCONTRADO EN PLANTA"))</f>
        <v/>
      </c>
      <c r="E877" s="5">
        <f>IF(B877="","",IFERROR(VLOOKUP(B877, PLANTA_BASE!A:R, 6, FALSE), "NO ENCONTRADO EN PLANTA"))</f>
        <v/>
      </c>
      <c r="F877" s="7">
        <f>IF(B877="","",IFERROR(VLOOKUP(B877, PLANTA_BASE!A:R, 8, FALSE), "DOCENTE / FACILITADOR"))</f>
        <v/>
      </c>
      <c r="G877" s="7">
        <f>IF(B877="","",IFERROR(VLOOKUP(B877, PLANTA_BASE!A:R, 9, FALSE), "GENERAL"))</f>
        <v/>
      </c>
      <c r="H877" s="5">
        <f>IF(B877="","",IFERROR(VLOOKUP(B877, PLANTA_BASE!A:R, 17, FALSE), "GENERAL"))</f>
        <v/>
      </c>
    </row>
    <row r="878" ht="20" customHeight="1">
      <c r="A878" s="2">
        <f>IF(B878="","",IFERROR(VLOOKUP(B878, PLANTA_BASE!A:R, 2, FALSE), "NO ENCONTRADO EN PLANTA"))</f>
        <v/>
      </c>
      <c r="B878" s="3" t="inlineStr"/>
      <c r="C878" s="4">
        <f>IF(B878="","",IFERROR(VLOOKUP(B878, PLANTA_BASE!A:R, 3, FALSE), ""))</f>
        <v/>
      </c>
      <c r="D878" s="2">
        <f>IF(B878="","",IFERROR(VLOOKUP(B878, PLANTA_BASE!A:R, 5, FALSE), "NO ENCONTRADO EN PLANTA"))</f>
        <v/>
      </c>
      <c r="E878" s="2">
        <f>IF(B878="","",IFERROR(VLOOKUP(B878, PLANTA_BASE!A:R, 6, FALSE), "NO ENCONTRADO EN PLANTA"))</f>
        <v/>
      </c>
      <c r="F878" s="4">
        <f>IF(B878="","",IFERROR(VLOOKUP(B878, PLANTA_BASE!A:R, 8, FALSE), "DOCENTE / FACILITADOR"))</f>
        <v/>
      </c>
      <c r="G878" s="4">
        <f>IF(B878="","",IFERROR(VLOOKUP(B878, PLANTA_BASE!A:R, 9, FALSE), "GENERAL"))</f>
        <v/>
      </c>
      <c r="H878" s="2">
        <f>IF(B878="","",IFERROR(VLOOKUP(B878, PLANTA_BASE!A:R, 17, FALSE), "GENERAL"))</f>
        <v/>
      </c>
    </row>
    <row r="879" ht="20" customHeight="1">
      <c r="A879" s="5">
        <f>IF(B879="","",IFERROR(VLOOKUP(B879, PLANTA_BASE!A:R, 2, FALSE), "NO ENCONTRADO EN PLANTA"))</f>
        <v/>
      </c>
      <c r="B879" s="6" t="inlineStr"/>
      <c r="C879" s="7">
        <f>IF(B879="","",IFERROR(VLOOKUP(B879, PLANTA_BASE!A:R, 3, FALSE), ""))</f>
        <v/>
      </c>
      <c r="D879" s="5">
        <f>IF(B879="","",IFERROR(VLOOKUP(B879, PLANTA_BASE!A:R, 5, FALSE), "NO ENCONTRADO EN PLANTA"))</f>
        <v/>
      </c>
      <c r="E879" s="5">
        <f>IF(B879="","",IFERROR(VLOOKUP(B879, PLANTA_BASE!A:R, 6, FALSE), "NO ENCONTRADO EN PLANTA"))</f>
        <v/>
      </c>
      <c r="F879" s="7">
        <f>IF(B879="","",IFERROR(VLOOKUP(B879, PLANTA_BASE!A:R, 8, FALSE), "DOCENTE / FACILITADOR"))</f>
        <v/>
      </c>
      <c r="G879" s="7">
        <f>IF(B879="","",IFERROR(VLOOKUP(B879, PLANTA_BASE!A:R, 9, FALSE), "GENERAL"))</f>
        <v/>
      </c>
      <c r="H879" s="5">
        <f>IF(B879="","",IFERROR(VLOOKUP(B879, PLANTA_BASE!A:R, 17, FALSE), "GENERAL"))</f>
        <v/>
      </c>
    </row>
    <row r="880" ht="20" customHeight="1">
      <c r="A880" s="2">
        <f>IF(B880="","",IFERROR(VLOOKUP(B880, PLANTA_BASE!A:R, 2, FALSE), "NO ENCONTRADO EN PLANTA"))</f>
        <v/>
      </c>
      <c r="B880" s="3" t="inlineStr"/>
      <c r="C880" s="4">
        <f>IF(B880="","",IFERROR(VLOOKUP(B880, PLANTA_BASE!A:R, 3, FALSE), ""))</f>
        <v/>
      </c>
      <c r="D880" s="2">
        <f>IF(B880="","",IFERROR(VLOOKUP(B880, PLANTA_BASE!A:R, 5, FALSE), "NO ENCONTRADO EN PLANTA"))</f>
        <v/>
      </c>
      <c r="E880" s="2">
        <f>IF(B880="","",IFERROR(VLOOKUP(B880, PLANTA_BASE!A:R, 6, FALSE), "NO ENCONTRADO EN PLANTA"))</f>
        <v/>
      </c>
      <c r="F880" s="4">
        <f>IF(B880="","",IFERROR(VLOOKUP(B880, PLANTA_BASE!A:R, 8, FALSE), "DOCENTE / FACILITADOR"))</f>
        <v/>
      </c>
      <c r="G880" s="4">
        <f>IF(B880="","",IFERROR(VLOOKUP(B880, PLANTA_BASE!A:R, 9, FALSE), "GENERAL"))</f>
        <v/>
      </c>
      <c r="H880" s="2">
        <f>IF(B880="","",IFERROR(VLOOKUP(B880, PLANTA_BASE!A:R, 17, FALSE), "GENERAL"))</f>
        <v/>
      </c>
    </row>
    <row r="881" ht="20" customHeight="1">
      <c r="A881" s="5">
        <f>IF(B881="","",IFERROR(VLOOKUP(B881, PLANTA_BASE!A:R, 2, FALSE), "NO ENCONTRADO EN PLANTA"))</f>
        <v/>
      </c>
      <c r="B881" s="6" t="inlineStr"/>
      <c r="C881" s="7">
        <f>IF(B881="","",IFERROR(VLOOKUP(B881, PLANTA_BASE!A:R, 3, FALSE), ""))</f>
        <v/>
      </c>
      <c r="D881" s="5">
        <f>IF(B881="","",IFERROR(VLOOKUP(B881, PLANTA_BASE!A:R, 5, FALSE), "NO ENCONTRADO EN PLANTA"))</f>
        <v/>
      </c>
      <c r="E881" s="5">
        <f>IF(B881="","",IFERROR(VLOOKUP(B881, PLANTA_BASE!A:R, 6, FALSE), "NO ENCONTRADO EN PLANTA"))</f>
        <v/>
      </c>
      <c r="F881" s="7">
        <f>IF(B881="","",IFERROR(VLOOKUP(B881, PLANTA_BASE!A:R, 8, FALSE), "DOCENTE / FACILITADOR"))</f>
        <v/>
      </c>
      <c r="G881" s="7">
        <f>IF(B881="","",IFERROR(VLOOKUP(B881, PLANTA_BASE!A:R, 9, FALSE), "GENERAL"))</f>
        <v/>
      </c>
      <c r="H881" s="5">
        <f>IF(B881="","",IFERROR(VLOOKUP(B881, PLANTA_BASE!A:R, 17, FALSE), "GENERAL"))</f>
        <v/>
      </c>
    </row>
    <row r="882" ht="20" customHeight="1">
      <c r="A882" s="2">
        <f>IF(B882="","",IFERROR(VLOOKUP(B882, PLANTA_BASE!A:R, 2, FALSE), "NO ENCONTRADO EN PLANTA"))</f>
        <v/>
      </c>
      <c r="B882" s="3" t="inlineStr"/>
      <c r="C882" s="4">
        <f>IF(B882="","",IFERROR(VLOOKUP(B882, PLANTA_BASE!A:R, 3, FALSE), ""))</f>
        <v/>
      </c>
      <c r="D882" s="2">
        <f>IF(B882="","",IFERROR(VLOOKUP(B882, PLANTA_BASE!A:R, 5, FALSE), "NO ENCONTRADO EN PLANTA"))</f>
        <v/>
      </c>
      <c r="E882" s="2">
        <f>IF(B882="","",IFERROR(VLOOKUP(B882, PLANTA_BASE!A:R, 6, FALSE), "NO ENCONTRADO EN PLANTA"))</f>
        <v/>
      </c>
      <c r="F882" s="4">
        <f>IF(B882="","",IFERROR(VLOOKUP(B882, PLANTA_BASE!A:R, 8, FALSE), "DOCENTE / FACILITADOR"))</f>
        <v/>
      </c>
      <c r="G882" s="4">
        <f>IF(B882="","",IFERROR(VLOOKUP(B882, PLANTA_BASE!A:R, 9, FALSE), "GENERAL"))</f>
        <v/>
      </c>
      <c r="H882" s="2">
        <f>IF(B882="","",IFERROR(VLOOKUP(B882, PLANTA_BASE!A:R, 17, FALSE), "GENERAL"))</f>
        <v/>
      </c>
    </row>
    <row r="883" ht="20" customHeight="1">
      <c r="A883" s="5">
        <f>IF(B883="","",IFERROR(VLOOKUP(B883, PLANTA_BASE!A:R, 2, FALSE), "NO ENCONTRADO EN PLANTA"))</f>
        <v/>
      </c>
      <c r="B883" s="6" t="inlineStr"/>
      <c r="C883" s="7">
        <f>IF(B883="","",IFERROR(VLOOKUP(B883, PLANTA_BASE!A:R, 3, FALSE), ""))</f>
        <v/>
      </c>
      <c r="D883" s="5">
        <f>IF(B883="","",IFERROR(VLOOKUP(B883, PLANTA_BASE!A:R, 5, FALSE), "NO ENCONTRADO EN PLANTA"))</f>
        <v/>
      </c>
      <c r="E883" s="5">
        <f>IF(B883="","",IFERROR(VLOOKUP(B883, PLANTA_BASE!A:R, 6, FALSE), "NO ENCONTRADO EN PLANTA"))</f>
        <v/>
      </c>
      <c r="F883" s="7">
        <f>IF(B883="","",IFERROR(VLOOKUP(B883, PLANTA_BASE!A:R, 8, FALSE), "DOCENTE / FACILITADOR"))</f>
        <v/>
      </c>
      <c r="G883" s="7">
        <f>IF(B883="","",IFERROR(VLOOKUP(B883, PLANTA_BASE!A:R, 9, FALSE), "GENERAL"))</f>
        <v/>
      </c>
      <c r="H883" s="5">
        <f>IF(B883="","",IFERROR(VLOOKUP(B883, PLANTA_BASE!A:R, 17, FALSE), "GENERAL"))</f>
        <v/>
      </c>
    </row>
    <row r="884" ht="20" customHeight="1">
      <c r="A884" s="2">
        <f>IF(B884="","",IFERROR(VLOOKUP(B884, PLANTA_BASE!A:R, 2, FALSE), "NO ENCONTRADO EN PLANTA"))</f>
        <v/>
      </c>
      <c r="B884" s="3" t="inlineStr"/>
      <c r="C884" s="4">
        <f>IF(B884="","",IFERROR(VLOOKUP(B884, PLANTA_BASE!A:R, 3, FALSE), ""))</f>
        <v/>
      </c>
      <c r="D884" s="2">
        <f>IF(B884="","",IFERROR(VLOOKUP(B884, PLANTA_BASE!A:R, 5, FALSE), "NO ENCONTRADO EN PLANTA"))</f>
        <v/>
      </c>
      <c r="E884" s="2">
        <f>IF(B884="","",IFERROR(VLOOKUP(B884, PLANTA_BASE!A:R, 6, FALSE), "NO ENCONTRADO EN PLANTA"))</f>
        <v/>
      </c>
      <c r="F884" s="4">
        <f>IF(B884="","",IFERROR(VLOOKUP(B884, PLANTA_BASE!A:R, 8, FALSE), "DOCENTE / FACILITADOR"))</f>
        <v/>
      </c>
      <c r="G884" s="4">
        <f>IF(B884="","",IFERROR(VLOOKUP(B884, PLANTA_BASE!A:R, 9, FALSE), "GENERAL"))</f>
        <v/>
      </c>
      <c r="H884" s="2">
        <f>IF(B884="","",IFERROR(VLOOKUP(B884, PLANTA_BASE!A:R, 17, FALSE), "GENERAL"))</f>
        <v/>
      </c>
    </row>
    <row r="885" ht="20" customHeight="1">
      <c r="A885" s="5">
        <f>IF(B885="","",IFERROR(VLOOKUP(B885, PLANTA_BASE!A:R, 2, FALSE), "NO ENCONTRADO EN PLANTA"))</f>
        <v/>
      </c>
      <c r="B885" s="6" t="inlineStr"/>
      <c r="C885" s="7">
        <f>IF(B885="","",IFERROR(VLOOKUP(B885, PLANTA_BASE!A:R, 3, FALSE), ""))</f>
        <v/>
      </c>
      <c r="D885" s="5">
        <f>IF(B885="","",IFERROR(VLOOKUP(B885, PLANTA_BASE!A:R, 5, FALSE), "NO ENCONTRADO EN PLANTA"))</f>
        <v/>
      </c>
      <c r="E885" s="5">
        <f>IF(B885="","",IFERROR(VLOOKUP(B885, PLANTA_BASE!A:R, 6, FALSE), "NO ENCONTRADO EN PLANTA"))</f>
        <v/>
      </c>
      <c r="F885" s="7">
        <f>IF(B885="","",IFERROR(VLOOKUP(B885, PLANTA_BASE!A:R, 8, FALSE), "DOCENTE / FACILITADOR"))</f>
        <v/>
      </c>
      <c r="G885" s="7">
        <f>IF(B885="","",IFERROR(VLOOKUP(B885, PLANTA_BASE!A:R, 9, FALSE), "GENERAL"))</f>
        <v/>
      </c>
      <c r="H885" s="5">
        <f>IF(B885="","",IFERROR(VLOOKUP(B885, PLANTA_BASE!A:R, 17, FALSE), "GENERAL"))</f>
        <v/>
      </c>
    </row>
    <row r="886" ht="20" customHeight="1">
      <c r="A886" s="2">
        <f>IF(B886="","",IFERROR(VLOOKUP(B886, PLANTA_BASE!A:R, 2, FALSE), "NO ENCONTRADO EN PLANTA"))</f>
        <v/>
      </c>
      <c r="B886" s="3" t="inlineStr"/>
      <c r="C886" s="4">
        <f>IF(B886="","",IFERROR(VLOOKUP(B886, PLANTA_BASE!A:R, 3, FALSE), ""))</f>
        <v/>
      </c>
      <c r="D886" s="2">
        <f>IF(B886="","",IFERROR(VLOOKUP(B886, PLANTA_BASE!A:R, 5, FALSE), "NO ENCONTRADO EN PLANTA"))</f>
        <v/>
      </c>
      <c r="E886" s="2">
        <f>IF(B886="","",IFERROR(VLOOKUP(B886, PLANTA_BASE!A:R, 6, FALSE), "NO ENCONTRADO EN PLANTA"))</f>
        <v/>
      </c>
      <c r="F886" s="4">
        <f>IF(B886="","",IFERROR(VLOOKUP(B886, PLANTA_BASE!A:R, 8, FALSE), "DOCENTE / FACILITADOR"))</f>
        <v/>
      </c>
      <c r="G886" s="4">
        <f>IF(B886="","",IFERROR(VLOOKUP(B886, PLANTA_BASE!A:R, 9, FALSE), "GENERAL"))</f>
        <v/>
      </c>
      <c r="H886" s="2">
        <f>IF(B886="","",IFERROR(VLOOKUP(B886, PLANTA_BASE!A:R, 17, FALSE), "GENERAL"))</f>
        <v/>
      </c>
    </row>
    <row r="887" ht="20" customHeight="1">
      <c r="A887" s="5">
        <f>IF(B887="","",IFERROR(VLOOKUP(B887, PLANTA_BASE!A:R, 2, FALSE), "NO ENCONTRADO EN PLANTA"))</f>
        <v/>
      </c>
      <c r="B887" s="6" t="inlineStr"/>
      <c r="C887" s="7">
        <f>IF(B887="","",IFERROR(VLOOKUP(B887, PLANTA_BASE!A:R, 3, FALSE), ""))</f>
        <v/>
      </c>
      <c r="D887" s="5">
        <f>IF(B887="","",IFERROR(VLOOKUP(B887, PLANTA_BASE!A:R, 5, FALSE), "NO ENCONTRADO EN PLANTA"))</f>
        <v/>
      </c>
      <c r="E887" s="5">
        <f>IF(B887="","",IFERROR(VLOOKUP(B887, PLANTA_BASE!A:R, 6, FALSE), "NO ENCONTRADO EN PLANTA"))</f>
        <v/>
      </c>
      <c r="F887" s="7">
        <f>IF(B887="","",IFERROR(VLOOKUP(B887, PLANTA_BASE!A:R, 8, FALSE), "DOCENTE / FACILITADOR"))</f>
        <v/>
      </c>
      <c r="G887" s="7">
        <f>IF(B887="","",IFERROR(VLOOKUP(B887, PLANTA_BASE!A:R, 9, FALSE), "GENERAL"))</f>
        <v/>
      </c>
      <c r="H887" s="5">
        <f>IF(B887="","",IFERROR(VLOOKUP(B887, PLANTA_BASE!A:R, 17, FALSE), "GENERAL"))</f>
        <v/>
      </c>
    </row>
    <row r="888" ht="20" customHeight="1">
      <c r="A888" s="2">
        <f>IF(B888="","",IFERROR(VLOOKUP(B888, PLANTA_BASE!A:R, 2, FALSE), "NO ENCONTRADO EN PLANTA"))</f>
        <v/>
      </c>
      <c r="B888" s="3" t="inlineStr"/>
      <c r="C888" s="4">
        <f>IF(B888="","",IFERROR(VLOOKUP(B888, PLANTA_BASE!A:R, 3, FALSE), ""))</f>
        <v/>
      </c>
      <c r="D888" s="2">
        <f>IF(B888="","",IFERROR(VLOOKUP(B888, PLANTA_BASE!A:R, 5, FALSE), "NO ENCONTRADO EN PLANTA"))</f>
        <v/>
      </c>
      <c r="E888" s="2">
        <f>IF(B888="","",IFERROR(VLOOKUP(B888, PLANTA_BASE!A:R, 6, FALSE), "NO ENCONTRADO EN PLANTA"))</f>
        <v/>
      </c>
      <c r="F888" s="4">
        <f>IF(B888="","",IFERROR(VLOOKUP(B888, PLANTA_BASE!A:R, 8, FALSE), "DOCENTE / FACILITADOR"))</f>
        <v/>
      </c>
      <c r="G888" s="4">
        <f>IF(B888="","",IFERROR(VLOOKUP(B888, PLANTA_BASE!A:R, 9, FALSE), "GENERAL"))</f>
        <v/>
      </c>
      <c r="H888" s="2">
        <f>IF(B888="","",IFERROR(VLOOKUP(B888, PLANTA_BASE!A:R, 17, FALSE), "GENERAL"))</f>
        <v/>
      </c>
    </row>
    <row r="889" ht="20" customHeight="1">
      <c r="A889" s="5">
        <f>IF(B889="","",IFERROR(VLOOKUP(B889, PLANTA_BASE!A:R, 2, FALSE), "NO ENCONTRADO EN PLANTA"))</f>
        <v/>
      </c>
      <c r="B889" s="6" t="inlineStr"/>
      <c r="C889" s="7">
        <f>IF(B889="","",IFERROR(VLOOKUP(B889, PLANTA_BASE!A:R, 3, FALSE), ""))</f>
        <v/>
      </c>
      <c r="D889" s="5">
        <f>IF(B889="","",IFERROR(VLOOKUP(B889, PLANTA_BASE!A:R, 5, FALSE), "NO ENCONTRADO EN PLANTA"))</f>
        <v/>
      </c>
      <c r="E889" s="5">
        <f>IF(B889="","",IFERROR(VLOOKUP(B889, PLANTA_BASE!A:R, 6, FALSE), "NO ENCONTRADO EN PLANTA"))</f>
        <v/>
      </c>
      <c r="F889" s="7">
        <f>IF(B889="","",IFERROR(VLOOKUP(B889, PLANTA_BASE!A:R, 8, FALSE), "DOCENTE / FACILITADOR"))</f>
        <v/>
      </c>
      <c r="G889" s="7">
        <f>IF(B889="","",IFERROR(VLOOKUP(B889, PLANTA_BASE!A:R, 9, FALSE), "GENERAL"))</f>
        <v/>
      </c>
      <c r="H889" s="5">
        <f>IF(B889="","",IFERROR(VLOOKUP(B889, PLANTA_BASE!A:R, 17, FALSE), "GENERAL"))</f>
        <v/>
      </c>
    </row>
    <row r="890" ht="20" customHeight="1">
      <c r="A890" s="2">
        <f>IF(B890="","",IFERROR(VLOOKUP(B890, PLANTA_BASE!A:R, 2, FALSE), "NO ENCONTRADO EN PLANTA"))</f>
        <v/>
      </c>
      <c r="B890" s="3" t="inlineStr"/>
      <c r="C890" s="4">
        <f>IF(B890="","",IFERROR(VLOOKUP(B890, PLANTA_BASE!A:R, 3, FALSE), ""))</f>
        <v/>
      </c>
      <c r="D890" s="2">
        <f>IF(B890="","",IFERROR(VLOOKUP(B890, PLANTA_BASE!A:R, 5, FALSE), "NO ENCONTRADO EN PLANTA"))</f>
        <v/>
      </c>
      <c r="E890" s="2">
        <f>IF(B890="","",IFERROR(VLOOKUP(B890, PLANTA_BASE!A:R, 6, FALSE), "NO ENCONTRADO EN PLANTA"))</f>
        <v/>
      </c>
      <c r="F890" s="4">
        <f>IF(B890="","",IFERROR(VLOOKUP(B890, PLANTA_BASE!A:R, 8, FALSE), "DOCENTE / FACILITADOR"))</f>
        <v/>
      </c>
      <c r="G890" s="4">
        <f>IF(B890="","",IFERROR(VLOOKUP(B890, PLANTA_BASE!A:R, 9, FALSE), "GENERAL"))</f>
        <v/>
      </c>
      <c r="H890" s="2">
        <f>IF(B890="","",IFERROR(VLOOKUP(B890, PLANTA_BASE!A:R, 17, FALSE), "GENERAL"))</f>
        <v/>
      </c>
    </row>
    <row r="891" ht="20" customHeight="1">
      <c r="A891" s="5">
        <f>IF(B891="","",IFERROR(VLOOKUP(B891, PLANTA_BASE!A:R, 2, FALSE), "NO ENCONTRADO EN PLANTA"))</f>
        <v/>
      </c>
      <c r="B891" s="6" t="inlineStr"/>
      <c r="C891" s="7">
        <f>IF(B891="","",IFERROR(VLOOKUP(B891, PLANTA_BASE!A:R, 3, FALSE), ""))</f>
        <v/>
      </c>
      <c r="D891" s="5">
        <f>IF(B891="","",IFERROR(VLOOKUP(B891, PLANTA_BASE!A:R, 5, FALSE), "NO ENCONTRADO EN PLANTA"))</f>
        <v/>
      </c>
      <c r="E891" s="5">
        <f>IF(B891="","",IFERROR(VLOOKUP(B891, PLANTA_BASE!A:R, 6, FALSE), "NO ENCONTRADO EN PLANTA"))</f>
        <v/>
      </c>
      <c r="F891" s="7">
        <f>IF(B891="","",IFERROR(VLOOKUP(B891, PLANTA_BASE!A:R, 8, FALSE), "DOCENTE / FACILITADOR"))</f>
        <v/>
      </c>
      <c r="G891" s="7">
        <f>IF(B891="","",IFERROR(VLOOKUP(B891, PLANTA_BASE!A:R, 9, FALSE), "GENERAL"))</f>
        <v/>
      </c>
      <c r="H891" s="5">
        <f>IF(B891="","",IFERROR(VLOOKUP(B891, PLANTA_BASE!A:R, 17, FALSE), "GENERAL"))</f>
        <v/>
      </c>
    </row>
    <row r="892" ht="20" customHeight="1">
      <c r="A892" s="2">
        <f>IF(B892="","",IFERROR(VLOOKUP(B892, PLANTA_BASE!A:R, 2, FALSE), "NO ENCONTRADO EN PLANTA"))</f>
        <v/>
      </c>
      <c r="B892" s="3" t="inlineStr"/>
      <c r="C892" s="4">
        <f>IF(B892="","",IFERROR(VLOOKUP(B892, PLANTA_BASE!A:R, 3, FALSE), ""))</f>
        <v/>
      </c>
      <c r="D892" s="2">
        <f>IF(B892="","",IFERROR(VLOOKUP(B892, PLANTA_BASE!A:R, 5, FALSE), "NO ENCONTRADO EN PLANTA"))</f>
        <v/>
      </c>
      <c r="E892" s="2">
        <f>IF(B892="","",IFERROR(VLOOKUP(B892, PLANTA_BASE!A:R, 6, FALSE), "NO ENCONTRADO EN PLANTA"))</f>
        <v/>
      </c>
      <c r="F892" s="4">
        <f>IF(B892="","",IFERROR(VLOOKUP(B892, PLANTA_BASE!A:R, 8, FALSE), "DOCENTE / FACILITADOR"))</f>
        <v/>
      </c>
      <c r="G892" s="4">
        <f>IF(B892="","",IFERROR(VLOOKUP(B892, PLANTA_BASE!A:R, 9, FALSE), "GENERAL"))</f>
        <v/>
      </c>
      <c r="H892" s="2">
        <f>IF(B892="","",IFERROR(VLOOKUP(B892, PLANTA_BASE!A:R, 17, FALSE), "GENERAL"))</f>
        <v/>
      </c>
    </row>
    <row r="893" ht="20" customHeight="1">
      <c r="A893" s="5">
        <f>IF(B893="","",IFERROR(VLOOKUP(B893, PLANTA_BASE!A:R, 2, FALSE), "NO ENCONTRADO EN PLANTA"))</f>
        <v/>
      </c>
      <c r="B893" s="6" t="inlineStr"/>
      <c r="C893" s="7">
        <f>IF(B893="","",IFERROR(VLOOKUP(B893, PLANTA_BASE!A:R, 3, FALSE), ""))</f>
        <v/>
      </c>
      <c r="D893" s="5">
        <f>IF(B893="","",IFERROR(VLOOKUP(B893, PLANTA_BASE!A:R, 5, FALSE), "NO ENCONTRADO EN PLANTA"))</f>
        <v/>
      </c>
      <c r="E893" s="5">
        <f>IF(B893="","",IFERROR(VLOOKUP(B893, PLANTA_BASE!A:R, 6, FALSE), "NO ENCONTRADO EN PLANTA"))</f>
        <v/>
      </c>
      <c r="F893" s="7">
        <f>IF(B893="","",IFERROR(VLOOKUP(B893, PLANTA_BASE!A:R, 8, FALSE), "DOCENTE / FACILITADOR"))</f>
        <v/>
      </c>
      <c r="G893" s="7">
        <f>IF(B893="","",IFERROR(VLOOKUP(B893, PLANTA_BASE!A:R, 9, FALSE), "GENERAL"))</f>
        <v/>
      </c>
      <c r="H893" s="5">
        <f>IF(B893="","",IFERROR(VLOOKUP(B893, PLANTA_BASE!A:R, 17, FALSE), "GENERAL"))</f>
        <v/>
      </c>
    </row>
    <row r="894" ht="20" customHeight="1">
      <c r="A894" s="2">
        <f>IF(B894="","",IFERROR(VLOOKUP(B894, PLANTA_BASE!A:R, 2, FALSE), "NO ENCONTRADO EN PLANTA"))</f>
        <v/>
      </c>
      <c r="B894" s="3" t="inlineStr"/>
      <c r="C894" s="4">
        <f>IF(B894="","",IFERROR(VLOOKUP(B894, PLANTA_BASE!A:R, 3, FALSE), ""))</f>
        <v/>
      </c>
      <c r="D894" s="2">
        <f>IF(B894="","",IFERROR(VLOOKUP(B894, PLANTA_BASE!A:R, 5, FALSE), "NO ENCONTRADO EN PLANTA"))</f>
        <v/>
      </c>
      <c r="E894" s="2">
        <f>IF(B894="","",IFERROR(VLOOKUP(B894, PLANTA_BASE!A:R, 6, FALSE), "NO ENCONTRADO EN PLANTA"))</f>
        <v/>
      </c>
      <c r="F894" s="4">
        <f>IF(B894="","",IFERROR(VLOOKUP(B894, PLANTA_BASE!A:R, 8, FALSE), "DOCENTE / FACILITADOR"))</f>
        <v/>
      </c>
      <c r="G894" s="4">
        <f>IF(B894="","",IFERROR(VLOOKUP(B894, PLANTA_BASE!A:R, 9, FALSE), "GENERAL"))</f>
        <v/>
      </c>
      <c r="H894" s="2">
        <f>IF(B894="","",IFERROR(VLOOKUP(B894, PLANTA_BASE!A:R, 17, FALSE), "GENERAL"))</f>
        <v/>
      </c>
    </row>
    <row r="895" ht="20" customHeight="1">
      <c r="A895" s="5">
        <f>IF(B895="","",IFERROR(VLOOKUP(B895, PLANTA_BASE!A:R, 2, FALSE), "NO ENCONTRADO EN PLANTA"))</f>
        <v/>
      </c>
      <c r="B895" s="6" t="inlineStr"/>
      <c r="C895" s="7">
        <f>IF(B895="","",IFERROR(VLOOKUP(B895, PLANTA_BASE!A:R, 3, FALSE), ""))</f>
        <v/>
      </c>
      <c r="D895" s="5">
        <f>IF(B895="","",IFERROR(VLOOKUP(B895, PLANTA_BASE!A:R, 5, FALSE), "NO ENCONTRADO EN PLANTA"))</f>
        <v/>
      </c>
      <c r="E895" s="5">
        <f>IF(B895="","",IFERROR(VLOOKUP(B895, PLANTA_BASE!A:R, 6, FALSE), "NO ENCONTRADO EN PLANTA"))</f>
        <v/>
      </c>
      <c r="F895" s="7">
        <f>IF(B895="","",IFERROR(VLOOKUP(B895, PLANTA_BASE!A:R, 8, FALSE), "DOCENTE / FACILITADOR"))</f>
        <v/>
      </c>
      <c r="G895" s="7">
        <f>IF(B895="","",IFERROR(VLOOKUP(B895, PLANTA_BASE!A:R, 9, FALSE), "GENERAL"))</f>
        <v/>
      </c>
      <c r="H895" s="5">
        <f>IF(B895="","",IFERROR(VLOOKUP(B895, PLANTA_BASE!A:R, 17, FALSE), "GENERAL"))</f>
        <v/>
      </c>
    </row>
    <row r="896" ht="20" customHeight="1">
      <c r="A896" s="2">
        <f>IF(B896="","",IFERROR(VLOOKUP(B896, PLANTA_BASE!A:R, 2, FALSE), "NO ENCONTRADO EN PLANTA"))</f>
        <v/>
      </c>
      <c r="B896" s="3" t="inlineStr"/>
      <c r="C896" s="4">
        <f>IF(B896="","",IFERROR(VLOOKUP(B896, PLANTA_BASE!A:R, 3, FALSE), ""))</f>
        <v/>
      </c>
      <c r="D896" s="2">
        <f>IF(B896="","",IFERROR(VLOOKUP(B896, PLANTA_BASE!A:R, 5, FALSE), "NO ENCONTRADO EN PLANTA"))</f>
        <v/>
      </c>
      <c r="E896" s="2">
        <f>IF(B896="","",IFERROR(VLOOKUP(B896, PLANTA_BASE!A:R, 6, FALSE), "NO ENCONTRADO EN PLANTA"))</f>
        <v/>
      </c>
      <c r="F896" s="4">
        <f>IF(B896="","",IFERROR(VLOOKUP(B896, PLANTA_BASE!A:R, 8, FALSE), "DOCENTE / FACILITADOR"))</f>
        <v/>
      </c>
      <c r="G896" s="4">
        <f>IF(B896="","",IFERROR(VLOOKUP(B896, PLANTA_BASE!A:R, 9, FALSE), "GENERAL"))</f>
        <v/>
      </c>
      <c r="H896" s="2">
        <f>IF(B896="","",IFERROR(VLOOKUP(B896, PLANTA_BASE!A:R, 17, FALSE), "GENERAL"))</f>
        <v/>
      </c>
    </row>
    <row r="897" ht="20" customHeight="1">
      <c r="A897" s="5">
        <f>IF(B897="","",IFERROR(VLOOKUP(B897, PLANTA_BASE!A:R, 2, FALSE), "NO ENCONTRADO EN PLANTA"))</f>
        <v/>
      </c>
      <c r="B897" s="6" t="inlineStr"/>
      <c r="C897" s="7">
        <f>IF(B897="","",IFERROR(VLOOKUP(B897, PLANTA_BASE!A:R, 3, FALSE), ""))</f>
        <v/>
      </c>
      <c r="D897" s="5">
        <f>IF(B897="","",IFERROR(VLOOKUP(B897, PLANTA_BASE!A:R, 5, FALSE), "NO ENCONTRADO EN PLANTA"))</f>
        <v/>
      </c>
      <c r="E897" s="5">
        <f>IF(B897="","",IFERROR(VLOOKUP(B897, PLANTA_BASE!A:R, 6, FALSE), "NO ENCONTRADO EN PLANTA"))</f>
        <v/>
      </c>
      <c r="F897" s="7">
        <f>IF(B897="","",IFERROR(VLOOKUP(B897, PLANTA_BASE!A:R, 8, FALSE), "DOCENTE / FACILITADOR"))</f>
        <v/>
      </c>
      <c r="G897" s="7">
        <f>IF(B897="","",IFERROR(VLOOKUP(B897, PLANTA_BASE!A:R, 9, FALSE), "GENERAL"))</f>
        <v/>
      </c>
      <c r="H897" s="5">
        <f>IF(B897="","",IFERROR(VLOOKUP(B897, PLANTA_BASE!A:R, 17, FALSE), "GENERAL"))</f>
        <v/>
      </c>
    </row>
    <row r="898" ht="20" customHeight="1">
      <c r="A898" s="2">
        <f>IF(B898="","",IFERROR(VLOOKUP(B898, PLANTA_BASE!A:R, 2, FALSE), "NO ENCONTRADO EN PLANTA"))</f>
        <v/>
      </c>
      <c r="B898" s="3" t="inlineStr"/>
      <c r="C898" s="4">
        <f>IF(B898="","",IFERROR(VLOOKUP(B898, PLANTA_BASE!A:R, 3, FALSE), ""))</f>
        <v/>
      </c>
      <c r="D898" s="2">
        <f>IF(B898="","",IFERROR(VLOOKUP(B898, PLANTA_BASE!A:R, 5, FALSE), "NO ENCONTRADO EN PLANTA"))</f>
        <v/>
      </c>
      <c r="E898" s="2">
        <f>IF(B898="","",IFERROR(VLOOKUP(B898, PLANTA_BASE!A:R, 6, FALSE), "NO ENCONTRADO EN PLANTA"))</f>
        <v/>
      </c>
      <c r="F898" s="4">
        <f>IF(B898="","",IFERROR(VLOOKUP(B898, PLANTA_BASE!A:R, 8, FALSE), "DOCENTE / FACILITADOR"))</f>
        <v/>
      </c>
      <c r="G898" s="4">
        <f>IF(B898="","",IFERROR(VLOOKUP(B898, PLANTA_BASE!A:R, 9, FALSE), "GENERAL"))</f>
        <v/>
      </c>
      <c r="H898" s="2">
        <f>IF(B898="","",IFERROR(VLOOKUP(B898, PLANTA_BASE!A:R, 17, FALSE), "GENERAL"))</f>
        <v/>
      </c>
    </row>
    <row r="899" ht="20" customHeight="1">
      <c r="A899" s="5">
        <f>IF(B899="","",IFERROR(VLOOKUP(B899, PLANTA_BASE!A:R, 2, FALSE), "NO ENCONTRADO EN PLANTA"))</f>
        <v/>
      </c>
      <c r="B899" s="6" t="inlineStr"/>
      <c r="C899" s="7">
        <f>IF(B899="","",IFERROR(VLOOKUP(B899, PLANTA_BASE!A:R, 3, FALSE), ""))</f>
        <v/>
      </c>
      <c r="D899" s="5">
        <f>IF(B899="","",IFERROR(VLOOKUP(B899, PLANTA_BASE!A:R, 5, FALSE), "NO ENCONTRADO EN PLANTA"))</f>
        <v/>
      </c>
      <c r="E899" s="5">
        <f>IF(B899="","",IFERROR(VLOOKUP(B899, PLANTA_BASE!A:R, 6, FALSE), "NO ENCONTRADO EN PLANTA"))</f>
        <v/>
      </c>
      <c r="F899" s="7">
        <f>IF(B899="","",IFERROR(VLOOKUP(B899, PLANTA_BASE!A:R, 8, FALSE), "DOCENTE / FACILITADOR"))</f>
        <v/>
      </c>
      <c r="G899" s="7">
        <f>IF(B899="","",IFERROR(VLOOKUP(B899, PLANTA_BASE!A:R, 9, FALSE), "GENERAL"))</f>
        <v/>
      </c>
      <c r="H899" s="5">
        <f>IF(B899="","",IFERROR(VLOOKUP(B899, PLANTA_BASE!A:R, 17, FALSE), "GENERAL"))</f>
        <v/>
      </c>
    </row>
    <row r="900" ht="20" customHeight="1">
      <c r="A900" s="2">
        <f>IF(B900="","",IFERROR(VLOOKUP(B900, PLANTA_BASE!A:R, 2, FALSE), "NO ENCONTRADO EN PLANTA"))</f>
        <v/>
      </c>
      <c r="B900" s="3" t="inlineStr"/>
      <c r="C900" s="4">
        <f>IF(B900="","",IFERROR(VLOOKUP(B900, PLANTA_BASE!A:R, 3, FALSE), ""))</f>
        <v/>
      </c>
      <c r="D900" s="2">
        <f>IF(B900="","",IFERROR(VLOOKUP(B900, PLANTA_BASE!A:R, 5, FALSE), "NO ENCONTRADO EN PLANTA"))</f>
        <v/>
      </c>
      <c r="E900" s="2">
        <f>IF(B900="","",IFERROR(VLOOKUP(B900, PLANTA_BASE!A:R, 6, FALSE), "NO ENCONTRADO EN PLANTA"))</f>
        <v/>
      </c>
      <c r="F900" s="4">
        <f>IF(B900="","",IFERROR(VLOOKUP(B900, PLANTA_BASE!A:R, 8, FALSE), "DOCENTE / FACILITADOR"))</f>
        <v/>
      </c>
      <c r="G900" s="4">
        <f>IF(B900="","",IFERROR(VLOOKUP(B900, PLANTA_BASE!A:R, 9, FALSE), "GENERAL"))</f>
        <v/>
      </c>
      <c r="H900" s="2">
        <f>IF(B900="","",IFERROR(VLOOKUP(B900, PLANTA_BASE!A:R, 17, FALSE), "GENERAL"))</f>
        <v/>
      </c>
    </row>
    <row r="901" ht="20" customHeight="1">
      <c r="A901" s="5">
        <f>IF(B901="","",IFERROR(VLOOKUP(B901, PLANTA_BASE!A:R, 2, FALSE), "NO ENCONTRADO EN PLANTA"))</f>
        <v/>
      </c>
      <c r="B901" s="6" t="inlineStr"/>
      <c r="C901" s="7">
        <f>IF(B901="","",IFERROR(VLOOKUP(B901, PLANTA_BASE!A:R, 3, FALSE), ""))</f>
        <v/>
      </c>
      <c r="D901" s="5">
        <f>IF(B901="","",IFERROR(VLOOKUP(B901, PLANTA_BASE!A:R, 5, FALSE), "NO ENCONTRADO EN PLANTA"))</f>
        <v/>
      </c>
      <c r="E901" s="5">
        <f>IF(B901="","",IFERROR(VLOOKUP(B901, PLANTA_BASE!A:R, 6, FALSE), "NO ENCONTRADO EN PLANTA"))</f>
        <v/>
      </c>
      <c r="F901" s="7">
        <f>IF(B901="","",IFERROR(VLOOKUP(B901, PLANTA_BASE!A:R, 8, FALSE), "DOCENTE / FACILITADOR"))</f>
        <v/>
      </c>
      <c r="G901" s="7">
        <f>IF(B901="","",IFERROR(VLOOKUP(B901, PLANTA_BASE!A:R, 9, FALSE), "GENERAL"))</f>
        <v/>
      </c>
      <c r="H901" s="5">
        <f>IF(B901="","",IFERROR(VLOOKUP(B901, PLANTA_BASE!A:R, 17, FALSE), "GENERAL"))</f>
        <v/>
      </c>
    </row>
    <row r="902" ht="20" customHeight="1">
      <c r="A902" s="2">
        <f>IF(B902="","",IFERROR(VLOOKUP(B902, PLANTA_BASE!A:R, 2, FALSE), "NO ENCONTRADO EN PLANTA"))</f>
        <v/>
      </c>
      <c r="B902" s="3" t="inlineStr"/>
      <c r="C902" s="4">
        <f>IF(B902="","",IFERROR(VLOOKUP(B902, PLANTA_BASE!A:R, 3, FALSE), ""))</f>
        <v/>
      </c>
      <c r="D902" s="2">
        <f>IF(B902="","",IFERROR(VLOOKUP(B902, PLANTA_BASE!A:R, 5, FALSE), "NO ENCONTRADO EN PLANTA"))</f>
        <v/>
      </c>
      <c r="E902" s="2">
        <f>IF(B902="","",IFERROR(VLOOKUP(B902, PLANTA_BASE!A:R, 6, FALSE), "NO ENCONTRADO EN PLANTA"))</f>
        <v/>
      </c>
      <c r="F902" s="4">
        <f>IF(B902="","",IFERROR(VLOOKUP(B902, PLANTA_BASE!A:R, 8, FALSE), "DOCENTE / FACILITADOR"))</f>
        <v/>
      </c>
      <c r="G902" s="4">
        <f>IF(B902="","",IFERROR(VLOOKUP(B902, PLANTA_BASE!A:R, 9, FALSE), "GENERAL"))</f>
        <v/>
      </c>
      <c r="H902" s="2">
        <f>IF(B902="","",IFERROR(VLOOKUP(B902, PLANTA_BASE!A:R, 17, FALSE), "GENERAL"))</f>
        <v/>
      </c>
    </row>
    <row r="903" ht="20" customHeight="1">
      <c r="A903" s="5">
        <f>IF(B903="","",IFERROR(VLOOKUP(B903, PLANTA_BASE!A:R, 2, FALSE), "NO ENCONTRADO EN PLANTA"))</f>
        <v/>
      </c>
      <c r="B903" s="6" t="inlineStr"/>
      <c r="C903" s="7">
        <f>IF(B903="","",IFERROR(VLOOKUP(B903, PLANTA_BASE!A:R, 3, FALSE), ""))</f>
        <v/>
      </c>
      <c r="D903" s="5">
        <f>IF(B903="","",IFERROR(VLOOKUP(B903, PLANTA_BASE!A:R, 5, FALSE), "NO ENCONTRADO EN PLANTA"))</f>
        <v/>
      </c>
      <c r="E903" s="5">
        <f>IF(B903="","",IFERROR(VLOOKUP(B903, PLANTA_BASE!A:R, 6, FALSE), "NO ENCONTRADO EN PLANTA"))</f>
        <v/>
      </c>
      <c r="F903" s="7">
        <f>IF(B903="","",IFERROR(VLOOKUP(B903, PLANTA_BASE!A:R, 8, FALSE), "DOCENTE / FACILITADOR"))</f>
        <v/>
      </c>
      <c r="G903" s="7">
        <f>IF(B903="","",IFERROR(VLOOKUP(B903, PLANTA_BASE!A:R, 9, FALSE), "GENERAL"))</f>
        <v/>
      </c>
      <c r="H903" s="5">
        <f>IF(B903="","",IFERROR(VLOOKUP(B903, PLANTA_BASE!A:R, 17, FALSE), "GENERAL"))</f>
        <v/>
      </c>
    </row>
    <row r="904" ht="20" customHeight="1">
      <c r="A904" s="2">
        <f>IF(B904="","",IFERROR(VLOOKUP(B904, PLANTA_BASE!A:R, 2, FALSE), "NO ENCONTRADO EN PLANTA"))</f>
        <v/>
      </c>
      <c r="B904" s="3" t="inlineStr"/>
      <c r="C904" s="4">
        <f>IF(B904="","",IFERROR(VLOOKUP(B904, PLANTA_BASE!A:R, 3, FALSE), ""))</f>
        <v/>
      </c>
      <c r="D904" s="2">
        <f>IF(B904="","",IFERROR(VLOOKUP(B904, PLANTA_BASE!A:R, 5, FALSE), "NO ENCONTRADO EN PLANTA"))</f>
        <v/>
      </c>
      <c r="E904" s="2">
        <f>IF(B904="","",IFERROR(VLOOKUP(B904, PLANTA_BASE!A:R, 6, FALSE), "NO ENCONTRADO EN PLANTA"))</f>
        <v/>
      </c>
      <c r="F904" s="4">
        <f>IF(B904="","",IFERROR(VLOOKUP(B904, PLANTA_BASE!A:R, 8, FALSE), "DOCENTE / FACILITADOR"))</f>
        <v/>
      </c>
      <c r="G904" s="4">
        <f>IF(B904="","",IFERROR(VLOOKUP(B904, PLANTA_BASE!A:R, 9, FALSE), "GENERAL"))</f>
        <v/>
      </c>
      <c r="H904" s="2">
        <f>IF(B904="","",IFERROR(VLOOKUP(B904, PLANTA_BASE!A:R, 17, FALSE), "GENERAL"))</f>
        <v/>
      </c>
    </row>
    <row r="905" ht="20" customHeight="1">
      <c r="A905" s="5">
        <f>IF(B905="","",IFERROR(VLOOKUP(B905, PLANTA_BASE!A:R, 2, FALSE), "NO ENCONTRADO EN PLANTA"))</f>
        <v/>
      </c>
      <c r="B905" s="6" t="inlineStr"/>
      <c r="C905" s="7">
        <f>IF(B905="","",IFERROR(VLOOKUP(B905, PLANTA_BASE!A:R, 3, FALSE), ""))</f>
        <v/>
      </c>
      <c r="D905" s="5">
        <f>IF(B905="","",IFERROR(VLOOKUP(B905, PLANTA_BASE!A:R, 5, FALSE), "NO ENCONTRADO EN PLANTA"))</f>
        <v/>
      </c>
      <c r="E905" s="5">
        <f>IF(B905="","",IFERROR(VLOOKUP(B905, PLANTA_BASE!A:R, 6, FALSE), "NO ENCONTRADO EN PLANTA"))</f>
        <v/>
      </c>
      <c r="F905" s="7">
        <f>IF(B905="","",IFERROR(VLOOKUP(B905, PLANTA_BASE!A:R, 8, FALSE), "DOCENTE / FACILITADOR"))</f>
        <v/>
      </c>
      <c r="G905" s="7">
        <f>IF(B905="","",IFERROR(VLOOKUP(B905, PLANTA_BASE!A:R, 9, FALSE), "GENERAL"))</f>
        <v/>
      </c>
      <c r="H905" s="5">
        <f>IF(B905="","",IFERROR(VLOOKUP(B905, PLANTA_BASE!A:R, 17, FALSE), "GENERAL"))</f>
        <v/>
      </c>
    </row>
    <row r="906" ht="20" customHeight="1">
      <c r="A906" s="2">
        <f>IF(B906="","",IFERROR(VLOOKUP(B906, PLANTA_BASE!A:R, 2, FALSE), "NO ENCONTRADO EN PLANTA"))</f>
        <v/>
      </c>
      <c r="B906" s="3" t="inlineStr"/>
      <c r="C906" s="4">
        <f>IF(B906="","",IFERROR(VLOOKUP(B906, PLANTA_BASE!A:R, 3, FALSE), ""))</f>
        <v/>
      </c>
      <c r="D906" s="2">
        <f>IF(B906="","",IFERROR(VLOOKUP(B906, PLANTA_BASE!A:R, 5, FALSE), "NO ENCONTRADO EN PLANTA"))</f>
        <v/>
      </c>
      <c r="E906" s="2">
        <f>IF(B906="","",IFERROR(VLOOKUP(B906, PLANTA_BASE!A:R, 6, FALSE), "NO ENCONTRADO EN PLANTA"))</f>
        <v/>
      </c>
      <c r="F906" s="4">
        <f>IF(B906="","",IFERROR(VLOOKUP(B906, PLANTA_BASE!A:R, 8, FALSE), "DOCENTE / FACILITADOR"))</f>
        <v/>
      </c>
      <c r="G906" s="4">
        <f>IF(B906="","",IFERROR(VLOOKUP(B906, PLANTA_BASE!A:R, 9, FALSE), "GENERAL"))</f>
        <v/>
      </c>
      <c r="H906" s="2">
        <f>IF(B906="","",IFERROR(VLOOKUP(B906, PLANTA_BASE!A:R, 17, FALSE), "GENERAL"))</f>
        <v/>
      </c>
    </row>
    <row r="907" ht="20" customHeight="1">
      <c r="A907" s="5">
        <f>IF(B907="","",IFERROR(VLOOKUP(B907, PLANTA_BASE!A:R, 2, FALSE), "NO ENCONTRADO EN PLANTA"))</f>
        <v/>
      </c>
      <c r="B907" s="6" t="inlineStr"/>
      <c r="C907" s="7">
        <f>IF(B907="","",IFERROR(VLOOKUP(B907, PLANTA_BASE!A:R, 3, FALSE), ""))</f>
        <v/>
      </c>
      <c r="D907" s="5">
        <f>IF(B907="","",IFERROR(VLOOKUP(B907, PLANTA_BASE!A:R, 5, FALSE), "NO ENCONTRADO EN PLANTA"))</f>
        <v/>
      </c>
      <c r="E907" s="5">
        <f>IF(B907="","",IFERROR(VLOOKUP(B907, PLANTA_BASE!A:R, 6, FALSE), "NO ENCONTRADO EN PLANTA"))</f>
        <v/>
      </c>
      <c r="F907" s="7">
        <f>IF(B907="","",IFERROR(VLOOKUP(B907, PLANTA_BASE!A:R, 8, FALSE), "DOCENTE / FACILITADOR"))</f>
        <v/>
      </c>
      <c r="G907" s="7">
        <f>IF(B907="","",IFERROR(VLOOKUP(B907, PLANTA_BASE!A:R, 9, FALSE), "GENERAL"))</f>
        <v/>
      </c>
      <c r="H907" s="5">
        <f>IF(B907="","",IFERROR(VLOOKUP(B907, PLANTA_BASE!A:R, 17, FALSE), "GENERAL"))</f>
        <v/>
      </c>
    </row>
    <row r="908" ht="20" customHeight="1">
      <c r="A908" s="2">
        <f>IF(B908="","",IFERROR(VLOOKUP(B908, PLANTA_BASE!A:R, 2, FALSE), "NO ENCONTRADO EN PLANTA"))</f>
        <v/>
      </c>
      <c r="B908" s="3" t="inlineStr"/>
      <c r="C908" s="4">
        <f>IF(B908="","",IFERROR(VLOOKUP(B908, PLANTA_BASE!A:R, 3, FALSE), ""))</f>
        <v/>
      </c>
      <c r="D908" s="2">
        <f>IF(B908="","",IFERROR(VLOOKUP(B908, PLANTA_BASE!A:R, 5, FALSE), "NO ENCONTRADO EN PLANTA"))</f>
        <v/>
      </c>
      <c r="E908" s="2">
        <f>IF(B908="","",IFERROR(VLOOKUP(B908, PLANTA_BASE!A:R, 6, FALSE), "NO ENCONTRADO EN PLANTA"))</f>
        <v/>
      </c>
      <c r="F908" s="4">
        <f>IF(B908="","",IFERROR(VLOOKUP(B908, PLANTA_BASE!A:R, 8, FALSE), "DOCENTE / FACILITADOR"))</f>
        <v/>
      </c>
      <c r="G908" s="4">
        <f>IF(B908="","",IFERROR(VLOOKUP(B908, PLANTA_BASE!A:R, 9, FALSE), "GENERAL"))</f>
        <v/>
      </c>
      <c r="H908" s="2">
        <f>IF(B908="","",IFERROR(VLOOKUP(B908, PLANTA_BASE!A:R, 17, FALSE), "GENERAL"))</f>
        <v/>
      </c>
    </row>
    <row r="909" ht="20" customHeight="1">
      <c r="A909" s="5">
        <f>IF(B909="","",IFERROR(VLOOKUP(B909, PLANTA_BASE!A:R, 2, FALSE), "NO ENCONTRADO EN PLANTA"))</f>
        <v/>
      </c>
      <c r="B909" s="6" t="inlineStr"/>
      <c r="C909" s="7">
        <f>IF(B909="","",IFERROR(VLOOKUP(B909, PLANTA_BASE!A:R, 3, FALSE), ""))</f>
        <v/>
      </c>
      <c r="D909" s="5">
        <f>IF(B909="","",IFERROR(VLOOKUP(B909, PLANTA_BASE!A:R, 5, FALSE), "NO ENCONTRADO EN PLANTA"))</f>
        <v/>
      </c>
      <c r="E909" s="5">
        <f>IF(B909="","",IFERROR(VLOOKUP(B909, PLANTA_BASE!A:R, 6, FALSE), "NO ENCONTRADO EN PLANTA"))</f>
        <v/>
      </c>
      <c r="F909" s="7">
        <f>IF(B909="","",IFERROR(VLOOKUP(B909, PLANTA_BASE!A:R, 8, FALSE), "DOCENTE / FACILITADOR"))</f>
        <v/>
      </c>
      <c r="G909" s="7">
        <f>IF(B909="","",IFERROR(VLOOKUP(B909, PLANTA_BASE!A:R, 9, FALSE), "GENERAL"))</f>
        <v/>
      </c>
      <c r="H909" s="5">
        <f>IF(B909="","",IFERROR(VLOOKUP(B909, PLANTA_BASE!A:R, 17, FALSE), "GENERAL"))</f>
        <v/>
      </c>
    </row>
    <row r="910" ht="20" customHeight="1">
      <c r="A910" s="2">
        <f>IF(B910="","",IFERROR(VLOOKUP(B910, PLANTA_BASE!A:R, 2, FALSE), "NO ENCONTRADO EN PLANTA"))</f>
        <v/>
      </c>
      <c r="B910" s="3" t="inlineStr"/>
      <c r="C910" s="4">
        <f>IF(B910="","",IFERROR(VLOOKUP(B910, PLANTA_BASE!A:R, 3, FALSE), ""))</f>
        <v/>
      </c>
      <c r="D910" s="2">
        <f>IF(B910="","",IFERROR(VLOOKUP(B910, PLANTA_BASE!A:R, 5, FALSE), "NO ENCONTRADO EN PLANTA"))</f>
        <v/>
      </c>
      <c r="E910" s="2">
        <f>IF(B910="","",IFERROR(VLOOKUP(B910, PLANTA_BASE!A:R, 6, FALSE), "NO ENCONTRADO EN PLANTA"))</f>
        <v/>
      </c>
      <c r="F910" s="4">
        <f>IF(B910="","",IFERROR(VLOOKUP(B910, PLANTA_BASE!A:R, 8, FALSE), "DOCENTE / FACILITADOR"))</f>
        <v/>
      </c>
      <c r="G910" s="4">
        <f>IF(B910="","",IFERROR(VLOOKUP(B910, PLANTA_BASE!A:R, 9, FALSE), "GENERAL"))</f>
        <v/>
      </c>
      <c r="H910" s="2">
        <f>IF(B910="","",IFERROR(VLOOKUP(B910, PLANTA_BASE!A:R, 17, FALSE), "GENERAL"))</f>
        <v/>
      </c>
    </row>
    <row r="911" ht="20" customHeight="1">
      <c r="A911" s="5">
        <f>IF(B911="","",IFERROR(VLOOKUP(B911, PLANTA_BASE!A:R, 2, FALSE), "NO ENCONTRADO EN PLANTA"))</f>
        <v/>
      </c>
      <c r="B911" s="6" t="inlineStr"/>
      <c r="C911" s="7">
        <f>IF(B911="","",IFERROR(VLOOKUP(B911, PLANTA_BASE!A:R, 3, FALSE), ""))</f>
        <v/>
      </c>
      <c r="D911" s="5">
        <f>IF(B911="","",IFERROR(VLOOKUP(B911, PLANTA_BASE!A:R, 5, FALSE), "NO ENCONTRADO EN PLANTA"))</f>
        <v/>
      </c>
      <c r="E911" s="5">
        <f>IF(B911="","",IFERROR(VLOOKUP(B911, PLANTA_BASE!A:R, 6, FALSE), "NO ENCONTRADO EN PLANTA"))</f>
        <v/>
      </c>
      <c r="F911" s="7">
        <f>IF(B911="","",IFERROR(VLOOKUP(B911, PLANTA_BASE!A:R, 8, FALSE), "DOCENTE / FACILITADOR"))</f>
        <v/>
      </c>
      <c r="G911" s="7">
        <f>IF(B911="","",IFERROR(VLOOKUP(B911, PLANTA_BASE!A:R, 9, FALSE), "GENERAL"))</f>
        <v/>
      </c>
      <c r="H911" s="5">
        <f>IF(B911="","",IFERROR(VLOOKUP(B911, PLANTA_BASE!A:R, 17, FALSE), "GENERAL"))</f>
        <v/>
      </c>
    </row>
    <row r="912" ht="20" customHeight="1">
      <c r="A912" s="2">
        <f>IF(B912="","",IFERROR(VLOOKUP(B912, PLANTA_BASE!A:R, 2, FALSE), "NO ENCONTRADO EN PLANTA"))</f>
        <v/>
      </c>
      <c r="B912" s="3" t="inlineStr"/>
      <c r="C912" s="4">
        <f>IF(B912="","",IFERROR(VLOOKUP(B912, PLANTA_BASE!A:R, 3, FALSE), ""))</f>
        <v/>
      </c>
      <c r="D912" s="2">
        <f>IF(B912="","",IFERROR(VLOOKUP(B912, PLANTA_BASE!A:R, 5, FALSE), "NO ENCONTRADO EN PLANTA"))</f>
        <v/>
      </c>
      <c r="E912" s="2">
        <f>IF(B912="","",IFERROR(VLOOKUP(B912, PLANTA_BASE!A:R, 6, FALSE), "NO ENCONTRADO EN PLANTA"))</f>
        <v/>
      </c>
      <c r="F912" s="4">
        <f>IF(B912="","",IFERROR(VLOOKUP(B912, PLANTA_BASE!A:R, 8, FALSE), "DOCENTE / FACILITADOR"))</f>
        <v/>
      </c>
      <c r="G912" s="4">
        <f>IF(B912="","",IFERROR(VLOOKUP(B912, PLANTA_BASE!A:R, 9, FALSE), "GENERAL"))</f>
        <v/>
      </c>
      <c r="H912" s="2">
        <f>IF(B912="","",IFERROR(VLOOKUP(B912, PLANTA_BASE!A:R, 17, FALSE), "GENERAL"))</f>
        <v/>
      </c>
    </row>
    <row r="913" ht="20" customHeight="1">
      <c r="A913" s="5">
        <f>IF(B913="","",IFERROR(VLOOKUP(B913, PLANTA_BASE!A:R, 2, FALSE), "NO ENCONTRADO EN PLANTA"))</f>
        <v/>
      </c>
      <c r="B913" s="6" t="inlineStr"/>
      <c r="C913" s="7">
        <f>IF(B913="","",IFERROR(VLOOKUP(B913, PLANTA_BASE!A:R, 3, FALSE), ""))</f>
        <v/>
      </c>
      <c r="D913" s="5">
        <f>IF(B913="","",IFERROR(VLOOKUP(B913, PLANTA_BASE!A:R, 5, FALSE), "NO ENCONTRADO EN PLANTA"))</f>
        <v/>
      </c>
      <c r="E913" s="5">
        <f>IF(B913="","",IFERROR(VLOOKUP(B913, PLANTA_BASE!A:R, 6, FALSE), "NO ENCONTRADO EN PLANTA"))</f>
        <v/>
      </c>
      <c r="F913" s="7">
        <f>IF(B913="","",IFERROR(VLOOKUP(B913, PLANTA_BASE!A:R, 8, FALSE), "DOCENTE / FACILITADOR"))</f>
        <v/>
      </c>
      <c r="G913" s="7">
        <f>IF(B913="","",IFERROR(VLOOKUP(B913, PLANTA_BASE!A:R, 9, FALSE), "GENERAL"))</f>
        <v/>
      </c>
      <c r="H913" s="5">
        <f>IF(B913="","",IFERROR(VLOOKUP(B913, PLANTA_BASE!A:R, 17, FALSE), "GENERAL"))</f>
        <v/>
      </c>
    </row>
    <row r="914" ht="20" customHeight="1">
      <c r="A914" s="2">
        <f>IF(B914="","",IFERROR(VLOOKUP(B914, PLANTA_BASE!A:R, 2, FALSE), "NO ENCONTRADO EN PLANTA"))</f>
        <v/>
      </c>
      <c r="B914" s="3" t="inlineStr"/>
      <c r="C914" s="4">
        <f>IF(B914="","",IFERROR(VLOOKUP(B914, PLANTA_BASE!A:R, 3, FALSE), ""))</f>
        <v/>
      </c>
      <c r="D914" s="2">
        <f>IF(B914="","",IFERROR(VLOOKUP(B914, PLANTA_BASE!A:R, 5, FALSE), "NO ENCONTRADO EN PLANTA"))</f>
        <v/>
      </c>
      <c r="E914" s="2">
        <f>IF(B914="","",IFERROR(VLOOKUP(B914, PLANTA_BASE!A:R, 6, FALSE), "NO ENCONTRADO EN PLANTA"))</f>
        <v/>
      </c>
      <c r="F914" s="4">
        <f>IF(B914="","",IFERROR(VLOOKUP(B914, PLANTA_BASE!A:R, 8, FALSE), "DOCENTE / FACILITADOR"))</f>
        <v/>
      </c>
      <c r="G914" s="4">
        <f>IF(B914="","",IFERROR(VLOOKUP(B914, PLANTA_BASE!A:R, 9, FALSE), "GENERAL"))</f>
        <v/>
      </c>
      <c r="H914" s="2">
        <f>IF(B914="","",IFERROR(VLOOKUP(B914, PLANTA_BASE!A:R, 17, FALSE), "GENERAL"))</f>
        <v/>
      </c>
    </row>
    <row r="915" ht="20" customHeight="1">
      <c r="A915" s="5">
        <f>IF(B915="","",IFERROR(VLOOKUP(B915, PLANTA_BASE!A:R, 2, FALSE), "NO ENCONTRADO EN PLANTA"))</f>
        <v/>
      </c>
      <c r="B915" s="6" t="inlineStr"/>
      <c r="C915" s="7">
        <f>IF(B915="","",IFERROR(VLOOKUP(B915, PLANTA_BASE!A:R, 3, FALSE), ""))</f>
        <v/>
      </c>
      <c r="D915" s="5">
        <f>IF(B915="","",IFERROR(VLOOKUP(B915, PLANTA_BASE!A:R, 5, FALSE), "NO ENCONTRADO EN PLANTA"))</f>
        <v/>
      </c>
      <c r="E915" s="5">
        <f>IF(B915="","",IFERROR(VLOOKUP(B915, PLANTA_BASE!A:R, 6, FALSE), "NO ENCONTRADO EN PLANTA"))</f>
        <v/>
      </c>
      <c r="F915" s="7">
        <f>IF(B915="","",IFERROR(VLOOKUP(B915, PLANTA_BASE!A:R, 8, FALSE), "DOCENTE / FACILITADOR"))</f>
        <v/>
      </c>
      <c r="G915" s="7">
        <f>IF(B915="","",IFERROR(VLOOKUP(B915, PLANTA_BASE!A:R, 9, FALSE), "GENERAL"))</f>
        <v/>
      </c>
      <c r="H915" s="5">
        <f>IF(B915="","",IFERROR(VLOOKUP(B915, PLANTA_BASE!A:R, 17, FALSE), "GENERAL"))</f>
        <v/>
      </c>
    </row>
    <row r="916" ht="20" customHeight="1">
      <c r="A916" s="2">
        <f>IF(B916="","",IFERROR(VLOOKUP(B916, PLANTA_BASE!A:R, 2, FALSE), "NO ENCONTRADO EN PLANTA"))</f>
        <v/>
      </c>
      <c r="B916" s="3" t="inlineStr"/>
      <c r="C916" s="4">
        <f>IF(B916="","",IFERROR(VLOOKUP(B916, PLANTA_BASE!A:R, 3, FALSE), ""))</f>
        <v/>
      </c>
      <c r="D916" s="2">
        <f>IF(B916="","",IFERROR(VLOOKUP(B916, PLANTA_BASE!A:R, 5, FALSE), "NO ENCONTRADO EN PLANTA"))</f>
        <v/>
      </c>
      <c r="E916" s="2">
        <f>IF(B916="","",IFERROR(VLOOKUP(B916, PLANTA_BASE!A:R, 6, FALSE), "NO ENCONTRADO EN PLANTA"))</f>
        <v/>
      </c>
      <c r="F916" s="4">
        <f>IF(B916="","",IFERROR(VLOOKUP(B916, PLANTA_BASE!A:R, 8, FALSE), "DOCENTE / FACILITADOR"))</f>
        <v/>
      </c>
      <c r="G916" s="4">
        <f>IF(B916="","",IFERROR(VLOOKUP(B916, PLANTA_BASE!A:R, 9, FALSE), "GENERAL"))</f>
        <v/>
      </c>
      <c r="H916" s="2">
        <f>IF(B916="","",IFERROR(VLOOKUP(B916, PLANTA_BASE!A:R, 17, FALSE), "GENERAL"))</f>
        <v/>
      </c>
    </row>
    <row r="917" ht="20" customHeight="1">
      <c r="A917" s="5">
        <f>IF(B917="","",IFERROR(VLOOKUP(B917, PLANTA_BASE!A:R, 2, FALSE), "NO ENCONTRADO EN PLANTA"))</f>
        <v/>
      </c>
      <c r="B917" s="6" t="inlineStr"/>
      <c r="C917" s="7">
        <f>IF(B917="","",IFERROR(VLOOKUP(B917, PLANTA_BASE!A:R, 3, FALSE), ""))</f>
        <v/>
      </c>
      <c r="D917" s="5">
        <f>IF(B917="","",IFERROR(VLOOKUP(B917, PLANTA_BASE!A:R, 5, FALSE), "NO ENCONTRADO EN PLANTA"))</f>
        <v/>
      </c>
      <c r="E917" s="5">
        <f>IF(B917="","",IFERROR(VLOOKUP(B917, PLANTA_BASE!A:R, 6, FALSE), "NO ENCONTRADO EN PLANTA"))</f>
        <v/>
      </c>
      <c r="F917" s="7">
        <f>IF(B917="","",IFERROR(VLOOKUP(B917, PLANTA_BASE!A:R, 8, FALSE), "DOCENTE / FACILITADOR"))</f>
        <v/>
      </c>
      <c r="G917" s="7">
        <f>IF(B917="","",IFERROR(VLOOKUP(B917, PLANTA_BASE!A:R, 9, FALSE), "GENERAL"))</f>
        <v/>
      </c>
      <c r="H917" s="5">
        <f>IF(B917="","",IFERROR(VLOOKUP(B917, PLANTA_BASE!A:R, 17, FALSE), "GENERAL"))</f>
        <v/>
      </c>
    </row>
    <row r="918" ht="20" customHeight="1">
      <c r="A918" s="2">
        <f>IF(B918="","",IFERROR(VLOOKUP(B918, PLANTA_BASE!A:R, 2, FALSE), "NO ENCONTRADO EN PLANTA"))</f>
        <v/>
      </c>
      <c r="B918" s="3" t="inlineStr"/>
      <c r="C918" s="4">
        <f>IF(B918="","",IFERROR(VLOOKUP(B918, PLANTA_BASE!A:R, 3, FALSE), ""))</f>
        <v/>
      </c>
      <c r="D918" s="2">
        <f>IF(B918="","",IFERROR(VLOOKUP(B918, PLANTA_BASE!A:R, 5, FALSE), "NO ENCONTRADO EN PLANTA"))</f>
        <v/>
      </c>
      <c r="E918" s="2">
        <f>IF(B918="","",IFERROR(VLOOKUP(B918, PLANTA_BASE!A:R, 6, FALSE), "NO ENCONTRADO EN PLANTA"))</f>
        <v/>
      </c>
      <c r="F918" s="4">
        <f>IF(B918="","",IFERROR(VLOOKUP(B918, PLANTA_BASE!A:R, 8, FALSE), "DOCENTE / FACILITADOR"))</f>
        <v/>
      </c>
      <c r="G918" s="4">
        <f>IF(B918="","",IFERROR(VLOOKUP(B918, PLANTA_BASE!A:R, 9, FALSE), "GENERAL"))</f>
        <v/>
      </c>
      <c r="H918" s="2">
        <f>IF(B918="","",IFERROR(VLOOKUP(B918, PLANTA_BASE!A:R, 17, FALSE), "GENERAL"))</f>
        <v/>
      </c>
    </row>
    <row r="919" ht="20" customHeight="1">
      <c r="A919" s="5">
        <f>IF(B919="","",IFERROR(VLOOKUP(B919, PLANTA_BASE!A:R, 2, FALSE), "NO ENCONTRADO EN PLANTA"))</f>
        <v/>
      </c>
      <c r="B919" s="6" t="inlineStr"/>
      <c r="C919" s="7">
        <f>IF(B919="","",IFERROR(VLOOKUP(B919, PLANTA_BASE!A:R, 3, FALSE), ""))</f>
        <v/>
      </c>
      <c r="D919" s="5">
        <f>IF(B919="","",IFERROR(VLOOKUP(B919, PLANTA_BASE!A:R, 5, FALSE), "NO ENCONTRADO EN PLANTA"))</f>
        <v/>
      </c>
      <c r="E919" s="5">
        <f>IF(B919="","",IFERROR(VLOOKUP(B919, PLANTA_BASE!A:R, 6, FALSE), "NO ENCONTRADO EN PLANTA"))</f>
        <v/>
      </c>
      <c r="F919" s="7">
        <f>IF(B919="","",IFERROR(VLOOKUP(B919, PLANTA_BASE!A:R, 8, FALSE), "DOCENTE / FACILITADOR"))</f>
        <v/>
      </c>
      <c r="G919" s="7">
        <f>IF(B919="","",IFERROR(VLOOKUP(B919, PLANTA_BASE!A:R, 9, FALSE), "GENERAL"))</f>
        <v/>
      </c>
      <c r="H919" s="5">
        <f>IF(B919="","",IFERROR(VLOOKUP(B919, PLANTA_BASE!A:R, 17, FALSE), "GENERAL"))</f>
        <v/>
      </c>
    </row>
    <row r="920" ht="20" customHeight="1">
      <c r="A920" s="2">
        <f>IF(B920="","",IFERROR(VLOOKUP(B920, PLANTA_BASE!A:R, 2, FALSE), "NO ENCONTRADO EN PLANTA"))</f>
        <v/>
      </c>
      <c r="B920" s="3" t="inlineStr"/>
      <c r="C920" s="4">
        <f>IF(B920="","",IFERROR(VLOOKUP(B920, PLANTA_BASE!A:R, 3, FALSE), ""))</f>
        <v/>
      </c>
      <c r="D920" s="2">
        <f>IF(B920="","",IFERROR(VLOOKUP(B920, PLANTA_BASE!A:R, 5, FALSE), "NO ENCONTRADO EN PLANTA"))</f>
        <v/>
      </c>
      <c r="E920" s="2">
        <f>IF(B920="","",IFERROR(VLOOKUP(B920, PLANTA_BASE!A:R, 6, FALSE), "NO ENCONTRADO EN PLANTA"))</f>
        <v/>
      </c>
      <c r="F920" s="4">
        <f>IF(B920="","",IFERROR(VLOOKUP(B920, PLANTA_BASE!A:R, 8, FALSE), "DOCENTE / FACILITADOR"))</f>
        <v/>
      </c>
      <c r="G920" s="4">
        <f>IF(B920="","",IFERROR(VLOOKUP(B920, PLANTA_BASE!A:R, 9, FALSE), "GENERAL"))</f>
        <v/>
      </c>
      <c r="H920" s="2">
        <f>IF(B920="","",IFERROR(VLOOKUP(B920, PLANTA_BASE!A:R, 17, FALSE), "GENERAL"))</f>
        <v/>
      </c>
    </row>
    <row r="921" ht="20" customHeight="1">
      <c r="A921" s="5">
        <f>IF(B921="","",IFERROR(VLOOKUP(B921, PLANTA_BASE!A:R, 2, FALSE), "NO ENCONTRADO EN PLANTA"))</f>
        <v/>
      </c>
      <c r="B921" s="6" t="inlineStr"/>
      <c r="C921" s="7">
        <f>IF(B921="","",IFERROR(VLOOKUP(B921, PLANTA_BASE!A:R, 3, FALSE), ""))</f>
        <v/>
      </c>
      <c r="D921" s="5">
        <f>IF(B921="","",IFERROR(VLOOKUP(B921, PLANTA_BASE!A:R, 5, FALSE), "NO ENCONTRADO EN PLANTA"))</f>
        <v/>
      </c>
      <c r="E921" s="5">
        <f>IF(B921="","",IFERROR(VLOOKUP(B921, PLANTA_BASE!A:R, 6, FALSE), "NO ENCONTRADO EN PLANTA"))</f>
        <v/>
      </c>
      <c r="F921" s="7">
        <f>IF(B921="","",IFERROR(VLOOKUP(B921, PLANTA_BASE!A:R, 8, FALSE), "DOCENTE / FACILITADOR"))</f>
        <v/>
      </c>
      <c r="G921" s="7">
        <f>IF(B921="","",IFERROR(VLOOKUP(B921, PLANTA_BASE!A:R, 9, FALSE), "GENERAL"))</f>
        <v/>
      </c>
      <c r="H921" s="5">
        <f>IF(B921="","",IFERROR(VLOOKUP(B921, PLANTA_BASE!A:R, 17, FALSE), "GENERAL"))</f>
        <v/>
      </c>
    </row>
    <row r="922" ht="20" customHeight="1">
      <c r="A922" s="2">
        <f>IF(B922="","",IFERROR(VLOOKUP(B922, PLANTA_BASE!A:R, 2, FALSE), "NO ENCONTRADO EN PLANTA"))</f>
        <v/>
      </c>
      <c r="B922" s="3" t="inlineStr"/>
      <c r="C922" s="4">
        <f>IF(B922="","",IFERROR(VLOOKUP(B922, PLANTA_BASE!A:R, 3, FALSE), ""))</f>
        <v/>
      </c>
      <c r="D922" s="2">
        <f>IF(B922="","",IFERROR(VLOOKUP(B922, PLANTA_BASE!A:R, 5, FALSE), "NO ENCONTRADO EN PLANTA"))</f>
        <v/>
      </c>
      <c r="E922" s="2">
        <f>IF(B922="","",IFERROR(VLOOKUP(B922, PLANTA_BASE!A:R, 6, FALSE), "NO ENCONTRADO EN PLANTA"))</f>
        <v/>
      </c>
      <c r="F922" s="4">
        <f>IF(B922="","",IFERROR(VLOOKUP(B922, PLANTA_BASE!A:R, 8, FALSE), "DOCENTE / FACILITADOR"))</f>
        <v/>
      </c>
      <c r="G922" s="4">
        <f>IF(B922="","",IFERROR(VLOOKUP(B922, PLANTA_BASE!A:R, 9, FALSE), "GENERAL"))</f>
        <v/>
      </c>
      <c r="H922" s="2">
        <f>IF(B922="","",IFERROR(VLOOKUP(B922, PLANTA_BASE!A:R, 17, FALSE), "GENERAL"))</f>
        <v/>
      </c>
    </row>
    <row r="923" ht="20" customHeight="1">
      <c r="A923" s="5">
        <f>IF(B923="","",IFERROR(VLOOKUP(B923, PLANTA_BASE!A:R, 2, FALSE), "NO ENCONTRADO EN PLANTA"))</f>
        <v/>
      </c>
      <c r="B923" s="6" t="inlineStr"/>
      <c r="C923" s="7">
        <f>IF(B923="","",IFERROR(VLOOKUP(B923, PLANTA_BASE!A:R, 3, FALSE), ""))</f>
        <v/>
      </c>
      <c r="D923" s="5">
        <f>IF(B923="","",IFERROR(VLOOKUP(B923, PLANTA_BASE!A:R, 5, FALSE), "NO ENCONTRADO EN PLANTA"))</f>
        <v/>
      </c>
      <c r="E923" s="5">
        <f>IF(B923="","",IFERROR(VLOOKUP(B923, PLANTA_BASE!A:R, 6, FALSE), "NO ENCONTRADO EN PLANTA"))</f>
        <v/>
      </c>
      <c r="F923" s="7">
        <f>IF(B923="","",IFERROR(VLOOKUP(B923, PLANTA_BASE!A:R, 8, FALSE), "DOCENTE / FACILITADOR"))</f>
        <v/>
      </c>
      <c r="G923" s="7">
        <f>IF(B923="","",IFERROR(VLOOKUP(B923, PLANTA_BASE!A:R, 9, FALSE), "GENERAL"))</f>
        <v/>
      </c>
      <c r="H923" s="5">
        <f>IF(B923="","",IFERROR(VLOOKUP(B923, PLANTA_BASE!A:R, 17, FALSE), "GENERAL"))</f>
        <v/>
      </c>
    </row>
    <row r="924" ht="20" customHeight="1">
      <c r="A924" s="2">
        <f>IF(B924="","",IFERROR(VLOOKUP(B924, PLANTA_BASE!A:R, 2, FALSE), "NO ENCONTRADO EN PLANTA"))</f>
        <v/>
      </c>
      <c r="B924" s="3" t="inlineStr"/>
      <c r="C924" s="4">
        <f>IF(B924="","",IFERROR(VLOOKUP(B924, PLANTA_BASE!A:R, 3, FALSE), ""))</f>
        <v/>
      </c>
      <c r="D924" s="2">
        <f>IF(B924="","",IFERROR(VLOOKUP(B924, PLANTA_BASE!A:R, 5, FALSE), "NO ENCONTRADO EN PLANTA"))</f>
        <v/>
      </c>
      <c r="E924" s="2">
        <f>IF(B924="","",IFERROR(VLOOKUP(B924, PLANTA_BASE!A:R, 6, FALSE), "NO ENCONTRADO EN PLANTA"))</f>
        <v/>
      </c>
      <c r="F924" s="4">
        <f>IF(B924="","",IFERROR(VLOOKUP(B924, PLANTA_BASE!A:R, 8, FALSE), "DOCENTE / FACILITADOR"))</f>
        <v/>
      </c>
      <c r="G924" s="4">
        <f>IF(B924="","",IFERROR(VLOOKUP(B924, PLANTA_BASE!A:R, 9, FALSE), "GENERAL"))</f>
        <v/>
      </c>
      <c r="H924" s="2">
        <f>IF(B924="","",IFERROR(VLOOKUP(B924, PLANTA_BASE!A:R, 17, FALSE), "GENERAL"))</f>
        <v/>
      </c>
    </row>
    <row r="925" ht="20" customHeight="1">
      <c r="A925" s="5">
        <f>IF(B925="","",IFERROR(VLOOKUP(B925, PLANTA_BASE!A:R, 2, FALSE), "NO ENCONTRADO EN PLANTA"))</f>
        <v/>
      </c>
      <c r="B925" s="6" t="inlineStr"/>
      <c r="C925" s="7">
        <f>IF(B925="","",IFERROR(VLOOKUP(B925, PLANTA_BASE!A:R, 3, FALSE), ""))</f>
        <v/>
      </c>
      <c r="D925" s="5">
        <f>IF(B925="","",IFERROR(VLOOKUP(B925, PLANTA_BASE!A:R, 5, FALSE), "NO ENCONTRADO EN PLANTA"))</f>
        <v/>
      </c>
      <c r="E925" s="5">
        <f>IF(B925="","",IFERROR(VLOOKUP(B925, PLANTA_BASE!A:R, 6, FALSE), "NO ENCONTRADO EN PLANTA"))</f>
        <v/>
      </c>
      <c r="F925" s="7">
        <f>IF(B925="","",IFERROR(VLOOKUP(B925, PLANTA_BASE!A:R, 8, FALSE), "DOCENTE / FACILITADOR"))</f>
        <v/>
      </c>
      <c r="G925" s="7">
        <f>IF(B925="","",IFERROR(VLOOKUP(B925, PLANTA_BASE!A:R, 9, FALSE), "GENERAL"))</f>
        <v/>
      </c>
      <c r="H925" s="5">
        <f>IF(B925="","",IFERROR(VLOOKUP(B925, PLANTA_BASE!A:R, 17, FALSE), "GENERAL"))</f>
        <v/>
      </c>
    </row>
    <row r="926" ht="20" customHeight="1">
      <c r="A926" s="2">
        <f>IF(B926="","",IFERROR(VLOOKUP(B926, PLANTA_BASE!A:R, 2, FALSE), "NO ENCONTRADO EN PLANTA"))</f>
        <v/>
      </c>
      <c r="B926" s="3" t="inlineStr"/>
      <c r="C926" s="4">
        <f>IF(B926="","",IFERROR(VLOOKUP(B926, PLANTA_BASE!A:R, 3, FALSE), ""))</f>
        <v/>
      </c>
      <c r="D926" s="2">
        <f>IF(B926="","",IFERROR(VLOOKUP(B926, PLANTA_BASE!A:R, 5, FALSE), "NO ENCONTRADO EN PLANTA"))</f>
        <v/>
      </c>
      <c r="E926" s="2">
        <f>IF(B926="","",IFERROR(VLOOKUP(B926, PLANTA_BASE!A:R, 6, FALSE), "NO ENCONTRADO EN PLANTA"))</f>
        <v/>
      </c>
      <c r="F926" s="4">
        <f>IF(B926="","",IFERROR(VLOOKUP(B926, PLANTA_BASE!A:R, 8, FALSE), "DOCENTE / FACILITADOR"))</f>
        <v/>
      </c>
      <c r="G926" s="4">
        <f>IF(B926="","",IFERROR(VLOOKUP(B926, PLANTA_BASE!A:R, 9, FALSE), "GENERAL"))</f>
        <v/>
      </c>
      <c r="H926" s="2">
        <f>IF(B926="","",IFERROR(VLOOKUP(B926, PLANTA_BASE!A:R, 17, FALSE), "GENERAL"))</f>
        <v/>
      </c>
    </row>
    <row r="927" ht="20" customHeight="1">
      <c r="A927" s="5">
        <f>IF(B927="","",IFERROR(VLOOKUP(B927, PLANTA_BASE!A:R, 2, FALSE), "NO ENCONTRADO EN PLANTA"))</f>
        <v/>
      </c>
      <c r="B927" s="6" t="inlineStr"/>
      <c r="C927" s="7">
        <f>IF(B927="","",IFERROR(VLOOKUP(B927, PLANTA_BASE!A:R, 3, FALSE), ""))</f>
        <v/>
      </c>
      <c r="D927" s="5">
        <f>IF(B927="","",IFERROR(VLOOKUP(B927, PLANTA_BASE!A:R, 5, FALSE), "NO ENCONTRADO EN PLANTA"))</f>
        <v/>
      </c>
      <c r="E927" s="5">
        <f>IF(B927="","",IFERROR(VLOOKUP(B927, PLANTA_BASE!A:R, 6, FALSE), "NO ENCONTRADO EN PLANTA"))</f>
        <v/>
      </c>
      <c r="F927" s="7">
        <f>IF(B927="","",IFERROR(VLOOKUP(B927, PLANTA_BASE!A:R, 8, FALSE), "DOCENTE / FACILITADOR"))</f>
        <v/>
      </c>
      <c r="G927" s="7">
        <f>IF(B927="","",IFERROR(VLOOKUP(B927, PLANTA_BASE!A:R, 9, FALSE), "GENERAL"))</f>
        <v/>
      </c>
      <c r="H927" s="5">
        <f>IF(B927="","",IFERROR(VLOOKUP(B927, PLANTA_BASE!A:R, 17, FALSE), "GENERAL"))</f>
        <v/>
      </c>
    </row>
    <row r="928" ht="20" customHeight="1">
      <c r="A928" s="2">
        <f>IF(B928="","",IFERROR(VLOOKUP(B928, PLANTA_BASE!A:R, 2, FALSE), "NO ENCONTRADO EN PLANTA"))</f>
        <v/>
      </c>
      <c r="B928" s="3" t="inlineStr"/>
      <c r="C928" s="4">
        <f>IF(B928="","",IFERROR(VLOOKUP(B928, PLANTA_BASE!A:R, 3, FALSE), ""))</f>
        <v/>
      </c>
      <c r="D928" s="2">
        <f>IF(B928="","",IFERROR(VLOOKUP(B928, PLANTA_BASE!A:R, 5, FALSE), "NO ENCONTRADO EN PLANTA"))</f>
        <v/>
      </c>
      <c r="E928" s="2">
        <f>IF(B928="","",IFERROR(VLOOKUP(B928, PLANTA_BASE!A:R, 6, FALSE), "NO ENCONTRADO EN PLANTA"))</f>
        <v/>
      </c>
      <c r="F928" s="4">
        <f>IF(B928="","",IFERROR(VLOOKUP(B928, PLANTA_BASE!A:R, 8, FALSE), "DOCENTE / FACILITADOR"))</f>
        <v/>
      </c>
      <c r="G928" s="4">
        <f>IF(B928="","",IFERROR(VLOOKUP(B928, PLANTA_BASE!A:R, 9, FALSE), "GENERAL"))</f>
        <v/>
      </c>
      <c r="H928" s="2">
        <f>IF(B928="","",IFERROR(VLOOKUP(B928, PLANTA_BASE!A:R, 17, FALSE), "GENERAL"))</f>
        <v/>
      </c>
    </row>
    <row r="929" ht="20" customHeight="1">
      <c r="A929" s="5">
        <f>IF(B929="","",IFERROR(VLOOKUP(B929, PLANTA_BASE!A:R, 2, FALSE), "NO ENCONTRADO EN PLANTA"))</f>
        <v/>
      </c>
      <c r="B929" s="6" t="inlineStr"/>
      <c r="C929" s="7">
        <f>IF(B929="","",IFERROR(VLOOKUP(B929, PLANTA_BASE!A:R, 3, FALSE), ""))</f>
        <v/>
      </c>
      <c r="D929" s="5">
        <f>IF(B929="","",IFERROR(VLOOKUP(B929, PLANTA_BASE!A:R, 5, FALSE), "NO ENCONTRADO EN PLANTA"))</f>
        <v/>
      </c>
      <c r="E929" s="5">
        <f>IF(B929="","",IFERROR(VLOOKUP(B929, PLANTA_BASE!A:R, 6, FALSE), "NO ENCONTRADO EN PLANTA"))</f>
        <v/>
      </c>
      <c r="F929" s="7">
        <f>IF(B929="","",IFERROR(VLOOKUP(B929, PLANTA_BASE!A:R, 8, FALSE), "DOCENTE / FACILITADOR"))</f>
        <v/>
      </c>
      <c r="G929" s="7">
        <f>IF(B929="","",IFERROR(VLOOKUP(B929, PLANTA_BASE!A:R, 9, FALSE), "GENERAL"))</f>
        <v/>
      </c>
      <c r="H929" s="5">
        <f>IF(B929="","",IFERROR(VLOOKUP(B929, PLANTA_BASE!A:R, 17, FALSE), "GENERAL"))</f>
        <v/>
      </c>
    </row>
    <row r="930" ht="20" customHeight="1">
      <c r="A930" s="2">
        <f>IF(B930="","",IFERROR(VLOOKUP(B930, PLANTA_BASE!A:R, 2, FALSE), "NO ENCONTRADO EN PLANTA"))</f>
        <v/>
      </c>
      <c r="B930" s="3" t="inlineStr"/>
      <c r="C930" s="4">
        <f>IF(B930="","",IFERROR(VLOOKUP(B930, PLANTA_BASE!A:R, 3, FALSE), ""))</f>
        <v/>
      </c>
      <c r="D930" s="2">
        <f>IF(B930="","",IFERROR(VLOOKUP(B930, PLANTA_BASE!A:R, 5, FALSE), "NO ENCONTRADO EN PLANTA"))</f>
        <v/>
      </c>
      <c r="E930" s="2">
        <f>IF(B930="","",IFERROR(VLOOKUP(B930, PLANTA_BASE!A:R, 6, FALSE), "NO ENCONTRADO EN PLANTA"))</f>
        <v/>
      </c>
      <c r="F930" s="4">
        <f>IF(B930="","",IFERROR(VLOOKUP(B930, PLANTA_BASE!A:R, 8, FALSE), "DOCENTE / FACILITADOR"))</f>
        <v/>
      </c>
      <c r="G930" s="4">
        <f>IF(B930="","",IFERROR(VLOOKUP(B930, PLANTA_BASE!A:R, 9, FALSE), "GENERAL"))</f>
        <v/>
      </c>
      <c r="H930" s="2">
        <f>IF(B930="","",IFERROR(VLOOKUP(B930, PLANTA_BASE!A:R, 17, FALSE), "GENERAL"))</f>
        <v/>
      </c>
    </row>
    <row r="931" ht="20" customHeight="1">
      <c r="A931" s="5">
        <f>IF(B931="","",IFERROR(VLOOKUP(B931, PLANTA_BASE!A:R, 2, FALSE), "NO ENCONTRADO EN PLANTA"))</f>
        <v/>
      </c>
      <c r="B931" s="6" t="inlineStr"/>
      <c r="C931" s="7">
        <f>IF(B931="","",IFERROR(VLOOKUP(B931, PLANTA_BASE!A:R, 3, FALSE), ""))</f>
        <v/>
      </c>
      <c r="D931" s="5">
        <f>IF(B931="","",IFERROR(VLOOKUP(B931, PLANTA_BASE!A:R, 5, FALSE), "NO ENCONTRADO EN PLANTA"))</f>
        <v/>
      </c>
      <c r="E931" s="5">
        <f>IF(B931="","",IFERROR(VLOOKUP(B931, PLANTA_BASE!A:R, 6, FALSE), "NO ENCONTRADO EN PLANTA"))</f>
        <v/>
      </c>
      <c r="F931" s="7">
        <f>IF(B931="","",IFERROR(VLOOKUP(B931, PLANTA_BASE!A:R, 8, FALSE), "DOCENTE / FACILITADOR"))</f>
        <v/>
      </c>
      <c r="G931" s="7">
        <f>IF(B931="","",IFERROR(VLOOKUP(B931, PLANTA_BASE!A:R, 9, FALSE), "GENERAL"))</f>
        <v/>
      </c>
      <c r="H931" s="5">
        <f>IF(B931="","",IFERROR(VLOOKUP(B931, PLANTA_BASE!A:R, 17, FALSE), "GENERAL"))</f>
        <v/>
      </c>
    </row>
    <row r="932" ht="20" customHeight="1">
      <c r="A932" s="2">
        <f>IF(B932="","",IFERROR(VLOOKUP(B932, PLANTA_BASE!A:R, 2, FALSE), "NO ENCONTRADO EN PLANTA"))</f>
        <v/>
      </c>
      <c r="B932" s="3" t="inlineStr"/>
      <c r="C932" s="4">
        <f>IF(B932="","",IFERROR(VLOOKUP(B932, PLANTA_BASE!A:R, 3, FALSE), ""))</f>
        <v/>
      </c>
      <c r="D932" s="2">
        <f>IF(B932="","",IFERROR(VLOOKUP(B932, PLANTA_BASE!A:R, 5, FALSE), "NO ENCONTRADO EN PLANTA"))</f>
        <v/>
      </c>
      <c r="E932" s="2">
        <f>IF(B932="","",IFERROR(VLOOKUP(B932, PLANTA_BASE!A:R, 6, FALSE), "NO ENCONTRADO EN PLANTA"))</f>
        <v/>
      </c>
      <c r="F932" s="4">
        <f>IF(B932="","",IFERROR(VLOOKUP(B932, PLANTA_BASE!A:R, 8, FALSE), "DOCENTE / FACILITADOR"))</f>
        <v/>
      </c>
      <c r="G932" s="4">
        <f>IF(B932="","",IFERROR(VLOOKUP(B932, PLANTA_BASE!A:R, 9, FALSE), "GENERAL"))</f>
        <v/>
      </c>
      <c r="H932" s="2">
        <f>IF(B932="","",IFERROR(VLOOKUP(B932, PLANTA_BASE!A:R, 17, FALSE), "GENERAL"))</f>
        <v/>
      </c>
    </row>
    <row r="933" ht="20" customHeight="1">
      <c r="A933" s="5">
        <f>IF(B933="","",IFERROR(VLOOKUP(B933, PLANTA_BASE!A:R, 2, FALSE), "NO ENCONTRADO EN PLANTA"))</f>
        <v/>
      </c>
      <c r="B933" s="6" t="inlineStr"/>
      <c r="C933" s="7">
        <f>IF(B933="","",IFERROR(VLOOKUP(B933, PLANTA_BASE!A:R, 3, FALSE), ""))</f>
        <v/>
      </c>
      <c r="D933" s="5">
        <f>IF(B933="","",IFERROR(VLOOKUP(B933, PLANTA_BASE!A:R, 5, FALSE), "NO ENCONTRADO EN PLANTA"))</f>
        <v/>
      </c>
      <c r="E933" s="5">
        <f>IF(B933="","",IFERROR(VLOOKUP(B933, PLANTA_BASE!A:R, 6, FALSE), "NO ENCONTRADO EN PLANTA"))</f>
        <v/>
      </c>
      <c r="F933" s="7">
        <f>IF(B933="","",IFERROR(VLOOKUP(B933, PLANTA_BASE!A:R, 8, FALSE), "DOCENTE / FACILITADOR"))</f>
        <v/>
      </c>
      <c r="G933" s="7">
        <f>IF(B933="","",IFERROR(VLOOKUP(B933, PLANTA_BASE!A:R, 9, FALSE), "GENERAL"))</f>
        <v/>
      </c>
      <c r="H933" s="5">
        <f>IF(B933="","",IFERROR(VLOOKUP(B933, PLANTA_BASE!A:R, 17, FALSE), "GENERAL"))</f>
        <v/>
      </c>
    </row>
    <row r="934" ht="20" customHeight="1">
      <c r="A934" s="2">
        <f>IF(B934="","",IFERROR(VLOOKUP(B934, PLANTA_BASE!A:R, 2, FALSE), "NO ENCONTRADO EN PLANTA"))</f>
        <v/>
      </c>
      <c r="B934" s="3" t="inlineStr"/>
      <c r="C934" s="4">
        <f>IF(B934="","",IFERROR(VLOOKUP(B934, PLANTA_BASE!A:R, 3, FALSE), ""))</f>
        <v/>
      </c>
      <c r="D934" s="2">
        <f>IF(B934="","",IFERROR(VLOOKUP(B934, PLANTA_BASE!A:R, 5, FALSE), "NO ENCONTRADO EN PLANTA"))</f>
        <v/>
      </c>
      <c r="E934" s="2">
        <f>IF(B934="","",IFERROR(VLOOKUP(B934, PLANTA_BASE!A:R, 6, FALSE), "NO ENCONTRADO EN PLANTA"))</f>
        <v/>
      </c>
      <c r="F934" s="4">
        <f>IF(B934="","",IFERROR(VLOOKUP(B934, PLANTA_BASE!A:R, 8, FALSE), "DOCENTE / FACILITADOR"))</f>
        <v/>
      </c>
      <c r="G934" s="4">
        <f>IF(B934="","",IFERROR(VLOOKUP(B934, PLANTA_BASE!A:R, 9, FALSE), "GENERAL"))</f>
        <v/>
      </c>
      <c r="H934" s="2">
        <f>IF(B934="","",IFERROR(VLOOKUP(B934, PLANTA_BASE!A:R, 17, FALSE), "GENERAL"))</f>
        <v/>
      </c>
    </row>
    <row r="935" ht="20" customHeight="1">
      <c r="A935" s="5">
        <f>IF(B935="","",IFERROR(VLOOKUP(B935, PLANTA_BASE!A:R, 2, FALSE), "NO ENCONTRADO EN PLANTA"))</f>
        <v/>
      </c>
      <c r="B935" s="6" t="inlineStr"/>
      <c r="C935" s="7">
        <f>IF(B935="","",IFERROR(VLOOKUP(B935, PLANTA_BASE!A:R, 3, FALSE), ""))</f>
        <v/>
      </c>
      <c r="D935" s="5">
        <f>IF(B935="","",IFERROR(VLOOKUP(B935, PLANTA_BASE!A:R, 5, FALSE), "NO ENCONTRADO EN PLANTA"))</f>
        <v/>
      </c>
      <c r="E935" s="5">
        <f>IF(B935="","",IFERROR(VLOOKUP(B935, PLANTA_BASE!A:R, 6, FALSE), "NO ENCONTRADO EN PLANTA"))</f>
        <v/>
      </c>
      <c r="F935" s="7">
        <f>IF(B935="","",IFERROR(VLOOKUP(B935, PLANTA_BASE!A:R, 8, FALSE), "DOCENTE / FACILITADOR"))</f>
        <v/>
      </c>
      <c r="G935" s="7">
        <f>IF(B935="","",IFERROR(VLOOKUP(B935, PLANTA_BASE!A:R, 9, FALSE), "GENERAL"))</f>
        <v/>
      </c>
      <c r="H935" s="5">
        <f>IF(B935="","",IFERROR(VLOOKUP(B935, PLANTA_BASE!A:R, 17, FALSE), "GENERAL"))</f>
        <v/>
      </c>
    </row>
    <row r="936" ht="20" customHeight="1">
      <c r="A936" s="2">
        <f>IF(B936="","",IFERROR(VLOOKUP(B936, PLANTA_BASE!A:R, 2, FALSE), "NO ENCONTRADO EN PLANTA"))</f>
        <v/>
      </c>
      <c r="B936" s="3" t="inlineStr"/>
      <c r="C936" s="4">
        <f>IF(B936="","",IFERROR(VLOOKUP(B936, PLANTA_BASE!A:R, 3, FALSE), ""))</f>
        <v/>
      </c>
      <c r="D936" s="2">
        <f>IF(B936="","",IFERROR(VLOOKUP(B936, PLANTA_BASE!A:R, 5, FALSE), "NO ENCONTRADO EN PLANTA"))</f>
        <v/>
      </c>
      <c r="E936" s="2">
        <f>IF(B936="","",IFERROR(VLOOKUP(B936, PLANTA_BASE!A:R, 6, FALSE), "NO ENCONTRADO EN PLANTA"))</f>
        <v/>
      </c>
      <c r="F936" s="4">
        <f>IF(B936="","",IFERROR(VLOOKUP(B936, PLANTA_BASE!A:R, 8, FALSE), "DOCENTE / FACILITADOR"))</f>
        <v/>
      </c>
      <c r="G936" s="4">
        <f>IF(B936="","",IFERROR(VLOOKUP(B936, PLANTA_BASE!A:R, 9, FALSE), "GENERAL"))</f>
        <v/>
      </c>
      <c r="H936" s="2">
        <f>IF(B936="","",IFERROR(VLOOKUP(B936, PLANTA_BASE!A:R, 17, FALSE), "GENERAL"))</f>
        <v/>
      </c>
    </row>
    <row r="937" ht="20" customHeight="1">
      <c r="A937" s="5">
        <f>IF(B937="","",IFERROR(VLOOKUP(B937, PLANTA_BASE!A:R, 2, FALSE), "NO ENCONTRADO EN PLANTA"))</f>
        <v/>
      </c>
      <c r="B937" s="6" t="inlineStr"/>
      <c r="C937" s="7">
        <f>IF(B937="","",IFERROR(VLOOKUP(B937, PLANTA_BASE!A:R, 3, FALSE), ""))</f>
        <v/>
      </c>
      <c r="D937" s="5">
        <f>IF(B937="","",IFERROR(VLOOKUP(B937, PLANTA_BASE!A:R, 5, FALSE), "NO ENCONTRADO EN PLANTA"))</f>
        <v/>
      </c>
      <c r="E937" s="5">
        <f>IF(B937="","",IFERROR(VLOOKUP(B937, PLANTA_BASE!A:R, 6, FALSE), "NO ENCONTRADO EN PLANTA"))</f>
        <v/>
      </c>
      <c r="F937" s="7">
        <f>IF(B937="","",IFERROR(VLOOKUP(B937, PLANTA_BASE!A:R, 8, FALSE), "DOCENTE / FACILITADOR"))</f>
        <v/>
      </c>
      <c r="G937" s="7">
        <f>IF(B937="","",IFERROR(VLOOKUP(B937, PLANTA_BASE!A:R, 9, FALSE), "GENERAL"))</f>
        <v/>
      </c>
      <c r="H937" s="5">
        <f>IF(B937="","",IFERROR(VLOOKUP(B937, PLANTA_BASE!A:R, 17, FALSE), "GENERAL"))</f>
        <v/>
      </c>
    </row>
    <row r="938" ht="20" customHeight="1">
      <c r="A938" s="2">
        <f>IF(B938="","",IFERROR(VLOOKUP(B938, PLANTA_BASE!A:R, 2, FALSE), "NO ENCONTRADO EN PLANTA"))</f>
        <v/>
      </c>
      <c r="B938" s="3" t="inlineStr"/>
      <c r="C938" s="4">
        <f>IF(B938="","",IFERROR(VLOOKUP(B938, PLANTA_BASE!A:R, 3, FALSE), ""))</f>
        <v/>
      </c>
      <c r="D938" s="2">
        <f>IF(B938="","",IFERROR(VLOOKUP(B938, PLANTA_BASE!A:R, 5, FALSE), "NO ENCONTRADO EN PLANTA"))</f>
        <v/>
      </c>
      <c r="E938" s="2">
        <f>IF(B938="","",IFERROR(VLOOKUP(B938, PLANTA_BASE!A:R, 6, FALSE), "NO ENCONTRADO EN PLANTA"))</f>
        <v/>
      </c>
      <c r="F938" s="4">
        <f>IF(B938="","",IFERROR(VLOOKUP(B938, PLANTA_BASE!A:R, 8, FALSE), "DOCENTE / FACILITADOR"))</f>
        <v/>
      </c>
      <c r="G938" s="4">
        <f>IF(B938="","",IFERROR(VLOOKUP(B938, PLANTA_BASE!A:R, 9, FALSE), "GENERAL"))</f>
        <v/>
      </c>
      <c r="H938" s="2">
        <f>IF(B938="","",IFERROR(VLOOKUP(B938, PLANTA_BASE!A:R, 17, FALSE), "GENERAL"))</f>
        <v/>
      </c>
    </row>
    <row r="939" ht="20" customHeight="1">
      <c r="A939" s="5">
        <f>IF(B939="","",IFERROR(VLOOKUP(B939, PLANTA_BASE!A:R, 2, FALSE), "NO ENCONTRADO EN PLANTA"))</f>
        <v/>
      </c>
      <c r="B939" s="6" t="inlineStr"/>
      <c r="C939" s="7">
        <f>IF(B939="","",IFERROR(VLOOKUP(B939, PLANTA_BASE!A:R, 3, FALSE), ""))</f>
        <v/>
      </c>
      <c r="D939" s="5">
        <f>IF(B939="","",IFERROR(VLOOKUP(B939, PLANTA_BASE!A:R, 5, FALSE), "NO ENCONTRADO EN PLANTA"))</f>
        <v/>
      </c>
      <c r="E939" s="5">
        <f>IF(B939="","",IFERROR(VLOOKUP(B939, PLANTA_BASE!A:R, 6, FALSE), "NO ENCONTRADO EN PLANTA"))</f>
        <v/>
      </c>
      <c r="F939" s="7">
        <f>IF(B939="","",IFERROR(VLOOKUP(B939, PLANTA_BASE!A:R, 8, FALSE), "DOCENTE / FACILITADOR"))</f>
        <v/>
      </c>
      <c r="G939" s="7">
        <f>IF(B939="","",IFERROR(VLOOKUP(B939, PLANTA_BASE!A:R, 9, FALSE), "GENERAL"))</f>
        <v/>
      </c>
      <c r="H939" s="5">
        <f>IF(B939="","",IFERROR(VLOOKUP(B939, PLANTA_BASE!A:R, 17, FALSE), "GENERAL"))</f>
        <v/>
      </c>
    </row>
    <row r="940" ht="20" customHeight="1">
      <c r="A940" s="2">
        <f>IF(B940="","",IFERROR(VLOOKUP(B940, PLANTA_BASE!A:R, 2, FALSE), "NO ENCONTRADO EN PLANTA"))</f>
        <v/>
      </c>
      <c r="B940" s="3" t="inlineStr"/>
      <c r="C940" s="4">
        <f>IF(B940="","",IFERROR(VLOOKUP(B940, PLANTA_BASE!A:R, 3, FALSE), ""))</f>
        <v/>
      </c>
      <c r="D940" s="2">
        <f>IF(B940="","",IFERROR(VLOOKUP(B940, PLANTA_BASE!A:R, 5, FALSE), "NO ENCONTRADO EN PLANTA"))</f>
        <v/>
      </c>
      <c r="E940" s="2">
        <f>IF(B940="","",IFERROR(VLOOKUP(B940, PLANTA_BASE!A:R, 6, FALSE), "NO ENCONTRADO EN PLANTA"))</f>
        <v/>
      </c>
      <c r="F940" s="4">
        <f>IF(B940="","",IFERROR(VLOOKUP(B940, PLANTA_BASE!A:R, 8, FALSE), "DOCENTE / FACILITADOR"))</f>
        <v/>
      </c>
      <c r="G940" s="4">
        <f>IF(B940="","",IFERROR(VLOOKUP(B940, PLANTA_BASE!A:R, 9, FALSE), "GENERAL"))</f>
        <v/>
      </c>
      <c r="H940" s="2">
        <f>IF(B940="","",IFERROR(VLOOKUP(B940, PLANTA_BASE!A:R, 17, FALSE), "GENERAL"))</f>
        <v/>
      </c>
    </row>
    <row r="941" ht="20" customHeight="1">
      <c r="A941" s="5">
        <f>IF(B941="","",IFERROR(VLOOKUP(B941, PLANTA_BASE!A:R, 2, FALSE), "NO ENCONTRADO EN PLANTA"))</f>
        <v/>
      </c>
      <c r="B941" s="6" t="inlineStr"/>
      <c r="C941" s="7">
        <f>IF(B941="","",IFERROR(VLOOKUP(B941, PLANTA_BASE!A:R, 3, FALSE), ""))</f>
        <v/>
      </c>
      <c r="D941" s="5">
        <f>IF(B941="","",IFERROR(VLOOKUP(B941, PLANTA_BASE!A:R, 5, FALSE), "NO ENCONTRADO EN PLANTA"))</f>
        <v/>
      </c>
      <c r="E941" s="5">
        <f>IF(B941="","",IFERROR(VLOOKUP(B941, PLANTA_BASE!A:R, 6, FALSE), "NO ENCONTRADO EN PLANTA"))</f>
        <v/>
      </c>
      <c r="F941" s="7">
        <f>IF(B941="","",IFERROR(VLOOKUP(B941, PLANTA_BASE!A:R, 8, FALSE), "DOCENTE / FACILITADOR"))</f>
        <v/>
      </c>
      <c r="G941" s="7">
        <f>IF(B941="","",IFERROR(VLOOKUP(B941, PLANTA_BASE!A:R, 9, FALSE), "GENERAL"))</f>
        <v/>
      </c>
      <c r="H941" s="5">
        <f>IF(B941="","",IFERROR(VLOOKUP(B941, PLANTA_BASE!A:R, 17, FALSE), "GENERAL"))</f>
        <v/>
      </c>
    </row>
    <row r="942" ht="20" customHeight="1">
      <c r="A942" s="2">
        <f>IF(B942="","",IFERROR(VLOOKUP(B942, PLANTA_BASE!A:R, 2, FALSE), "NO ENCONTRADO EN PLANTA"))</f>
        <v/>
      </c>
      <c r="B942" s="3" t="inlineStr"/>
      <c r="C942" s="4">
        <f>IF(B942="","",IFERROR(VLOOKUP(B942, PLANTA_BASE!A:R, 3, FALSE), ""))</f>
        <v/>
      </c>
      <c r="D942" s="2">
        <f>IF(B942="","",IFERROR(VLOOKUP(B942, PLANTA_BASE!A:R, 5, FALSE), "NO ENCONTRADO EN PLANTA"))</f>
        <v/>
      </c>
      <c r="E942" s="2">
        <f>IF(B942="","",IFERROR(VLOOKUP(B942, PLANTA_BASE!A:R, 6, FALSE), "NO ENCONTRADO EN PLANTA"))</f>
        <v/>
      </c>
      <c r="F942" s="4">
        <f>IF(B942="","",IFERROR(VLOOKUP(B942, PLANTA_BASE!A:R, 8, FALSE), "DOCENTE / FACILITADOR"))</f>
        <v/>
      </c>
      <c r="G942" s="4">
        <f>IF(B942="","",IFERROR(VLOOKUP(B942, PLANTA_BASE!A:R, 9, FALSE), "GENERAL"))</f>
        <v/>
      </c>
      <c r="H942" s="2">
        <f>IF(B942="","",IFERROR(VLOOKUP(B942, PLANTA_BASE!A:R, 17, FALSE), "GENERAL"))</f>
        <v/>
      </c>
    </row>
    <row r="943" ht="20" customHeight="1">
      <c r="A943" s="5">
        <f>IF(B943="","",IFERROR(VLOOKUP(B943, PLANTA_BASE!A:R, 2, FALSE), "NO ENCONTRADO EN PLANTA"))</f>
        <v/>
      </c>
      <c r="B943" s="6" t="inlineStr"/>
      <c r="C943" s="7">
        <f>IF(B943="","",IFERROR(VLOOKUP(B943, PLANTA_BASE!A:R, 3, FALSE), ""))</f>
        <v/>
      </c>
      <c r="D943" s="5">
        <f>IF(B943="","",IFERROR(VLOOKUP(B943, PLANTA_BASE!A:R, 5, FALSE), "NO ENCONTRADO EN PLANTA"))</f>
        <v/>
      </c>
      <c r="E943" s="5">
        <f>IF(B943="","",IFERROR(VLOOKUP(B943, PLANTA_BASE!A:R, 6, FALSE), "NO ENCONTRADO EN PLANTA"))</f>
        <v/>
      </c>
      <c r="F943" s="7">
        <f>IF(B943="","",IFERROR(VLOOKUP(B943, PLANTA_BASE!A:R, 8, FALSE), "DOCENTE / FACILITADOR"))</f>
        <v/>
      </c>
      <c r="G943" s="7">
        <f>IF(B943="","",IFERROR(VLOOKUP(B943, PLANTA_BASE!A:R, 9, FALSE), "GENERAL"))</f>
        <v/>
      </c>
      <c r="H943" s="5">
        <f>IF(B943="","",IFERROR(VLOOKUP(B943, PLANTA_BASE!A:R, 17, FALSE), "GENERAL"))</f>
        <v/>
      </c>
    </row>
    <row r="944" ht="20" customHeight="1">
      <c r="A944" s="2">
        <f>IF(B944="","",IFERROR(VLOOKUP(B944, PLANTA_BASE!A:R, 2, FALSE), "NO ENCONTRADO EN PLANTA"))</f>
        <v/>
      </c>
      <c r="B944" s="3" t="inlineStr"/>
      <c r="C944" s="4">
        <f>IF(B944="","",IFERROR(VLOOKUP(B944, PLANTA_BASE!A:R, 3, FALSE), ""))</f>
        <v/>
      </c>
      <c r="D944" s="2">
        <f>IF(B944="","",IFERROR(VLOOKUP(B944, PLANTA_BASE!A:R, 5, FALSE), "NO ENCONTRADO EN PLANTA"))</f>
        <v/>
      </c>
      <c r="E944" s="2">
        <f>IF(B944="","",IFERROR(VLOOKUP(B944, PLANTA_BASE!A:R, 6, FALSE), "NO ENCONTRADO EN PLANTA"))</f>
        <v/>
      </c>
      <c r="F944" s="4">
        <f>IF(B944="","",IFERROR(VLOOKUP(B944, PLANTA_BASE!A:R, 8, FALSE), "DOCENTE / FACILITADOR"))</f>
        <v/>
      </c>
      <c r="G944" s="4">
        <f>IF(B944="","",IFERROR(VLOOKUP(B944, PLANTA_BASE!A:R, 9, FALSE), "GENERAL"))</f>
        <v/>
      </c>
      <c r="H944" s="2">
        <f>IF(B944="","",IFERROR(VLOOKUP(B944, PLANTA_BASE!A:R, 17, FALSE), "GENERAL"))</f>
        <v/>
      </c>
    </row>
    <row r="945" ht="20" customHeight="1">
      <c r="A945" s="5">
        <f>IF(B945="","",IFERROR(VLOOKUP(B945, PLANTA_BASE!A:R, 2, FALSE), "NO ENCONTRADO EN PLANTA"))</f>
        <v/>
      </c>
      <c r="B945" s="6" t="inlineStr"/>
      <c r="C945" s="7">
        <f>IF(B945="","",IFERROR(VLOOKUP(B945, PLANTA_BASE!A:R, 3, FALSE), ""))</f>
        <v/>
      </c>
      <c r="D945" s="5">
        <f>IF(B945="","",IFERROR(VLOOKUP(B945, PLANTA_BASE!A:R, 5, FALSE), "NO ENCONTRADO EN PLANTA"))</f>
        <v/>
      </c>
      <c r="E945" s="5">
        <f>IF(B945="","",IFERROR(VLOOKUP(B945, PLANTA_BASE!A:R, 6, FALSE), "NO ENCONTRADO EN PLANTA"))</f>
        <v/>
      </c>
      <c r="F945" s="7">
        <f>IF(B945="","",IFERROR(VLOOKUP(B945, PLANTA_BASE!A:R, 8, FALSE), "DOCENTE / FACILITADOR"))</f>
        <v/>
      </c>
      <c r="G945" s="7">
        <f>IF(B945="","",IFERROR(VLOOKUP(B945, PLANTA_BASE!A:R, 9, FALSE), "GENERAL"))</f>
        <v/>
      </c>
      <c r="H945" s="5">
        <f>IF(B945="","",IFERROR(VLOOKUP(B945, PLANTA_BASE!A:R, 17, FALSE), "GENERAL"))</f>
        <v/>
      </c>
    </row>
    <row r="946" ht="20" customHeight="1">
      <c r="A946" s="2">
        <f>IF(B946="","",IFERROR(VLOOKUP(B946, PLANTA_BASE!A:R, 2, FALSE), "NO ENCONTRADO EN PLANTA"))</f>
        <v/>
      </c>
      <c r="B946" s="3" t="inlineStr"/>
      <c r="C946" s="4">
        <f>IF(B946="","",IFERROR(VLOOKUP(B946, PLANTA_BASE!A:R, 3, FALSE), ""))</f>
        <v/>
      </c>
      <c r="D946" s="2">
        <f>IF(B946="","",IFERROR(VLOOKUP(B946, PLANTA_BASE!A:R, 5, FALSE), "NO ENCONTRADO EN PLANTA"))</f>
        <v/>
      </c>
      <c r="E946" s="2">
        <f>IF(B946="","",IFERROR(VLOOKUP(B946, PLANTA_BASE!A:R, 6, FALSE), "NO ENCONTRADO EN PLANTA"))</f>
        <v/>
      </c>
      <c r="F946" s="4">
        <f>IF(B946="","",IFERROR(VLOOKUP(B946, PLANTA_BASE!A:R, 8, FALSE), "DOCENTE / FACILITADOR"))</f>
        <v/>
      </c>
      <c r="G946" s="4">
        <f>IF(B946="","",IFERROR(VLOOKUP(B946, PLANTA_BASE!A:R, 9, FALSE), "GENERAL"))</f>
        <v/>
      </c>
      <c r="H946" s="2">
        <f>IF(B946="","",IFERROR(VLOOKUP(B946, PLANTA_BASE!A:R, 17, FALSE), "GENERAL"))</f>
        <v/>
      </c>
    </row>
    <row r="947" ht="20" customHeight="1">
      <c r="A947" s="5">
        <f>IF(B947="","",IFERROR(VLOOKUP(B947, PLANTA_BASE!A:R, 2, FALSE), "NO ENCONTRADO EN PLANTA"))</f>
        <v/>
      </c>
      <c r="B947" s="6" t="inlineStr"/>
      <c r="C947" s="7">
        <f>IF(B947="","",IFERROR(VLOOKUP(B947, PLANTA_BASE!A:R, 3, FALSE), ""))</f>
        <v/>
      </c>
      <c r="D947" s="5">
        <f>IF(B947="","",IFERROR(VLOOKUP(B947, PLANTA_BASE!A:R, 5, FALSE), "NO ENCONTRADO EN PLANTA"))</f>
        <v/>
      </c>
      <c r="E947" s="5">
        <f>IF(B947="","",IFERROR(VLOOKUP(B947, PLANTA_BASE!A:R, 6, FALSE), "NO ENCONTRADO EN PLANTA"))</f>
        <v/>
      </c>
      <c r="F947" s="7">
        <f>IF(B947="","",IFERROR(VLOOKUP(B947, PLANTA_BASE!A:R, 8, FALSE), "DOCENTE / FACILITADOR"))</f>
        <v/>
      </c>
      <c r="G947" s="7">
        <f>IF(B947="","",IFERROR(VLOOKUP(B947, PLANTA_BASE!A:R, 9, FALSE), "GENERAL"))</f>
        <v/>
      </c>
      <c r="H947" s="5">
        <f>IF(B947="","",IFERROR(VLOOKUP(B947, PLANTA_BASE!A:R, 17, FALSE), "GENERAL"))</f>
        <v/>
      </c>
    </row>
    <row r="948" ht="20" customHeight="1">
      <c r="A948" s="2">
        <f>IF(B948="","",IFERROR(VLOOKUP(B948, PLANTA_BASE!A:R, 2, FALSE), "NO ENCONTRADO EN PLANTA"))</f>
        <v/>
      </c>
      <c r="B948" s="3" t="inlineStr"/>
      <c r="C948" s="4">
        <f>IF(B948="","",IFERROR(VLOOKUP(B948, PLANTA_BASE!A:R, 3, FALSE), ""))</f>
        <v/>
      </c>
      <c r="D948" s="2">
        <f>IF(B948="","",IFERROR(VLOOKUP(B948, PLANTA_BASE!A:R, 5, FALSE), "NO ENCONTRADO EN PLANTA"))</f>
        <v/>
      </c>
      <c r="E948" s="2">
        <f>IF(B948="","",IFERROR(VLOOKUP(B948, PLANTA_BASE!A:R, 6, FALSE), "NO ENCONTRADO EN PLANTA"))</f>
        <v/>
      </c>
      <c r="F948" s="4">
        <f>IF(B948="","",IFERROR(VLOOKUP(B948, PLANTA_BASE!A:R, 8, FALSE), "DOCENTE / FACILITADOR"))</f>
        <v/>
      </c>
      <c r="G948" s="4">
        <f>IF(B948="","",IFERROR(VLOOKUP(B948, PLANTA_BASE!A:R, 9, FALSE), "GENERAL"))</f>
        <v/>
      </c>
      <c r="H948" s="2">
        <f>IF(B948="","",IFERROR(VLOOKUP(B948, PLANTA_BASE!A:R, 17, FALSE), "GENERAL"))</f>
        <v/>
      </c>
    </row>
    <row r="949" ht="20" customHeight="1">
      <c r="A949" s="5">
        <f>IF(B949="","",IFERROR(VLOOKUP(B949, PLANTA_BASE!A:R, 2, FALSE), "NO ENCONTRADO EN PLANTA"))</f>
        <v/>
      </c>
      <c r="B949" s="6" t="inlineStr"/>
      <c r="C949" s="7">
        <f>IF(B949="","",IFERROR(VLOOKUP(B949, PLANTA_BASE!A:R, 3, FALSE), ""))</f>
        <v/>
      </c>
      <c r="D949" s="5">
        <f>IF(B949="","",IFERROR(VLOOKUP(B949, PLANTA_BASE!A:R, 5, FALSE), "NO ENCONTRADO EN PLANTA"))</f>
        <v/>
      </c>
      <c r="E949" s="5">
        <f>IF(B949="","",IFERROR(VLOOKUP(B949, PLANTA_BASE!A:R, 6, FALSE), "NO ENCONTRADO EN PLANTA"))</f>
        <v/>
      </c>
      <c r="F949" s="7">
        <f>IF(B949="","",IFERROR(VLOOKUP(B949, PLANTA_BASE!A:R, 8, FALSE), "DOCENTE / FACILITADOR"))</f>
        <v/>
      </c>
      <c r="G949" s="7">
        <f>IF(B949="","",IFERROR(VLOOKUP(B949, PLANTA_BASE!A:R, 9, FALSE), "GENERAL"))</f>
        <v/>
      </c>
      <c r="H949" s="5">
        <f>IF(B949="","",IFERROR(VLOOKUP(B949, PLANTA_BASE!A:R, 17, FALSE), "GENERAL"))</f>
        <v/>
      </c>
    </row>
    <row r="950" ht="20" customHeight="1">
      <c r="A950" s="2">
        <f>IF(B950="","",IFERROR(VLOOKUP(B950, PLANTA_BASE!A:R, 2, FALSE), "NO ENCONTRADO EN PLANTA"))</f>
        <v/>
      </c>
      <c r="B950" s="3" t="inlineStr"/>
      <c r="C950" s="4">
        <f>IF(B950="","",IFERROR(VLOOKUP(B950, PLANTA_BASE!A:R, 3, FALSE), ""))</f>
        <v/>
      </c>
      <c r="D950" s="2">
        <f>IF(B950="","",IFERROR(VLOOKUP(B950, PLANTA_BASE!A:R, 5, FALSE), "NO ENCONTRADO EN PLANTA"))</f>
        <v/>
      </c>
      <c r="E950" s="2">
        <f>IF(B950="","",IFERROR(VLOOKUP(B950, PLANTA_BASE!A:R, 6, FALSE), "NO ENCONTRADO EN PLANTA"))</f>
        <v/>
      </c>
      <c r="F950" s="4">
        <f>IF(B950="","",IFERROR(VLOOKUP(B950, PLANTA_BASE!A:R, 8, FALSE), "DOCENTE / FACILITADOR"))</f>
        <v/>
      </c>
      <c r="G950" s="4">
        <f>IF(B950="","",IFERROR(VLOOKUP(B950, PLANTA_BASE!A:R, 9, FALSE), "GENERAL"))</f>
        <v/>
      </c>
      <c r="H950" s="2">
        <f>IF(B950="","",IFERROR(VLOOKUP(B950, PLANTA_BASE!A:R, 17, FALSE), "GENERAL"))</f>
        <v/>
      </c>
    </row>
    <row r="951" ht="20" customHeight="1">
      <c r="A951" s="5">
        <f>IF(B951="","",IFERROR(VLOOKUP(B951, PLANTA_BASE!A:R, 2, FALSE), "NO ENCONTRADO EN PLANTA"))</f>
        <v/>
      </c>
      <c r="B951" s="6" t="inlineStr"/>
      <c r="C951" s="7">
        <f>IF(B951="","",IFERROR(VLOOKUP(B951, PLANTA_BASE!A:R, 3, FALSE), ""))</f>
        <v/>
      </c>
      <c r="D951" s="5">
        <f>IF(B951="","",IFERROR(VLOOKUP(B951, PLANTA_BASE!A:R, 5, FALSE), "NO ENCONTRADO EN PLANTA"))</f>
        <v/>
      </c>
      <c r="E951" s="5">
        <f>IF(B951="","",IFERROR(VLOOKUP(B951, PLANTA_BASE!A:R, 6, FALSE), "NO ENCONTRADO EN PLANTA"))</f>
        <v/>
      </c>
      <c r="F951" s="7">
        <f>IF(B951="","",IFERROR(VLOOKUP(B951, PLANTA_BASE!A:R, 8, FALSE), "DOCENTE / FACILITADOR"))</f>
        <v/>
      </c>
      <c r="G951" s="7">
        <f>IF(B951="","",IFERROR(VLOOKUP(B951, PLANTA_BASE!A:R, 9, FALSE), "GENERAL"))</f>
        <v/>
      </c>
      <c r="H951" s="5">
        <f>IF(B951="","",IFERROR(VLOOKUP(B951, PLANTA_BASE!A:R, 17, FALSE), "GENERAL"))</f>
        <v/>
      </c>
    </row>
    <row r="952" ht="20" customHeight="1">
      <c r="A952" s="2">
        <f>IF(B952="","",IFERROR(VLOOKUP(B952, PLANTA_BASE!A:R, 2, FALSE), "NO ENCONTRADO EN PLANTA"))</f>
        <v/>
      </c>
      <c r="B952" s="3" t="inlineStr"/>
      <c r="C952" s="4">
        <f>IF(B952="","",IFERROR(VLOOKUP(B952, PLANTA_BASE!A:R, 3, FALSE), ""))</f>
        <v/>
      </c>
      <c r="D952" s="2">
        <f>IF(B952="","",IFERROR(VLOOKUP(B952, PLANTA_BASE!A:R, 5, FALSE), "NO ENCONTRADO EN PLANTA"))</f>
        <v/>
      </c>
      <c r="E952" s="2">
        <f>IF(B952="","",IFERROR(VLOOKUP(B952, PLANTA_BASE!A:R, 6, FALSE), "NO ENCONTRADO EN PLANTA"))</f>
        <v/>
      </c>
      <c r="F952" s="4">
        <f>IF(B952="","",IFERROR(VLOOKUP(B952, PLANTA_BASE!A:R, 8, FALSE), "DOCENTE / FACILITADOR"))</f>
        <v/>
      </c>
      <c r="G952" s="4">
        <f>IF(B952="","",IFERROR(VLOOKUP(B952, PLANTA_BASE!A:R, 9, FALSE), "GENERAL"))</f>
        <v/>
      </c>
      <c r="H952" s="2">
        <f>IF(B952="","",IFERROR(VLOOKUP(B952, PLANTA_BASE!A:R, 17, FALSE), "GENERAL"))</f>
        <v/>
      </c>
    </row>
    <row r="953" ht="20" customHeight="1">
      <c r="A953" s="5">
        <f>IF(B953="","",IFERROR(VLOOKUP(B953, PLANTA_BASE!A:R, 2, FALSE), "NO ENCONTRADO EN PLANTA"))</f>
        <v/>
      </c>
      <c r="B953" s="6" t="inlineStr"/>
      <c r="C953" s="7">
        <f>IF(B953="","",IFERROR(VLOOKUP(B953, PLANTA_BASE!A:R, 3, FALSE), ""))</f>
        <v/>
      </c>
      <c r="D953" s="5">
        <f>IF(B953="","",IFERROR(VLOOKUP(B953, PLANTA_BASE!A:R, 5, FALSE), "NO ENCONTRADO EN PLANTA"))</f>
        <v/>
      </c>
      <c r="E953" s="5">
        <f>IF(B953="","",IFERROR(VLOOKUP(B953, PLANTA_BASE!A:R, 6, FALSE), "NO ENCONTRADO EN PLANTA"))</f>
        <v/>
      </c>
      <c r="F953" s="7">
        <f>IF(B953="","",IFERROR(VLOOKUP(B953, PLANTA_BASE!A:R, 8, FALSE), "DOCENTE / FACILITADOR"))</f>
        <v/>
      </c>
      <c r="G953" s="7">
        <f>IF(B953="","",IFERROR(VLOOKUP(B953, PLANTA_BASE!A:R, 9, FALSE), "GENERAL"))</f>
        <v/>
      </c>
      <c r="H953" s="5">
        <f>IF(B953="","",IFERROR(VLOOKUP(B953, PLANTA_BASE!A:R, 17, FALSE), "GENERAL"))</f>
        <v/>
      </c>
    </row>
    <row r="954" ht="20" customHeight="1">
      <c r="A954" s="2">
        <f>IF(B954="","",IFERROR(VLOOKUP(B954, PLANTA_BASE!A:R, 2, FALSE), "NO ENCONTRADO EN PLANTA"))</f>
        <v/>
      </c>
      <c r="B954" s="3" t="inlineStr"/>
      <c r="C954" s="4">
        <f>IF(B954="","",IFERROR(VLOOKUP(B954, PLANTA_BASE!A:R, 3, FALSE), ""))</f>
        <v/>
      </c>
      <c r="D954" s="2">
        <f>IF(B954="","",IFERROR(VLOOKUP(B954, PLANTA_BASE!A:R, 5, FALSE), "NO ENCONTRADO EN PLANTA"))</f>
        <v/>
      </c>
      <c r="E954" s="2">
        <f>IF(B954="","",IFERROR(VLOOKUP(B954, PLANTA_BASE!A:R, 6, FALSE), "NO ENCONTRADO EN PLANTA"))</f>
        <v/>
      </c>
      <c r="F954" s="4">
        <f>IF(B954="","",IFERROR(VLOOKUP(B954, PLANTA_BASE!A:R, 8, FALSE), "DOCENTE / FACILITADOR"))</f>
        <v/>
      </c>
      <c r="G954" s="4">
        <f>IF(B954="","",IFERROR(VLOOKUP(B954, PLANTA_BASE!A:R, 9, FALSE), "GENERAL"))</f>
        <v/>
      </c>
      <c r="H954" s="2">
        <f>IF(B954="","",IFERROR(VLOOKUP(B954, PLANTA_BASE!A:R, 17, FALSE), "GENERAL"))</f>
        <v/>
      </c>
    </row>
    <row r="955" ht="20" customHeight="1">
      <c r="A955" s="5">
        <f>IF(B955="","",IFERROR(VLOOKUP(B955, PLANTA_BASE!A:R, 2, FALSE), "NO ENCONTRADO EN PLANTA"))</f>
        <v/>
      </c>
      <c r="B955" s="6" t="inlineStr"/>
      <c r="C955" s="7">
        <f>IF(B955="","",IFERROR(VLOOKUP(B955, PLANTA_BASE!A:R, 3, FALSE), ""))</f>
        <v/>
      </c>
      <c r="D955" s="5">
        <f>IF(B955="","",IFERROR(VLOOKUP(B955, PLANTA_BASE!A:R, 5, FALSE), "NO ENCONTRADO EN PLANTA"))</f>
        <v/>
      </c>
      <c r="E955" s="5">
        <f>IF(B955="","",IFERROR(VLOOKUP(B955, PLANTA_BASE!A:R, 6, FALSE), "NO ENCONTRADO EN PLANTA"))</f>
        <v/>
      </c>
      <c r="F955" s="7">
        <f>IF(B955="","",IFERROR(VLOOKUP(B955, PLANTA_BASE!A:R, 8, FALSE), "DOCENTE / FACILITADOR"))</f>
        <v/>
      </c>
      <c r="G955" s="7">
        <f>IF(B955="","",IFERROR(VLOOKUP(B955, PLANTA_BASE!A:R, 9, FALSE), "GENERAL"))</f>
        <v/>
      </c>
      <c r="H955" s="5">
        <f>IF(B955="","",IFERROR(VLOOKUP(B955, PLANTA_BASE!A:R, 17, FALSE), "GENERAL"))</f>
        <v/>
      </c>
    </row>
    <row r="956" ht="20" customHeight="1">
      <c r="A956" s="2">
        <f>IF(B956="","",IFERROR(VLOOKUP(B956, PLANTA_BASE!A:R, 2, FALSE), "NO ENCONTRADO EN PLANTA"))</f>
        <v/>
      </c>
      <c r="B956" s="3" t="inlineStr"/>
      <c r="C956" s="4">
        <f>IF(B956="","",IFERROR(VLOOKUP(B956, PLANTA_BASE!A:R, 3, FALSE), ""))</f>
        <v/>
      </c>
      <c r="D956" s="2">
        <f>IF(B956="","",IFERROR(VLOOKUP(B956, PLANTA_BASE!A:R, 5, FALSE), "NO ENCONTRADO EN PLANTA"))</f>
        <v/>
      </c>
      <c r="E956" s="2">
        <f>IF(B956="","",IFERROR(VLOOKUP(B956, PLANTA_BASE!A:R, 6, FALSE), "NO ENCONTRADO EN PLANTA"))</f>
        <v/>
      </c>
      <c r="F956" s="4">
        <f>IF(B956="","",IFERROR(VLOOKUP(B956, PLANTA_BASE!A:R, 8, FALSE), "DOCENTE / FACILITADOR"))</f>
        <v/>
      </c>
      <c r="G956" s="4">
        <f>IF(B956="","",IFERROR(VLOOKUP(B956, PLANTA_BASE!A:R, 9, FALSE), "GENERAL"))</f>
        <v/>
      </c>
      <c r="H956" s="2">
        <f>IF(B956="","",IFERROR(VLOOKUP(B956, PLANTA_BASE!A:R, 17, FALSE), "GENERAL"))</f>
        <v/>
      </c>
    </row>
    <row r="957" ht="20" customHeight="1">
      <c r="A957" s="5">
        <f>IF(B957="","",IFERROR(VLOOKUP(B957, PLANTA_BASE!A:R, 2, FALSE), "NO ENCONTRADO EN PLANTA"))</f>
        <v/>
      </c>
      <c r="B957" s="6" t="inlineStr"/>
      <c r="C957" s="7">
        <f>IF(B957="","",IFERROR(VLOOKUP(B957, PLANTA_BASE!A:R, 3, FALSE), ""))</f>
        <v/>
      </c>
      <c r="D957" s="5">
        <f>IF(B957="","",IFERROR(VLOOKUP(B957, PLANTA_BASE!A:R, 5, FALSE), "NO ENCONTRADO EN PLANTA"))</f>
        <v/>
      </c>
      <c r="E957" s="5">
        <f>IF(B957="","",IFERROR(VLOOKUP(B957, PLANTA_BASE!A:R, 6, FALSE), "NO ENCONTRADO EN PLANTA"))</f>
        <v/>
      </c>
      <c r="F957" s="7">
        <f>IF(B957="","",IFERROR(VLOOKUP(B957, PLANTA_BASE!A:R, 8, FALSE), "DOCENTE / FACILITADOR"))</f>
        <v/>
      </c>
      <c r="G957" s="7">
        <f>IF(B957="","",IFERROR(VLOOKUP(B957, PLANTA_BASE!A:R, 9, FALSE), "GENERAL"))</f>
        <v/>
      </c>
      <c r="H957" s="5">
        <f>IF(B957="","",IFERROR(VLOOKUP(B957, PLANTA_BASE!A:R, 17, FALSE), "GENERAL"))</f>
        <v/>
      </c>
    </row>
    <row r="958" ht="20" customHeight="1">
      <c r="A958" s="2">
        <f>IF(B958="","",IFERROR(VLOOKUP(B958, PLANTA_BASE!A:R, 2, FALSE), "NO ENCONTRADO EN PLANTA"))</f>
        <v/>
      </c>
      <c r="B958" s="3" t="inlineStr"/>
      <c r="C958" s="4">
        <f>IF(B958="","",IFERROR(VLOOKUP(B958, PLANTA_BASE!A:R, 3, FALSE), ""))</f>
        <v/>
      </c>
      <c r="D958" s="2">
        <f>IF(B958="","",IFERROR(VLOOKUP(B958, PLANTA_BASE!A:R, 5, FALSE), "NO ENCONTRADO EN PLANTA"))</f>
        <v/>
      </c>
      <c r="E958" s="2">
        <f>IF(B958="","",IFERROR(VLOOKUP(B958, PLANTA_BASE!A:R, 6, FALSE), "NO ENCONTRADO EN PLANTA"))</f>
        <v/>
      </c>
      <c r="F958" s="4">
        <f>IF(B958="","",IFERROR(VLOOKUP(B958, PLANTA_BASE!A:R, 8, FALSE), "DOCENTE / FACILITADOR"))</f>
        <v/>
      </c>
      <c r="G958" s="4">
        <f>IF(B958="","",IFERROR(VLOOKUP(B958, PLANTA_BASE!A:R, 9, FALSE), "GENERAL"))</f>
        <v/>
      </c>
      <c r="H958" s="2">
        <f>IF(B958="","",IFERROR(VLOOKUP(B958, PLANTA_BASE!A:R, 17, FALSE), "GENERAL"))</f>
        <v/>
      </c>
    </row>
    <row r="959" ht="20" customHeight="1">
      <c r="A959" s="5">
        <f>IF(B959="","",IFERROR(VLOOKUP(B959, PLANTA_BASE!A:R, 2, FALSE), "NO ENCONTRADO EN PLANTA"))</f>
        <v/>
      </c>
      <c r="B959" s="6" t="inlineStr"/>
      <c r="C959" s="7">
        <f>IF(B959="","",IFERROR(VLOOKUP(B959, PLANTA_BASE!A:R, 3, FALSE), ""))</f>
        <v/>
      </c>
      <c r="D959" s="5">
        <f>IF(B959="","",IFERROR(VLOOKUP(B959, PLANTA_BASE!A:R, 5, FALSE), "NO ENCONTRADO EN PLANTA"))</f>
        <v/>
      </c>
      <c r="E959" s="5">
        <f>IF(B959="","",IFERROR(VLOOKUP(B959, PLANTA_BASE!A:R, 6, FALSE), "NO ENCONTRADO EN PLANTA"))</f>
        <v/>
      </c>
      <c r="F959" s="7">
        <f>IF(B959="","",IFERROR(VLOOKUP(B959, PLANTA_BASE!A:R, 8, FALSE), "DOCENTE / FACILITADOR"))</f>
        <v/>
      </c>
      <c r="G959" s="7">
        <f>IF(B959="","",IFERROR(VLOOKUP(B959, PLANTA_BASE!A:R, 9, FALSE), "GENERAL"))</f>
        <v/>
      </c>
      <c r="H959" s="5">
        <f>IF(B959="","",IFERROR(VLOOKUP(B959, PLANTA_BASE!A:R, 17, FALSE), "GENERAL"))</f>
        <v/>
      </c>
    </row>
    <row r="960" ht="20" customHeight="1">
      <c r="A960" s="2">
        <f>IF(B960="","",IFERROR(VLOOKUP(B960, PLANTA_BASE!A:R, 2, FALSE), "NO ENCONTRADO EN PLANTA"))</f>
        <v/>
      </c>
      <c r="B960" s="3" t="inlineStr"/>
      <c r="C960" s="4">
        <f>IF(B960="","",IFERROR(VLOOKUP(B960, PLANTA_BASE!A:R, 3, FALSE), ""))</f>
        <v/>
      </c>
      <c r="D960" s="2">
        <f>IF(B960="","",IFERROR(VLOOKUP(B960, PLANTA_BASE!A:R, 5, FALSE), "NO ENCONTRADO EN PLANTA"))</f>
        <v/>
      </c>
      <c r="E960" s="2">
        <f>IF(B960="","",IFERROR(VLOOKUP(B960, PLANTA_BASE!A:R, 6, FALSE), "NO ENCONTRADO EN PLANTA"))</f>
        <v/>
      </c>
      <c r="F960" s="4">
        <f>IF(B960="","",IFERROR(VLOOKUP(B960, PLANTA_BASE!A:R, 8, FALSE), "DOCENTE / FACILITADOR"))</f>
        <v/>
      </c>
      <c r="G960" s="4">
        <f>IF(B960="","",IFERROR(VLOOKUP(B960, PLANTA_BASE!A:R, 9, FALSE), "GENERAL"))</f>
        <v/>
      </c>
      <c r="H960" s="2">
        <f>IF(B960="","",IFERROR(VLOOKUP(B960, PLANTA_BASE!A:R, 17, FALSE), "GENERAL"))</f>
        <v/>
      </c>
    </row>
    <row r="961" ht="20" customHeight="1">
      <c r="A961" s="5">
        <f>IF(B961="","",IFERROR(VLOOKUP(B961, PLANTA_BASE!A:R, 2, FALSE), "NO ENCONTRADO EN PLANTA"))</f>
        <v/>
      </c>
      <c r="B961" s="6" t="inlineStr"/>
      <c r="C961" s="7">
        <f>IF(B961="","",IFERROR(VLOOKUP(B961, PLANTA_BASE!A:R, 3, FALSE), ""))</f>
        <v/>
      </c>
      <c r="D961" s="5">
        <f>IF(B961="","",IFERROR(VLOOKUP(B961, PLANTA_BASE!A:R, 5, FALSE), "NO ENCONTRADO EN PLANTA"))</f>
        <v/>
      </c>
      <c r="E961" s="5">
        <f>IF(B961="","",IFERROR(VLOOKUP(B961, PLANTA_BASE!A:R, 6, FALSE), "NO ENCONTRADO EN PLANTA"))</f>
        <v/>
      </c>
      <c r="F961" s="7">
        <f>IF(B961="","",IFERROR(VLOOKUP(B961, PLANTA_BASE!A:R, 8, FALSE), "DOCENTE / FACILITADOR"))</f>
        <v/>
      </c>
      <c r="G961" s="7">
        <f>IF(B961="","",IFERROR(VLOOKUP(B961, PLANTA_BASE!A:R, 9, FALSE), "GENERAL"))</f>
        <v/>
      </c>
      <c r="H961" s="5">
        <f>IF(B961="","",IFERROR(VLOOKUP(B961, PLANTA_BASE!A:R, 17, FALSE), "GENERAL"))</f>
        <v/>
      </c>
    </row>
    <row r="962" ht="20" customHeight="1">
      <c r="A962" s="2">
        <f>IF(B962="","",IFERROR(VLOOKUP(B962, PLANTA_BASE!A:R, 2, FALSE), "NO ENCONTRADO EN PLANTA"))</f>
        <v/>
      </c>
      <c r="B962" s="3" t="inlineStr"/>
      <c r="C962" s="4">
        <f>IF(B962="","",IFERROR(VLOOKUP(B962, PLANTA_BASE!A:R, 3, FALSE), ""))</f>
        <v/>
      </c>
      <c r="D962" s="2">
        <f>IF(B962="","",IFERROR(VLOOKUP(B962, PLANTA_BASE!A:R, 5, FALSE), "NO ENCONTRADO EN PLANTA"))</f>
        <v/>
      </c>
      <c r="E962" s="2">
        <f>IF(B962="","",IFERROR(VLOOKUP(B962, PLANTA_BASE!A:R, 6, FALSE), "NO ENCONTRADO EN PLANTA"))</f>
        <v/>
      </c>
      <c r="F962" s="4">
        <f>IF(B962="","",IFERROR(VLOOKUP(B962, PLANTA_BASE!A:R, 8, FALSE), "DOCENTE / FACILITADOR"))</f>
        <v/>
      </c>
      <c r="G962" s="4">
        <f>IF(B962="","",IFERROR(VLOOKUP(B962, PLANTA_BASE!A:R, 9, FALSE), "GENERAL"))</f>
        <v/>
      </c>
      <c r="H962" s="2">
        <f>IF(B962="","",IFERROR(VLOOKUP(B962, PLANTA_BASE!A:R, 17, FALSE), "GENERAL"))</f>
        <v/>
      </c>
    </row>
    <row r="963" ht="20" customHeight="1">
      <c r="A963" s="5">
        <f>IF(B963="","",IFERROR(VLOOKUP(B963, PLANTA_BASE!A:R, 2, FALSE), "NO ENCONTRADO EN PLANTA"))</f>
        <v/>
      </c>
      <c r="B963" s="6" t="inlineStr"/>
      <c r="C963" s="7">
        <f>IF(B963="","",IFERROR(VLOOKUP(B963, PLANTA_BASE!A:R, 3, FALSE), ""))</f>
        <v/>
      </c>
      <c r="D963" s="5">
        <f>IF(B963="","",IFERROR(VLOOKUP(B963, PLANTA_BASE!A:R, 5, FALSE), "NO ENCONTRADO EN PLANTA"))</f>
        <v/>
      </c>
      <c r="E963" s="5">
        <f>IF(B963="","",IFERROR(VLOOKUP(B963, PLANTA_BASE!A:R, 6, FALSE), "NO ENCONTRADO EN PLANTA"))</f>
        <v/>
      </c>
      <c r="F963" s="7">
        <f>IF(B963="","",IFERROR(VLOOKUP(B963, PLANTA_BASE!A:R, 8, FALSE), "DOCENTE / FACILITADOR"))</f>
        <v/>
      </c>
      <c r="G963" s="7">
        <f>IF(B963="","",IFERROR(VLOOKUP(B963, PLANTA_BASE!A:R, 9, FALSE), "GENERAL"))</f>
        <v/>
      </c>
      <c r="H963" s="5">
        <f>IF(B963="","",IFERROR(VLOOKUP(B963, PLANTA_BASE!A:R, 17, FALSE), "GENERAL"))</f>
        <v/>
      </c>
    </row>
    <row r="964" ht="20" customHeight="1">
      <c r="A964" s="2">
        <f>IF(B964="","",IFERROR(VLOOKUP(B964, PLANTA_BASE!A:R, 2, FALSE), "NO ENCONTRADO EN PLANTA"))</f>
        <v/>
      </c>
      <c r="B964" s="3" t="inlineStr"/>
      <c r="C964" s="4">
        <f>IF(B964="","",IFERROR(VLOOKUP(B964, PLANTA_BASE!A:R, 3, FALSE), ""))</f>
        <v/>
      </c>
      <c r="D964" s="2">
        <f>IF(B964="","",IFERROR(VLOOKUP(B964, PLANTA_BASE!A:R, 5, FALSE), "NO ENCONTRADO EN PLANTA"))</f>
        <v/>
      </c>
      <c r="E964" s="2">
        <f>IF(B964="","",IFERROR(VLOOKUP(B964, PLANTA_BASE!A:R, 6, FALSE), "NO ENCONTRADO EN PLANTA"))</f>
        <v/>
      </c>
      <c r="F964" s="4">
        <f>IF(B964="","",IFERROR(VLOOKUP(B964, PLANTA_BASE!A:R, 8, FALSE), "DOCENTE / FACILITADOR"))</f>
        <v/>
      </c>
      <c r="G964" s="4">
        <f>IF(B964="","",IFERROR(VLOOKUP(B964, PLANTA_BASE!A:R, 9, FALSE), "GENERAL"))</f>
        <v/>
      </c>
      <c r="H964" s="2">
        <f>IF(B964="","",IFERROR(VLOOKUP(B964, PLANTA_BASE!A:R, 17, FALSE), "GENERAL"))</f>
        <v/>
      </c>
    </row>
    <row r="965" ht="20" customHeight="1">
      <c r="A965" s="5">
        <f>IF(B965="","",IFERROR(VLOOKUP(B965, PLANTA_BASE!A:R, 2, FALSE), "NO ENCONTRADO EN PLANTA"))</f>
        <v/>
      </c>
      <c r="B965" s="6" t="inlineStr"/>
      <c r="C965" s="7">
        <f>IF(B965="","",IFERROR(VLOOKUP(B965, PLANTA_BASE!A:R, 3, FALSE), ""))</f>
        <v/>
      </c>
      <c r="D965" s="5">
        <f>IF(B965="","",IFERROR(VLOOKUP(B965, PLANTA_BASE!A:R, 5, FALSE), "NO ENCONTRADO EN PLANTA"))</f>
        <v/>
      </c>
      <c r="E965" s="5">
        <f>IF(B965="","",IFERROR(VLOOKUP(B965, PLANTA_BASE!A:R, 6, FALSE), "NO ENCONTRADO EN PLANTA"))</f>
        <v/>
      </c>
      <c r="F965" s="7">
        <f>IF(B965="","",IFERROR(VLOOKUP(B965, PLANTA_BASE!A:R, 8, FALSE), "DOCENTE / FACILITADOR"))</f>
        <v/>
      </c>
      <c r="G965" s="7">
        <f>IF(B965="","",IFERROR(VLOOKUP(B965, PLANTA_BASE!A:R, 9, FALSE), "GENERAL"))</f>
        <v/>
      </c>
      <c r="H965" s="5">
        <f>IF(B965="","",IFERROR(VLOOKUP(B965, PLANTA_BASE!A:R, 17, FALSE), "GENERAL"))</f>
        <v/>
      </c>
    </row>
    <row r="966" ht="20" customHeight="1">
      <c r="A966" s="2">
        <f>IF(B966="","",IFERROR(VLOOKUP(B966, PLANTA_BASE!A:R, 2, FALSE), "NO ENCONTRADO EN PLANTA"))</f>
        <v/>
      </c>
      <c r="B966" s="3" t="inlineStr"/>
      <c r="C966" s="4">
        <f>IF(B966="","",IFERROR(VLOOKUP(B966, PLANTA_BASE!A:R, 3, FALSE), ""))</f>
        <v/>
      </c>
      <c r="D966" s="2">
        <f>IF(B966="","",IFERROR(VLOOKUP(B966, PLANTA_BASE!A:R, 5, FALSE), "NO ENCONTRADO EN PLANTA"))</f>
        <v/>
      </c>
      <c r="E966" s="2">
        <f>IF(B966="","",IFERROR(VLOOKUP(B966, PLANTA_BASE!A:R, 6, FALSE), "NO ENCONTRADO EN PLANTA"))</f>
        <v/>
      </c>
      <c r="F966" s="4">
        <f>IF(B966="","",IFERROR(VLOOKUP(B966, PLANTA_BASE!A:R, 8, FALSE), "DOCENTE / FACILITADOR"))</f>
        <v/>
      </c>
      <c r="G966" s="4">
        <f>IF(B966="","",IFERROR(VLOOKUP(B966, PLANTA_BASE!A:R, 9, FALSE), "GENERAL"))</f>
        <v/>
      </c>
      <c r="H966" s="2">
        <f>IF(B966="","",IFERROR(VLOOKUP(B966, PLANTA_BASE!A:R, 17, FALSE), "GENERAL"))</f>
        <v/>
      </c>
    </row>
    <row r="967" ht="20" customHeight="1">
      <c r="A967" s="5">
        <f>IF(B967="","",IFERROR(VLOOKUP(B967, PLANTA_BASE!A:R, 2, FALSE), "NO ENCONTRADO EN PLANTA"))</f>
        <v/>
      </c>
      <c r="B967" s="6" t="inlineStr"/>
      <c r="C967" s="7">
        <f>IF(B967="","",IFERROR(VLOOKUP(B967, PLANTA_BASE!A:R, 3, FALSE), ""))</f>
        <v/>
      </c>
      <c r="D967" s="5">
        <f>IF(B967="","",IFERROR(VLOOKUP(B967, PLANTA_BASE!A:R, 5, FALSE), "NO ENCONTRADO EN PLANTA"))</f>
        <v/>
      </c>
      <c r="E967" s="5">
        <f>IF(B967="","",IFERROR(VLOOKUP(B967, PLANTA_BASE!A:R, 6, FALSE), "NO ENCONTRADO EN PLANTA"))</f>
        <v/>
      </c>
      <c r="F967" s="7">
        <f>IF(B967="","",IFERROR(VLOOKUP(B967, PLANTA_BASE!A:R, 8, FALSE), "DOCENTE / FACILITADOR"))</f>
        <v/>
      </c>
      <c r="G967" s="7">
        <f>IF(B967="","",IFERROR(VLOOKUP(B967, PLANTA_BASE!A:R, 9, FALSE), "GENERAL"))</f>
        <v/>
      </c>
      <c r="H967" s="5">
        <f>IF(B967="","",IFERROR(VLOOKUP(B967, PLANTA_BASE!A:R, 17, FALSE), "GENERAL"))</f>
        <v/>
      </c>
    </row>
    <row r="968" ht="20" customHeight="1">
      <c r="A968" s="2">
        <f>IF(B968="","",IFERROR(VLOOKUP(B968, PLANTA_BASE!A:R, 2, FALSE), "NO ENCONTRADO EN PLANTA"))</f>
        <v/>
      </c>
      <c r="B968" s="3" t="inlineStr"/>
      <c r="C968" s="4">
        <f>IF(B968="","",IFERROR(VLOOKUP(B968, PLANTA_BASE!A:R, 3, FALSE), ""))</f>
        <v/>
      </c>
      <c r="D968" s="2">
        <f>IF(B968="","",IFERROR(VLOOKUP(B968, PLANTA_BASE!A:R, 5, FALSE), "NO ENCONTRADO EN PLANTA"))</f>
        <v/>
      </c>
      <c r="E968" s="2">
        <f>IF(B968="","",IFERROR(VLOOKUP(B968, PLANTA_BASE!A:R, 6, FALSE), "NO ENCONTRADO EN PLANTA"))</f>
        <v/>
      </c>
      <c r="F968" s="4">
        <f>IF(B968="","",IFERROR(VLOOKUP(B968, PLANTA_BASE!A:R, 8, FALSE), "DOCENTE / FACILITADOR"))</f>
        <v/>
      </c>
      <c r="G968" s="4">
        <f>IF(B968="","",IFERROR(VLOOKUP(B968, PLANTA_BASE!A:R, 9, FALSE), "GENERAL"))</f>
        <v/>
      </c>
      <c r="H968" s="2">
        <f>IF(B968="","",IFERROR(VLOOKUP(B968, PLANTA_BASE!A:R, 17, FALSE), "GENERAL"))</f>
        <v/>
      </c>
    </row>
    <row r="969" ht="20" customHeight="1">
      <c r="A969" s="5">
        <f>IF(B969="","",IFERROR(VLOOKUP(B969, PLANTA_BASE!A:R, 2, FALSE), "NO ENCONTRADO EN PLANTA"))</f>
        <v/>
      </c>
      <c r="B969" s="6" t="inlineStr"/>
      <c r="C969" s="7">
        <f>IF(B969="","",IFERROR(VLOOKUP(B969, PLANTA_BASE!A:R, 3, FALSE), ""))</f>
        <v/>
      </c>
      <c r="D969" s="5">
        <f>IF(B969="","",IFERROR(VLOOKUP(B969, PLANTA_BASE!A:R, 5, FALSE), "NO ENCONTRADO EN PLANTA"))</f>
        <v/>
      </c>
      <c r="E969" s="5">
        <f>IF(B969="","",IFERROR(VLOOKUP(B969, PLANTA_BASE!A:R, 6, FALSE), "NO ENCONTRADO EN PLANTA"))</f>
        <v/>
      </c>
      <c r="F969" s="7">
        <f>IF(B969="","",IFERROR(VLOOKUP(B969, PLANTA_BASE!A:R, 8, FALSE), "DOCENTE / FACILITADOR"))</f>
        <v/>
      </c>
      <c r="G969" s="7">
        <f>IF(B969="","",IFERROR(VLOOKUP(B969, PLANTA_BASE!A:R, 9, FALSE), "GENERAL"))</f>
        <v/>
      </c>
      <c r="H969" s="5">
        <f>IF(B969="","",IFERROR(VLOOKUP(B969, PLANTA_BASE!A:R, 17, FALSE), "GENERAL"))</f>
        <v/>
      </c>
    </row>
    <row r="970" ht="20" customHeight="1">
      <c r="A970" s="2">
        <f>IF(B970="","",IFERROR(VLOOKUP(B970, PLANTA_BASE!A:R, 2, FALSE), "NO ENCONTRADO EN PLANTA"))</f>
        <v/>
      </c>
      <c r="B970" s="3" t="inlineStr"/>
      <c r="C970" s="4">
        <f>IF(B970="","",IFERROR(VLOOKUP(B970, PLANTA_BASE!A:R, 3, FALSE), ""))</f>
        <v/>
      </c>
      <c r="D970" s="2">
        <f>IF(B970="","",IFERROR(VLOOKUP(B970, PLANTA_BASE!A:R, 5, FALSE), "NO ENCONTRADO EN PLANTA"))</f>
        <v/>
      </c>
      <c r="E970" s="2">
        <f>IF(B970="","",IFERROR(VLOOKUP(B970, PLANTA_BASE!A:R, 6, FALSE), "NO ENCONTRADO EN PLANTA"))</f>
        <v/>
      </c>
      <c r="F970" s="4">
        <f>IF(B970="","",IFERROR(VLOOKUP(B970, PLANTA_BASE!A:R, 8, FALSE), "DOCENTE / FACILITADOR"))</f>
        <v/>
      </c>
      <c r="G970" s="4">
        <f>IF(B970="","",IFERROR(VLOOKUP(B970, PLANTA_BASE!A:R, 9, FALSE), "GENERAL"))</f>
        <v/>
      </c>
      <c r="H970" s="2">
        <f>IF(B970="","",IFERROR(VLOOKUP(B970, PLANTA_BASE!A:R, 17, FALSE), "GENERAL"))</f>
        <v/>
      </c>
    </row>
    <row r="971" ht="20" customHeight="1">
      <c r="A971" s="5">
        <f>IF(B971="","",IFERROR(VLOOKUP(B971, PLANTA_BASE!A:R, 2, FALSE), "NO ENCONTRADO EN PLANTA"))</f>
        <v/>
      </c>
      <c r="B971" s="6" t="inlineStr"/>
      <c r="C971" s="7">
        <f>IF(B971="","",IFERROR(VLOOKUP(B971, PLANTA_BASE!A:R, 3, FALSE), ""))</f>
        <v/>
      </c>
      <c r="D971" s="5">
        <f>IF(B971="","",IFERROR(VLOOKUP(B971, PLANTA_BASE!A:R, 5, FALSE), "NO ENCONTRADO EN PLANTA"))</f>
        <v/>
      </c>
      <c r="E971" s="5">
        <f>IF(B971="","",IFERROR(VLOOKUP(B971, PLANTA_BASE!A:R, 6, FALSE), "NO ENCONTRADO EN PLANTA"))</f>
        <v/>
      </c>
      <c r="F971" s="7">
        <f>IF(B971="","",IFERROR(VLOOKUP(B971, PLANTA_BASE!A:R, 8, FALSE), "DOCENTE / FACILITADOR"))</f>
        <v/>
      </c>
      <c r="G971" s="7">
        <f>IF(B971="","",IFERROR(VLOOKUP(B971, PLANTA_BASE!A:R, 9, FALSE), "GENERAL"))</f>
        <v/>
      </c>
      <c r="H971" s="5">
        <f>IF(B971="","",IFERROR(VLOOKUP(B971, PLANTA_BASE!A:R, 17, FALSE), "GENERAL"))</f>
        <v/>
      </c>
    </row>
    <row r="972" ht="20" customHeight="1">
      <c r="A972" s="2">
        <f>IF(B972="","",IFERROR(VLOOKUP(B972, PLANTA_BASE!A:R, 2, FALSE), "NO ENCONTRADO EN PLANTA"))</f>
        <v/>
      </c>
      <c r="B972" s="3" t="inlineStr"/>
      <c r="C972" s="4">
        <f>IF(B972="","",IFERROR(VLOOKUP(B972, PLANTA_BASE!A:R, 3, FALSE), ""))</f>
        <v/>
      </c>
      <c r="D972" s="2">
        <f>IF(B972="","",IFERROR(VLOOKUP(B972, PLANTA_BASE!A:R, 5, FALSE), "NO ENCONTRADO EN PLANTA"))</f>
        <v/>
      </c>
      <c r="E972" s="2">
        <f>IF(B972="","",IFERROR(VLOOKUP(B972, PLANTA_BASE!A:R, 6, FALSE), "NO ENCONTRADO EN PLANTA"))</f>
        <v/>
      </c>
      <c r="F972" s="4">
        <f>IF(B972="","",IFERROR(VLOOKUP(B972, PLANTA_BASE!A:R, 8, FALSE), "DOCENTE / FACILITADOR"))</f>
        <v/>
      </c>
      <c r="G972" s="4">
        <f>IF(B972="","",IFERROR(VLOOKUP(B972, PLANTA_BASE!A:R, 9, FALSE), "GENERAL"))</f>
        <v/>
      </c>
      <c r="H972" s="2">
        <f>IF(B972="","",IFERROR(VLOOKUP(B972, PLANTA_BASE!A:R, 17, FALSE), "GENERAL"))</f>
        <v/>
      </c>
    </row>
    <row r="973" ht="20" customHeight="1">
      <c r="A973" s="5">
        <f>IF(B973="","",IFERROR(VLOOKUP(B973, PLANTA_BASE!A:R, 2, FALSE), "NO ENCONTRADO EN PLANTA"))</f>
        <v/>
      </c>
      <c r="B973" s="6" t="inlineStr"/>
      <c r="C973" s="7">
        <f>IF(B973="","",IFERROR(VLOOKUP(B973, PLANTA_BASE!A:R, 3, FALSE), ""))</f>
        <v/>
      </c>
      <c r="D973" s="5">
        <f>IF(B973="","",IFERROR(VLOOKUP(B973, PLANTA_BASE!A:R, 5, FALSE), "NO ENCONTRADO EN PLANTA"))</f>
        <v/>
      </c>
      <c r="E973" s="5">
        <f>IF(B973="","",IFERROR(VLOOKUP(B973, PLANTA_BASE!A:R, 6, FALSE), "NO ENCONTRADO EN PLANTA"))</f>
        <v/>
      </c>
      <c r="F973" s="7">
        <f>IF(B973="","",IFERROR(VLOOKUP(B973, PLANTA_BASE!A:R, 8, FALSE), "DOCENTE / FACILITADOR"))</f>
        <v/>
      </c>
      <c r="G973" s="7">
        <f>IF(B973="","",IFERROR(VLOOKUP(B973, PLANTA_BASE!A:R, 9, FALSE), "GENERAL"))</f>
        <v/>
      </c>
      <c r="H973" s="5">
        <f>IF(B973="","",IFERROR(VLOOKUP(B973, PLANTA_BASE!A:R, 17, FALSE), "GENERAL"))</f>
        <v/>
      </c>
    </row>
    <row r="974" ht="20" customHeight="1">
      <c r="A974" s="2">
        <f>IF(B974="","",IFERROR(VLOOKUP(B974, PLANTA_BASE!A:R, 2, FALSE), "NO ENCONTRADO EN PLANTA"))</f>
        <v/>
      </c>
      <c r="B974" s="3" t="inlineStr"/>
      <c r="C974" s="4">
        <f>IF(B974="","",IFERROR(VLOOKUP(B974, PLANTA_BASE!A:R, 3, FALSE), ""))</f>
        <v/>
      </c>
      <c r="D974" s="2">
        <f>IF(B974="","",IFERROR(VLOOKUP(B974, PLANTA_BASE!A:R, 5, FALSE), "NO ENCONTRADO EN PLANTA"))</f>
        <v/>
      </c>
      <c r="E974" s="2">
        <f>IF(B974="","",IFERROR(VLOOKUP(B974, PLANTA_BASE!A:R, 6, FALSE), "NO ENCONTRADO EN PLANTA"))</f>
        <v/>
      </c>
      <c r="F974" s="4">
        <f>IF(B974="","",IFERROR(VLOOKUP(B974, PLANTA_BASE!A:R, 8, FALSE), "DOCENTE / FACILITADOR"))</f>
        <v/>
      </c>
      <c r="G974" s="4">
        <f>IF(B974="","",IFERROR(VLOOKUP(B974, PLANTA_BASE!A:R, 9, FALSE), "GENERAL"))</f>
        <v/>
      </c>
      <c r="H974" s="2">
        <f>IF(B974="","",IFERROR(VLOOKUP(B974, PLANTA_BASE!A:R, 17, FALSE), "GENERAL"))</f>
        <v/>
      </c>
    </row>
    <row r="975" ht="20" customHeight="1">
      <c r="A975" s="5">
        <f>IF(B975="","",IFERROR(VLOOKUP(B975, PLANTA_BASE!A:R, 2, FALSE), "NO ENCONTRADO EN PLANTA"))</f>
        <v/>
      </c>
      <c r="B975" s="6" t="inlineStr"/>
      <c r="C975" s="7">
        <f>IF(B975="","",IFERROR(VLOOKUP(B975, PLANTA_BASE!A:R, 3, FALSE), ""))</f>
        <v/>
      </c>
      <c r="D975" s="5">
        <f>IF(B975="","",IFERROR(VLOOKUP(B975, PLANTA_BASE!A:R, 5, FALSE), "NO ENCONTRADO EN PLANTA"))</f>
        <v/>
      </c>
      <c r="E975" s="5">
        <f>IF(B975="","",IFERROR(VLOOKUP(B975, PLANTA_BASE!A:R, 6, FALSE), "NO ENCONTRADO EN PLANTA"))</f>
        <v/>
      </c>
      <c r="F975" s="7">
        <f>IF(B975="","",IFERROR(VLOOKUP(B975, PLANTA_BASE!A:R, 8, FALSE), "DOCENTE / FACILITADOR"))</f>
        <v/>
      </c>
      <c r="G975" s="7">
        <f>IF(B975="","",IFERROR(VLOOKUP(B975, PLANTA_BASE!A:R, 9, FALSE), "GENERAL"))</f>
        <v/>
      </c>
      <c r="H975" s="5">
        <f>IF(B975="","",IFERROR(VLOOKUP(B975, PLANTA_BASE!A:R, 17, FALSE), "GENERAL"))</f>
        <v/>
      </c>
    </row>
    <row r="976" ht="20" customHeight="1">
      <c r="A976" s="2">
        <f>IF(B976="","",IFERROR(VLOOKUP(B976, PLANTA_BASE!A:R, 2, FALSE), "NO ENCONTRADO EN PLANTA"))</f>
        <v/>
      </c>
      <c r="B976" s="3" t="inlineStr"/>
      <c r="C976" s="4">
        <f>IF(B976="","",IFERROR(VLOOKUP(B976, PLANTA_BASE!A:R, 3, FALSE), ""))</f>
        <v/>
      </c>
      <c r="D976" s="2">
        <f>IF(B976="","",IFERROR(VLOOKUP(B976, PLANTA_BASE!A:R, 5, FALSE), "NO ENCONTRADO EN PLANTA"))</f>
        <v/>
      </c>
      <c r="E976" s="2">
        <f>IF(B976="","",IFERROR(VLOOKUP(B976, PLANTA_BASE!A:R, 6, FALSE), "NO ENCONTRADO EN PLANTA"))</f>
        <v/>
      </c>
      <c r="F976" s="4">
        <f>IF(B976="","",IFERROR(VLOOKUP(B976, PLANTA_BASE!A:R, 8, FALSE), "DOCENTE / FACILITADOR"))</f>
        <v/>
      </c>
      <c r="G976" s="4">
        <f>IF(B976="","",IFERROR(VLOOKUP(B976, PLANTA_BASE!A:R, 9, FALSE), "GENERAL"))</f>
        <v/>
      </c>
      <c r="H976" s="2">
        <f>IF(B976="","",IFERROR(VLOOKUP(B976, PLANTA_BASE!A:R, 17, FALSE), "GENERAL"))</f>
        <v/>
      </c>
    </row>
    <row r="977" ht="20" customHeight="1">
      <c r="A977" s="5">
        <f>IF(B977="","",IFERROR(VLOOKUP(B977, PLANTA_BASE!A:R, 2, FALSE), "NO ENCONTRADO EN PLANTA"))</f>
        <v/>
      </c>
      <c r="B977" s="6" t="inlineStr"/>
      <c r="C977" s="7">
        <f>IF(B977="","",IFERROR(VLOOKUP(B977, PLANTA_BASE!A:R, 3, FALSE), ""))</f>
        <v/>
      </c>
      <c r="D977" s="5">
        <f>IF(B977="","",IFERROR(VLOOKUP(B977, PLANTA_BASE!A:R, 5, FALSE), "NO ENCONTRADO EN PLANTA"))</f>
        <v/>
      </c>
      <c r="E977" s="5">
        <f>IF(B977="","",IFERROR(VLOOKUP(B977, PLANTA_BASE!A:R, 6, FALSE), "NO ENCONTRADO EN PLANTA"))</f>
        <v/>
      </c>
      <c r="F977" s="7">
        <f>IF(B977="","",IFERROR(VLOOKUP(B977, PLANTA_BASE!A:R, 8, FALSE), "DOCENTE / FACILITADOR"))</f>
        <v/>
      </c>
      <c r="G977" s="7">
        <f>IF(B977="","",IFERROR(VLOOKUP(B977, PLANTA_BASE!A:R, 9, FALSE), "GENERAL"))</f>
        <v/>
      </c>
      <c r="H977" s="5">
        <f>IF(B977="","",IFERROR(VLOOKUP(B977, PLANTA_BASE!A:R, 17, FALSE), "GENERAL"))</f>
        <v/>
      </c>
    </row>
    <row r="978" ht="20" customHeight="1">
      <c r="A978" s="2">
        <f>IF(B978="","",IFERROR(VLOOKUP(B978, PLANTA_BASE!A:R, 2, FALSE), "NO ENCONTRADO EN PLANTA"))</f>
        <v/>
      </c>
      <c r="B978" s="3" t="inlineStr"/>
      <c r="C978" s="4">
        <f>IF(B978="","",IFERROR(VLOOKUP(B978, PLANTA_BASE!A:R, 3, FALSE), ""))</f>
        <v/>
      </c>
      <c r="D978" s="2">
        <f>IF(B978="","",IFERROR(VLOOKUP(B978, PLANTA_BASE!A:R, 5, FALSE), "NO ENCONTRADO EN PLANTA"))</f>
        <v/>
      </c>
      <c r="E978" s="2">
        <f>IF(B978="","",IFERROR(VLOOKUP(B978, PLANTA_BASE!A:R, 6, FALSE), "NO ENCONTRADO EN PLANTA"))</f>
        <v/>
      </c>
      <c r="F978" s="4">
        <f>IF(B978="","",IFERROR(VLOOKUP(B978, PLANTA_BASE!A:R, 8, FALSE), "DOCENTE / FACILITADOR"))</f>
        <v/>
      </c>
      <c r="G978" s="4">
        <f>IF(B978="","",IFERROR(VLOOKUP(B978, PLANTA_BASE!A:R, 9, FALSE), "GENERAL"))</f>
        <v/>
      </c>
      <c r="H978" s="2">
        <f>IF(B978="","",IFERROR(VLOOKUP(B978, PLANTA_BASE!A:R, 17, FALSE), "GENERAL"))</f>
        <v/>
      </c>
    </row>
    <row r="979" ht="20" customHeight="1">
      <c r="A979" s="5">
        <f>IF(B979="","",IFERROR(VLOOKUP(B979, PLANTA_BASE!A:R, 2, FALSE), "NO ENCONTRADO EN PLANTA"))</f>
        <v/>
      </c>
      <c r="B979" s="6" t="inlineStr"/>
      <c r="C979" s="7">
        <f>IF(B979="","",IFERROR(VLOOKUP(B979, PLANTA_BASE!A:R, 3, FALSE), ""))</f>
        <v/>
      </c>
      <c r="D979" s="5">
        <f>IF(B979="","",IFERROR(VLOOKUP(B979, PLANTA_BASE!A:R, 5, FALSE), "NO ENCONTRADO EN PLANTA"))</f>
        <v/>
      </c>
      <c r="E979" s="5">
        <f>IF(B979="","",IFERROR(VLOOKUP(B979, PLANTA_BASE!A:R, 6, FALSE), "NO ENCONTRADO EN PLANTA"))</f>
        <v/>
      </c>
      <c r="F979" s="7">
        <f>IF(B979="","",IFERROR(VLOOKUP(B979, PLANTA_BASE!A:R, 8, FALSE), "DOCENTE / FACILITADOR"))</f>
        <v/>
      </c>
      <c r="G979" s="7">
        <f>IF(B979="","",IFERROR(VLOOKUP(B979, PLANTA_BASE!A:R, 9, FALSE), "GENERAL"))</f>
        <v/>
      </c>
      <c r="H979" s="5">
        <f>IF(B979="","",IFERROR(VLOOKUP(B979, PLANTA_BASE!A:R, 17, FALSE), "GENERAL"))</f>
        <v/>
      </c>
    </row>
    <row r="980" ht="20" customHeight="1">
      <c r="A980" s="2">
        <f>IF(B980="","",IFERROR(VLOOKUP(B980, PLANTA_BASE!A:R, 2, FALSE), "NO ENCONTRADO EN PLANTA"))</f>
        <v/>
      </c>
      <c r="B980" s="3" t="inlineStr"/>
      <c r="C980" s="4">
        <f>IF(B980="","",IFERROR(VLOOKUP(B980, PLANTA_BASE!A:R, 3, FALSE), ""))</f>
        <v/>
      </c>
      <c r="D980" s="2">
        <f>IF(B980="","",IFERROR(VLOOKUP(B980, PLANTA_BASE!A:R, 5, FALSE), "NO ENCONTRADO EN PLANTA"))</f>
        <v/>
      </c>
      <c r="E980" s="2">
        <f>IF(B980="","",IFERROR(VLOOKUP(B980, PLANTA_BASE!A:R, 6, FALSE), "NO ENCONTRADO EN PLANTA"))</f>
        <v/>
      </c>
      <c r="F980" s="4">
        <f>IF(B980="","",IFERROR(VLOOKUP(B980, PLANTA_BASE!A:R, 8, FALSE), "DOCENTE / FACILITADOR"))</f>
        <v/>
      </c>
      <c r="G980" s="4">
        <f>IF(B980="","",IFERROR(VLOOKUP(B980, PLANTA_BASE!A:R, 9, FALSE), "GENERAL"))</f>
        <v/>
      </c>
      <c r="H980" s="2">
        <f>IF(B980="","",IFERROR(VLOOKUP(B980, PLANTA_BASE!A:R, 17, FALSE), "GENERAL"))</f>
        <v/>
      </c>
    </row>
    <row r="981" ht="20" customHeight="1">
      <c r="A981" s="5">
        <f>IF(B981="","",IFERROR(VLOOKUP(B981, PLANTA_BASE!A:R, 2, FALSE), "NO ENCONTRADO EN PLANTA"))</f>
        <v/>
      </c>
      <c r="B981" s="6" t="inlineStr"/>
      <c r="C981" s="7">
        <f>IF(B981="","",IFERROR(VLOOKUP(B981, PLANTA_BASE!A:R, 3, FALSE), ""))</f>
        <v/>
      </c>
      <c r="D981" s="5">
        <f>IF(B981="","",IFERROR(VLOOKUP(B981, PLANTA_BASE!A:R, 5, FALSE), "NO ENCONTRADO EN PLANTA"))</f>
        <v/>
      </c>
      <c r="E981" s="5">
        <f>IF(B981="","",IFERROR(VLOOKUP(B981, PLANTA_BASE!A:R, 6, FALSE), "NO ENCONTRADO EN PLANTA"))</f>
        <v/>
      </c>
      <c r="F981" s="7">
        <f>IF(B981="","",IFERROR(VLOOKUP(B981, PLANTA_BASE!A:R, 8, FALSE), "DOCENTE / FACILITADOR"))</f>
        <v/>
      </c>
      <c r="G981" s="7">
        <f>IF(B981="","",IFERROR(VLOOKUP(B981, PLANTA_BASE!A:R, 9, FALSE), "GENERAL"))</f>
        <v/>
      </c>
      <c r="H981" s="5">
        <f>IF(B981="","",IFERROR(VLOOKUP(B981, PLANTA_BASE!A:R, 17, FALSE), "GENERAL"))</f>
        <v/>
      </c>
    </row>
    <row r="982" ht="20" customHeight="1">
      <c r="A982" s="2">
        <f>IF(B982="","",IFERROR(VLOOKUP(B982, PLANTA_BASE!A:R, 2, FALSE), "NO ENCONTRADO EN PLANTA"))</f>
        <v/>
      </c>
      <c r="B982" s="3" t="inlineStr"/>
      <c r="C982" s="4">
        <f>IF(B982="","",IFERROR(VLOOKUP(B982, PLANTA_BASE!A:R, 3, FALSE), ""))</f>
        <v/>
      </c>
      <c r="D982" s="2">
        <f>IF(B982="","",IFERROR(VLOOKUP(B982, PLANTA_BASE!A:R, 5, FALSE), "NO ENCONTRADO EN PLANTA"))</f>
        <v/>
      </c>
      <c r="E982" s="2">
        <f>IF(B982="","",IFERROR(VLOOKUP(B982, PLANTA_BASE!A:R, 6, FALSE), "NO ENCONTRADO EN PLANTA"))</f>
        <v/>
      </c>
      <c r="F982" s="4">
        <f>IF(B982="","",IFERROR(VLOOKUP(B982, PLANTA_BASE!A:R, 8, FALSE), "DOCENTE / FACILITADOR"))</f>
        <v/>
      </c>
      <c r="G982" s="4">
        <f>IF(B982="","",IFERROR(VLOOKUP(B982, PLANTA_BASE!A:R, 9, FALSE), "GENERAL"))</f>
        <v/>
      </c>
      <c r="H982" s="2">
        <f>IF(B982="","",IFERROR(VLOOKUP(B982, PLANTA_BASE!A:R, 17, FALSE), "GENERAL"))</f>
        <v/>
      </c>
    </row>
    <row r="983" ht="20" customHeight="1">
      <c r="A983" s="5">
        <f>IF(B983="","",IFERROR(VLOOKUP(B983, PLANTA_BASE!A:R, 2, FALSE), "NO ENCONTRADO EN PLANTA"))</f>
        <v/>
      </c>
      <c r="B983" s="6" t="inlineStr"/>
      <c r="C983" s="7">
        <f>IF(B983="","",IFERROR(VLOOKUP(B983, PLANTA_BASE!A:R, 3, FALSE), ""))</f>
        <v/>
      </c>
      <c r="D983" s="5">
        <f>IF(B983="","",IFERROR(VLOOKUP(B983, PLANTA_BASE!A:R, 5, FALSE), "NO ENCONTRADO EN PLANTA"))</f>
        <v/>
      </c>
      <c r="E983" s="5">
        <f>IF(B983="","",IFERROR(VLOOKUP(B983, PLANTA_BASE!A:R, 6, FALSE), "NO ENCONTRADO EN PLANTA"))</f>
        <v/>
      </c>
      <c r="F983" s="7">
        <f>IF(B983="","",IFERROR(VLOOKUP(B983, PLANTA_BASE!A:R, 8, FALSE), "DOCENTE / FACILITADOR"))</f>
        <v/>
      </c>
      <c r="G983" s="7">
        <f>IF(B983="","",IFERROR(VLOOKUP(B983, PLANTA_BASE!A:R, 9, FALSE), "GENERAL"))</f>
        <v/>
      </c>
      <c r="H983" s="5">
        <f>IF(B983="","",IFERROR(VLOOKUP(B983, PLANTA_BASE!A:R, 17, FALSE), "GENERAL"))</f>
        <v/>
      </c>
    </row>
    <row r="984" ht="20" customHeight="1">
      <c r="A984" s="2">
        <f>IF(B984="","",IFERROR(VLOOKUP(B984, PLANTA_BASE!A:R, 2, FALSE), "NO ENCONTRADO EN PLANTA"))</f>
        <v/>
      </c>
      <c r="B984" s="3" t="inlineStr"/>
      <c r="C984" s="4">
        <f>IF(B984="","",IFERROR(VLOOKUP(B984, PLANTA_BASE!A:R, 3, FALSE), ""))</f>
        <v/>
      </c>
      <c r="D984" s="2">
        <f>IF(B984="","",IFERROR(VLOOKUP(B984, PLANTA_BASE!A:R, 5, FALSE), "NO ENCONTRADO EN PLANTA"))</f>
        <v/>
      </c>
      <c r="E984" s="2">
        <f>IF(B984="","",IFERROR(VLOOKUP(B984, PLANTA_BASE!A:R, 6, FALSE), "NO ENCONTRADO EN PLANTA"))</f>
        <v/>
      </c>
      <c r="F984" s="4">
        <f>IF(B984="","",IFERROR(VLOOKUP(B984, PLANTA_BASE!A:R, 8, FALSE), "DOCENTE / FACILITADOR"))</f>
        <v/>
      </c>
      <c r="G984" s="4">
        <f>IF(B984="","",IFERROR(VLOOKUP(B984, PLANTA_BASE!A:R, 9, FALSE), "GENERAL"))</f>
        <v/>
      </c>
      <c r="H984" s="2">
        <f>IF(B984="","",IFERROR(VLOOKUP(B984, PLANTA_BASE!A:R, 17, FALSE), "GENERAL"))</f>
        <v/>
      </c>
    </row>
    <row r="985" ht="20" customHeight="1">
      <c r="A985" s="5">
        <f>IF(B985="","",IFERROR(VLOOKUP(B985, PLANTA_BASE!A:R, 2, FALSE), "NO ENCONTRADO EN PLANTA"))</f>
        <v/>
      </c>
      <c r="B985" s="6" t="inlineStr"/>
      <c r="C985" s="7">
        <f>IF(B985="","",IFERROR(VLOOKUP(B985, PLANTA_BASE!A:R, 3, FALSE), ""))</f>
        <v/>
      </c>
      <c r="D985" s="5">
        <f>IF(B985="","",IFERROR(VLOOKUP(B985, PLANTA_BASE!A:R, 5, FALSE), "NO ENCONTRADO EN PLANTA"))</f>
        <v/>
      </c>
      <c r="E985" s="5">
        <f>IF(B985="","",IFERROR(VLOOKUP(B985, PLANTA_BASE!A:R, 6, FALSE), "NO ENCONTRADO EN PLANTA"))</f>
        <v/>
      </c>
      <c r="F985" s="7">
        <f>IF(B985="","",IFERROR(VLOOKUP(B985, PLANTA_BASE!A:R, 8, FALSE), "DOCENTE / FACILITADOR"))</f>
        <v/>
      </c>
      <c r="G985" s="7">
        <f>IF(B985="","",IFERROR(VLOOKUP(B985, PLANTA_BASE!A:R, 9, FALSE), "GENERAL"))</f>
        <v/>
      </c>
      <c r="H985" s="5">
        <f>IF(B985="","",IFERROR(VLOOKUP(B985, PLANTA_BASE!A:R, 17, FALSE), "GENERAL"))</f>
        <v/>
      </c>
    </row>
    <row r="986" ht="20" customHeight="1">
      <c r="A986" s="2">
        <f>IF(B986="","",IFERROR(VLOOKUP(B986, PLANTA_BASE!A:R, 2, FALSE), "NO ENCONTRADO EN PLANTA"))</f>
        <v/>
      </c>
      <c r="B986" s="3" t="inlineStr"/>
      <c r="C986" s="4">
        <f>IF(B986="","",IFERROR(VLOOKUP(B986, PLANTA_BASE!A:R, 3, FALSE), ""))</f>
        <v/>
      </c>
      <c r="D986" s="2">
        <f>IF(B986="","",IFERROR(VLOOKUP(B986, PLANTA_BASE!A:R, 5, FALSE), "NO ENCONTRADO EN PLANTA"))</f>
        <v/>
      </c>
      <c r="E986" s="2">
        <f>IF(B986="","",IFERROR(VLOOKUP(B986, PLANTA_BASE!A:R, 6, FALSE), "NO ENCONTRADO EN PLANTA"))</f>
        <v/>
      </c>
      <c r="F986" s="4">
        <f>IF(B986="","",IFERROR(VLOOKUP(B986, PLANTA_BASE!A:R, 8, FALSE), "DOCENTE / FACILITADOR"))</f>
        <v/>
      </c>
      <c r="G986" s="4">
        <f>IF(B986="","",IFERROR(VLOOKUP(B986, PLANTA_BASE!A:R, 9, FALSE), "GENERAL"))</f>
        <v/>
      </c>
      <c r="H986" s="2">
        <f>IF(B986="","",IFERROR(VLOOKUP(B986, PLANTA_BASE!A:R, 17, FALSE), "GENERAL"))</f>
        <v/>
      </c>
    </row>
    <row r="987" ht="20" customHeight="1">
      <c r="A987" s="5">
        <f>IF(B987="","",IFERROR(VLOOKUP(B987, PLANTA_BASE!A:R, 2, FALSE), "NO ENCONTRADO EN PLANTA"))</f>
        <v/>
      </c>
      <c r="B987" s="6" t="inlineStr"/>
      <c r="C987" s="7">
        <f>IF(B987="","",IFERROR(VLOOKUP(B987, PLANTA_BASE!A:R, 3, FALSE), ""))</f>
        <v/>
      </c>
      <c r="D987" s="5">
        <f>IF(B987="","",IFERROR(VLOOKUP(B987, PLANTA_BASE!A:R, 5, FALSE), "NO ENCONTRADO EN PLANTA"))</f>
        <v/>
      </c>
      <c r="E987" s="5">
        <f>IF(B987="","",IFERROR(VLOOKUP(B987, PLANTA_BASE!A:R, 6, FALSE), "NO ENCONTRADO EN PLANTA"))</f>
        <v/>
      </c>
      <c r="F987" s="7">
        <f>IF(B987="","",IFERROR(VLOOKUP(B987, PLANTA_BASE!A:R, 8, FALSE), "DOCENTE / FACILITADOR"))</f>
        <v/>
      </c>
      <c r="G987" s="7">
        <f>IF(B987="","",IFERROR(VLOOKUP(B987, PLANTA_BASE!A:R, 9, FALSE), "GENERAL"))</f>
        <v/>
      </c>
      <c r="H987" s="5">
        <f>IF(B987="","",IFERROR(VLOOKUP(B987, PLANTA_BASE!A:R, 17, FALSE), "GENERAL"))</f>
        <v/>
      </c>
    </row>
    <row r="988" ht="20" customHeight="1">
      <c r="A988" s="2">
        <f>IF(B988="","",IFERROR(VLOOKUP(B988, PLANTA_BASE!A:R, 2, FALSE), "NO ENCONTRADO EN PLANTA"))</f>
        <v/>
      </c>
      <c r="B988" s="3" t="inlineStr"/>
      <c r="C988" s="4">
        <f>IF(B988="","",IFERROR(VLOOKUP(B988, PLANTA_BASE!A:R, 3, FALSE), ""))</f>
        <v/>
      </c>
      <c r="D988" s="2">
        <f>IF(B988="","",IFERROR(VLOOKUP(B988, PLANTA_BASE!A:R, 5, FALSE), "NO ENCONTRADO EN PLANTA"))</f>
        <v/>
      </c>
      <c r="E988" s="2">
        <f>IF(B988="","",IFERROR(VLOOKUP(B988, PLANTA_BASE!A:R, 6, FALSE), "NO ENCONTRADO EN PLANTA"))</f>
        <v/>
      </c>
      <c r="F988" s="4">
        <f>IF(B988="","",IFERROR(VLOOKUP(B988, PLANTA_BASE!A:R, 8, FALSE), "DOCENTE / FACILITADOR"))</f>
        <v/>
      </c>
      <c r="G988" s="4">
        <f>IF(B988="","",IFERROR(VLOOKUP(B988, PLANTA_BASE!A:R, 9, FALSE), "GENERAL"))</f>
        <v/>
      </c>
      <c r="H988" s="2">
        <f>IF(B988="","",IFERROR(VLOOKUP(B988, PLANTA_BASE!A:R, 17, FALSE), "GENERAL"))</f>
        <v/>
      </c>
    </row>
    <row r="989" ht="20" customHeight="1">
      <c r="A989" s="5">
        <f>IF(B989="","",IFERROR(VLOOKUP(B989, PLANTA_BASE!A:R, 2, FALSE), "NO ENCONTRADO EN PLANTA"))</f>
        <v/>
      </c>
      <c r="B989" s="6" t="inlineStr"/>
      <c r="C989" s="7">
        <f>IF(B989="","",IFERROR(VLOOKUP(B989, PLANTA_BASE!A:R, 3, FALSE), ""))</f>
        <v/>
      </c>
      <c r="D989" s="5">
        <f>IF(B989="","",IFERROR(VLOOKUP(B989, PLANTA_BASE!A:R, 5, FALSE), "NO ENCONTRADO EN PLANTA"))</f>
        <v/>
      </c>
      <c r="E989" s="5">
        <f>IF(B989="","",IFERROR(VLOOKUP(B989, PLANTA_BASE!A:R, 6, FALSE), "NO ENCONTRADO EN PLANTA"))</f>
        <v/>
      </c>
      <c r="F989" s="7">
        <f>IF(B989="","",IFERROR(VLOOKUP(B989, PLANTA_BASE!A:R, 8, FALSE), "DOCENTE / FACILITADOR"))</f>
        <v/>
      </c>
      <c r="G989" s="7">
        <f>IF(B989="","",IFERROR(VLOOKUP(B989, PLANTA_BASE!A:R, 9, FALSE), "GENERAL"))</f>
        <v/>
      </c>
      <c r="H989" s="5">
        <f>IF(B989="","",IFERROR(VLOOKUP(B989, PLANTA_BASE!A:R, 17, FALSE), "GENERAL"))</f>
        <v/>
      </c>
    </row>
    <row r="990" ht="20" customHeight="1">
      <c r="A990" s="2">
        <f>IF(B990="","",IFERROR(VLOOKUP(B990, PLANTA_BASE!A:R, 2, FALSE), "NO ENCONTRADO EN PLANTA"))</f>
        <v/>
      </c>
      <c r="B990" s="3" t="inlineStr"/>
      <c r="C990" s="4">
        <f>IF(B990="","",IFERROR(VLOOKUP(B990, PLANTA_BASE!A:R, 3, FALSE), ""))</f>
        <v/>
      </c>
      <c r="D990" s="2">
        <f>IF(B990="","",IFERROR(VLOOKUP(B990, PLANTA_BASE!A:R, 5, FALSE), "NO ENCONTRADO EN PLANTA"))</f>
        <v/>
      </c>
      <c r="E990" s="2">
        <f>IF(B990="","",IFERROR(VLOOKUP(B990, PLANTA_BASE!A:R, 6, FALSE), "NO ENCONTRADO EN PLANTA"))</f>
        <v/>
      </c>
      <c r="F990" s="4">
        <f>IF(B990="","",IFERROR(VLOOKUP(B990, PLANTA_BASE!A:R, 8, FALSE), "DOCENTE / FACILITADOR"))</f>
        <v/>
      </c>
      <c r="G990" s="4">
        <f>IF(B990="","",IFERROR(VLOOKUP(B990, PLANTA_BASE!A:R, 9, FALSE), "GENERAL"))</f>
        <v/>
      </c>
      <c r="H990" s="2">
        <f>IF(B990="","",IFERROR(VLOOKUP(B990, PLANTA_BASE!A:R, 17, FALSE), "GENERAL"))</f>
        <v/>
      </c>
    </row>
    <row r="991" ht="20" customHeight="1">
      <c r="A991" s="5">
        <f>IF(B991="","",IFERROR(VLOOKUP(B991, PLANTA_BASE!A:R, 2, FALSE), "NO ENCONTRADO EN PLANTA"))</f>
        <v/>
      </c>
      <c r="B991" s="6" t="inlineStr"/>
      <c r="C991" s="7">
        <f>IF(B991="","",IFERROR(VLOOKUP(B991, PLANTA_BASE!A:R, 3, FALSE), ""))</f>
        <v/>
      </c>
      <c r="D991" s="5">
        <f>IF(B991="","",IFERROR(VLOOKUP(B991, PLANTA_BASE!A:R, 5, FALSE), "NO ENCONTRADO EN PLANTA"))</f>
        <v/>
      </c>
      <c r="E991" s="5">
        <f>IF(B991="","",IFERROR(VLOOKUP(B991, PLANTA_BASE!A:R, 6, FALSE), "NO ENCONTRADO EN PLANTA"))</f>
        <v/>
      </c>
      <c r="F991" s="7">
        <f>IF(B991="","",IFERROR(VLOOKUP(B991, PLANTA_BASE!A:R, 8, FALSE), "DOCENTE / FACILITADOR"))</f>
        <v/>
      </c>
      <c r="G991" s="7">
        <f>IF(B991="","",IFERROR(VLOOKUP(B991, PLANTA_BASE!A:R, 9, FALSE), "GENERAL"))</f>
        <v/>
      </c>
      <c r="H991" s="5">
        <f>IF(B991="","",IFERROR(VLOOKUP(B991, PLANTA_BASE!A:R, 17, FALSE), "GENERAL"))</f>
        <v/>
      </c>
    </row>
    <row r="992" ht="20" customHeight="1">
      <c r="A992" s="2">
        <f>IF(B992="","",IFERROR(VLOOKUP(B992, PLANTA_BASE!A:R, 2, FALSE), "NO ENCONTRADO EN PLANTA"))</f>
        <v/>
      </c>
      <c r="B992" s="3" t="inlineStr"/>
      <c r="C992" s="4">
        <f>IF(B992="","",IFERROR(VLOOKUP(B992, PLANTA_BASE!A:R, 3, FALSE), ""))</f>
        <v/>
      </c>
      <c r="D992" s="2">
        <f>IF(B992="","",IFERROR(VLOOKUP(B992, PLANTA_BASE!A:R, 5, FALSE), "NO ENCONTRADO EN PLANTA"))</f>
        <v/>
      </c>
      <c r="E992" s="2">
        <f>IF(B992="","",IFERROR(VLOOKUP(B992, PLANTA_BASE!A:R, 6, FALSE), "NO ENCONTRADO EN PLANTA"))</f>
        <v/>
      </c>
      <c r="F992" s="4">
        <f>IF(B992="","",IFERROR(VLOOKUP(B992, PLANTA_BASE!A:R, 8, FALSE), "DOCENTE / FACILITADOR"))</f>
        <v/>
      </c>
      <c r="G992" s="4">
        <f>IF(B992="","",IFERROR(VLOOKUP(B992, PLANTA_BASE!A:R, 9, FALSE), "GENERAL"))</f>
        <v/>
      </c>
      <c r="H992" s="2">
        <f>IF(B992="","",IFERROR(VLOOKUP(B992, PLANTA_BASE!A:R, 17, FALSE), "GENERAL"))</f>
        <v/>
      </c>
    </row>
    <row r="993" ht="20" customHeight="1">
      <c r="A993" s="5">
        <f>IF(B993="","",IFERROR(VLOOKUP(B993, PLANTA_BASE!A:R, 2, FALSE), "NO ENCONTRADO EN PLANTA"))</f>
        <v/>
      </c>
      <c r="B993" s="6" t="inlineStr"/>
      <c r="C993" s="7">
        <f>IF(B993="","",IFERROR(VLOOKUP(B993, PLANTA_BASE!A:R, 3, FALSE), ""))</f>
        <v/>
      </c>
      <c r="D993" s="5">
        <f>IF(B993="","",IFERROR(VLOOKUP(B993, PLANTA_BASE!A:R, 5, FALSE), "NO ENCONTRADO EN PLANTA"))</f>
        <v/>
      </c>
      <c r="E993" s="5">
        <f>IF(B993="","",IFERROR(VLOOKUP(B993, PLANTA_BASE!A:R, 6, FALSE), "NO ENCONTRADO EN PLANTA"))</f>
        <v/>
      </c>
      <c r="F993" s="7">
        <f>IF(B993="","",IFERROR(VLOOKUP(B993, PLANTA_BASE!A:R, 8, FALSE), "DOCENTE / FACILITADOR"))</f>
        <v/>
      </c>
      <c r="G993" s="7">
        <f>IF(B993="","",IFERROR(VLOOKUP(B993, PLANTA_BASE!A:R, 9, FALSE), "GENERAL"))</f>
        <v/>
      </c>
      <c r="H993" s="5">
        <f>IF(B993="","",IFERROR(VLOOKUP(B993, PLANTA_BASE!A:R, 17, FALSE), "GENERAL"))</f>
        <v/>
      </c>
    </row>
    <row r="994" ht="20" customHeight="1">
      <c r="A994" s="2">
        <f>IF(B994="","",IFERROR(VLOOKUP(B994, PLANTA_BASE!A:R, 2, FALSE), "NO ENCONTRADO EN PLANTA"))</f>
        <v/>
      </c>
      <c r="B994" s="3" t="inlineStr"/>
      <c r="C994" s="4">
        <f>IF(B994="","",IFERROR(VLOOKUP(B994, PLANTA_BASE!A:R, 3, FALSE), ""))</f>
        <v/>
      </c>
      <c r="D994" s="2">
        <f>IF(B994="","",IFERROR(VLOOKUP(B994, PLANTA_BASE!A:R, 5, FALSE), "NO ENCONTRADO EN PLANTA"))</f>
        <v/>
      </c>
      <c r="E994" s="2">
        <f>IF(B994="","",IFERROR(VLOOKUP(B994, PLANTA_BASE!A:R, 6, FALSE), "NO ENCONTRADO EN PLANTA"))</f>
        <v/>
      </c>
      <c r="F994" s="4">
        <f>IF(B994="","",IFERROR(VLOOKUP(B994, PLANTA_BASE!A:R, 8, FALSE), "DOCENTE / FACILITADOR"))</f>
        <v/>
      </c>
      <c r="G994" s="4">
        <f>IF(B994="","",IFERROR(VLOOKUP(B994, PLANTA_BASE!A:R, 9, FALSE), "GENERAL"))</f>
        <v/>
      </c>
      <c r="H994" s="2">
        <f>IF(B994="","",IFERROR(VLOOKUP(B994, PLANTA_BASE!A:R, 17, FALSE), "GENERAL"))</f>
        <v/>
      </c>
    </row>
    <row r="995" ht="20" customHeight="1">
      <c r="A995" s="5">
        <f>IF(B995="","",IFERROR(VLOOKUP(B995, PLANTA_BASE!A:R, 2, FALSE), "NO ENCONTRADO EN PLANTA"))</f>
        <v/>
      </c>
      <c r="B995" s="6" t="inlineStr"/>
      <c r="C995" s="7">
        <f>IF(B995="","",IFERROR(VLOOKUP(B995, PLANTA_BASE!A:R, 3, FALSE), ""))</f>
        <v/>
      </c>
      <c r="D995" s="5">
        <f>IF(B995="","",IFERROR(VLOOKUP(B995, PLANTA_BASE!A:R, 5, FALSE), "NO ENCONTRADO EN PLANTA"))</f>
        <v/>
      </c>
      <c r="E995" s="5">
        <f>IF(B995="","",IFERROR(VLOOKUP(B995, PLANTA_BASE!A:R, 6, FALSE), "NO ENCONTRADO EN PLANTA"))</f>
        <v/>
      </c>
      <c r="F995" s="7">
        <f>IF(B995="","",IFERROR(VLOOKUP(B995, PLANTA_BASE!A:R, 8, FALSE), "DOCENTE / FACILITADOR"))</f>
        <v/>
      </c>
      <c r="G995" s="7">
        <f>IF(B995="","",IFERROR(VLOOKUP(B995, PLANTA_BASE!A:R, 9, FALSE), "GENERAL"))</f>
        <v/>
      </c>
      <c r="H995" s="5">
        <f>IF(B995="","",IFERROR(VLOOKUP(B995, PLANTA_BASE!A:R, 17, FALSE), "GENERAL"))</f>
        <v/>
      </c>
    </row>
    <row r="996" ht="20" customHeight="1">
      <c r="A996" s="2">
        <f>IF(B996="","",IFERROR(VLOOKUP(B996, PLANTA_BASE!A:R, 2, FALSE), "NO ENCONTRADO EN PLANTA"))</f>
        <v/>
      </c>
      <c r="B996" s="3" t="inlineStr"/>
      <c r="C996" s="4">
        <f>IF(B996="","",IFERROR(VLOOKUP(B996, PLANTA_BASE!A:R, 3, FALSE), ""))</f>
        <v/>
      </c>
      <c r="D996" s="2">
        <f>IF(B996="","",IFERROR(VLOOKUP(B996, PLANTA_BASE!A:R, 5, FALSE), "NO ENCONTRADO EN PLANTA"))</f>
        <v/>
      </c>
      <c r="E996" s="2">
        <f>IF(B996="","",IFERROR(VLOOKUP(B996, PLANTA_BASE!A:R, 6, FALSE), "NO ENCONTRADO EN PLANTA"))</f>
        <v/>
      </c>
      <c r="F996" s="4">
        <f>IF(B996="","",IFERROR(VLOOKUP(B996, PLANTA_BASE!A:R, 8, FALSE), "DOCENTE / FACILITADOR"))</f>
        <v/>
      </c>
      <c r="G996" s="4">
        <f>IF(B996="","",IFERROR(VLOOKUP(B996, PLANTA_BASE!A:R, 9, FALSE), "GENERAL"))</f>
        <v/>
      </c>
      <c r="H996" s="2">
        <f>IF(B996="","",IFERROR(VLOOKUP(B996, PLANTA_BASE!A:R, 17, FALSE), "GENERAL"))</f>
        <v/>
      </c>
    </row>
    <row r="997" ht="20" customHeight="1">
      <c r="A997" s="5">
        <f>IF(B997="","",IFERROR(VLOOKUP(B997, PLANTA_BASE!A:R, 2, FALSE), "NO ENCONTRADO EN PLANTA"))</f>
        <v/>
      </c>
      <c r="B997" s="6" t="inlineStr"/>
      <c r="C997" s="7">
        <f>IF(B997="","",IFERROR(VLOOKUP(B997, PLANTA_BASE!A:R, 3, FALSE), ""))</f>
        <v/>
      </c>
      <c r="D997" s="5">
        <f>IF(B997="","",IFERROR(VLOOKUP(B997, PLANTA_BASE!A:R, 5, FALSE), "NO ENCONTRADO EN PLANTA"))</f>
        <v/>
      </c>
      <c r="E997" s="5">
        <f>IF(B997="","",IFERROR(VLOOKUP(B997, PLANTA_BASE!A:R, 6, FALSE), "NO ENCONTRADO EN PLANTA"))</f>
        <v/>
      </c>
      <c r="F997" s="7">
        <f>IF(B997="","",IFERROR(VLOOKUP(B997, PLANTA_BASE!A:R, 8, FALSE), "DOCENTE / FACILITADOR"))</f>
        <v/>
      </c>
      <c r="G997" s="7">
        <f>IF(B997="","",IFERROR(VLOOKUP(B997, PLANTA_BASE!A:R, 9, FALSE), "GENERAL"))</f>
        <v/>
      </c>
      <c r="H997" s="5">
        <f>IF(B997="","",IFERROR(VLOOKUP(B997, PLANTA_BASE!A:R, 17, FALSE), "GENERAL"))</f>
        <v/>
      </c>
    </row>
    <row r="998" ht="20" customHeight="1">
      <c r="A998" s="2">
        <f>IF(B998="","",IFERROR(VLOOKUP(B998, PLANTA_BASE!A:R, 2, FALSE), "NO ENCONTRADO EN PLANTA"))</f>
        <v/>
      </c>
      <c r="B998" s="3" t="inlineStr"/>
      <c r="C998" s="4">
        <f>IF(B998="","",IFERROR(VLOOKUP(B998, PLANTA_BASE!A:R, 3, FALSE), ""))</f>
        <v/>
      </c>
      <c r="D998" s="2">
        <f>IF(B998="","",IFERROR(VLOOKUP(B998, PLANTA_BASE!A:R, 5, FALSE), "NO ENCONTRADO EN PLANTA"))</f>
        <v/>
      </c>
      <c r="E998" s="2">
        <f>IF(B998="","",IFERROR(VLOOKUP(B998, PLANTA_BASE!A:R, 6, FALSE), "NO ENCONTRADO EN PLANTA"))</f>
        <v/>
      </c>
      <c r="F998" s="4">
        <f>IF(B998="","",IFERROR(VLOOKUP(B998, PLANTA_BASE!A:R, 8, FALSE), "DOCENTE / FACILITADOR"))</f>
        <v/>
      </c>
      <c r="G998" s="4">
        <f>IF(B998="","",IFERROR(VLOOKUP(B998, PLANTA_BASE!A:R, 9, FALSE), "GENERAL"))</f>
        <v/>
      </c>
      <c r="H998" s="2">
        <f>IF(B998="","",IFERROR(VLOOKUP(B998, PLANTA_BASE!A:R, 17, FALSE), "GENERAL"))</f>
        <v/>
      </c>
    </row>
    <row r="999" ht="20" customHeight="1">
      <c r="A999" s="5">
        <f>IF(B999="","",IFERROR(VLOOKUP(B999, PLANTA_BASE!A:R, 2, FALSE), "NO ENCONTRADO EN PLANTA"))</f>
        <v/>
      </c>
      <c r="B999" s="6" t="inlineStr"/>
      <c r="C999" s="7">
        <f>IF(B999="","",IFERROR(VLOOKUP(B999, PLANTA_BASE!A:R, 3, FALSE), ""))</f>
        <v/>
      </c>
      <c r="D999" s="5">
        <f>IF(B999="","",IFERROR(VLOOKUP(B999, PLANTA_BASE!A:R, 5, FALSE), "NO ENCONTRADO EN PLANTA"))</f>
        <v/>
      </c>
      <c r="E999" s="5">
        <f>IF(B999="","",IFERROR(VLOOKUP(B999, PLANTA_BASE!A:R, 6, FALSE), "NO ENCONTRADO EN PLANTA"))</f>
        <v/>
      </c>
      <c r="F999" s="7">
        <f>IF(B999="","",IFERROR(VLOOKUP(B999, PLANTA_BASE!A:R, 8, FALSE), "DOCENTE / FACILITADOR"))</f>
        <v/>
      </c>
      <c r="G999" s="7">
        <f>IF(B999="","",IFERROR(VLOOKUP(B999, PLANTA_BASE!A:R, 9, FALSE), "GENERAL"))</f>
        <v/>
      </c>
      <c r="H999" s="5">
        <f>IF(B999="","",IFERROR(VLOOKUP(B999, PLANTA_BASE!A:R, 17, FALSE), "GENERAL"))</f>
        <v/>
      </c>
    </row>
    <row r="1000" ht="20" customHeight="1">
      <c r="A1000" s="2">
        <f>IF(B1000="","",IFERROR(VLOOKUP(B1000, PLANTA_BASE!A:R, 2, FALSE), "NO ENCONTRADO EN PLANTA"))</f>
        <v/>
      </c>
      <c r="B1000" s="3" t="inlineStr"/>
      <c r="C1000" s="4">
        <f>IF(B1000="","",IFERROR(VLOOKUP(B1000, PLANTA_BASE!A:R, 3, FALSE), ""))</f>
        <v/>
      </c>
      <c r="D1000" s="2">
        <f>IF(B1000="","",IFERROR(VLOOKUP(B1000, PLANTA_BASE!A:R, 5, FALSE), "NO ENCONTRADO EN PLANTA"))</f>
        <v/>
      </c>
      <c r="E1000" s="2">
        <f>IF(B1000="","",IFERROR(VLOOKUP(B1000, PLANTA_BASE!A:R, 6, FALSE), "NO ENCONTRADO EN PLANTA"))</f>
        <v/>
      </c>
      <c r="F1000" s="4">
        <f>IF(B1000="","",IFERROR(VLOOKUP(B1000, PLANTA_BASE!A:R, 8, FALSE), "DOCENTE / FACILITADOR"))</f>
        <v/>
      </c>
      <c r="G1000" s="4">
        <f>IF(B1000="","",IFERROR(VLOOKUP(B1000, PLANTA_BASE!A:R, 9, FALSE), "GENERAL"))</f>
        <v/>
      </c>
      <c r="H1000" s="2">
        <f>IF(B1000="","",IFERROR(VLOOKUP(B1000, PLANTA_BASE!A:R, 17, FALSE), "GENERAL"))</f>
        <v/>
      </c>
    </row>
    <row r="1001" ht="20" customHeight="1">
      <c r="A1001" s="5">
        <f>IF(B1001="","",IFERROR(VLOOKUP(B1001, PLANTA_BASE!A:R, 2, FALSE), "NO ENCONTRADO EN PLANTA"))</f>
        <v/>
      </c>
      <c r="B1001" s="6" t="inlineStr"/>
      <c r="C1001" s="7">
        <f>IF(B1001="","",IFERROR(VLOOKUP(B1001, PLANTA_BASE!A:R, 3, FALSE), ""))</f>
        <v/>
      </c>
      <c r="D1001" s="5">
        <f>IF(B1001="","",IFERROR(VLOOKUP(B1001, PLANTA_BASE!A:R, 5, FALSE), "NO ENCONTRADO EN PLANTA"))</f>
        <v/>
      </c>
      <c r="E1001" s="5">
        <f>IF(B1001="","",IFERROR(VLOOKUP(B1001, PLANTA_BASE!A:R, 6, FALSE), "NO ENCONTRADO EN PLANTA"))</f>
        <v/>
      </c>
      <c r="F1001" s="7">
        <f>IF(B1001="","",IFERROR(VLOOKUP(B1001, PLANTA_BASE!A:R, 8, FALSE), "DOCENTE / FACILITADOR"))</f>
        <v/>
      </c>
      <c r="G1001" s="7">
        <f>IF(B1001="","",IFERROR(VLOOKUP(B1001, PLANTA_BASE!A:R, 9, FALSE), "GENERAL"))</f>
        <v/>
      </c>
      <c r="H1001" s="5">
        <f>IF(B1001="","",IFERROR(VLOOKUP(B1001, PLANTA_BASE!A:R, 17, FALSE), "GENERAL"))</f>
        <v/>
      </c>
    </row>
    <row r="1002" ht="20" customHeight="1">
      <c r="A1002" s="2">
        <f>IF(B1002="","",IFERROR(VLOOKUP(B1002, PLANTA_BASE!A:R, 2, FALSE), "NO ENCONTRADO EN PLANTA"))</f>
        <v/>
      </c>
      <c r="B1002" s="3" t="inlineStr"/>
      <c r="C1002" s="4">
        <f>IF(B1002="","",IFERROR(VLOOKUP(B1002, PLANTA_BASE!A:R, 3, FALSE), ""))</f>
        <v/>
      </c>
      <c r="D1002" s="2">
        <f>IF(B1002="","",IFERROR(VLOOKUP(B1002, PLANTA_BASE!A:R, 5, FALSE), "NO ENCONTRADO EN PLANTA"))</f>
        <v/>
      </c>
      <c r="E1002" s="2">
        <f>IF(B1002="","",IFERROR(VLOOKUP(B1002, PLANTA_BASE!A:R, 6, FALSE), "NO ENCONTRADO EN PLANTA"))</f>
        <v/>
      </c>
      <c r="F1002" s="4">
        <f>IF(B1002="","",IFERROR(VLOOKUP(B1002, PLANTA_BASE!A:R, 8, FALSE), "DOCENTE / FACILITADOR"))</f>
        <v/>
      </c>
      <c r="G1002" s="4">
        <f>IF(B1002="","",IFERROR(VLOOKUP(B1002, PLANTA_BASE!A:R, 9, FALSE), "GENERAL"))</f>
        <v/>
      </c>
      <c r="H1002" s="2">
        <f>IF(B1002="","",IFERROR(VLOOKUP(B1002, PLANTA_BASE!A:R, 17, FALSE), "GENERAL"))</f>
        <v/>
      </c>
    </row>
    <row r="1003" ht="20" customHeight="1">
      <c r="A1003" s="5">
        <f>IF(B1003="","",IFERROR(VLOOKUP(B1003, PLANTA_BASE!A:R, 2, FALSE), "NO ENCONTRADO EN PLANTA"))</f>
        <v/>
      </c>
      <c r="B1003" s="6" t="inlineStr"/>
      <c r="C1003" s="7">
        <f>IF(B1003="","",IFERROR(VLOOKUP(B1003, PLANTA_BASE!A:R, 3, FALSE), ""))</f>
        <v/>
      </c>
      <c r="D1003" s="5">
        <f>IF(B1003="","",IFERROR(VLOOKUP(B1003, PLANTA_BASE!A:R, 5, FALSE), "NO ENCONTRADO EN PLANTA"))</f>
        <v/>
      </c>
      <c r="E1003" s="5">
        <f>IF(B1003="","",IFERROR(VLOOKUP(B1003, PLANTA_BASE!A:R, 6, FALSE), "NO ENCONTRADO EN PLANTA"))</f>
        <v/>
      </c>
      <c r="F1003" s="7">
        <f>IF(B1003="","",IFERROR(VLOOKUP(B1003, PLANTA_BASE!A:R, 8, FALSE), "DOCENTE / FACILITADOR"))</f>
        <v/>
      </c>
      <c r="G1003" s="7">
        <f>IF(B1003="","",IFERROR(VLOOKUP(B1003, PLANTA_BASE!A:R, 9, FALSE), "GENERAL"))</f>
        <v/>
      </c>
      <c r="H1003" s="5">
        <f>IF(B1003="","",IFERROR(VLOOKUP(B1003, PLANTA_BASE!A:R, 17, FALSE), "GENERAL"))</f>
        <v/>
      </c>
    </row>
    <row r="1004" ht="20" customHeight="1">
      <c r="A1004" s="2">
        <f>IF(B1004="","",IFERROR(VLOOKUP(B1004, PLANTA_BASE!A:R, 2, FALSE), "NO ENCONTRADO EN PLANTA"))</f>
        <v/>
      </c>
      <c r="B1004" s="3" t="inlineStr"/>
      <c r="C1004" s="4">
        <f>IF(B1004="","",IFERROR(VLOOKUP(B1004, PLANTA_BASE!A:R, 3, FALSE), ""))</f>
        <v/>
      </c>
      <c r="D1004" s="2">
        <f>IF(B1004="","",IFERROR(VLOOKUP(B1004, PLANTA_BASE!A:R, 5, FALSE), "NO ENCONTRADO EN PLANTA"))</f>
        <v/>
      </c>
      <c r="E1004" s="2">
        <f>IF(B1004="","",IFERROR(VLOOKUP(B1004, PLANTA_BASE!A:R, 6, FALSE), "NO ENCONTRADO EN PLANTA"))</f>
        <v/>
      </c>
      <c r="F1004" s="4">
        <f>IF(B1004="","",IFERROR(VLOOKUP(B1004, PLANTA_BASE!A:R, 8, FALSE), "DOCENTE / FACILITADOR"))</f>
        <v/>
      </c>
      <c r="G1004" s="4">
        <f>IF(B1004="","",IFERROR(VLOOKUP(B1004, PLANTA_BASE!A:R, 9, FALSE), "GENERAL"))</f>
        <v/>
      </c>
      <c r="H1004" s="2">
        <f>IF(B1004="","",IFERROR(VLOOKUP(B1004, PLANTA_BASE!A:R, 17, FALSE), "GENERAL"))</f>
        <v/>
      </c>
    </row>
    <row r="1005" ht="20" customHeight="1">
      <c r="A1005" s="5">
        <f>IF(B1005="","",IFERROR(VLOOKUP(B1005, PLANTA_BASE!A:R, 2, FALSE), "NO ENCONTRADO EN PLANTA"))</f>
        <v/>
      </c>
      <c r="B1005" s="6" t="inlineStr"/>
      <c r="C1005" s="7">
        <f>IF(B1005="","",IFERROR(VLOOKUP(B1005, PLANTA_BASE!A:R, 3, FALSE), ""))</f>
        <v/>
      </c>
      <c r="D1005" s="5">
        <f>IF(B1005="","",IFERROR(VLOOKUP(B1005, PLANTA_BASE!A:R, 5, FALSE), "NO ENCONTRADO EN PLANTA"))</f>
        <v/>
      </c>
      <c r="E1005" s="5">
        <f>IF(B1005="","",IFERROR(VLOOKUP(B1005, PLANTA_BASE!A:R, 6, FALSE), "NO ENCONTRADO EN PLANTA"))</f>
        <v/>
      </c>
      <c r="F1005" s="7">
        <f>IF(B1005="","",IFERROR(VLOOKUP(B1005, PLANTA_BASE!A:R, 8, FALSE), "DOCENTE / FACILITADOR"))</f>
        <v/>
      </c>
      <c r="G1005" s="7">
        <f>IF(B1005="","",IFERROR(VLOOKUP(B1005, PLANTA_BASE!A:R, 9, FALSE), "GENERAL"))</f>
        <v/>
      </c>
      <c r="H1005" s="5">
        <f>IF(B1005="","",IFERROR(VLOOKUP(B1005, PLANTA_BASE!A:R, 17, FALSE), "GENERAL"))</f>
        <v/>
      </c>
    </row>
    <row r="1006" ht="20" customHeight="1">
      <c r="A1006" s="2">
        <f>IF(B1006="","",IFERROR(VLOOKUP(B1006, PLANTA_BASE!A:R, 2, FALSE), "NO ENCONTRADO EN PLANTA"))</f>
        <v/>
      </c>
      <c r="B1006" s="3" t="inlineStr"/>
      <c r="C1006" s="4">
        <f>IF(B1006="","",IFERROR(VLOOKUP(B1006, PLANTA_BASE!A:R, 3, FALSE), ""))</f>
        <v/>
      </c>
      <c r="D1006" s="2">
        <f>IF(B1006="","",IFERROR(VLOOKUP(B1006, PLANTA_BASE!A:R, 5, FALSE), "NO ENCONTRADO EN PLANTA"))</f>
        <v/>
      </c>
      <c r="E1006" s="2">
        <f>IF(B1006="","",IFERROR(VLOOKUP(B1006, PLANTA_BASE!A:R, 6, FALSE), "NO ENCONTRADO EN PLANTA"))</f>
        <v/>
      </c>
      <c r="F1006" s="4">
        <f>IF(B1006="","",IFERROR(VLOOKUP(B1006, PLANTA_BASE!A:R, 8, FALSE), "DOCENTE / FACILITADOR"))</f>
        <v/>
      </c>
      <c r="G1006" s="4">
        <f>IF(B1006="","",IFERROR(VLOOKUP(B1006, PLANTA_BASE!A:R, 9, FALSE), "GENERAL"))</f>
        <v/>
      </c>
      <c r="H1006" s="2">
        <f>IF(B1006="","",IFERROR(VLOOKUP(B1006, PLANTA_BASE!A:R, 17, FALSE), "GENERAL"))</f>
        <v/>
      </c>
    </row>
    <row r="1007" ht="20" customHeight="1">
      <c r="A1007" s="5">
        <f>IF(B1007="","",IFERROR(VLOOKUP(B1007, PLANTA_BASE!A:R, 2, FALSE), "NO ENCONTRADO EN PLANTA"))</f>
        <v/>
      </c>
      <c r="B1007" s="6" t="inlineStr"/>
      <c r="C1007" s="7">
        <f>IF(B1007="","",IFERROR(VLOOKUP(B1007, PLANTA_BASE!A:R, 3, FALSE), ""))</f>
        <v/>
      </c>
      <c r="D1007" s="5">
        <f>IF(B1007="","",IFERROR(VLOOKUP(B1007, PLANTA_BASE!A:R, 5, FALSE), "NO ENCONTRADO EN PLANTA"))</f>
        <v/>
      </c>
      <c r="E1007" s="5">
        <f>IF(B1007="","",IFERROR(VLOOKUP(B1007, PLANTA_BASE!A:R, 6, FALSE), "NO ENCONTRADO EN PLANTA"))</f>
        <v/>
      </c>
      <c r="F1007" s="7">
        <f>IF(B1007="","",IFERROR(VLOOKUP(B1007, PLANTA_BASE!A:R, 8, FALSE), "DOCENTE / FACILITADOR"))</f>
        <v/>
      </c>
      <c r="G1007" s="7">
        <f>IF(B1007="","",IFERROR(VLOOKUP(B1007, PLANTA_BASE!A:R, 9, FALSE), "GENERAL"))</f>
        <v/>
      </c>
      <c r="H1007" s="5">
        <f>IF(B1007="","",IFERROR(VLOOKUP(B1007, PLANTA_BASE!A:R, 17, FALSE), "GENERAL"))</f>
        <v/>
      </c>
    </row>
    <row r="1008" ht="20" customHeight="1">
      <c r="A1008" s="2">
        <f>IF(B1008="","",IFERROR(VLOOKUP(B1008, PLANTA_BASE!A:R, 2, FALSE), "NO ENCONTRADO EN PLANTA"))</f>
        <v/>
      </c>
      <c r="B1008" s="3" t="inlineStr"/>
      <c r="C1008" s="4">
        <f>IF(B1008="","",IFERROR(VLOOKUP(B1008, PLANTA_BASE!A:R, 3, FALSE), ""))</f>
        <v/>
      </c>
      <c r="D1008" s="2">
        <f>IF(B1008="","",IFERROR(VLOOKUP(B1008, PLANTA_BASE!A:R, 5, FALSE), "NO ENCONTRADO EN PLANTA"))</f>
        <v/>
      </c>
      <c r="E1008" s="2">
        <f>IF(B1008="","",IFERROR(VLOOKUP(B1008, PLANTA_BASE!A:R, 6, FALSE), "NO ENCONTRADO EN PLANTA"))</f>
        <v/>
      </c>
      <c r="F1008" s="4">
        <f>IF(B1008="","",IFERROR(VLOOKUP(B1008, PLANTA_BASE!A:R, 8, FALSE), "DOCENTE / FACILITADOR"))</f>
        <v/>
      </c>
      <c r="G1008" s="4">
        <f>IF(B1008="","",IFERROR(VLOOKUP(B1008, PLANTA_BASE!A:R, 9, FALSE), "GENERAL"))</f>
        <v/>
      </c>
      <c r="H1008" s="2">
        <f>IF(B1008="","",IFERROR(VLOOKUP(B1008, PLANTA_BASE!A:R, 17, FALSE), "GENERAL"))</f>
        <v/>
      </c>
    </row>
    <row r="1009" ht="20" customHeight="1">
      <c r="A1009" s="5">
        <f>IF(B1009="","",IFERROR(VLOOKUP(B1009, PLANTA_BASE!A:R, 2, FALSE), "NO ENCONTRADO EN PLANTA"))</f>
        <v/>
      </c>
      <c r="B1009" s="6" t="inlineStr"/>
      <c r="C1009" s="7">
        <f>IF(B1009="","",IFERROR(VLOOKUP(B1009, PLANTA_BASE!A:R, 3, FALSE), ""))</f>
        <v/>
      </c>
      <c r="D1009" s="5">
        <f>IF(B1009="","",IFERROR(VLOOKUP(B1009, PLANTA_BASE!A:R, 5, FALSE), "NO ENCONTRADO EN PLANTA"))</f>
        <v/>
      </c>
      <c r="E1009" s="5">
        <f>IF(B1009="","",IFERROR(VLOOKUP(B1009, PLANTA_BASE!A:R, 6, FALSE), "NO ENCONTRADO EN PLANTA"))</f>
        <v/>
      </c>
      <c r="F1009" s="7">
        <f>IF(B1009="","",IFERROR(VLOOKUP(B1009, PLANTA_BASE!A:R, 8, FALSE), "DOCENTE / FACILITADOR"))</f>
        <v/>
      </c>
      <c r="G1009" s="7">
        <f>IF(B1009="","",IFERROR(VLOOKUP(B1009, PLANTA_BASE!A:R, 9, FALSE), "GENERAL"))</f>
        <v/>
      </c>
      <c r="H1009" s="5">
        <f>IF(B1009="","",IFERROR(VLOOKUP(B1009, PLANTA_BASE!A:R, 17, FALSE), "GENERAL"))</f>
        <v/>
      </c>
    </row>
    <row r="1010" ht="20" customHeight="1">
      <c r="A1010" s="2">
        <f>IF(B1010="","",IFERROR(VLOOKUP(B1010, PLANTA_BASE!A:R, 2, FALSE), "NO ENCONTRADO EN PLANTA"))</f>
        <v/>
      </c>
      <c r="B1010" s="3" t="inlineStr"/>
      <c r="C1010" s="4">
        <f>IF(B1010="","",IFERROR(VLOOKUP(B1010, PLANTA_BASE!A:R, 3, FALSE), ""))</f>
        <v/>
      </c>
      <c r="D1010" s="2">
        <f>IF(B1010="","",IFERROR(VLOOKUP(B1010, PLANTA_BASE!A:R, 5, FALSE), "NO ENCONTRADO EN PLANTA"))</f>
        <v/>
      </c>
      <c r="E1010" s="2">
        <f>IF(B1010="","",IFERROR(VLOOKUP(B1010, PLANTA_BASE!A:R, 6, FALSE), "NO ENCONTRADO EN PLANTA"))</f>
        <v/>
      </c>
      <c r="F1010" s="4">
        <f>IF(B1010="","",IFERROR(VLOOKUP(B1010, PLANTA_BASE!A:R, 8, FALSE), "DOCENTE / FACILITADOR"))</f>
        <v/>
      </c>
      <c r="G1010" s="4">
        <f>IF(B1010="","",IFERROR(VLOOKUP(B1010, PLANTA_BASE!A:R, 9, FALSE), "GENERAL"))</f>
        <v/>
      </c>
      <c r="H1010" s="2">
        <f>IF(B1010="","",IFERROR(VLOOKUP(B1010, PLANTA_BASE!A:R, 17, FALSE), "GENERAL"))</f>
        <v/>
      </c>
    </row>
    <row r="1011" ht="20" customHeight="1">
      <c r="A1011" s="5">
        <f>IF(B1011="","",IFERROR(VLOOKUP(B1011, PLANTA_BASE!A:R, 2, FALSE), "NO ENCONTRADO EN PLANTA"))</f>
        <v/>
      </c>
      <c r="B1011" s="6" t="inlineStr"/>
      <c r="C1011" s="7">
        <f>IF(B1011="","",IFERROR(VLOOKUP(B1011, PLANTA_BASE!A:R, 3, FALSE), ""))</f>
        <v/>
      </c>
      <c r="D1011" s="5">
        <f>IF(B1011="","",IFERROR(VLOOKUP(B1011, PLANTA_BASE!A:R, 5, FALSE), "NO ENCONTRADO EN PLANTA"))</f>
        <v/>
      </c>
      <c r="E1011" s="5">
        <f>IF(B1011="","",IFERROR(VLOOKUP(B1011, PLANTA_BASE!A:R, 6, FALSE), "NO ENCONTRADO EN PLANTA"))</f>
        <v/>
      </c>
      <c r="F1011" s="7">
        <f>IF(B1011="","",IFERROR(VLOOKUP(B1011, PLANTA_BASE!A:R, 8, FALSE), "DOCENTE / FACILITADOR"))</f>
        <v/>
      </c>
      <c r="G1011" s="7">
        <f>IF(B1011="","",IFERROR(VLOOKUP(B1011, PLANTA_BASE!A:R, 9, FALSE), "GENERAL"))</f>
        <v/>
      </c>
      <c r="H1011" s="5">
        <f>IF(B1011="","",IFERROR(VLOOKUP(B1011, PLANTA_BASE!A:R, 17, FALSE), "GENERAL"))</f>
        <v/>
      </c>
    </row>
    <row r="1012" ht="20" customHeight="1">
      <c r="A1012" s="2">
        <f>IF(B1012="","",IFERROR(VLOOKUP(B1012, PLANTA_BASE!A:R, 2, FALSE), "NO ENCONTRADO EN PLANTA"))</f>
        <v/>
      </c>
      <c r="B1012" s="3" t="inlineStr"/>
      <c r="C1012" s="4">
        <f>IF(B1012="","",IFERROR(VLOOKUP(B1012, PLANTA_BASE!A:R, 3, FALSE), ""))</f>
        <v/>
      </c>
      <c r="D1012" s="2">
        <f>IF(B1012="","",IFERROR(VLOOKUP(B1012, PLANTA_BASE!A:R, 5, FALSE), "NO ENCONTRADO EN PLANTA"))</f>
        <v/>
      </c>
      <c r="E1012" s="2">
        <f>IF(B1012="","",IFERROR(VLOOKUP(B1012, PLANTA_BASE!A:R, 6, FALSE), "NO ENCONTRADO EN PLANTA"))</f>
        <v/>
      </c>
      <c r="F1012" s="4">
        <f>IF(B1012="","",IFERROR(VLOOKUP(B1012, PLANTA_BASE!A:R, 8, FALSE), "DOCENTE / FACILITADOR"))</f>
        <v/>
      </c>
      <c r="G1012" s="4">
        <f>IF(B1012="","",IFERROR(VLOOKUP(B1012, PLANTA_BASE!A:R, 9, FALSE), "GENERAL"))</f>
        <v/>
      </c>
      <c r="H1012" s="2">
        <f>IF(B1012="","",IFERROR(VLOOKUP(B1012, PLANTA_BASE!A:R, 17, FALSE), "GENERAL"))</f>
        <v/>
      </c>
    </row>
    <row r="1013" ht="20" customHeight="1">
      <c r="A1013" s="5">
        <f>IF(B1013="","",IFERROR(VLOOKUP(B1013, PLANTA_BASE!A:R, 2, FALSE), "NO ENCONTRADO EN PLANTA"))</f>
        <v/>
      </c>
      <c r="B1013" s="6" t="inlineStr"/>
      <c r="C1013" s="7">
        <f>IF(B1013="","",IFERROR(VLOOKUP(B1013, PLANTA_BASE!A:R, 3, FALSE), ""))</f>
        <v/>
      </c>
      <c r="D1013" s="5">
        <f>IF(B1013="","",IFERROR(VLOOKUP(B1013, PLANTA_BASE!A:R, 5, FALSE), "NO ENCONTRADO EN PLANTA"))</f>
        <v/>
      </c>
      <c r="E1013" s="5">
        <f>IF(B1013="","",IFERROR(VLOOKUP(B1013, PLANTA_BASE!A:R, 6, FALSE), "NO ENCONTRADO EN PLANTA"))</f>
        <v/>
      </c>
      <c r="F1013" s="7">
        <f>IF(B1013="","",IFERROR(VLOOKUP(B1013, PLANTA_BASE!A:R, 8, FALSE), "DOCENTE / FACILITADOR"))</f>
        <v/>
      </c>
      <c r="G1013" s="7">
        <f>IF(B1013="","",IFERROR(VLOOKUP(B1013, PLANTA_BASE!A:R, 9, FALSE), "GENERAL"))</f>
        <v/>
      </c>
      <c r="H1013" s="5">
        <f>IF(B1013="","",IFERROR(VLOOKUP(B1013, PLANTA_BASE!A:R, 17, FALSE), "GENERAL"))</f>
        <v/>
      </c>
    </row>
    <row r="1014" ht="20" customHeight="1">
      <c r="A1014" s="2">
        <f>IF(B1014="","",IFERROR(VLOOKUP(B1014, PLANTA_BASE!A:R, 2, FALSE), "NO ENCONTRADO EN PLANTA"))</f>
        <v/>
      </c>
      <c r="B1014" s="3" t="inlineStr"/>
      <c r="C1014" s="4">
        <f>IF(B1014="","",IFERROR(VLOOKUP(B1014, PLANTA_BASE!A:R, 3, FALSE), ""))</f>
        <v/>
      </c>
      <c r="D1014" s="2">
        <f>IF(B1014="","",IFERROR(VLOOKUP(B1014, PLANTA_BASE!A:R, 5, FALSE), "NO ENCONTRADO EN PLANTA"))</f>
        <v/>
      </c>
      <c r="E1014" s="2">
        <f>IF(B1014="","",IFERROR(VLOOKUP(B1014, PLANTA_BASE!A:R, 6, FALSE), "NO ENCONTRADO EN PLANTA"))</f>
        <v/>
      </c>
      <c r="F1014" s="4">
        <f>IF(B1014="","",IFERROR(VLOOKUP(B1014, PLANTA_BASE!A:R, 8, FALSE), "DOCENTE / FACILITADOR"))</f>
        <v/>
      </c>
      <c r="G1014" s="4">
        <f>IF(B1014="","",IFERROR(VLOOKUP(B1014, PLANTA_BASE!A:R, 9, FALSE), "GENERAL"))</f>
        <v/>
      </c>
      <c r="H1014" s="2">
        <f>IF(B1014="","",IFERROR(VLOOKUP(B1014, PLANTA_BASE!A:R, 17, FALSE), "GENERAL"))</f>
        <v/>
      </c>
    </row>
    <row r="1015" ht="20" customHeight="1">
      <c r="A1015" s="5">
        <f>IF(B1015="","",IFERROR(VLOOKUP(B1015, PLANTA_BASE!A:R, 2, FALSE), "NO ENCONTRADO EN PLANTA"))</f>
        <v/>
      </c>
      <c r="B1015" s="6" t="inlineStr"/>
      <c r="C1015" s="7">
        <f>IF(B1015="","",IFERROR(VLOOKUP(B1015, PLANTA_BASE!A:R, 3, FALSE), ""))</f>
        <v/>
      </c>
      <c r="D1015" s="5">
        <f>IF(B1015="","",IFERROR(VLOOKUP(B1015, PLANTA_BASE!A:R, 5, FALSE), "NO ENCONTRADO EN PLANTA"))</f>
        <v/>
      </c>
      <c r="E1015" s="5">
        <f>IF(B1015="","",IFERROR(VLOOKUP(B1015, PLANTA_BASE!A:R, 6, FALSE), "NO ENCONTRADO EN PLANTA"))</f>
        <v/>
      </c>
      <c r="F1015" s="7">
        <f>IF(B1015="","",IFERROR(VLOOKUP(B1015, PLANTA_BASE!A:R, 8, FALSE), "DOCENTE / FACILITADOR"))</f>
        <v/>
      </c>
      <c r="G1015" s="7">
        <f>IF(B1015="","",IFERROR(VLOOKUP(B1015, PLANTA_BASE!A:R, 9, FALSE), "GENERAL"))</f>
        <v/>
      </c>
      <c r="H1015" s="5">
        <f>IF(B1015="","",IFERROR(VLOOKUP(B1015, PLANTA_BASE!A:R, 17, FALSE), "GENERAL"))</f>
        <v/>
      </c>
    </row>
    <row r="1016" ht="20" customHeight="1">
      <c r="A1016" s="2">
        <f>IF(B1016="","",IFERROR(VLOOKUP(B1016, PLANTA_BASE!A:R, 2, FALSE), "NO ENCONTRADO EN PLANTA"))</f>
        <v/>
      </c>
      <c r="B1016" s="3" t="inlineStr"/>
      <c r="C1016" s="4">
        <f>IF(B1016="","",IFERROR(VLOOKUP(B1016, PLANTA_BASE!A:R, 3, FALSE), ""))</f>
        <v/>
      </c>
      <c r="D1016" s="2">
        <f>IF(B1016="","",IFERROR(VLOOKUP(B1016, PLANTA_BASE!A:R, 5, FALSE), "NO ENCONTRADO EN PLANTA"))</f>
        <v/>
      </c>
      <c r="E1016" s="2">
        <f>IF(B1016="","",IFERROR(VLOOKUP(B1016, PLANTA_BASE!A:R, 6, FALSE), "NO ENCONTRADO EN PLANTA"))</f>
        <v/>
      </c>
      <c r="F1016" s="4">
        <f>IF(B1016="","",IFERROR(VLOOKUP(B1016, PLANTA_BASE!A:R, 8, FALSE), "DOCENTE / FACILITADOR"))</f>
        <v/>
      </c>
      <c r="G1016" s="4">
        <f>IF(B1016="","",IFERROR(VLOOKUP(B1016, PLANTA_BASE!A:R, 9, FALSE), "GENERAL"))</f>
        <v/>
      </c>
      <c r="H1016" s="2">
        <f>IF(B1016="","",IFERROR(VLOOKUP(B1016, PLANTA_BASE!A:R, 17, FALSE), "GENERAL"))</f>
        <v/>
      </c>
    </row>
    <row r="1017" ht="20" customHeight="1">
      <c r="A1017" s="5">
        <f>IF(B1017="","",IFERROR(VLOOKUP(B1017, PLANTA_BASE!A:R, 2, FALSE), "NO ENCONTRADO EN PLANTA"))</f>
        <v/>
      </c>
      <c r="B1017" s="6" t="inlineStr"/>
      <c r="C1017" s="7">
        <f>IF(B1017="","",IFERROR(VLOOKUP(B1017, PLANTA_BASE!A:R, 3, FALSE), ""))</f>
        <v/>
      </c>
      <c r="D1017" s="5">
        <f>IF(B1017="","",IFERROR(VLOOKUP(B1017, PLANTA_BASE!A:R, 5, FALSE), "NO ENCONTRADO EN PLANTA"))</f>
        <v/>
      </c>
      <c r="E1017" s="5">
        <f>IF(B1017="","",IFERROR(VLOOKUP(B1017, PLANTA_BASE!A:R, 6, FALSE), "NO ENCONTRADO EN PLANTA"))</f>
        <v/>
      </c>
      <c r="F1017" s="7">
        <f>IF(B1017="","",IFERROR(VLOOKUP(B1017, PLANTA_BASE!A:R, 8, FALSE), "DOCENTE / FACILITADOR"))</f>
        <v/>
      </c>
      <c r="G1017" s="7">
        <f>IF(B1017="","",IFERROR(VLOOKUP(B1017, PLANTA_BASE!A:R, 9, FALSE), "GENERAL"))</f>
        <v/>
      </c>
      <c r="H1017" s="5">
        <f>IF(B1017="","",IFERROR(VLOOKUP(B1017, PLANTA_BASE!A:R, 17, FALSE), "GENERAL"))</f>
        <v/>
      </c>
    </row>
    <row r="1018" ht="20" customHeight="1">
      <c r="A1018" s="2">
        <f>IF(B1018="","",IFERROR(VLOOKUP(B1018, PLANTA_BASE!A:R, 2, FALSE), "NO ENCONTRADO EN PLANTA"))</f>
        <v/>
      </c>
      <c r="B1018" s="3" t="inlineStr"/>
      <c r="C1018" s="4">
        <f>IF(B1018="","",IFERROR(VLOOKUP(B1018, PLANTA_BASE!A:R, 3, FALSE), ""))</f>
        <v/>
      </c>
      <c r="D1018" s="2">
        <f>IF(B1018="","",IFERROR(VLOOKUP(B1018, PLANTA_BASE!A:R, 5, FALSE), "NO ENCONTRADO EN PLANTA"))</f>
        <v/>
      </c>
      <c r="E1018" s="2">
        <f>IF(B1018="","",IFERROR(VLOOKUP(B1018, PLANTA_BASE!A:R, 6, FALSE), "NO ENCONTRADO EN PLANTA"))</f>
        <v/>
      </c>
      <c r="F1018" s="4">
        <f>IF(B1018="","",IFERROR(VLOOKUP(B1018, PLANTA_BASE!A:R, 8, FALSE), "DOCENTE / FACILITADOR"))</f>
        <v/>
      </c>
      <c r="G1018" s="4">
        <f>IF(B1018="","",IFERROR(VLOOKUP(B1018, PLANTA_BASE!A:R, 9, FALSE), "GENERAL"))</f>
        <v/>
      </c>
      <c r="H1018" s="2">
        <f>IF(B1018="","",IFERROR(VLOOKUP(B1018, PLANTA_BASE!A:R, 17, FALSE), "GENERAL"))</f>
        <v/>
      </c>
    </row>
    <row r="1019" ht="20" customHeight="1">
      <c r="A1019" s="5">
        <f>IF(B1019="","",IFERROR(VLOOKUP(B1019, PLANTA_BASE!A:R, 2, FALSE), "NO ENCONTRADO EN PLANTA"))</f>
        <v/>
      </c>
      <c r="B1019" s="6" t="inlineStr"/>
      <c r="C1019" s="7">
        <f>IF(B1019="","",IFERROR(VLOOKUP(B1019, PLANTA_BASE!A:R, 3, FALSE), ""))</f>
        <v/>
      </c>
      <c r="D1019" s="5">
        <f>IF(B1019="","",IFERROR(VLOOKUP(B1019, PLANTA_BASE!A:R, 5, FALSE), "NO ENCONTRADO EN PLANTA"))</f>
        <v/>
      </c>
      <c r="E1019" s="5">
        <f>IF(B1019="","",IFERROR(VLOOKUP(B1019, PLANTA_BASE!A:R, 6, FALSE), "NO ENCONTRADO EN PLANTA"))</f>
        <v/>
      </c>
      <c r="F1019" s="7">
        <f>IF(B1019="","",IFERROR(VLOOKUP(B1019, PLANTA_BASE!A:R, 8, FALSE), "DOCENTE / FACILITADOR"))</f>
        <v/>
      </c>
      <c r="G1019" s="7">
        <f>IF(B1019="","",IFERROR(VLOOKUP(B1019, PLANTA_BASE!A:R, 9, FALSE), "GENERAL"))</f>
        <v/>
      </c>
      <c r="H1019" s="5">
        <f>IF(B1019="","",IFERROR(VLOOKUP(B1019, PLANTA_BASE!A:R, 17, FALSE), "GENERAL"))</f>
        <v/>
      </c>
    </row>
    <row r="1020" ht="20" customHeight="1">
      <c r="A1020" s="2">
        <f>IF(B1020="","",IFERROR(VLOOKUP(B1020, PLANTA_BASE!A:R, 2, FALSE), "NO ENCONTRADO EN PLANTA"))</f>
        <v/>
      </c>
      <c r="B1020" s="3" t="inlineStr"/>
      <c r="C1020" s="4">
        <f>IF(B1020="","",IFERROR(VLOOKUP(B1020, PLANTA_BASE!A:R, 3, FALSE), ""))</f>
        <v/>
      </c>
      <c r="D1020" s="2">
        <f>IF(B1020="","",IFERROR(VLOOKUP(B1020, PLANTA_BASE!A:R, 5, FALSE), "NO ENCONTRADO EN PLANTA"))</f>
        <v/>
      </c>
      <c r="E1020" s="2">
        <f>IF(B1020="","",IFERROR(VLOOKUP(B1020, PLANTA_BASE!A:R, 6, FALSE), "NO ENCONTRADO EN PLANTA"))</f>
        <v/>
      </c>
      <c r="F1020" s="4">
        <f>IF(B1020="","",IFERROR(VLOOKUP(B1020, PLANTA_BASE!A:R, 8, FALSE), "DOCENTE / FACILITADOR"))</f>
        <v/>
      </c>
      <c r="G1020" s="4">
        <f>IF(B1020="","",IFERROR(VLOOKUP(B1020, PLANTA_BASE!A:R, 9, FALSE), "GENERAL"))</f>
        <v/>
      </c>
      <c r="H1020" s="2">
        <f>IF(B1020="","",IFERROR(VLOOKUP(B1020, PLANTA_BASE!A:R, 17, FALSE), "GENERAL"))</f>
        <v/>
      </c>
    </row>
    <row r="1021" ht="20" customHeight="1">
      <c r="A1021" s="5">
        <f>IF(B1021="","",IFERROR(VLOOKUP(B1021, PLANTA_BASE!A:R, 2, FALSE), "NO ENCONTRADO EN PLANTA"))</f>
        <v/>
      </c>
      <c r="B1021" s="6" t="inlineStr"/>
      <c r="C1021" s="7">
        <f>IF(B1021="","",IFERROR(VLOOKUP(B1021, PLANTA_BASE!A:R, 3, FALSE), ""))</f>
        <v/>
      </c>
      <c r="D1021" s="5">
        <f>IF(B1021="","",IFERROR(VLOOKUP(B1021, PLANTA_BASE!A:R, 5, FALSE), "NO ENCONTRADO EN PLANTA"))</f>
        <v/>
      </c>
      <c r="E1021" s="5">
        <f>IF(B1021="","",IFERROR(VLOOKUP(B1021, PLANTA_BASE!A:R, 6, FALSE), "NO ENCONTRADO EN PLANTA"))</f>
        <v/>
      </c>
      <c r="F1021" s="7">
        <f>IF(B1021="","",IFERROR(VLOOKUP(B1021, PLANTA_BASE!A:R, 8, FALSE), "DOCENTE / FACILITADOR"))</f>
        <v/>
      </c>
      <c r="G1021" s="7">
        <f>IF(B1021="","",IFERROR(VLOOKUP(B1021, PLANTA_BASE!A:R, 9, FALSE), "GENERAL"))</f>
        <v/>
      </c>
      <c r="H1021" s="5">
        <f>IF(B1021="","",IFERROR(VLOOKUP(B1021, PLANTA_BASE!A:R, 17, FALSE), "GENERAL"))</f>
        <v/>
      </c>
    </row>
    <row r="1022" ht="20" customHeight="1">
      <c r="A1022" s="2">
        <f>IF(B1022="","",IFERROR(VLOOKUP(B1022, PLANTA_BASE!A:R, 2, FALSE), "NO ENCONTRADO EN PLANTA"))</f>
        <v/>
      </c>
      <c r="B1022" s="3" t="inlineStr"/>
      <c r="C1022" s="4">
        <f>IF(B1022="","",IFERROR(VLOOKUP(B1022, PLANTA_BASE!A:R, 3, FALSE), ""))</f>
        <v/>
      </c>
      <c r="D1022" s="2">
        <f>IF(B1022="","",IFERROR(VLOOKUP(B1022, PLANTA_BASE!A:R, 5, FALSE), "NO ENCONTRADO EN PLANTA"))</f>
        <v/>
      </c>
      <c r="E1022" s="2">
        <f>IF(B1022="","",IFERROR(VLOOKUP(B1022, PLANTA_BASE!A:R, 6, FALSE), "NO ENCONTRADO EN PLANTA"))</f>
        <v/>
      </c>
      <c r="F1022" s="4">
        <f>IF(B1022="","",IFERROR(VLOOKUP(B1022, PLANTA_BASE!A:R, 8, FALSE), "DOCENTE / FACILITADOR"))</f>
        <v/>
      </c>
      <c r="G1022" s="4">
        <f>IF(B1022="","",IFERROR(VLOOKUP(B1022, PLANTA_BASE!A:R, 9, FALSE), "GENERAL"))</f>
        <v/>
      </c>
      <c r="H1022" s="2">
        <f>IF(B1022="","",IFERROR(VLOOKUP(B1022, PLANTA_BASE!A:R, 17, FALSE), "GENERAL"))</f>
        <v/>
      </c>
    </row>
    <row r="1023" ht="20" customHeight="1">
      <c r="A1023" s="5">
        <f>IF(B1023="","",IFERROR(VLOOKUP(B1023, PLANTA_BASE!A:R, 2, FALSE), "NO ENCONTRADO EN PLANTA"))</f>
        <v/>
      </c>
      <c r="B1023" s="6" t="inlineStr"/>
      <c r="C1023" s="7">
        <f>IF(B1023="","",IFERROR(VLOOKUP(B1023, PLANTA_BASE!A:R, 3, FALSE), ""))</f>
        <v/>
      </c>
      <c r="D1023" s="5">
        <f>IF(B1023="","",IFERROR(VLOOKUP(B1023, PLANTA_BASE!A:R, 5, FALSE), "NO ENCONTRADO EN PLANTA"))</f>
        <v/>
      </c>
      <c r="E1023" s="5">
        <f>IF(B1023="","",IFERROR(VLOOKUP(B1023, PLANTA_BASE!A:R, 6, FALSE), "NO ENCONTRADO EN PLANTA"))</f>
        <v/>
      </c>
      <c r="F1023" s="7">
        <f>IF(B1023="","",IFERROR(VLOOKUP(B1023, PLANTA_BASE!A:R, 8, FALSE), "DOCENTE / FACILITADOR"))</f>
        <v/>
      </c>
      <c r="G1023" s="7">
        <f>IF(B1023="","",IFERROR(VLOOKUP(B1023, PLANTA_BASE!A:R, 9, FALSE), "GENERAL"))</f>
        <v/>
      </c>
      <c r="H1023" s="5">
        <f>IF(B1023="","",IFERROR(VLOOKUP(B1023, PLANTA_BASE!A:R, 17, FALSE), "GENERAL"))</f>
        <v/>
      </c>
    </row>
    <row r="1024" ht="20" customHeight="1">
      <c r="A1024" s="2">
        <f>IF(B1024="","",IFERROR(VLOOKUP(B1024, PLANTA_BASE!A:R, 2, FALSE), "NO ENCONTRADO EN PLANTA"))</f>
        <v/>
      </c>
      <c r="B1024" s="3" t="inlineStr"/>
      <c r="C1024" s="4">
        <f>IF(B1024="","",IFERROR(VLOOKUP(B1024, PLANTA_BASE!A:R, 3, FALSE), ""))</f>
        <v/>
      </c>
      <c r="D1024" s="2">
        <f>IF(B1024="","",IFERROR(VLOOKUP(B1024, PLANTA_BASE!A:R, 5, FALSE), "NO ENCONTRADO EN PLANTA"))</f>
        <v/>
      </c>
      <c r="E1024" s="2">
        <f>IF(B1024="","",IFERROR(VLOOKUP(B1024, PLANTA_BASE!A:R, 6, FALSE), "NO ENCONTRADO EN PLANTA"))</f>
        <v/>
      </c>
      <c r="F1024" s="4">
        <f>IF(B1024="","",IFERROR(VLOOKUP(B1024, PLANTA_BASE!A:R, 8, FALSE), "DOCENTE / FACILITADOR"))</f>
        <v/>
      </c>
      <c r="G1024" s="4">
        <f>IF(B1024="","",IFERROR(VLOOKUP(B1024, PLANTA_BASE!A:R, 9, FALSE), "GENERAL"))</f>
        <v/>
      </c>
      <c r="H1024" s="2">
        <f>IF(B1024="","",IFERROR(VLOOKUP(B1024, PLANTA_BASE!A:R, 17, FALSE), "GENERAL"))</f>
        <v/>
      </c>
    </row>
    <row r="1025" ht="20" customHeight="1">
      <c r="A1025" s="5">
        <f>IF(B1025="","",IFERROR(VLOOKUP(B1025, PLANTA_BASE!A:R, 2, FALSE), "NO ENCONTRADO EN PLANTA"))</f>
        <v/>
      </c>
      <c r="B1025" s="6" t="inlineStr"/>
      <c r="C1025" s="7">
        <f>IF(B1025="","",IFERROR(VLOOKUP(B1025, PLANTA_BASE!A:R, 3, FALSE), ""))</f>
        <v/>
      </c>
      <c r="D1025" s="5">
        <f>IF(B1025="","",IFERROR(VLOOKUP(B1025, PLANTA_BASE!A:R, 5, FALSE), "NO ENCONTRADO EN PLANTA"))</f>
        <v/>
      </c>
      <c r="E1025" s="5">
        <f>IF(B1025="","",IFERROR(VLOOKUP(B1025, PLANTA_BASE!A:R, 6, FALSE), "NO ENCONTRADO EN PLANTA"))</f>
        <v/>
      </c>
      <c r="F1025" s="7">
        <f>IF(B1025="","",IFERROR(VLOOKUP(B1025, PLANTA_BASE!A:R, 8, FALSE), "DOCENTE / FACILITADOR"))</f>
        <v/>
      </c>
      <c r="G1025" s="7">
        <f>IF(B1025="","",IFERROR(VLOOKUP(B1025, PLANTA_BASE!A:R, 9, FALSE), "GENERAL"))</f>
        <v/>
      </c>
      <c r="H1025" s="5">
        <f>IF(B1025="","",IFERROR(VLOOKUP(B1025, PLANTA_BASE!A:R, 17, FALSE), "GENERAL"))</f>
        <v/>
      </c>
    </row>
    <row r="1026" ht="20" customHeight="1">
      <c r="A1026" s="2">
        <f>IF(B1026="","",IFERROR(VLOOKUP(B1026, PLANTA_BASE!A:R, 2, FALSE), "NO ENCONTRADO EN PLANTA"))</f>
        <v/>
      </c>
      <c r="B1026" s="3" t="inlineStr"/>
      <c r="C1026" s="4">
        <f>IF(B1026="","",IFERROR(VLOOKUP(B1026, PLANTA_BASE!A:R, 3, FALSE), ""))</f>
        <v/>
      </c>
      <c r="D1026" s="2">
        <f>IF(B1026="","",IFERROR(VLOOKUP(B1026, PLANTA_BASE!A:R, 5, FALSE), "NO ENCONTRADO EN PLANTA"))</f>
        <v/>
      </c>
      <c r="E1026" s="2">
        <f>IF(B1026="","",IFERROR(VLOOKUP(B1026, PLANTA_BASE!A:R, 6, FALSE), "NO ENCONTRADO EN PLANTA"))</f>
        <v/>
      </c>
      <c r="F1026" s="4">
        <f>IF(B1026="","",IFERROR(VLOOKUP(B1026, PLANTA_BASE!A:R, 8, FALSE), "DOCENTE / FACILITADOR"))</f>
        <v/>
      </c>
      <c r="G1026" s="4">
        <f>IF(B1026="","",IFERROR(VLOOKUP(B1026, PLANTA_BASE!A:R, 9, FALSE), "GENERAL"))</f>
        <v/>
      </c>
      <c r="H1026" s="2">
        <f>IF(B1026="","",IFERROR(VLOOKUP(B1026, PLANTA_BASE!A:R, 17, FALSE), "GENERAL"))</f>
        <v/>
      </c>
    </row>
    <row r="1027" ht="20" customHeight="1">
      <c r="A1027" s="5">
        <f>IF(B1027="","",IFERROR(VLOOKUP(B1027, PLANTA_BASE!A:R, 2, FALSE), "NO ENCONTRADO EN PLANTA"))</f>
        <v/>
      </c>
      <c r="B1027" s="6" t="inlineStr"/>
      <c r="C1027" s="7">
        <f>IF(B1027="","",IFERROR(VLOOKUP(B1027, PLANTA_BASE!A:R, 3, FALSE), ""))</f>
        <v/>
      </c>
      <c r="D1027" s="5">
        <f>IF(B1027="","",IFERROR(VLOOKUP(B1027, PLANTA_BASE!A:R, 5, FALSE), "NO ENCONTRADO EN PLANTA"))</f>
        <v/>
      </c>
      <c r="E1027" s="5">
        <f>IF(B1027="","",IFERROR(VLOOKUP(B1027, PLANTA_BASE!A:R, 6, FALSE), "NO ENCONTRADO EN PLANTA"))</f>
        <v/>
      </c>
      <c r="F1027" s="7">
        <f>IF(B1027="","",IFERROR(VLOOKUP(B1027, PLANTA_BASE!A:R, 8, FALSE), "DOCENTE / FACILITADOR"))</f>
        <v/>
      </c>
      <c r="G1027" s="7">
        <f>IF(B1027="","",IFERROR(VLOOKUP(B1027, PLANTA_BASE!A:R, 9, FALSE), "GENERAL"))</f>
        <v/>
      </c>
      <c r="H1027" s="5">
        <f>IF(B1027="","",IFERROR(VLOOKUP(B1027, PLANTA_BASE!A:R, 17, FALSE), "GENERAL"))</f>
        <v/>
      </c>
    </row>
    <row r="1028" ht="20" customHeight="1">
      <c r="A1028" s="2">
        <f>IF(B1028="","",IFERROR(VLOOKUP(B1028, PLANTA_BASE!A:R, 2, FALSE), "NO ENCONTRADO EN PLANTA"))</f>
        <v/>
      </c>
      <c r="B1028" s="3" t="inlineStr"/>
      <c r="C1028" s="4">
        <f>IF(B1028="","",IFERROR(VLOOKUP(B1028, PLANTA_BASE!A:R, 3, FALSE), ""))</f>
        <v/>
      </c>
      <c r="D1028" s="2">
        <f>IF(B1028="","",IFERROR(VLOOKUP(B1028, PLANTA_BASE!A:R, 5, FALSE), "NO ENCONTRADO EN PLANTA"))</f>
        <v/>
      </c>
      <c r="E1028" s="2">
        <f>IF(B1028="","",IFERROR(VLOOKUP(B1028, PLANTA_BASE!A:R, 6, FALSE), "NO ENCONTRADO EN PLANTA"))</f>
        <v/>
      </c>
      <c r="F1028" s="4">
        <f>IF(B1028="","",IFERROR(VLOOKUP(B1028, PLANTA_BASE!A:R, 8, FALSE), "DOCENTE / FACILITADOR"))</f>
        <v/>
      </c>
      <c r="G1028" s="4">
        <f>IF(B1028="","",IFERROR(VLOOKUP(B1028, PLANTA_BASE!A:R, 9, FALSE), "GENERAL"))</f>
        <v/>
      </c>
      <c r="H1028" s="2">
        <f>IF(B1028="","",IFERROR(VLOOKUP(B1028, PLANTA_BASE!A:R, 17, FALSE), "GENERAL"))</f>
        <v/>
      </c>
    </row>
    <row r="1029" ht="20" customHeight="1">
      <c r="A1029" s="5">
        <f>IF(B1029="","",IFERROR(VLOOKUP(B1029, PLANTA_BASE!A:R, 2, FALSE), "NO ENCONTRADO EN PLANTA"))</f>
        <v/>
      </c>
      <c r="B1029" s="6" t="inlineStr"/>
      <c r="C1029" s="7">
        <f>IF(B1029="","",IFERROR(VLOOKUP(B1029, PLANTA_BASE!A:R, 3, FALSE), ""))</f>
        <v/>
      </c>
      <c r="D1029" s="5">
        <f>IF(B1029="","",IFERROR(VLOOKUP(B1029, PLANTA_BASE!A:R, 5, FALSE), "NO ENCONTRADO EN PLANTA"))</f>
        <v/>
      </c>
      <c r="E1029" s="5">
        <f>IF(B1029="","",IFERROR(VLOOKUP(B1029, PLANTA_BASE!A:R, 6, FALSE), "NO ENCONTRADO EN PLANTA"))</f>
        <v/>
      </c>
      <c r="F1029" s="7">
        <f>IF(B1029="","",IFERROR(VLOOKUP(B1029, PLANTA_BASE!A:R, 8, FALSE), "DOCENTE / FACILITADOR"))</f>
        <v/>
      </c>
      <c r="G1029" s="7">
        <f>IF(B1029="","",IFERROR(VLOOKUP(B1029, PLANTA_BASE!A:R, 9, FALSE), "GENERAL"))</f>
        <v/>
      </c>
      <c r="H1029" s="5">
        <f>IF(B1029="","",IFERROR(VLOOKUP(B1029, PLANTA_BASE!A:R, 17, FALSE), "GENERAL"))</f>
        <v/>
      </c>
    </row>
    <row r="1030" ht="20" customHeight="1">
      <c r="A1030" s="2">
        <f>IF(B1030="","",IFERROR(VLOOKUP(B1030, PLANTA_BASE!A:R, 2, FALSE), "NO ENCONTRADO EN PLANTA"))</f>
        <v/>
      </c>
      <c r="B1030" s="3" t="inlineStr"/>
      <c r="C1030" s="4">
        <f>IF(B1030="","",IFERROR(VLOOKUP(B1030, PLANTA_BASE!A:R, 3, FALSE), ""))</f>
        <v/>
      </c>
      <c r="D1030" s="2">
        <f>IF(B1030="","",IFERROR(VLOOKUP(B1030, PLANTA_BASE!A:R, 5, FALSE), "NO ENCONTRADO EN PLANTA"))</f>
        <v/>
      </c>
      <c r="E1030" s="2">
        <f>IF(B1030="","",IFERROR(VLOOKUP(B1030, PLANTA_BASE!A:R, 6, FALSE), "NO ENCONTRADO EN PLANTA"))</f>
        <v/>
      </c>
      <c r="F1030" s="4">
        <f>IF(B1030="","",IFERROR(VLOOKUP(B1030, PLANTA_BASE!A:R, 8, FALSE), "DOCENTE / FACILITADOR"))</f>
        <v/>
      </c>
      <c r="G1030" s="4">
        <f>IF(B1030="","",IFERROR(VLOOKUP(B1030, PLANTA_BASE!A:R, 9, FALSE), "GENERAL"))</f>
        <v/>
      </c>
      <c r="H1030" s="2">
        <f>IF(B1030="","",IFERROR(VLOOKUP(B1030, PLANTA_BASE!A:R, 17, FALSE), "GENERAL"))</f>
        <v/>
      </c>
    </row>
    <row r="1031" ht="20" customHeight="1">
      <c r="A1031" s="5">
        <f>IF(B1031="","",IFERROR(VLOOKUP(B1031, PLANTA_BASE!A:R, 2, FALSE), "NO ENCONTRADO EN PLANTA"))</f>
        <v/>
      </c>
      <c r="B1031" s="6" t="inlineStr"/>
      <c r="C1031" s="7">
        <f>IF(B1031="","",IFERROR(VLOOKUP(B1031, PLANTA_BASE!A:R, 3, FALSE), ""))</f>
        <v/>
      </c>
      <c r="D1031" s="5">
        <f>IF(B1031="","",IFERROR(VLOOKUP(B1031, PLANTA_BASE!A:R, 5, FALSE), "NO ENCONTRADO EN PLANTA"))</f>
        <v/>
      </c>
      <c r="E1031" s="5">
        <f>IF(B1031="","",IFERROR(VLOOKUP(B1031, PLANTA_BASE!A:R, 6, FALSE), "NO ENCONTRADO EN PLANTA"))</f>
        <v/>
      </c>
      <c r="F1031" s="7">
        <f>IF(B1031="","",IFERROR(VLOOKUP(B1031, PLANTA_BASE!A:R, 8, FALSE), "DOCENTE / FACILITADOR"))</f>
        <v/>
      </c>
      <c r="G1031" s="7">
        <f>IF(B1031="","",IFERROR(VLOOKUP(B1031, PLANTA_BASE!A:R, 9, FALSE), "GENERAL"))</f>
        <v/>
      </c>
      <c r="H1031" s="5">
        <f>IF(B1031="","",IFERROR(VLOOKUP(B1031, PLANTA_BASE!A:R, 17, FALSE), "GENERAL"))</f>
        <v/>
      </c>
    </row>
    <row r="1032" ht="20" customHeight="1">
      <c r="A1032" s="2">
        <f>IF(B1032="","",IFERROR(VLOOKUP(B1032, PLANTA_BASE!A:R, 2, FALSE), "NO ENCONTRADO EN PLANTA"))</f>
        <v/>
      </c>
      <c r="B1032" s="3" t="inlineStr"/>
      <c r="C1032" s="4">
        <f>IF(B1032="","",IFERROR(VLOOKUP(B1032, PLANTA_BASE!A:R, 3, FALSE), ""))</f>
        <v/>
      </c>
      <c r="D1032" s="2">
        <f>IF(B1032="","",IFERROR(VLOOKUP(B1032, PLANTA_BASE!A:R, 5, FALSE), "NO ENCONTRADO EN PLANTA"))</f>
        <v/>
      </c>
      <c r="E1032" s="2">
        <f>IF(B1032="","",IFERROR(VLOOKUP(B1032, PLANTA_BASE!A:R, 6, FALSE), "NO ENCONTRADO EN PLANTA"))</f>
        <v/>
      </c>
      <c r="F1032" s="4">
        <f>IF(B1032="","",IFERROR(VLOOKUP(B1032, PLANTA_BASE!A:R, 8, FALSE), "DOCENTE / FACILITADOR"))</f>
        <v/>
      </c>
      <c r="G1032" s="4">
        <f>IF(B1032="","",IFERROR(VLOOKUP(B1032, PLANTA_BASE!A:R, 9, FALSE), "GENERAL"))</f>
        <v/>
      </c>
      <c r="H1032" s="2">
        <f>IF(B1032="","",IFERROR(VLOOKUP(B1032, PLANTA_BASE!A:R, 17, FALSE), "GENERAL"))</f>
        <v/>
      </c>
    </row>
    <row r="1033" ht="20" customHeight="1">
      <c r="A1033" s="5">
        <f>IF(B1033="","",IFERROR(VLOOKUP(B1033, PLANTA_BASE!A:R, 2, FALSE), "NO ENCONTRADO EN PLANTA"))</f>
        <v/>
      </c>
      <c r="B1033" s="6" t="inlineStr"/>
      <c r="C1033" s="7">
        <f>IF(B1033="","",IFERROR(VLOOKUP(B1033, PLANTA_BASE!A:R, 3, FALSE), ""))</f>
        <v/>
      </c>
      <c r="D1033" s="5">
        <f>IF(B1033="","",IFERROR(VLOOKUP(B1033, PLANTA_BASE!A:R, 5, FALSE), "NO ENCONTRADO EN PLANTA"))</f>
        <v/>
      </c>
      <c r="E1033" s="5">
        <f>IF(B1033="","",IFERROR(VLOOKUP(B1033, PLANTA_BASE!A:R, 6, FALSE), "NO ENCONTRADO EN PLANTA"))</f>
        <v/>
      </c>
      <c r="F1033" s="7">
        <f>IF(B1033="","",IFERROR(VLOOKUP(B1033, PLANTA_BASE!A:R, 8, FALSE), "DOCENTE / FACILITADOR"))</f>
        <v/>
      </c>
      <c r="G1033" s="7">
        <f>IF(B1033="","",IFERROR(VLOOKUP(B1033, PLANTA_BASE!A:R, 9, FALSE), "GENERAL"))</f>
        <v/>
      </c>
      <c r="H1033" s="5">
        <f>IF(B1033="","",IFERROR(VLOOKUP(B1033, PLANTA_BASE!A:R, 17, FALSE), "GENERAL"))</f>
        <v/>
      </c>
    </row>
    <row r="1034" ht="20" customHeight="1">
      <c r="A1034" s="2">
        <f>IF(B1034="","",IFERROR(VLOOKUP(B1034, PLANTA_BASE!A:R, 2, FALSE), "NO ENCONTRADO EN PLANTA"))</f>
        <v/>
      </c>
      <c r="B1034" s="3" t="inlineStr"/>
      <c r="C1034" s="4">
        <f>IF(B1034="","",IFERROR(VLOOKUP(B1034, PLANTA_BASE!A:R, 3, FALSE), ""))</f>
        <v/>
      </c>
      <c r="D1034" s="2">
        <f>IF(B1034="","",IFERROR(VLOOKUP(B1034, PLANTA_BASE!A:R, 5, FALSE), "NO ENCONTRADO EN PLANTA"))</f>
        <v/>
      </c>
      <c r="E1034" s="2">
        <f>IF(B1034="","",IFERROR(VLOOKUP(B1034, PLANTA_BASE!A:R, 6, FALSE), "NO ENCONTRADO EN PLANTA"))</f>
        <v/>
      </c>
      <c r="F1034" s="4">
        <f>IF(B1034="","",IFERROR(VLOOKUP(B1034, PLANTA_BASE!A:R, 8, FALSE), "DOCENTE / FACILITADOR"))</f>
        <v/>
      </c>
      <c r="G1034" s="4">
        <f>IF(B1034="","",IFERROR(VLOOKUP(B1034, PLANTA_BASE!A:R, 9, FALSE), "GENERAL"))</f>
        <v/>
      </c>
      <c r="H1034" s="2">
        <f>IF(B1034="","",IFERROR(VLOOKUP(B1034, PLANTA_BASE!A:R, 17, FALSE), "GENERAL"))</f>
        <v/>
      </c>
    </row>
    <row r="1035" ht="20" customHeight="1">
      <c r="A1035" s="5">
        <f>IF(B1035="","",IFERROR(VLOOKUP(B1035, PLANTA_BASE!A:R, 2, FALSE), "NO ENCONTRADO EN PLANTA"))</f>
        <v/>
      </c>
      <c r="B1035" s="6" t="inlineStr"/>
      <c r="C1035" s="7">
        <f>IF(B1035="","",IFERROR(VLOOKUP(B1035, PLANTA_BASE!A:R, 3, FALSE), ""))</f>
        <v/>
      </c>
      <c r="D1035" s="5">
        <f>IF(B1035="","",IFERROR(VLOOKUP(B1035, PLANTA_BASE!A:R, 5, FALSE), "NO ENCONTRADO EN PLANTA"))</f>
        <v/>
      </c>
      <c r="E1035" s="5">
        <f>IF(B1035="","",IFERROR(VLOOKUP(B1035, PLANTA_BASE!A:R, 6, FALSE), "NO ENCONTRADO EN PLANTA"))</f>
        <v/>
      </c>
      <c r="F1035" s="7">
        <f>IF(B1035="","",IFERROR(VLOOKUP(B1035, PLANTA_BASE!A:R, 8, FALSE), "DOCENTE / FACILITADOR"))</f>
        <v/>
      </c>
      <c r="G1035" s="7">
        <f>IF(B1035="","",IFERROR(VLOOKUP(B1035, PLANTA_BASE!A:R, 9, FALSE), "GENERAL"))</f>
        <v/>
      </c>
      <c r="H1035" s="5">
        <f>IF(B1035="","",IFERROR(VLOOKUP(B1035, PLANTA_BASE!A:R, 17, FALSE), "GENERAL"))</f>
        <v/>
      </c>
    </row>
    <row r="1036" ht="20" customHeight="1">
      <c r="A1036" s="2">
        <f>IF(B1036="","",IFERROR(VLOOKUP(B1036, PLANTA_BASE!A:R, 2, FALSE), "NO ENCONTRADO EN PLANTA"))</f>
        <v/>
      </c>
      <c r="B1036" s="3" t="inlineStr"/>
      <c r="C1036" s="4">
        <f>IF(B1036="","",IFERROR(VLOOKUP(B1036, PLANTA_BASE!A:R, 3, FALSE), ""))</f>
        <v/>
      </c>
      <c r="D1036" s="2">
        <f>IF(B1036="","",IFERROR(VLOOKUP(B1036, PLANTA_BASE!A:R, 5, FALSE), "NO ENCONTRADO EN PLANTA"))</f>
        <v/>
      </c>
      <c r="E1036" s="2">
        <f>IF(B1036="","",IFERROR(VLOOKUP(B1036, PLANTA_BASE!A:R, 6, FALSE), "NO ENCONTRADO EN PLANTA"))</f>
        <v/>
      </c>
      <c r="F1036" s="4">
        <f>IF(B1036="","",IFERROR(VLOOKUP(B1036, PLANTA_BASE!A:R, 8, FALSE), "DOCENTE / FACILITADOR"))</f>
        <v/>
      </c>
      <c r="G1036" s="4">
        <f>IF(B1036="","",IFERROR(VLOOKUP(B1036, PLANTA_BASE!A:R, 9, FALSE), "GENERAL"))</f>
        <v/>
      </c>
      <c r="H1036" s="2">
        <f>IF(B1036="","",IFERROR(VLOOKUP(B1036, PLANTA_BASE!A:R, 17, FALSE), "GENERAL"))</f>
        <v/>
      </c>
    </row>
    <row r="1037" ht="20" customHeight="1">
      <c r="A1037" s="5">
        <f>IF(B1037="","",IFERROR(VLOOKUP(B1037, PLANTA_BASE!A:R, 2, FALSE), "NO ENCONTRADO EN PLANTA"))</f>
        <v/>
      </c>
      <c r="B1037" s="6" t="inlineStr"/>
      <c r="C1037" s="7">
        <f>IF(B1037="","",IFERROR(VLOOKUP(B1037, PLANTA_BASE!A:R, 3, FALSE), ""))</f>
        <v/>
      </c>
      <c r="D1037" s="5">
        <f>IF(B1037="","",IFERROR(VLOOKUP(B1037, PLANTA_BASE!A:R, 5, FALSE), "NO ENCONTRADO EN PLANTA"))</f>
        <v/>
      </c>
      <c r="E1037" s="5">
        <f>IF(B1037="","",IFERROR(VLOOKUP(B1037, PLANTA_BASE!A:R, 6, FALSE), "NO ENCONTRADO EN PLANTA"))</f>
        <v/>
      </c>
      <c r="F1037" s="7">
        <f>IF(B1037="","",IFERROR(VLOOKUP(B1037, PLANTA_BASE!A:R, 8, FALSE), "DOCENTE / FACILITADOR"))</f>
        <v/>
      </c>
      <c r="G1037" s="7">
        <f>IF(B1037="","",IFERROR(VLOOKUP(B1037, PLANTA_BASE!A:R, 9, FALSE), "GENERAL"))</f>
        <v/>
      </c>
      <c r="H1037" s="5">
        <f>IF(B1037="","",IFERROR(VLOOKUP(B1037, PLANTA_BASE!A:R, 17, FALSE), "GENERAL"))</f>
        <v/>
      </c>
    </row>
    <row r="1038" ht="20" customHeight="1">
      <c r="A1038" s="2">
        <f>IF(B1038="","",IFERROR(VLOOKUP(B1038, PLANTA_BASE!A:R, 2, FALSE), "NO ENCONTRADO EN PLANTA"))</f>
        <v/>
      </c>
      <c r="B1038" s="3" t="inlineStr"/>
      <c r="C1038" s="4">
        <f>IF(B1038="","",IFERROR(VLOOKUP(B1038, PLANTA_BASE!A:R, 3, FALSE), ""))</f>
        <v/>
      </c>
      <c r="D1038" s="2">
        <f>IF(B1038="","",IFERROR(VLOOKUP(B1038, PLANTA_BASE!A:R, 5, FALSE), "NO ENCONTRADO EN PLANTA"))</f>
        <v/>
      </c>
      <c r="E1038" s="2">
        <f>IF(B1038="","",IFERROR(VLOOKUP(B1038, PLANTA_BASE!A:R, 6, FALSE), "NO ENCONTRADO EN PLANTA"))</f>
        <v/>
      </c>
      <c r="F1038" s="4">
        <f>IF(B1038="","",IFERROR(VLOOKUP(B1038, PLANTA_BASE!A:R, 8, FALSE), "DOCENTE / FACILITADOR"))</f>
        <v/>
      </c>
      <c r="G1038" s="4">
        <f>IF(B1038="","",IFERROR(VLOOKUP(B1038, PLANTA_BASE!A:R, 9, FALSE), "GENERAL"))</f>
        <v/>
      </c>
      <c r="H1038" s="2">
        <f>IF(B1038="","",IFERROR(VLOOKUP(B1038, PLANTA_BASE!A:R, 17, FALSE), "GENERAL"))</f>
        <v/>
      </c>
    </row>
    <row r="1039" ht="20" customHeight="1">
      <c r="A1039" s="5">
        <f>IF(B1039="","",IFERROR(VLOOKUP(B1039, PLANTA_BASE!A:R, 2, FALSE), "NO ENCONTRADO EN PLANTA"))</f>
        <v/>
      </c>
      <c r="B1039" s="6" t="inlineStr"/>
      <c r="C1039" s="7">
        <f>IF(B1039="","",IFERROR(VLOOKUP(B1039, PLANTA_BASE!A:R, 3, FALSE), ""))</f>
        <v/>
      </c>
      <c r="D1039" s="5">
        <f>IF(B1039="","",IFERROR(VLOOKUP(B1039, PLANTA_BASE!A:R, 5, FALSE), "NO ENCONTRADO EN PLANTA"))</f>
        <v/>
      </c>
      <c r="E1039" s="5">
        <f>IF(B1039="","",IFERROR(VLOOKUP(B1039, PLANTA_BASE!A:R, 6, FALSE), "NO ENCONTRADO EN PLANTA"))</f>
        <v/>
      </c>
      <c r="F1039" s="7">
        <f>IF(B1039="","",IFERROR(VLOOKUP(B1039, PLANTA_BASE!A:R, 8, FALSE), "DOCENTE / FACILITADOR"))</f>
        <v/>
      </c>
      <c r="G1039" s="7">
        <f>IF(B1039="","",IFERROR(VLOOKUP(B1039, PLANTA_BASE!A:R, 9, FALSE), "GENERAL"))</f>
        <v/>
      </c>
      <c r="H1039" s="5">
        <f>IF(B1039="","",IFERROR(VLOOKUP(B1039, PLANTA_BASE!A:R, 17, FALSE), "GENERAL"))</f>
        <v/>
      </c>
    </row>
    <row r="1040" ht="20" customHeight="1">
      <c r="A1040" s="2">
        <f>IF(B1040="","",IFERROR(VLOOKUP(B1040, PLANTA_BASE!A:R, 2, FALSE), "NO ENCONTRADO EN PLANTA"))</f>
        <v/>
      </c>
      <c r="B1040" s="3" t="inlineStr"/>
      <c r="C1040" s="4">
        <f>IF(B1040="","",IFERROR(VLOOKUP(B1040, PLANTA_BASE!A:R, 3, FALSE), ""))</f>
        <v/>
      </c>
      <c r="D1040" s="2">
        <f>IF(B1040="","",IFERROR(VLOOKUP(B1040, PLANTA_BASE!A:R, 5, FALSE), "NO ENCONTRADO EN PLANTA"))</f>
        <v/>
      </c>
      <c r="E1040" s="2">
        <f>IF(B1040="","",IFERROR(VLOOKUP(B1040, PLANTA_BASE!A:R, 6, FALSE), "NO ENCONTRADO EN PLANTA"))</f>
        <v/>
      </c>
      <c r="F1040" s="4">
        <f>IF(B1040="","",IFERROR(VLOOKUP(B1040, PLANTA_BASE!A:R, 8, FALSE), "DOCENTE / FACILITADOR"))</f>
        <v/>
      </c>
      <c r="G1040" s="4">
        <f>IF(B1040="","",IFERROR(VLOOKUP(B1040, PLANTA_BASE!A:R, 9, FALSE), "GENERAL"))</f>
        <v/>
      </c>
      <c r="H1040" s="2">
        <f>IF(B1040="","",IFERROR(VLOOKUP(B1040, PLANTA_BASE!A:R, 17, FALSE), "GENERAL"))</f>
        <v/>
      </c>
    </row>
    <row r="1041" ht="20" customHeight="1">
      <c r="A1041" s="5">
        <f>IF(B1041="","",IFERROR(VLOOKUP(B1041, PLANTA_BASE!A:R, 2, FALSE), "NO ENCONTRADO EN PLANTA"))</f>
        <v/>
      </c>
      <c r="B1041" s="6" t="inlineStr"/>
      <c r="C1041" s="7">
        <f>IF(B1041="","",IFERROR(VLOOKUP(B1041, PLANTA_BASE!A:R, 3, FALSE), ""))</f>
        <v/>
      </c>
      <c r="D1041" s="5">
        <f>IF(B1041="","",IFERROR(VLOOKUP(B1041, PLANTA_BASE!A:R, 5, FALSE), "NO ENCONTRADO EN PLANTA"))</f>
        <v/>
      </c>
      <c r="E1041" s="5">
        <f>IF(B1041="","",IFERROR(VLOOKUP(B1041, PLANTA_BASE!A:R, 6, FALSE), "NO ENCONTRADO EN PLANTA"))</f>
        <v/>
      </c>
      <c r="F1041" s="7">
        <f>IF(B1041="","",IFERROR(VLOOKUP(B1041, PLANTA_BASE!A:R, 8, FALSE), "DOCENTE / FACILITADOR"))</f>
        <v/>
      </c>
      <c r="G1041" s="7">
        <f>IF(B1041="","",IFERROR(VLOOKUP(B1041, PLANTA_BASE!A:R, 9, FALSE), "GENERAL"))</f>
        <v/>
      </c>
      <c r="H1041" s="5">
        <f>IF(B1041="","",IFERROR(VLOOKUP(B1041, PLANTA_BASE!A:R, 17, FALSE), "GENERAL"))</f>
        <v/>
      </c>
    </row>
    <row r="1042" ht="20" customHeight="1">
      <c r="A1042" s="2">
        <f>IF(B1042="","",IFERROR(VLOOKUP(B1042, PLANTA_BASE!A:R, 2, FALSE), "NO ENCONTRADO EN PLANTA"))</f>
        <v/>
      </c>
      <c r="B1042" s="3" t="inlineStr"/>
      <c r="C1042" s="4">
        <f>IF(B1042="","",IFERROR(VLOOKUP(B1042, PLANTA_BASE!A:R, 3, FALSE), ""))</f>
        <v/>
      </c>
      <c r="D1042" s="2">
        <f>IF(B1042="","",IFERROR(VLOOKUP(B1042, PLANTA_BASE!A:R, 5, FALSE), "NO ENCONTRADO EN PLANTA"))</f>
        <v/>
      </c>
      <c r="E1042" s="2">
        <f>IF(B1042="","",IFERROR(VLOOKUP(B1042, PLANTA_BASE!A:R, 6, FALSE), "NO ENCONTRADO EN PLANTA"))</f>
        <v/>
      </c>
      <c r="F1042" s="4">
        <f>IF(B1042="","",IFERROR(VLOOKUP(B1042, PLANTA_BASE!A:R, 8, FALSE), "DOCENTE / FACILITADOR"))</f>
        <v/>
      </c>
      <c r="G1042" s="4">
        <f>IF(B1042="","",IFERROR(VLOOKUP(B1042, PLANTA_BASE!A:R, 9, FALSE), "GENERAL"))</f>
        <v/>
      </c>
      <c r="H1042" s="2">
        <f>IF(B1042="","",IFERROR(VLOOKUP(B1042, PLANTA_BASE!A:R, 17, FALSE), "GENERAL"))</f>
        <v/>
      </c>
    </row>
    <row r="1043" ht="20" customHeight="1">
      <c r="A1043" s="5">
        <f>IF(B1043="","",IFERROR(VLOOKUP(B1043, PLANTA_BASE!A:R, 2, FALSE), "NO ENCONTRADO EN PLANTA"))</f>
        <v/>
      </c>
      <c r="B1043" s="6" t="inlineStr"/>
      <c r="C1043" s="7">
        <f>IF(B1043="","",IFERROR(VLOOKUP(B1043, PLANTA_BASE!A:R, 3, FALSE), ""))</f>
        <v/>
      </c>
      <c r="D1043" s="5">
        <f>IF(B1043="","",IFERROR(VLOOKUP(B1043, PLANTA_BASE!A:R, 5, FALSE), "NO ENCONTRADO EN PLANTA"))</f>
        <v/>
      </c>
      <c r="E1043" s="5">
        <f>IF(B1043="","",IFERROR(VLOOKUP(B1043, PLANTA_BASE!A:R, 6, FALSE), "NO ENCONTRADO EN PLANTA"))</f>
        <v/>
      </c>
      <c r="F1043" s="7">
        <f>IF(B1043="","",IFERROR(VLOOKUP(B1043, PLANTA_BASE!A:R, 8, FALSE), "DOCENTE / FACILITADOR"))</f>
        <v/>
      </c>
      <c r="G1043" s="7">
        <f>IF(B1043="","",IFERROR(VLOOKUP(B1043, PLANTA_BASE!A:R, 9, FALSE), "GENERAL"))</f>
        <v/>
      </c>
      <c r="H1043" s="5">
        <f>IF(B1043="","",IFERROR(VLOOKUP(B1043, PLANTA_BASE!A:R, 17, FALSE), "GENERAL"))</f>
        <v/>
      </c>
    </row>
    <row r="1044" ht="20" customHeight="1">
      <c r="A1044" s="2">
        <f>IF(B1044="","",IFERROR(VLOOKUP(B1044, PLANTA_BASE!A:R, 2, FALSE), "NO ENCONTRADO EN PLANTA"))</f>
        <v/>
      </c>
      <c r="B1044" s="3" t="inlineStr"/>
      <c r="C1044" s="4">
        <f>IF(B1044="","",IFERROR(VLOOKUP(B1044, PLANTA_BASE!A:R, 3, FALSE), ""))</f>
        <v/>
      </c>
      <c r="D1044" s="2">
        <f>IF(B1044="","",IFERROR(VLOOKUP(B1044, PLANTA_BASE!A:R, 5, FALSE), "NO ENCONTRADO EN PLANTA"))</f>
        <v/>
      </c>
      <c r="E1044" s="2">
        <f>IF(B1044="","",IFERROR(VLOOKUP(B1044, PLANTA_BASE!A:R, 6, FALSE), "NO ENCONTRADO EN PLANTA"))</f>
        <v/>
      </c>
      <c r="F1044" s="4">
        <f>IF(B1044="","",IFERROR(VLOOKUP(B1044, PLANTA_BASE!A:R, 8, FALSE), "DOCENTE / FACILITADOR"))</f>
        <v/>
      </c>
      <c r="G1044" s="4">
        <f>IF(B1044="","",IFERROR(VLOOKUP(B1044, PLANTA_BASE!A:R, 9, FALSE), "GENERAL"))</f>
        <v/>
      </c>
      <c r="H1044" s="2">
        <f>IF(B1044="","",IFERROR(VLOOKUP(B1044, PLANTA_BASE!A:R, 17, FALSE), "GENERAL"))</f>
        <v/>
      </c>
    </row>
    <row r="1045" ht="20" customHeight="1">
      <c r="A1045" s="5">
        <f>IF(B1045="","",IFERROR(VLOOKUP(B1045, PLANTA_BASE!A:R, 2, FALSE), "NO ENCONTRADO EN PLANTA"))</f>
        <v/>
      </c>
      <c r="B1045" s="6" t="inlineStr"/>
      <c r="C1045" s="7">
        <f>IF(B1045="","",IFERROR(VLOOKUP(B1045, PLANTA_BASE!A:R, 3, FALSE), ""))</f>
        <v/>
      </c>
      <c r="D1045" s="5">
        <f>IF(B1045="","",IFERROR(VLOOKUP(B1045, PLANTA_BASE!A:R, 5, FALSE), "NO ENCONTRADO EN PLANTA"))</f>
        <v/>
      </c>
      <c r="E1045" s="5">
        <f>IF(B1045="","",IFERROR(VLOOKUP(B1045, PLANTA_BASE!A:R, 6, FALSE), "NO ENCONTRADO EN PLANTA"))</f>
        <v/>
      </c>
      <c r="F1045" s="7">
        <f>IF(B1045="","",IFERROR(VLOOKUP(B1045, PLANTA_BASE!A:R, 8, FALSE), "DOCENTE / FACILITADOR"))</f>
        <v/>
      </c>
      <c r="G1045" s="7">
        <f>IF(B1045="","",IFERROR(VLOOKUP(B1045, PLANTA_BASE!A:R, 9, FALSE), "GENERAL"))</f>
        <v/>
      </c>
      <c r="H1045" s="5">
        <f>IF(B1045="","",IFERROR(VLOOKUP(B1045, PLANTA_BASE!A:R, 17, FALSE), "GENERAL"))</f>
        <v/>
      </c>
    </row>
    <row r="1046" ht="20" customHeight="1">
      <c r="A1046" s="2">
        <f>IF(B1046="","",IFERROR(VLOOKUP(B1046, PLANTA_BASE!A:R, 2, FALSE), "NO ENCONTRADO EN PLANTA"))</f>
        <v/>
      </c>
      <c r="B1046" s="3" t="inlineStr"/>
      <c r="C1046" s="4">
        <f>IF(B1046="","",IFERROR(VLOOKUP(B1046, PLANTA_BASE!A:R, 3, FALSE), ""))</f>
        <v/>
      </c>
      <c r="D1046" s="2">
        <f>IF(B1046="","",IFERROR(VLOOKUP(B1046, PLANTA_BASE!A:R, 5, FALSE), "NO ENCONTRADO EN PLANTA"))</f>
        <v/>
      </c>
      <c r="E1046" s="2">
        <f>IF(B1046="","",IFERROR(VLOOKUP(B1046, PLANTA_BASE!A:R, 6, FALSE), "NO ENCONTRADO EN PLANTA"))</f>
        <v/>
      </c>
      <c r="F1046" s="4">
        <f>IF(B1046="","",IFERROR(VLOOKUP(B1046, PLANTA_BASE!A:R, 8, FALSE), "DOCENTE / FACILITADOR"))</f>
        <v/>
      </c>
      <c r="G1046" s="4">
        <f>IF(B1046="","",IFERROR(VLOOKUP(B1046, PLANTA_BASE!A:R, 9, FALSE), "GENERAL"))</f>
        <v/>
      </c>
      <c r="H1046" s="2">
        <f>IF(B1046="","",IFERROR(VLOOKUP(B1046, PLANTA_BASE!A:R, 17, FALSE), "GENERAL"))</f>
        <v/>
      </c>
    </row>
    <row r="1047" ht="20" customHeight="1">
      <c r="A1047" s="5">
        <f>IF(B1047="","",IFERROR(VLOOKUP(B1047, PLANTA_BASE!A:R, 2, FALSE), "NO ENCONTRADO EN PLANTA"))</f>
        <v/>
      </c>
      <c r="B1047" s="6" t="inlineStr"/>
      <c r="C1047" s="7">
        <f>IF(B1047="","",IFERROR(VLOOKUP(B1047, PLANTA_BASE!A:R, 3, FALSE), ""))</f>
        <v/>
      </c>
      <c r="D1047" s="5">
        <f>IF(B1047="","",IFERROR(VLOOKUP(B1047, PLANTA_BASE!A:R, 5, FALSE), "NO ENCONTRADO EN PLANTA"))</f>
        <v/>
      </c>
      <c r="E1047" s="5">
        <f>IF(B1047="","",IFERROR(VLOOKUP(B1047, PLANTA_BASE!A:R, 6, FALSE), "NO ENCONTRADO EN PLANTA"))</f>
        <v/>
      </c>
      <c r="F1047" s="7">
        <f>IF(B1047="","",IFERROR(VLOOKUP(B1047, PLANTA_BASE!A:R, 8, FALSE), "DOCENTE / FACILITADOR"))</f>
        <v/>
      </c>
      <c r="G1047" s="7">
        <f>IF(B1047="","",IFERROR(VLOOKUP(B1047, PLANTA_BASE!A:R, 9, FALSE), "GENERAL"))</f>
        <v/>
      </c>
      <c r="H1047" s="5">
        <f>IF(B1047="","",IFERROR(VLOOKUP(B1047, PLANTA_BASE!A:R, 17, FALSE), "GENERAL"))</f>
        <v/>
      </c>
    </row>
    <row r="1048" ht="20" customHeight="1">
      <c r="A1048" s="2">
        <f>IF(B1048="","",IFERROR(VLOOKUP(B1048, PLANTA_BASE!A:R, 2, FALSE), "NO ENCONTRADO EN PLANTA"))</f>
        <v/>
      </c>
      <c r="B1048" s="3" t="inlineStr"/>
      <c r="C1048" s="4">
        <f>IF(B1048="","",IFERROR(VLOOKUP(B1048, PLANTA_BASE!A:R, 3, FALSE), ""))</f>
        <v/>
      </c>
      <c r="D1048" s="2">
        <f>IF(B1048="","",IFERROR(VLOOKUP(B1048, PLANTA_BASE!A:R, 5, FALSE), "NO ENCONTRADO EN PLANTA"))</f>
        <v/>
      </c>
      <c r="E1048" s="2">
        <f>IF(B1048="","",IFERROR(VLOOKUP(B1048, PLANTA_BASE!A:R, 6, FALSE), "NO ENCONTRADO EN PLANTA"))</f>
        <v/>
      </c>
      <c r="F1048" s="4">
        <f>IF(B1048="","",IFERROR(VLOOKUP(B1048, PLANTA_BASE!A:R, 8, FALSE), "DOCENTE / FACILITADOR"))</f>
        <v/>
      </c>
      <c r="G1048" s="4">
        <f>IF(B1048="","",IFERROR(VLOOKUP(B1048, PLANTA_BASE!A:R, 9, FALSE), "GENERAL"))</f>
        <v/>
      </c>
      <c r="H1048" s="2">
        <f>IF(B1048="","",IFERROR(VLOOKUP(B1048, PLANTA_BASE!A:R, 17, FALSE), "GENERAL"))</f>
        <v/>
      </c>
    </row>
    <row r="1049" ht="20" customHeight="1">
      <c r="A1049" s="5">
        <f>IF(B1049="","",IFERROR(VLOOKUP(B1049, PLANTA_BASE!A:R, 2, FALSE), "NO ENCONTRADO EN PLANTA"))</f>
        <v/>
      </c>
      <c r="B1049" s="6" t="inlineStr"/>
      <c r="C1049" s="7">
        <f>IF(B1049="","",IFERROR(VLOOKUP(B1049, PLANTA_BASE!A:R, 3, FALSE), ""))</f>
        <v/>
      </c>
      <c r="D1049" s="5">
        <f>IF(B1049="","",IFERROR(VLOOKUP(B1049, PLANTA_BASE!A:R, 5, FALSE), "NO ENCONTRADO EN PLANTA"))</f>
        <v/>
      </c>
      <c r="E1049" s="5">
        <f>IF(B1049="","",IFERROR(VLOOKUP(B1049, PLANTA_BASE!A:R, 6, FALSE), "NO ENCONTRADO EN PLANTA"))</f>
        <v/>
      </c>
      <c r="F1049" s="7">
        <f>IF(B1049="","",IFERROR(VLOOKUP(B1049, PLANTA_BASE!A:R, 8, FALSE), "DOCENTE / FACILITADOR"))</f>
        <v/>
      </c>
      <c r="G1049" s="7">
        <f>IF(B1049="","",IFERROR(VLOOKUP(B1049, PLANTA_BASE!A:R, 9, FALSE), "GENERAL"))</f>
        <v/>
      </c>
      <c r="H1049" s="5">
        <f>IF(B1049="","",IFERROR(VLOOKUP(B1049, PLANTA_BASE!A:R, 17, FALSE), "GENERAL"))</f>
        <v/>
      </c>
    </row>
    <row r="1050" ht="20" customHeight="1">
      <c r="A1050" s="2">
        <f>IF(B1050="","",IFERROR(VLOOKUP(B1050, PLANTA_BASE!A:R, 2, FALSE), "NO ENCONTRADO EN PLANTA"))</f>
        <v/>
      </c>
      <c r="B1050" s="3" t="inlineStr"/>
      <c r="C1050" s="4">
        <f>IF(B1050="","",IFERROR(VLOOKUP(B1050, PLANTA_BASE!A:R, 3, FALSE), ""))</f>
        <v/>
      </c>
      <c r="D1050" s="2">
        <f>IF(B1050="","",IFERROR(VLOOKUP(B1050, PLANTA_BASE!A:R, 5, FALSE), "NO ENCONTRADO EN PLANTA"))</f>
        <v/>
      </c>
      <c r="E1050" s="2">
        <f>IF(B1050="","",IFERROR(VLOOKUP(B1050, PLANTA_BASE!A:R, 6, FALSE), "NO ENCONTRADO EN PLANTA"))</f>
        <v/>
      </c>
      <c r="F1050" s="4">
        <f>IF(B1050="","",IFERROR(VLOOKUP(B1050, PLANTA_BASE!A:R, 8, FALSE), "DOCENTE / FACILITADOR"))</f>
        <v/>
      </c>
      <c r="G1050" s="4">
        <f>IF(B1050="","",IFERROR(VLOOKUP(B1050, PLANTA_BASE!A:R, 9, FALSE), "GENERAL"))</f>
        <v/>
      </c>
      <c r="H1050" s="2">
        <f>IF(B1050="","",IFERROR(VLOOKUP(B1050, PLANTA_BASE!A:R, 17, FALSE), "GENERAL"))</f>
        <v/>
      </c>
    </row>
    <row r="1051" ht="20" customHeight="1">
      <c r="A1051" s="5">
        <f>IF(B1051="","",IFERROR(VLOOKUP(B1051, PLANTA_BASE!A:R, 2, FALSE), "NO ENCONTRADO EN PLANTA"))</f>
        <v/>
      </c>
      <c r="B1051" s="6" t="inlineStr"/>
      <c r="C1051" s="7">
        <f>IF(B1051="","",IFERROR(VLOOKUP(B1051, PLANTA_BASE!A:R, 3, FALSE), ""))</f>
        <v/>
      </c>
      <c r="D1051" s="5">
        <f>IF(B1051="","",IFERROR(VLOOKUP(B1051, PLANTA_BASE!A:R, 5, FALSE), "NO ENCONTRADO EN PLANTA"))</f>
        <v/>
      </c>
      <c r="E1051" s="5">
        <f>IF(B1051="","",IFERROR(VLOOKUP(B1051, PLANTA_BASE!A:R, 6, FALSE), "NO ENCONTRADO EN PLANTA"))</f>
        <v/>
      </c>
      <c r="F1051" s="7">
        <f>IF(B1051="","",IFERROR(VLOOKUP(B1051, PLANTA_BASE!A:R, 8, FALSE), "DOCENTE / FACILITADOR"))</f>
        <v/>
      </c>
      <c r="G1051" s="7">
        <f>IF(B1051="","",IFERROR(VLOOKUP(B1051, PLANTA_BASE!A:R, 9, FALSE), "GENERAL"))</f>
        <v/>
      </c>
      <c r="H1051" s="5">
        <f>IF(B1051="","",IFERROR(VLOOKUP(B1051, PLANTA_BASE!A:R, 17, FALSE), "GENERAL"))</f>
        <v/>
      </c>
    </row>
    <row r="1052" ht="20" customHeight="1">
      <c r="A1052" s="2">
        <f>IF(B1052="","",IFERROR(VLOOKUP(B1052, PLANTA_BASE!A:R, 2, FALSE), "NO ENCONTRADO EN PLANTA"))</f>
        <v/>
      </c>
      <c r="B1052" s="3" t="inlineStr"/>
      <c r="C1052" s="4">
        <f>IF(B1052="","",IFERROR(VLOOKUP(B1052, PLANTA_BASE!A:R, 3, FALSE), ""))</f>
        <v/>
      </c>
      <c r="D1052" s="2">
        <f>IF(B1052="","",IFERROR(VLOOKUP(B1052, PLANTA_BASE!A:R, 5, FALSE), "NO ENCONTRADO EN PLANTA"))</f>
        <v/>
      </c>
      <c r="E1052" s="2">
        <f>IF(B1052="","",IFERROR(VLOOKUP(B1052, PLANTA_BASE!A:R, 6, FALSE), "NO ENCONTRADO EN PLANTA"))</f>
        <v/>
      </c>
      <c r="F1052" s="4">
        <f>IF(B1052="","",IFERROR(VLOOKUP(B1052, PLANTA_BASE!A:R, 8, FALSE), "DOCENTE / FACILITADOR"))</f>
        <v/>
      </c>
      <c r="G1052" s="4">
        <f>IF(B1052="","",IFERROR(VLOOKUP(B1052, PLANTA_BASE!A:R, 9, FALSE), "GENERAL"))</f>
        <v/>
      </c>
      <c r="H1052" s="2">
        <f>IF(B1052="","",IFERROR(VLOOKUP(B1052, PLANTA_BASE!A:R, 17, FALSE), "GENERAL"))</f>
        <v/>
      </c>
    </row>
    <row r="1053" ht="20" customHeight="1">
      <c r="A1053" s="5">
        <f>IF(B1053="","",IFERROR(VLOOKUP(B1053, PLANTA_BASE!A:R, 2, FALSE), "NO ENCONTRADO EN PLANTA"))</f>
        <v/>
      </c>
      <c r="B1053" s="6" t="inlineStr"/>
      <c r="C1053" s="7">
        <f>IF(B1053="","",IFERROR(VLOOKUP(B1053, PLANTA_BASE!A:R, 3, FALSE), ""))</f>
        <v/>
      </c>
      <c r="D1053" s="5">
        <f>IF(B1053="","",IFERROR(VLOOKUP(B1053, PLANTA_BASE!A:R, 5, FALSE), "NO ENCONTRADO EN PLANTA"))</f>
        <v/>
      </c>
      <c r="E1053" s="5">
        <f>IF(B1053="","",IFERROR(VLOOKUP(B1053, PLANTA_BASE!A:R, 6, FALSE), "NO ENCONTRADO EN PLANTA"))</f>
        <v/>
      </c>
      <c r="F1053" s="7">
        <f>IF(B1053="","",IFERROR(VLOOKUP(B1053, PLANTA_BASE!A:R, 8, FALSE), "DOCENTE / FACILITADOR"))</f>
        <v/>
      </c>
      <c r="G1053" s="7">
        <f>IF(B1053="","",IFERROR(VLOOKUP(B1053, PLANTA_BASE!A:R, 9, FALSE), "GENERAL"))</f>
        <v/>
      </c>
      <c r="H1053" s="5">
        <f>IF(B1053="","",IFERROR(VLOOKUP(B1053, PLANTA_BASE!A:R, 17, FALSE), "GENERAL"))</f>
        <v/>
      </c>
    </row>
    <row r="1054" ht="20" customHeight="1">
      <c r="A1054" s="2">
        <f>IF(B1054="","",IFERROR(VLOOKUP(B1054, PLANTA_BASE!A:R, 2, FALSE), "NO ENCONTRADO EN PLANTA"))</f>
        <v/>
      </c>
      <c r="B1054" s="3" t="inlineStr"/>
      <c r="C1054" s="4">
        <f>IF(B1054="","",IFERROR(VLOOKUP(B1054, PLANTA_BASE!A:R, 3, FALSE), ""))</f>
        <v/>
      </c>
      <c r="D1054" s="2">
        <f>IF(B1054="","",IFERROR(VLOOKUP(B1054, PLANTA_BASE!A:R, 5, FALSE), "NO ENCONTRADO EN PLANTA"))</f>
        <v/>
      </c>
      <c r="E1054" s="2">
        <f>IF(B1054="","",IFERROR(VLOOKUP(B1054, PLANTA_BASE!A:R, 6, FALSE), "NO ENCONTRADO EN PLANTA"))</f>
        <v/>
      </c>
      <c r="F1054" s="4">
        <f>IF(B1054="","",IFERROR(VLOOKUP(B1054, PLANTA_BASE!A:R, 8, FALSE), "DOCENTE / FACILITADOR"))</f>
        <v/>
      </c>
      <c r="G1054" s="4">
        <f>IF(B1054="","",IFERROR(VLOOKUP(B1054, PLANTA_BASE!A:R, 9, FALSE), "GENERAL"))</f>
        <v/>
      </c>
      <c r="H1054" s="2">
        <f>IF(B1054="","",IFERROR(VLOOKUP(B1054, PLANTA_BASE!A:R, 17, FALSE), "GENERAL"))</f>
        <v/>
      </c>
    </row>
    <row r="1055" ht="20" customHeight="1">
      <c r="A1055" s="5">
        <f>IF(B1055="","",IFERROR(VLOOKUP(B1055, PLANTA_BASE!A:R, 2, FALSE), "NO ENCONTRADO EN PLANTA"))</f>
        <v/>
      </c>
      <c r="B1055" s="6" t="inlineStr"/>
      <c r="C1055" s="7">
        <f>IF(B1055="","",IFERROR(VLOOKUP(B1055, PLANTA_BASE!A:R, 3, FALSE), ""))</f>
        <v/>
      </c>
      <c r="D1055" s="5">
        <f>IF(B1055="","",IFERROR(VLOOKUP(B1055, PLANTA_BASE!A:R, 5, FALSE), "NO ENCONTRADO EN PLANTA"))</f>
        <v/>
      </c>
      <c r="E1055" s="5">
        <f>IF(B1055="","",IFERROR(VLOOKUP(B1055, PLANTA_BASE!A:R, 6, FALSE), "NO ENCONTRADO EN PLANTA"))</f>
        <v/>
      </c>
      <c r="F1055" s="7">
        <f>IF(B1055="","",IFERROR(VLOOKUP(B1055, PLANTA_BASE!A:R, 8, FALSE), "DOCENTE / FACILITADOR"))</f>
        <v/>
      </c>
      <c r="G1055" s="7">
        <f>IF(B1055="","",IFERROR(VLOOKUP(B1055, PLANTA_BASE!A:R, 9, FALSE), "GENERAL"))</f>
        <v/>
      </c>
      <c r="H1055" s="5">
        <f>IF(B1055="","",IFERROR(VLOOKUP(B1055, PLANTA_BASE!A:R, 17, FALSE), "GENERAL"))</f>
        <v/>
      </c>
    </row>
    <row r="1056" ht="20" customHeight="1">
      <c r="A1056" s="2">
        <f>IF(B1056="","",IFERROR(VLOOKUP(B1056, PLANTA_BASE!A:R, 2, FALSE), "NO ENCONTRADO EN PLANTA"))</f>
        <v/>
      </c>
      <c r="B1056" s="3" t="inlineStr"/>
      <c r="C1056" s="4">
        <f>IF(B1056="","",IFERROR(VLOOKUP(B1056, PLANTA_BASE!A:R, 3, FALSE), ""))</f>
        <v/>
      </c>
      <c r="D1056" s="2">
        <f>IF(B1056="","",IFERROR(VLOOKUP(B1056, PLANTA_BASE!A:R, 5, FALSE), "NO ENCONTRADO EN PLANTA"))</f>
        <v/>
      </c>
      <c r="E1056" s="2">
        <f>IF(B1056="","",IFERROR(VLOOKUP(B1056, PLANTA_BASE!A:R, 6, FALSE), "NO ENCONTRADO EN PLANTA"))</f>
        <v/>
      </c>
      <c r="F1056" s="4">
        <f>IF(B1056="","",IFERROR(VLOOKUP(B1056, PLANTA_BASE!A:R, 8, FALSE), "DOCENTE / FACILITADOR"))</f>
        <v/>
      </c>
      <c r="G1056" s="4">
        <f>IF(B1056="","",IFERROR(VLOOKUP(B1056, PLANTA_BASE!A:R, 9, FALSE), "GENERAL"))</f>
        <v/>
      </c>
      <c r="H1056" s="2">
        <f>IF(B1056="","",IFERROR(VLOOKUP(B1056, PLANTA_BASE!A:R, 17, FALSE), "GENERAL"))</f>
        <v/>
      </c>
    </row>
    <row r="1057" ht="20" customHeight="1">
      <c r="A1057" s="5">
        <f>IF(B1057="","",IFERROR(VLOOKUP(B1057, PLANTA_BASE!A:R, 2, FALSE), "NO ENCONTRADO EN PLANTA"))</f>
        <v/>
      </c>
      <c r="B1057" s="6" t="inlineStr"/>
      <c r="C1057" s="7">
        <f>IF(B1057="","",IFERROR(VLOOKUP(B1057, PLANTA_BASE!A:R, 3, FALSE), ""))</f>
        <v/>
      </c>
      <c r="D1057" s="5">
        <f>IF(B1057="","",IFERROR(VLOOKUP(B1057, PLANTA_BASE!A:R, 5, FALSE), "NO ENCONTRADO EN PLANTA"))</f>
        <v/>
      </c>
      <c r="E1057" s="5">
        <f>IF(B1057="","",IFERROR(VLOOKUP(B1057, PLANTA_BASE!A:R, 6, FALSE), "NO ENCONTRADO EN PLANTA"))</f>
        <v/>
      </c>
      <c r="F1057" s="7">
        <f>IF(B1057="","",IFERROR(VLOOKUP(B1057, PLANTA_BASE!A:R, 8, FALSE), "DOCENTE / FACILITADOR"))</f>
        <v/>
      </c>
      <c r="G1057" s="7">
        <f>IF(B1057="","",IFERROR(VLOOKUP(B1057, PLANTA_BASE!A:R, 9, FALSE), "GENERAL"))</f>
        <v/>
      </c>
      <c r="H1057" s="5">
        <f>IF(B1057="","",IFERROR(VLOOKUP(B1057, PLANTA_BASE!A:R, 17, FALSE), "GENERAL"))</f>
        <v/>
      </c>
    </row>
    <row r="1058" ht="20" customHeight="1">
      <c r="A1058" s="2">
        <f>IF(B1058="","",IFERROR(VLOOKUP(B1058, PLANTA_BASE!A:R, 2, FALSE), "NO ENCONTRADO EN PLANTA"))</f>
        <v/>
      </c>
      <c r="B1058" s="3" t="inlineStr"/>
      <c r="C1058" s="4">
        <f>IF(B1058="","",IFERROR(VLOOKUP(B1058, PLANTA_BASE!A:R, 3, FALSE), ""))</f>
        <v/>
      </c>
      <c r="D1058" s="2">
        <f>IF(B1058="","",IFERROR(VLOOKUP(B1058, PLANTA_BASE!A:R, 5, FALSE), "NO ENCONTRADO EN PLANTA"))</f>
        <v/>
      </c>
      <c r="E1058" s="2">
        <f>IF(B1058="","",IFERROR(VLOOKUP(B1058, PLANTA_BASE!A:R, 6, FALSE), "NO ENCONTRADO EN PLANTA"))</f>
        <v/>
      </c>
      <c r="F1058" s="4">
        <f>IF(B1058="","",IFERROR(VLOOKUP(B1058, PLANTA_BASE!A:R, 8, FALSE), "DOCENTE / FACILITADOR"))</f>
        <v/>
      </c>
      <c r="G1058" s="4">
        <f>IF(B1058="","",IFERROR(VLOOKUP(B1058, PLANTA_BASE!A:R, 9, FALSE), "GENERAL"))</f>
        <v/>
      </c>
      <c r="H1058" s="2">
        <f>IF(B1058="","",IFERROR(VLOOKUP(B1058, PLANTA_BASE!A:R, 17, FALSE), "GENERAL"))</f>
        <v/>
      </c>
    </row>
    <row r="1059" ht="20" customHeight="1">
      <c r="A1059" s="5">
        <f>IF(B1059="","",IFERROR(VLOOKUP(B1059, PLANTA_BASE!A:R, 2, FALSE), "NO ENCONTRADO EN PLANTA"))</f>
        <v/>
      </c>
      <c r="B1059" s="6" t="inlineStr"/>
      <c r="C1059" s="7">
        <f>IF(B1059="","",IFERROR(VLOOKUP(B1059, PLANTA_BASE!A:R, 3, FALSE), ""))</f>
        <v/>
      </c>
      <c r="D1059" s="5">
        <f>IF(B1059="","",IFERROR(VLOOKUP(B1059, PLANTA_BASE!A:R, 5, FALSE), "NO ENCONTRADO EN PLANTA"))</f>
        <v/>
      </c>
      <c r="E1059" s="5">
        <f>IF(B1059="","",IFERROR(VLOOKUP(B1059, PLANTA_BASE!A:R, 6, FALSE), "NO ENCONTRADO EN PLANTA"))</f>
        <v/>
      </c>
      <c r="F1059" s="7">
        <f>IF(B1059="","",IFERROR(VLOOKUP(B1059, PLANTA_BASE!A:R, 8, FALSE), "DOCENTE / FACILITADOR"))</f>
        <v/>
      </c>
      <c r="G1059" s="7">
        <f>IF(B1059="","",IFERROR(VLOOKUP(B1059, PLANTA_BASE!A:R, 9, FALSE), "GENERAL"))</f>
        <v/>
      </c>
      <c r="H1059" s="5">
        <f>IF(B1059="","",IFERROR(VLOOKUP(B1059, PLANTA_BASE!A:R, 17, FALSE), "GENERAL"))</f>
        <v/>
      </c>
    </row>
    <row r="1060" ht="20" customHeight="1">
      <c r="A1060" s="2">
        <f>IF(B1060="","",IFERROR(VLOOKUP(B1060, PLANTA_BASE!A:R, 2, FALSE), "NO ENCONTRADO EN PLANTA"))</f>
        <v/>
      </c>
      <c r="B1060" s="3" t="inlineStr"/>
      <c r="C1060" s="4">
        <f>IF(B1060="","",IFERROR(VLOOKUP(B1060, PLANTA_BASE!A:R, 3, FALSE), ""))</f>
        <v/>
      </c>
      <c r="D1060" s="2">
        <f>IF(B1060="","",IFERROR(VLOOKUP(B1060, PLANTA_BASE!A:R, 5, FALSE), "NO ENCONTRADO EN PLANTA"))</f>
        <v/>
      </c>
      <c r="E1060" s="2">
        <f>IF(B1060="","",IFERROR(VLOOKUP(B1060, PLANTA_BASE!A:R, 6, FALSE), "NO ENCONTRADO EN PLANTA"))</f>
        <v/>
      </c>
      <c r="F1060" s="4">
        <f>IF(B1060="","",IFERROR(VLOOKUP(B1060, PLANTA_BASE!A:R, 8, FALSE), "DOCENTE / FACILITADOR"))</f>
        <v/>
      </c>
      <c r="G1060" s="4">
        <f>IF(B1060="","",IFERROR(VLOOKUP(B1060, PLANTA_BASE!A:R, 9, FALSE), "GENERAL"))</f>
        <v/>
      </c>
      <c r="H1060" s="2">
        <f>IF(B1060="","",IFERROR(VLOOKUP(B1060, PLANTA_BASE!A:R, 17, FALSE), "GENERAL"))</f>
        <v/>
      </c>
    </row>
    <row r="1061" ht="20" customHeight="1">
      <c r="A1061" s="5">
        <f>IF(B1061="","",IFERROR(VLOOKUP(B1061, PLANTA_BASE!A:R, 2, FALSE), "NO ENCONTRADO EN PLANTA"))</f>
        <v/>
      </c>
      <c r="B1061" s="6" t="inlineStr"/>
      <c r="C1061" s="7">
        <f>IF(B1061="","",IFERROR(VLOOKUP(B1061, PLANTA_BASE!A:R, 3, FALSE), ""))</f>
        <v/>
      </c>
      <c r="D1061" s="5">
        <f>IF(B1061="","",IFERROR(VLOOKUP(B1061, PLANTA_BASE!A:R, 5, FALSE), "NO ENCONTRADO EN PLANTA"))</f>
        <v/>
      </c>
      <c r="E1061" s="5">
        <f>IF(B1061="","",IFERROR(VLOOKUP(B1061, PLANTA_BASE!A:R, 6, FALSE), "NO ENCONTRADO EN PLANTA"))</f>
        <v/>
      </c>
      <c r="F1061" s="7">
        <f>IF(B1061="","",IFERROR(VLOOKUP(B1061, PLANTA_BASE!A:R, 8, FALSE), "DOCENTE / FACILITADOR"))</f>
        <v/>
      </c>
      <c r="G1061" s="7">
        <f>IF(B1061="","",IFERROR(VLOOKUP(B1061, PLANTA_BASE!A:R, 9, FALSE), "GENERAL"))</f>
        <v/>
      </c>
      <c r="H1061" s="5">
        <f>IF(B1061="","",IFERROR(VLOOKUP(B1061, PLANTA_BASE!A:R, 17, FALSE), "GENERAL"))</f>
        <v/>
      </c>
    </row>
    <row r="1062" ht="20" customHeight="1">
      <c r="A1062" s="2">
        <f>IF(B1062="","",IFERROR(VLOOKUP(B1062, PLANTA_BASE!A:R, 2, FALSE), "NO ENCONTRADO EN PLANTA"))</f>
        <v/>
      </c>
      <c r="B1062" s="3" t="inlineStr"/>
      <c r="C1062" s="4">
        <f>IF(B1062="","",IFERROR(VLOOKUP(B1062, PLANTA_BASE!A:R, 3, FALSE), ""))</f>
        <v/>
      </c>
      <c r="D1062" s="2">
        <f>IF(B1062="","",IFERROR(VLOOKUP(B1062, PLANTA_BASE!A:R, 5, FALSE), "NO ENCONTRADO EN PLANTA"))</f>
        <v/>
      </c>
      <c r="E1062" s="2">
        <f>IF(B1062="","",IFERROR(VLOOKUP(B1062, PLANTA_BASE!A:R, 6, FALSE), "NO ENCONTRADO EN PLANTA"))</f>
        <v/>
      </c>
      <c r="F1062" s="4">
        <f>IF(B1062="","",IFERROR(VLOOKUP(B1062, PLANTA_BASE!A:R, 8, FALSE), "DOCENTE / FACILITADOR"))</f>
        <v/>
      </c>
      <c r="G1062" s="4">
        <f>IF(B1062="","",IFERROR(VLOOKUP(B1062, PLANTA_BASE!A:R, 9, FALSE), "GENERAL"))</f>
        <v/>
      </c>
      <c r="H1062" s="2">
        <f>IF(B1062="","",IFERROR(VLOOKUP(B1062, PLANTA_BASE!A:R, 17, FALSE), "GENERAL"))</f>
        <v/>
      </c>
    </row>
    <row r="1063" ht="20" customHeight="1">
      <c r="A1063" s="5">
        <f>IF(B1063="","",IFERROR(VLOOKUP(B1063, PLANTA_BASE!A:R, 2, FALSE), "NO ENCONTRADO EN PLANTA"))</f>
        <v/>
      </c>
      <c r="B1063" s="6" t="inlineStr"/>
      <c r="C1063" s="7">
        <f>IF(B1063="","",IFERROR(VLOOKUP(B1063, PLANTA_BASE!A:R, 3, FALSE), ""))</f>
        <v/>
      </c>
      <c r="D1063" s="5">
        <f>IF(B1063="","",IFERROR(VLOOKUP(B1063, PLANTA_BASE!A:R, 5, FALSE), "NO ENCONTRADO EN PLANTA"))</f>
        <v/>
      </c>
      <c r="E1063" s="5">
        <f>IF(B1063="","",IFERROR(VLOOKUP(B1063, PLANTA_BASE!A:R, 6, FALSE), "NO ENCONTRADO EN PLANTA"))</f>
        <v/>
      </c>
      <c r="F1063" s="7">
        <f>IF(B1063="","",IFERROR(VLOOKUP(B1063, PLANTA_BASE!A:R, 8, FALSE), "DOCENTE / FACILITADOR"))</f>
        <v/>
      </c>
      <c r="G1063" s="7">
        <f>IF(B1063="","",IFERROR(VLOOKUP(B1063, PLANTA_BASE!A:R, 9, FALSE), "GENERAL"))</f>
        <v/>
      </c>
      <c r="H1063" s="5">
        <f>IF(B1063="","",IFERROR(VLOOKUP(B1063, PLANTA_BASE!A:R, 17, FALSE), "GENERAL"))</f>
        <v/>
      </c>
    </row>
    <row r="1064" ht="20" customHeight="1">
      <c r="A1064" s="2">
        <f>IF(B1064="","",IFERROR(VLOOKUP(B1064, PLANTA_BASE!A:R, 2, FALSE), "NO ENCONTRADO EN PLANTA"))</f>
        <v/>
      </c>
      <c r="B1064" s="3" t="inlineStr"/>
      <c r="C1064" s="4">
        <f>IF(B1064="","",IFERROR(VLOOKUP(B1064, PLANTA_BASE!A:R, 3, FALSE), ""))</f>
        <v/>
      </c>
      <c r="D1064" s="2">
        <f>IF(B1064="","",IFERROR(VLOOKUP(B1064, PLANTA_BASE!A:R, 5, FALSE), "NO ENCONTRADO EN PLANTA"))</f>
        <v/>
      </c>
      <c r="E1064" s="2">
        <f>IF(B1064="","",IFERROR(VLOOKUP(B1064, PLANTA_BASE!A:R, 6, FALSE), "NO ENCONTRADO EN PLANTA"))</f>
        <v/>
      </c>
      <c r="F1064" s="4">
        <f>IF(B1064="","",IFERROR(VLOOKUP(B1064, PLANTA_BASE!A:R, 8, FALSE), "DOCENTE / FACILITADOR"))</f>
        <v/>
      </c>
      <c r="G1064" s="4">
        <f>IF(B1064="","",IFERROR(VLOOKUP(B1064, PLANTA_BASE!A:R, 9, FALSE), "GENERAL"))</f>
        <v/>
      </c>
      <c r="H1064" s="2">
        <f>IF(B1064="","",IFERROR(VLOOKUP(B1064, PLANTA_BASE!A:R, 17, FALSE), "GENERAL"))</f>
        <v/>
      </c>
    </row>
    <row r="1065" ht="20" customHeight="1">
      <c r="A1065" s="5">
        <f>IF(B1065="","",IFERROR(VLOOKUP(B1065, PLANTA_BASE!A:R, 2, FALSE), "NO ENCONTRADO EN PLANTA"))</f>
        <v/>
      </c>
      <c r="B1065" s="6" t="inlineStr"/>
      <c r="C1065" s="7">
        <f>IF(B1065="","",IFERROR(VLOOKUP(B1065, PLANTA_BASE!A:R, 3, FALSE), ""))</f>
        <v/>
      </c>
      <c r="D1065" s="5">
        <f>IF(B1065="","",IFERROR(VLOOKUP(B1065, PLANTA_BASE!A:R, 5, FALSE), "NO ENCONTRADO EN PLANTA"))</f>
        <v/>
      </c>
      <c r="E1065" s="5">
        <f>IF(B1065="","",IFERROR(VLOOKUP(B1065, PLANTA_BASE!A:R, 6, FALSE), "NO ENCONTRADO EN PLANTA"))</f>
        <v/>
      </c>
      <c r="F1065" s="7">
        <f>IF(B1065="","",IFERROR(VLOOKUP(B1065, PLANTA_BASE!A:R, 8, FALSE), "DOCENTE / FACILITADOR"))</f>
        <v/>
      </c>
      <c r="G1065" s="7">
        <f>IF(B1065="","",IFERROR(VLOOKUP(B1065, PLANTA_BASE!A:R, 9, FALSE), "GENERAL"))</f>
        <v/>
      </c>
      <c r="H1065" s="5">
        <f>IF(B1065="","",IFERROR(VLOOKUP(B1065, PLANTA_BASE!A:R, 17, FALSE), "GENERAL"))</f>
        <v/>
      </c>
    </row>
    <row r="1066" ht="20" customHeight="1">
      <c r="A1066" s="2">
        <f>IF(B1066="","",IFERROR(VLOOKUP(B1066, PLANTA_BASE!A:R, 2, FALSE), "NO ENCONTRADO EN PLANTA"))</f>
        <v/>
      </c>
      <c r="B1066" s="3" t="inlineStr"/>
      <c r="C1066" s="4">
        <f>IF(B1066="","",IFERROR(VLOOKUP(B1066, PLANTA_BASE!A:R, 3, FALSE), ""))</f>
        <v/>
      </c>
      <c r="D1066" s="2">
        <f>IF(B1066="","",IFERROR(VLOOKUP(B1066, PLANTA_BASE!A:R, 5, FALSE), "NO ENCONTRADO EN PLANTA"))</f>
        <v/>
      </c>
      <c r="E1066" s="2">
        <f>IF(B1066="","",IFERROR(VLOOKUP(B1066, PLANTA_BASE!A:R, 6, FALSE), "NO ENCONTRADO EN PLANTA"))</f>
        <v/>
      </c>
      <c r="F1066" s="4">
        <f>IF(B1066="","",IFERROR(VLOOKUP(B1066, PLANTA_BASE!A:R, 8, FALSE), "DOCENTE / FACILITADOR"))</f>
        <v/>
      </c>
      <c r="G1066" s="4">
        <f>IF(B1066="","",IFERROR(VLOOKUP(B1066, PLANTA_BASE!A:R, 9, FALSE), "GENERAL"))</f>
        <v/>
      </c>
      <c r="H1066" s="2">
        <f>IF(B1066="","",IFERROR(VLOOKUP(B1066, PLANTA_BASE!A:R, 17, FALSE), "GENERAL"))</f>
        <v/>
      </c>
    </row>
    <row r="1067" ht="20" customHeight="1">
      <c r="A1067" s="5">
        <f>IF(B1067="","",IFERROR(VLOOKUP(B1067, PLANTA_BASE!A:R, 2, FALSE), "NO ENCONTRADO EN PLANTA"))</f>
        <v/>
      </c>
      <c r="B1067" s="6" t="inlineStr"/>
      <c r="C1067" s="7">
        <f>IF(B1067="","",IFERROR(VLOOKUP(B1067, PLANTA_BASE!A:R, 3, FALSE), ""))</f>
        <v/>
      </c>
      <c r="D1067" s="5">
        <f>IF(B1067="","",IFERROR(VLOOKUP(B1067, PLANTA_BASE!A:R, 5, FALSE), "NO ENCONTRADO EN PLANTA"))</f>
        <v/>
      </c>
      <c r="E1067" s="5">
        <f>IF(B1067="","",IFERROR(VLOOKUP(B1067, PLANTA_BASE!A:R, 6, FALSE), "NO ENCONTRADO EN PLANTA"))</f>
        <v/>
      </c>
      <c r="F1067" s="7">
        <f>IF(B1067="","",IFERROR(VLOOKUP(B1067, PLANTA_BASE!A:R, 8, FALSE), "DOCENTE / FACILITADOR"))</f>
        <v/>
      </c>
      <c r="G1067" s="7">
        <f>IF(B1067="","",IFERROR(VLOOKUP(B1067, PLANTA_BASE!A:R, 9, FALSE), "GENERAL"))</f>
        <v/>
      </c>
      <c r="H1067" s="5">
        <f>IF(B1067="","",IFERROR(VLOOKUP(B1067, PLANTA_BASE!A:R, 17, FALSE), "GENERAL"))</f>
        <v/>
      </c>
    </row>
    <row r="1068" ht="20" customHeight="1">
      <c r="A1068" s="2">
        <f>IF(B1068="","",IFERROR(VLOOKUP(B1068, PLANTA_BASE!A:R, 2, FALSE), "NO ENCONTRADO EN PLANTA"))</f>
        <v/>
      </c>
      <c r="B1068" s="3" t="inlineStr"/>
      <c r="C1068" s="4">
        <f>IF(B1068="","",IFERROR(VLOOKUP(B1068, PLANTA_BASE!A:R, 3, FALSE), ""))</f>
        <v/>
      </c>
      <c r="D1068" s="2">
        <f>IF(B1068="","",IFERROR(VLOOKUP(B1068, PLANTA_BASE!A:R, 5, FALSE), "NO ENCONTRADO EN PLANTA"))</f>
        <v/>
      </c>
      <c r="E1068" s="2">
        <f>IF(B1068="","",IFERROR(VLOOKUP(B1068, PLANTA_BASE!A:R, 6, FALSE), "NO ENCONTRADO EN PLANTA"))</f>
        <v/>
      </c>
      <c r="F1068" s="4">
        <f>IF(B1068="","",IFERROR(VLOOKUP(B1068, PLANTA_BASE!A:R, 8, FALSE), "DOCENTE / FACILITADOR"))</f>
        <v/>
      </c>
      <c r="G1068" s="4">
        <f>IF(B1068="","",IFERROR(VLOOKUP(B1068, PLANTA_BASE!A:R, 9, FALSE), "GENERAL"))</f>
        <v/>
      </c>
      <c r="H1068" s="2">
        <f>IF(B1068="","",IFERROR(VLOOKUP(B1068, PLANTA_BASE!A:R, 17, FALSE), "GENERAL"))</f>
        <v/>
      </c>
    </row>
    <row r="1069" ht="20" customHeight="1">
      <c r="A1069" s="5">
        <f>IF(B1069="","",IFERROR(VLOOKUP(B1069, PLANTA_BASE!A:R, 2, FALSE), "NO ENCONTRADO EN PLANTA"))</f>
        <v/>
      </c>
      <c r="B1069" s="6" t="inlineStr"/>
      <c r="C1069" s="7">
        <f>IF(B1069="","",IFERROR(VLOOKUP(B1069, PLANTA_BASE!A:R, 3, FALSE), ""))</f>
        <v/>
      </c>
      <c r="D1069" s="5">
        <f>IF(B1069="","",IFERROR(VLOOKUP(B1069, PLANTA_BASE!A:R, 5, FALSE), "NO ENCONTRADO EN PLANTA"))</f>
        <v/>
      </c>
      <c r="E1069" s="5">
        <f>IF(B1069="","",IFERROR(VLOOKUP(B1069, PLANTA_BASE!A:R, 6, FALSE), "NO ENCONTRADO EN PLANTA"))</f>
        <v/>
      </c>
      <c r="F1069" s="7">
        <f>IF(B1069="","",IFERROR(VLOOKUP(B1069, PLANTA_BASE!A:R, 8, FALSE), "DOCENTE / FACILITADOR"))</f>
        <v/>
      </c>
      <c r="G1069" s="7">
        <f>IF(B1069="","",IFERROR(VLOOKUP(B1069, PLANTA_BASE!A:R, 9, FALSE), "GENERAL"))</f>
        <v/>
      </c>
      <c r="H1069" s="5">
        <f>IF(B1069="","",IFERROR(VLOOKUP(B1069, PLANTA_BASE!A:R, 17, FALSE), "GENERAL"))</f>
        <v/>
      </c>
    </row>
    <row r="1070" ht="20" customHeight="1">
      <c r="A1070" s="2">
        <f>IF(B1070="","",IFERROR(VLOOKUP(B1070, PLANTA_BASE!A:R, 2, FALSE), "NO ENCONTRADO EN PLANTA"))</f>
        <v/>
      </c>
      <c r="B1070" s="3" t="inlineStr"/>
      <c r="C1070" s="4">
        <f>IF(B1070="","",IFERROR(VLOOKUP(B1070, PLANTA_BASE!A:R, 3, FALSE), ""))</f>
        <v/>
      </c>
      <c r="D1070" s="2">
        <f>IF(B1070="","",IFERROR(VLOOKUP(B1070, PLANTA_BASE!A:R, 5, FALSE), "NO ENCONTRADO EN PLANTA"))</f>
        <v/>
      </c>
      <c r="E1070" s="2">
        <f>IF(B1070="","",IFERROR(VLOOKUP(B1070, PLANTA_BASE!A:R, 6, FALSE), "NO ENCONTRADO EN PLANTA"))</f>
        <v/>
      </c>
      <c r="F1070" s="4">
        <f>IF(B1070="","",IFERROR(VLOOKUP(B1070, PLANTA_BASE!A:R, 8, FALSE), "DOCENTE / FACILITADOR"))</f>
        <v/>
      </c>
      <c r="G1070" s="4">
        <f>IF(B1070="","",IFERROR(VLOOKUP(B1070, PLANTA_BASE!A:R, 9, FALSE), "GENERAL"))</f>
        <v/>
      </c>
      <c r="H1070" s="2">
        <f>IF(B1070="","",IFERROR(VLOOKUP(B1070, PLANTA_BASE!A:R, 17, FALSE), "GENERAL"))</f>
        <v/>
      </c>
    </row>
    <row r="1071" ht="20" customHeight="1">
      <c r="A1071" s="5">
        <f>IF(B1071="","",IFERROR(VLOOKUP(B1071, PLANTA_BASE!A:R, 2, FALSE), "NO ENCONTRADO EN PLANTA"))</f>
        <v/>
      </c>
      <c r="B1071" s="6" t="inlineStr"/>
      <c r="C1071" s="7">
        <f>IF(B1071="","",IFERROR(VLOOKUP(B1071, PLANTA_BASE!A:R, 3, FALSE), ""))</f>
        <v/>
      </c>
      <c r="D1071" s="5">
        <f>IF(B1071="","",IFERROR(VLOOKUP(B1071, PLANTA_BASE!A:R, 5, FALSE), "NO ENCONTRADO EN PLANTA"))</f>
        <v/>
      </c>
      <c r="E1071" s="5">
        <f>IF(B1071="","",IFERROR(VLOOKUP(B1071, PLANTA_BASE!A:R, 6, FALSE), "NO ENCONTRADO EN PLANTA"))</f>
        <v/>
      </c>
      <c r="F1071" s="7">
        <f>IF(B1071="","",IFERROR(VLOOKUP(B1071, PLANTA_BASE!A:R, 8, FALSE), "DOCENTE / FACILITADOR"))</f>
        <v/>
      </c>
      <c r="G1071" s="7">
        <f>IF(B1071="","",IFERROR(VLOOKUP(B1071, PLANTA_BASE!A:R, 9, FALSE), "GENERAL"))</f>
        <v/>
      </c>
      <c r="H1071" s="5">
        <f>IF(B1071="","",IFERROR(VLOOKUP(B1071, PLANTA_BASE!A:R, 17, FALSE), "GENERAL"))</f>
        <v/>
      </c>
    </row>
    <row r="1072" ht="20" customHeight="1">
      <c r="A1072" s="2">
        <f>IF(B1072="","",IFERROR(VLOOKUP(B1072, PLANTA_BASE!A:R, 2, FALSE), "NO ENCONTRADO EN PLANTA"))</f>
        <v/>
      </c>
      <c r="B1072" s="3" t="inlineStr"/>
      <c r="C1072" s="4">
        <f>IF(B1072="","",IFERROR(VLOOKUP(B1072, PLANTA_BASE!A:R, 3, FALSE), ""))</f>
        <v/>
      </c>
      <c r="D1072" s="2">
        <f>IF(B1072="","",IFERROR(VLOOKUP(B1072, PLANTA_BASE!A:R, 5, FALSE), "NO ENCONTRADO EN PLANTA"))</f>
        <v/>
      </c>
      <c r="E1072" s="2">
        <f>IF(B1072="","",IFERROR(VLOOKUP(B1072, PLANTA_BASE!A:R, 6, FALSE), "NO ENCONTRADO EN PLANTA"))</f>
        <v/>
      </c>
      <c r="F1072" s="4">
        <f>IF(B1072="","",IFERROR(VLOOKUP(B1072, PLANTA_BASE!A:R, 8, FALSE), "DOCENTE / FACILITADOR"))</f>
        <v/>
      </c>
      <c r="G1072" s="4">
        <f>IF(B1072="","",IFERROR(VLOOKUP(B1072, PLANTA_BASE!A:R, 9, FALSE), "GENERAL"))</f>
        <v/>
      </c>
      <c r="H1072" s="2">
        <f>IF(B1072="","",IFERROR(VLOOKUP(B1072, PLANTA_BASE!A:R, 17, FALSE), "GENERAL"))</f>
        <v/>
      </c>
    </row>
    <row r="1073" ht="20" customHeight="1">
      <c r="A1073" s="5">
        <f>IF(B1073="","",IFERROR(VLOOKUP(B1073, PLANTA_BASE!A:R, 2, FALSE), "NO ENCONTRADO EN PLANTA"))</f>
        <v/>
      </c>
      <c r="B1073" s="6" t="inlineStr"/>
      <c r="C1073" s="7">
        <f>IF(B1073="","",IFERROR(VLOOKUP(B1073, PLANTA_BASE!A:R, 3, FALSE), ""))</f>
        <v/>
      </c>
      <c r="D1073" s="5">
        <f>IF(B1073="","",IFERROR(VLOOKUP(B1073, PLANTA_BASE!A:R, 5, FALSE), "NO ENCONTRADO EN PLANTA"))</f>
        <v/>
      </c>
      <c r="E1073" s="5">
        <f>IF(B1073="","",IFERROR(VLOOKUP(B1073, PLANTA_BASE!A:R, 6, FALSE), "NO ENCONTRADO EN PLANTA"))</f>
        <v/>
      </c>
      <c r="F1073" s="7">
        <f>IF(B1073="","",IFERROR(VLOOKUP(B1073, PLANTA_BASE!A:R, 8, FALSE), "DOCENTE / FACILITADOR"))</f>
        <v/>
      </c>
      <c r="G1073" s="7">
        <f>IF(B1073="","",IFERROR(VLOOKUP(B1073, PLANTA_BASE!A:R, 9, FALSE), "GENERAL"))</f>
        <v/>
      </c>
      <c r="H1073" s="5">
        <f>IF(B1073="","",IFERROR(VLOOKUP(B1073, PLANTA_BASE!A:R, 17, FALSE), "GENERAL"))</f>
        <v/>
      </c>
    </row>
    <row r="1074" ht="20" customHeight="1">
      <c r="A1074" s="2">
        <f>IF(B1074="","",IFERROR(VLOOKUP(B1074, PLANTA_BASE!A:R, 2, FALSE), "NO ENCONTRADO EN PLANTA"))</f>
        <v/>
      </c>
      <c r="B1074" s="3" t="inlineStr"/>
      <c r="C1074" s="4">
        <f>IF(B1074="","",IFERROR(VLOOKUP(B1074, PLANTA_BASE!A:R, 3, FALSE), ""))</f>
        <v/>
      </c>
      <c r="D1074" s="2">
        <f>IF(B1074="","",IFERROR(VLOOKUP(B1074, PLANTA_BASE!A:R, 5, FALSE), "NO ENCONTRADO EN PLANTA"))</f>
        <v/>
      </c>
      <c r="E1074" s="2">
        <f>IF(B1074="","",IFERROR(VLOOKUP(B1074, PLANTA_BASE!A:R, 6, FALSE), "NO ENCONTRADO EN PLANTA"))</f>
        <v/>
      </c>
      <c r="F1074" s="4">
        <f>IF(B1074="","",IFERROR(VLOOKUP(B1074, PLANTA_BASE!A:R, 8, FALSE), "DOCENTE / FACILITADOR"))</f>
        <v/>
      </c>
      <c r="G1074" s="4">
        <f>IF(B1074="","",IFERROR(VLOOKUP(B1074, PLANTA_BASE!A:R, 9, FALSE), "GENERAL"))</f>
        <v/>
      </c>
      <c r="H1074" s="2">
        <f>IF(B1074="","",IFERROR(VLOOKUP(B1074, PLANTA_BASE!A:R, 17, FALSE), "GENERAL"))</f>
        <v/>
      </c>
    </row>
    <row r="1075" ht="20" customHeight="1">
      <c r="A1075" s="5">
        <f>IF(B1075="","",IFERROR(VLOOKUP(B1075, PLANTA_BASE!A:R, 2, FALSE), "NO ENCONTRADO EN PLANTA"))</f>
        <v/>
      </c>
      <c r="B1075" s="6" t="inlineStr"/>
      <c r="C1075" s="7">
        <f>IF(B1075="","",IFERROR(VLOOKUP(B1075, PLANTA_BASE!A:R, 3, FALSE), ""))</f>
        <v/>
      </c>
      <c r="D1075" s="5">
        <f>IF(B1075="","",IFERROR(VLOOKUP(B1075, PLANTA_BASE!A:R, 5, FALSE), "NO ENCONTRADO EN PLANTA"))</f>
        <v/>
      </c>
      <c r="E1075" s="5">
        <f>IF(B1075="","",IFERROR(VLOOKUP(B1075, PLANTA_BASE!A:R, 6, FALSE), "NO ENCONTRADO EN PLANTA"))</f>
        <v/>
      </c>
      <c r="F1075" s="7">
        <f>IF(B1075="","",IFERROR(VLOOKUP(B1075, PLANTA_BASE!A:R, 8, FALSE), "DOCENTE / FACILITADOR"))</f>
        <v/>
      </c>
      <c r="G1075" s="7">
        <f>IF(B1075="","",IFERROR(VLOOKUP(B1075, PLANTA_BASE!A:R, 9, FALSE), "GENERAL"))</f>
        <v/>
      </c>
      <c r="H1075" s="5">
        <f>IF(B1075="","",IFERROR(VLOOKUP(B1075, PLANTA_BASE!A:R, 17, FALSE), "GENERAL"))</f>
        <v/>
      </c>
    </row>
    <row r="1076" ht="20" customHeight="1">
      <c r="A1076" s="2">
        <f>IF(B1076="","",IFERROR(VLOOKUP(B1076, PLANTA_BASE!A:R, 2, FALSE), "NO ENCONTRADO EN PLANTA"))</f>
        <v/>
      </c>
      <c r="B1076" s="3" t="inlineStr"/>
      <c r="C1076" s="4">
        <f>IF(B1076="","",IFERROR(VLOOKUP(B1076, PLANTA_BASE!A:R, 3, FALSE), ""))</f>
        <v/>
      </c>
      <c r="D1076" s="2">
        <f>IF(B1076="","",IFERROR(VLOOKUP(B1076, PLANTA_BASE!A:R, 5, FALSE), "NO ENCONTRADO EN PLANTA"))</f>
        <v/>
      </c>
      <c r="E1076" s="2">
        <f>IF(B1076="","",IFERROR(VLOOKUP(B1076, PLANTA_BASE!A:R, 6, FALSE), "NO ENCONTRADO EN PLANTA"))</f>
        <v/>
      </c>
      <c r="F1076" s="4">
        <f>IF(B1076="","",IFERROR(VLOOKUP(B1076, PLANTA_BASE!A:R, 8, FALSE), "DOCENTE / FACILITADOR"))</f>
        <v/>
      </c>
      <c r="G1076" s="4">
        <f>IF(B1076="","",IFERROR(VLOOKUP(B1076, PLANTA_BASE!A:R, 9, FALSE), "GENERAL"))</f>
        <v/>
      </c>
      <c r="H1076" s="2">
        <f>IF(B1076="","",IFERROR(VLOOKUP(B1076, PLANTA_BASE!A:R, 17, FALSE), "GENERAL"))</f>
        <v/>
      </c>
    </row>
    <row r="1077" ht="20" customHeight="1">
      <c r="A1077" s="5">
        <f>IF(B1077="","",IFERROR(VLOOKUP(B1077, PLANTA_BASE!A:R, 2, FALSE), "NO ENCONTRADO EN PLANTA"))</f>
        <v/>
      </c>
      <c r="B1077" s="6" t="inlineStr"/>
      <c r="C1077" s="7">
        <f>IF(B1077="","",IFERROR(VLOOKUP(B1077, PLANTA_BASE!A:R, 3, FALSE), ""))</f>
        <v/>
      </c>
      <c r="D1077" s="5">
        <f>IF(B1077="","",IFERROR(VLOOKUP(B1077, PLANTA_BASE!A:R, 5, FALSE), "NO ENCONTRADO EN PLANTA"))</f>
        <v/>
      </c>
      <c r="E1077" s="5">
        <f>IF(B1077="","",IFERROR(VLOOKUP(B1077, PLANTA_BASE!A:R, 6, FALSE), "NO ENCONTRADO EN PLANTA"))</f>
        <v/>
      </c>
      <c r="F1077" s="7">
        <f>IF(B1077="","",IFERROR(VLOOKUP(B1077, PLANTA_BASE!A:R, 8, FALSE), "DOCENTE / FACILITADOR"))</f>
        <v/>
      </c>
      <c r="G1077" s="7">
        <f>IF(B1077="","",IFERROR(VLOOKUP(B1077, PLANTA_BASE!A:R, 9, FALSE), "GENERAL"))</f>
        <v/>
      </c>
      <c r="H1077" s="5">
        <f>IF(B1077="","",IFERROR(VLOOKUP(B1077, PLANTA_BASE!A:R, 17, FALSE), "GENERAL"))</f>
        <v/>
      </c>
    </row>
    <row r="1078" ht="20" customHeight="1">
      <c r="A1078" s="2">
        <f>IF(B1078="","",IFERROR(VLOOKUP(B1078, PLANTA_BASE!A:R, 2, FALSE), "NO ENCONTRADO EN PLANTA"))</f>
        <v/>
      </c>
      <c r="B1078" s="3" t="inlineStr"/>
      <c r="C1078" s="4">
        <f>IF(B1078="","",IFERROR(VLOOKUP(B1078, PLANTA_BASE!A:R, 3, FALSE), ""))</f>
        <v/>
      </c>
      <c r="D1078" s="2">
        <f>IF(B1078="","",IFERROR(VLOOKUP(B1078, PLANTA_BASE!A:R, 5, FALSE), "NO ENCONTRADO EN PLANTA"))</f>
        <v/>
      </c>
      <c r="E1078" s="2">
        <f>IF(B1078="","",IFERROR(VLOOKUP(B1078, PLANTA_BASE!A:R, 6, FALSE), "NO ENCONTRADO EN PLANTA"))</f>
        <v/>
      </c>
      <c r="F1078" s="4">
        <f>IF(B1078="","",IFERROR(VLOOKUP(B1078, PLANTA_BASE!A:R, 8, FALSE), "DOCENTE / FACILITADOR"))</f>
        <v/>
      </c>
      <c r="G1078" s="4">
        <f>IF(B1078="","",IFERROR(VLOOKUP(B1078, PLANTA_BASE!A:R, 9, FALSE), "GENERAL"))</f>
        <v/>
      </c>
      <c r="H1078" s="2">
        <f>IF(B1078="","",IFERROR(VLOOKUP(B1078, PLANTA_BASE!A:R, 17, FALSE), "GENERAL"))</f>
        <v/>
      </c>
    </row>
    <row r="1079" ht="20" customHeight="1">
      <c r="A1079" s="5">
        <f>IF(B1079="","",IFERROR(VLOOKUP(B1079, PLANTA_BASE!A:R, 2, FALSE), "NO ENCONTRADO EN PLANTA"))</f>
        <v/>
      </c>
      <c r="B1079" s="6" t="inlineStr"/>
      <c r="C1079" s="7">
        <f>IF(B1079="","",IFERROR(VLOOKUP(B1079, PLANTA_BASE!A:R, 3, FALSE), ""))</f>
        <v/>
      </c>
      <c r="D1079" s="5">
        <f>IF(B1079="","",IFERROR(VLOOKUP(B1079, PLANTA_BASE!A:R, 5, FALSE), "NO ENCONTRADO EN PLANTA"))</f>
        <v/>
      </c>
      <c r="E1079" s="5">
        <f>IF(B1079="","",IFERROR(VLOOKUP(B1079, PLANTA_BASE!A:R, 6, FALSE), "NO ENCONTRADO EN PLANTA"))</f>
        <v/>
      </c>
      <c r="F1079" s="7">
        <f>IF(B1079="","",IFERROR(VLOOKUP(B1079, PLANTA_BASE!A:R, 8, FALSE), "DOCENTE / FACILITADOR"))</f>
        <v/>
      </c>
      <c r="G1079" s="7">
        <f>IF(B1079="","",IFERROR(VLOOKUP(B1079, PLANTA_BASE!A:R, 9, FALSE), "GENERAL"))</f>
        <v/>
      </c>
      <c r="H1079" s="5">
        <f>IF(B1079="","",IFERROR(VLOOKUP(B1079, PLANTA_BASE!A:R, 17, FALSE), "GENERAL"))</f>
        <v/>
      </c>
    </row>
    <row r="1080" ht="20" customHeight="1">
      <c r="A1080" s="2">
        <f>IF(B1080="","",IFERROR(VLOOKUP(B1080, PLANTA_BASE!A:R, 2, FALSE), "NO ENCONTRADO EN PLANTA"))</f>
        <v/>
      </c>
      <c r="B1080" s="3" t="inlineStr"/>
      <c r="C1080" s="4">
        <f>IF(B1080="","",IFERROR(VLOOKUP(B1080, PLANTA_BASE!A:R, 3, FALSE), ""))</f>
        <v/>
      </c>
      <c r="D1080" s="2">
        <f>IF(B1080="","",IFERROR(VLOOKUP(B1080, PLANTA_BASE!A:R, 5, FALSE), "NO ENCONTRADO EN PLANTA"))</f>
        <v/>
      </c>
      <c r="E1080" s="2">
        <f>IF(B1080="","",IFERROR(VLOOKUP(B1080, PLANTA_BASE!A:R, 6, FALSE), "NO ENCONTRADO EN PLANTA"))</f>
        <v/>
      </c>
      <c r="F1080" s="4">
        <f>IF(B1080="","",IFERROR(VLOOKUP(B1080, PLANTA_BASE!A:R, 8, FALSE), "DOCENTE / FACILITADOR"))</f>
        <v/>
      </c>
      <c r="G1080" s="4">
        <f>IF(B1080="","",IFERROR(VLOOKUP(B1080, PLANTA_BASE!A:R, 9, FALSE), "GENERAL"))</f>
        <v/>
      </c>
      <c r="H1080" s="2">
        <f>IF(B1080="","",IFERROR(VLOOKUP(B1080, PLANTA_BASE!A:R, 17, FALSE), "GENERAL"))</f>
        <v/>
      </c>
    </row>
    <row r="1081" ht="20" customHeight="1">
      <c r="A1081" s="5">
        <f>IF(B1081="","",IFERROR(VLOOKUP(B1081, PLANTA_BASE!A:R, 2, FALSE), "NO ENCONTRADO EN PLANTA"))</f>
        <v/>
      </c>
      <c r="B1081" s="6" t="inlineStr"/>
      <c r="C1081" s="7">
        <f>IF(B1081="","",IFERROR(VLOOKUP(B1081, PLANTA_BASE!A:R, 3, FALSE), ""))</f>
        <v/>
      </c>
      <c r="D1081" s="5">
        <f>IF(B1081="","",IFERROR(VLOOKUP(B1081, PLANTA_BASE!A:R, 5, FALSE), "NO ENCONTRADO EN PLANTA"))</f>
        <v/>
      </c>
      <c r="E1081" s="5">
        <f>IF(B1081="","",IFERROR(VLOOKUP(B1081, PLANTA_BASE!A:R, 6, FALSE), "NO ENCONTRADO EN PLANTA"))</f>
        <v/>
      </c>
      <c r="F1081" s="7">
        <f>IF(B1081="","",IFERROR(VLOOKUP(B1081, PLANTA_BASE!A:R, 8, FALSE), "DOCENTE / FACILITADOR"))</f>
        <v/>
      </c>
      <c r="G1081" s="7">
        <f>IF(B1081="","",IFERROR(VLOOKUP(B1081, PLANTA_BASE!A:R, 9, FALSE), "GENERAL"))</f>
        <v/>
      </c>
      <c r="H1081" s="5">
        <f>IF(B1081="","",IFERROR(VLOOKUP(B1081, PLANTA_BASE!A:R, 17, FALSE), "GENERAL"))</f>
        <v/>
      </c>
    </row>
    <row r="1082" ht="20" customHeight="1">
      <c r="A1082" s="2">
        <f>IF(B1082="","",IFERROR(VLOOKUP(B1082, PLANTA_BASE!A:R, 2, FALSE), "NO ENCONTRADO EN PLANTA"))</f>
        <v/>
      </c>
      <c r="B1082" s="3" t="inlineStr"/>
      <c r="C1082" s="4">
        <f>IF(B1082="","",IFERROR(VLOOKUP(B1082, PLANTA_BASE!A:R, 3, FALSE), ""))</f>
        <v/>
      </c>
      <c r="D1082" s="2">
        <f>IF(B1082="","",IFERROR(VLOOKUP(B1082, PLANTA_BASE!A:R, 5, FALSE), "NO ENCONTRADO EN PLANTA"))</f>
        <v/>
      </c>
      <c r="E1082" s="2">
        <f>IF(B1082="","",IFERROR(VLOOKUP(B1082, PLANTA_BASE!A:R, 6, FALSE), "NO ENCONTRADO EN PLANTA"))</f>
        <v/>
      </c>
      <c r="F1082" s="4">
        <f>IF(B1082="","",IFERROR(VLOOKUP(B1082, PLANTA_BASE!A:R, 8, FALSE), "DOCENTE / FACILITADOR"))</f>
        <v/>
      </c>
      <c r="G1082" s="4">
        <f>IF(B1082="","",IFERROR(VLOOKUP(B1082, PLANTA_BASE!A:R, 9, FALSE), "GENERAL"))</f>
        <v/>
      </c>
      <c r="H1082" s="2">
        <f>IF(B1082="","",IFERROR(VLOOKUP(B1082, PLANTA_BASE!A:R, 17, FALSE), "GENERAL"))</f>
        <v/>
      </c>
    </row>
    <row r="1083" ht="20" customHeight="1">
      <c r="A1083" s="5">
        <f>IF(B1083="","",IFERROR(VLOOKUP(B1083, PLANTA_BASE!A:R, 2, FALSE), "NO ENCONTRADO EN PLANTA"))</f>
        <v/>
      </c>
      <c r="B1083" s="6" t="inlineStr"/>
      <c r="C1083" s="7">
        <f>IF(B1083="","",IFERROR(VLOOKUP(B1083, PLANTA_BASE!A:R, 3, FALSE), ""))</f>
        <v/>
      </c>
      <c r="D1083" s="5">
        <f>IF(B1083="","",IFERROR(VLOOKUP(B1083, PLANTA_BASE!A:R, 5, FALSE), "NO ENCONTRADO EN PLANTA"))</f>
        <v/>
      </c>
      <c r="E1083" s="5">
        <f>IF(B1083="","",IFERROR(VLOOKUP(B1083, PLANTA_BASE!A:R, 6, FALSE), "NO ENCONTRADO EN PLANTA"))</f>
        <v/>
      </c>
      <c r="F1083" s="7">
        <f>IF(B1083="","",IFERROR(VLOOKUP(B1083, PLANTA_BASE!A:R, 8, FALSE), "DOCENTE / FACILITADOR"))</f>
        <v/>
      </c>
      <c r="G1083" s="7">
        <f>IF(B1083="","",IFERROR(VLOOKUP(B1083, PLANTA_BASE!A:R, 9, FALSE), "GENERAL"))</f>
        <v/>
      </c>
      <c r="H1083" s="5">
        <f>IF(B1083="","",IFERROR(VLOOKUP(B1083, PLANTA_BASE!A:R, 17, FALSE), "GENERAL"))</f>
        <v/>
      </c>
    </row>
    <row r="1084" ht="20" customHeight="1">
      <c r="A1084" s="2">
        <f>IF(B1084="","",IFERROR(VLOOKUP(B1084, PLANTA_BASE!A:R, 2, FALSE), "NO ENCONTRADO EN PLANTA"))</f>
        <v/>
      </c>
      <c r="B1084" s="3" t="inlineStr"/>
      <c r="C1084" s="4">
        <f>IF(B1084="","",IFERROR(VLOOKUP(B1084, PLANTA_BASE!A:R, 3, FALSE), ""))</f>
        <v/>
      </c>
      <c r="D1084" s="2">
        <f>IF(B1084="","",IFERROR(VLOOKUP(B1084, PLANTA_BASE!A:R, 5, FALSE), "NO ENCONTRADO EN PLANTA"))</f>
        <v/>
      </c>
      <c r="E1084" s="2">
        <f>IF(B1084="","",IFERROR(VLOOKUP(B1084, PLANTA_BASE!A:R, 6, FALSE), "NO ENCONTRADO EN PLANTA"))</f>
        <v/>
      </c>
      <c r="F1084" s="4">
        <f>IF(B1084="","",IFERROR(VLOOKUP(B1084, PLANTA_BASE!A:R, 8, FALSE), "DOCENTE / FACILITADOR"))</f>
        <v/>
      </c>
      <c r="G1084" s="4">
        <f>IF(B1084="","",IFERROR(VLOOKUP(B1084, PLANTA_BASE!A:R, 9, FALSE), "GENERAL"))</f>
        <v/>
      </c>
      <c r="H1084" s="2">
        <f>IF(B1084="","",IFERROR(VLOOKUP(B1084, PLANTA_BASE!A:R, 17, FALSE), "GENERAL"))</f>
        <v/>
      </c>
    </row>
    <row r="1085" ht="20" customHeight="1">
      <c r="A1085" s="5">
        <f>IF(B1085="","",IFERROR(VLOOKUP(B1085, PLANTA_BASE!A:R, 2, FALSE), "NO ENCONTRADO EN PLANTA"))</f>
        <v/>
      </c>
      <c r="B1085" s="6" t="inlineStr"/>
      <c r="C1085" s="7">
        <f>IF(B1085="","",IFERROR(VLOOKUP(B1085, PLANTA_BASE!A:R, 3, FALSE), ""))</f>
        <v/>
      </c>
      <c r="D1085" s="5">
        <f>IF(B1085="","",IFERROR(VLOOKUP(B1085, PLANTA_BASE!A:R, 5, FALSE), "NO ENCONTRADO EN PLANTA"))</f>
        <v/>
      </c>
      <c r="E1085" s="5">
        <f>IF(B1085="","",IFERROR(VLOOKUP(B1085, PLANTA_BASE!A:R, 6, FALSE), "NO ENCONTRADO EN PLANTA"))</f>
        <v/>
      </c>
      <c r="F1085" s="7">
        <f>IF(B1085="","",IFERROR(VLOOKUP(B1085, PLANTA_BASE!A:R, 8, FALSE), "DOCENTE / FACILITADOR"))</f>
        <v/>
      </c>
      <c r="G1085" s="7">
        <f>IF(B1085="","",IFERROR(VLOOKUP(B1085, PLANTA_BASE!A:R, 9, FALSE), "GENERAL"))</f>
        <v/>
      </c>
      <c r="H1085" s="5">
        <f>IF(B1085="","",IFERROR(VLOOKUP(B1085, PLANTA_BASE!A:R, 17, FALSE), "GENERAL"))</f>
        <v/>
      </c>
    </row>
    <row r="1086" ht="20" customHeight="1">
      <c r="A1086" s="2">
        <f>IF(B1086="","",IFERROR(VLOOKUP(B1086, PLANTA_BASE!A:R, 2, FALSE), "NO ENCONTRADO EN PLANTA"))</f>
        <v/>
      </c>
      <c r="B1086" s="3" t="inlineStr"/>
      <c r="C1086" s="4">
        <f>IF(B1086="","",IFERROR(VLOOKUP(B1086, PLANTA_BASE!A:R, 3, FALSE), ""))</f>
        <v/>
      </c>
      <c r="D1086" s="2">
        <f>IF(B1086="","",IFERROR(VLOOKUP(B1086, PLANTA_BASE!A:R, 5, FALSE), "NO ENCONTRADO EN PLANTA"))</f>
        <v/>
      </c>
      <c r="E1086" s="2">
        <f>IF(B1086="","",IFERROR(VLOOKUP(B1086, PLANTA_BASE!A:R, 6, FALSE), "NO ENCONTRADO EN PLANTA"))</f>
        <v/>
      </c>
      <c r="F1086" s="4">
        <f>IF(B1086="","",IFERROR(VLOOKUP(B1086, PLANTA_BASE!A:R, 8, FALSE), "DOCENTE / FACILITADOR"))</f>
        <v/>
      </c>
      <c r="G1086" s="4">
        <f>IF(B1086="","",IFERROR(VLOOKUP(B1086, PLANTA_BASE!A:R, 9, FALSE), "GENERAL"))</f>
        <v/>
      </c>
      <c r="H1086" s="2">
        <f>IF(B1086="","",IFERROR(VLOOKUP(B1086, PLANTA_BASE!A:R, 17, FALSE), "GENERAL"))</f>
        <v/>
      </c>
    </row>
    <row r="1087" ht="20" customHeight="1">
      <c r="A1087" s="5">
        <f>IF(B1087="","",IFERROR(VLOOKUP(B1087, PLANTA_BASE!A:R, 2, FALSE), "NO ENCONTRADO EN PLANTA"))</f>
        <v/>
      </c>
      <c r="B1087" s="6" t="inlineStr"/>
      <c r="C1087" s="7">
        <f>IF(B1087="","",IFERROR(VLOOKUP(B1087, PLANTA_BASE!A:R, 3, FALSE), ""))</f>
        <v/>
      </c>
      <c r="D1087" s="5">
        <f>IF(B1087="","",IFERROR(VLOOKUP(B1087, PLANTA_BASE!A:R, 5, FALSE), "NO ENCONTRADO EN PLANTA"))</f>
        <v/>
      </c>
      <c r="E1087" s="5">
        <f>IF(B1087="","",IFERROR(VLOOKUP(B1087, PLANTA_BASE!A:R, 6, FALSE), "NO ENCONTRADO EN PLANTA"))</f>
        <v/>
      </c>
      <c r="F1087" s="7">
        <f>IF(B1087="","",IFERROR(VLOOKUP(B1087, PLANTA_BASE!A:R, 8, FALSE), "DOCENTE / FACILITADOR"))</f>
        <v/>
      </c>
      <c r="G1087" s="7">
        <f>IF(B1087="","",IFERROR(VLOOKUP(B1087, PLANTA_BASE!A:R, 9, FALSE), "GENERAL"))</f>
        <v/>
      </c>
      <c r="H1087" s="5">
        <f>IF(B1087="","",IFERROR(VLOOKUP(B1087, PLANTA_BASE!A:R, 17, FALSE), "GENERAL"))</f>
        <v/>
      </c>
    </row>
    <row r="1088" ht="20" customHeight="1">
      <c r="A1088" s="2">
        <f>IF(B1088="","",IFERROR(VLOOKUP(B1088, PLANTA_BASE!A:R, 2, FALSE), "NO ENCONTRADO EN PLANTA"))</f>
        <v/>
      </c>
      <c r="B1088" s="3" t="inlineStr"/>
      <c r="C1088" s="4">
        <f>IF(B1088="","",IFERROR(VLOOKUP(B1088, PLANTA_BASE!A:R, 3, FALSE), ""))</f>
        <v/>
      </c>
      <c r="D1088" s="2">
        <f>IF(B1088="","",IFERROR(VLOOKUP(B1088, PLANTA_BASE!A:R, 5, FALSE), "NO ENCONTRADO EN PLANTA"))</f>
        <v/>
      </c>
      <c r="E1088" s="2">
        <f>IF(B1088="","",IFERROR(VLOOKUP(B1088, PLANTA_BASE!A:R, 6, FALSE), "NO ENCONTRADO EN PLANTA"))</f>
        <v/>
      </c>
      <c r="F1088" s="4">
        <f>IF(B1088="","",IFERROR(VLOOKUP(B1088, PLANTA_BASE!A:R, 8, FALSE), "DOCENTE / FACILITADOR"))</f>
        <v/>
      </c>
      <c r="G1088" s="4">
        <f>IF(B1088="","",IFERROR(VLOOKUP(B1088, PLANTA_BASE!A:R, 9, FALSE), "GENERAL"))</f>
        <v/>
      </c>
      <c r="H1088" s="2">
        <f>IF(B1088="","",IFERROR(VLOOKUP(B1088, PLANTA_BASE!A:R, 17, FALSE), "GENERAL"))</f>
        <v/>
      </c>
    </row>
    <row r="1089" ht="20" customHeight="1">
      <c r="A1089" s="5">
        <f>IF(B1089="","",IFERROR(VLOOKUP(B1089, PLANTA_BASE!A:R, 2, FALSE), "NO ENCONTRADO EN PLANTA"))</f>
        <v/>
      </c>
      <c r="B1089" s="6" t="inlineStr"/>
      <c r="C1089" s="7">
        <f>IF(B1089="","",IFERROR(VLOOKUP(B1089, PLANTA_BASE!A:R, 3, FALSE), ""))</f>
        <v/>
      </c>
      <c r="D1089" s="5">
        <f>IF(B1089="","",IFERROR(VLOOKUP(B1089, PLANTA_BASE!A:R, 5, FALSE), "NO ENCONTRADO EN PLANTA"))</f>
        <v/>
      </c>
      <c r="E1089" s="5">
        <f>IF(B1089="","",IFERROR(VLOOKUP(B1089, PLANTA_BASE!A:R, 6, FALSE), "NO ENCONTRADO EN PLANTA"))</f>
        <v/>
      </c>
      <c r="F1089" s="7">
        <f>IF(B1089="","",IFERROR(VLOOKUP(B1089, PLANTA_BASE!A:R, 8, FALSE), "DOCENTE / FACILITADOR"))</f>
        <v/>
      </c>
      <c r="G1089" s="7">
        <f>IF(B1089="","",IFERROR(VLOOKUP(B1089, PLANTA_BASE!A:R, 9, FALSE), "GENERAL"))</f>
        <v/>
      </c>
      <c r="H1089" s="5">
        <f>IF(B1089="","",IFERROR(VLOOKUP(B1089, PLANTA_BASE!A:R, 17, FALSE), "GENERAL"))</f>
        <v/>
      </c>
    </row>
    <row r="1090" ht="20" customHeight="1">
      <c r="A1090" s="2">
        <f>IF(B1090="","",IFERROR(VLOOKUP(B1090, PLANTA_BASE!A:R, 2, FALSE), "NO ENCONTRADO EN PLANTA"))</f>
        <v/>
      </c>
      <c r="B1090" s="3" t="inlineStr"/>
      <c r="C1090" s="4">
        <f>IF(B1090="","",IFERROR(VLOOKUP(B1090, PLANTA_BASE!A:R, 3, FALSE), ""))</f>
        <v/>
      </c>
      <c r="D1090" s="2">
        <f>IF(B1090="","",IFERROR(VLOOKUP(B1090, PLANTA_BASE!A:R, 5, FALSE), "NO ENCONTRADO EN PLANTA"))</f>
        <v/>
      </c>
      <c r="E1090" s="2">
        <f>IF(B1090="","",IFERROR(VLOOKUP(B1090, PLANTA_BASE!A:R, 6, FALSE), "NO ENCONTRADO EN PLANTA"))</f>
        <v/>
      </c>
      <c r="F1090" s="4">
        <f>IF(B1090="","",IFERROR(VLOOKUP(B1090, PLANTA_BASE!A:R, 8, FALSE), "DOCENTE / FACILITADOR"))</f>
        <v/>
      </c>
      <c r="G1090" s="4">
        <f>IF(B1090="","",IFERROR(VLOOKUP(B1090, PLANTA_BASE!A:R, 9, FALSE), "GENERAL"))</f>
        <v/>
      </c>
      <c r="H1090" s="2">
        <f>IF(B1090="","",IFERROR(VLOOKUP(B1090, PLANTA_BASE!A:R, 17, FALSE), "GENERAL"))</f>
        <v/>
      </c>
    </row>
    <row r="1091" ht="20" customHeight="1">
      <c r="A1091" s="5">
        <f>IF(B1091="","",IFERROR(VLOOKUP(B1091, PLANTA_BASE!A:R, 2, FALSE), "NO ENCONTRADO EN PLANTA"))</f>
        <v/>
      </c>
      <c r="B1091" s="6" t="inlineStr"/>
      <c r="C1091" s="7">
        <f>IF(B1091="","",IFERROR(VLOOKUP(B1091, PLANTA_BASE!A:R, 3, FALSE), ""))</f>
        <v/>
      </c>
      <c r="D1091" s="5">
        <f>IF(B1091="","",IFERROR(VLOOKUP(B1091, PLANTA_BASE!A:R, 5, FALSE), "NO ENCONTRADO EN PLANTA"))</f>
        <v/>
      </c>
      <c r="E1091" s="5">
        <f>IF(B1091="","",IFERROR(VLOOKUP(B1091, PLANTA_BASE!A:R, 6, FALSE), "NO ENCONTRADO EN PLANTA"))</f>
        <v/>
      </c>
      <c r="F1091" s="7">
        <f>IF(B1091="","",IFERROR(VLOOKUP(B1091, PLANTA_BASE!A:R, 8, FALSE), "DOCENTE / FACILITADOR"))</f>
        <v/>
      </c>
      <c r="G1091" s="7">
        <f>IF(B1091="","",IFERROR(VLOOKUP(B1091, PLANTA_BASE!A:R, 9, FALSE), "GENERAL"))</f>
        <v/>
      </c>
      <c r="H1091" s="5">
        <f>IF(B1091="","",IFERROR(VLOOKUP(B1091, PLANTA_BASE!A:R, 17, FALSE), "GENERAL"))</f>
        <v/>
      </c>
    </row>
    <row r="1092" ht="20" customHeight="1">
      <c r="A1092" s="2">
        <f>IF(B1092="","",IFERROR(VLOOKUP(B1092, PLANTA_BASE!A:R, 2, FALSE), "NO ENCONTRADO EN PLANTA"))</f>
        <v/>
      </c>
      <c r="B1092" s="3" t="inlineStr"/>
      <c r="C1092" s="4">
        <f>IF(B1092="","",IFERROR(VLOOKUP(B1092, PLANTA_BASE!A:R, 3, FALSE), ""))</f>
        <v/>
      </c>
      <c r="D1092" s="2">
        <f>IF(B1092="","",IFERROR(VLOOKUP(B1092, PLANTA_BASE!A:R, 5, FALSE), "NO ENCONTRADO EN PLANTA"))</f>
        <v/>
      </c>
      <c r="E1092" s="2">
        <f>IF(B1092="","",IFERROR(VLOOKUP(B1092, PLANTA_BASE!A:R, 6, FALSE), "NO ENCONTRADO EN PLANTA"))</f>
        <v/>
      </c>
      <c r="F1092" s="4">
        <f>IF(B1092="","",IFERROR(VLOOKUP(B1092, PLANTA_BASE!A:R, 8, FALSE), "DOCENTE / FACILITADOR"))</f>
        <v/>
      </c>
      <c r="G1092" s="4">
        <f>IF(B1092="","",IFERROR(VLOOKUP(B1092, PLANTA_BASE!A:R, 9, FALSE), "GENERAL"))</f>
        <v/>
      </c>
      <c r="H1092" s="2">
        <f>IF(B1092="","",IFERROR(VLOOKUP(B1092, PLANTA_BASE!A:R, 17, FALSE), "GENERAL"))</f>
        <v/>
      </c>
    </row>
    <row r="1093" ht="20" customHeight="1">
      <c r="A1093" s="5">
        <f>IF(B1093="","",IFERROR(VLOOKUP(B1093, PLANTA_BASE!A:R, 2, FALSE), "NO ENCONTRADO EN PLANTA"))</f>
        <v/>
      </c>
      <c r="B1093" s="6" t="inlineStr"/>
      <c r="C1093" s="7">
        <f>IF(B1093="","",IFERROR(VLOOKUP(B1093, PLANTA_BASE!A:R, 3, FALSE), ""))</f>
        <v/>
      </c>
      <c r="D1093" s="5">
        <f>IF(B1093="","",IFERROR(VLOOKUP(B1093, PLANTA_BASE!A:R, 5, FALSE), "NO ENCONTRADO EN PLANTA"))</f>
        <v/>
      </c>
      <c r="E1093" s="5">
        <f>IF(B1093="","",IFERROR(VLOOKUP(B1093, PLANTA_BASE!A:R, 6, FALSE), "NO ENCONTRADO EN PLANTA"))</f>
        <v/>
      </c>
      <c r="F1093" s="7">
        <f>IF(B1093="","",IFERROR(VLOOKUP(B1093, PLANTA_BASE!A:R, 8, FALSE), "DOCENTE / FACILITADOR"))</f>
        <v/>
      </c>
      <c r="G1093" s="7">
        <f>IF(B1093="","",IFERROR(VLOOKUP(B1093, PLANTA_BASE!A:R, 9, FALSE), "GENERAL"))</f>
        <v/>
      </c>
      <c r="H1093" s="5">
        <f>IF(B1093="","",IFERROR(VLOOKUP(B1093, PLANTA_BASE!A:R, 17, FALSE), "GENERAL"))</f>
        <v/>
      </c>
    </row>
    <row r="1094" ht="20" customHeight="1">
      <c r="A1094" s="2">
        <f>IF(B1094="","",IFERROR(VLOOKUP(B1094, PLANTA_BASE!A:R, 2, FALSE), "NO ENCONTRADO EN PLANTA"))</f>
        <v/>
      </c>
      <c r="B1094" s="3" t="inlineStr"/>
      <c r="C1094" s="4">
        <f>IF(B1094="","",IFERROR(VLOOKUP(B1094, PLANTA_BASE!A:R, 3, FALSE), ""))</f>
        <v/>
      </c>
      <c r="D1094" s="2">
        <f>IF(B1094="","",IFERROR(VLOOKUP(B1094, PLANTA_BASE!A:R, 5, FALSE), "NO ENCONTRADO EN PLANTA"))</f>
        <v/>
      </c>
      <c r="E1094" s="2">
        <f>IF(B1094="","",IFERROR(VLOOKUP(B1094, PLANTA_BASE!A:R, 6, FALSE), "NO ENCONTRADO EN PLANTA"))</f>
        <v/>
      </c>
      <c r="F1094" s="4">
        <f>IF(B1094="","",IFERROR(VLOOKUP(B1094, PLANTA_BASE!A:R, 8, FALSE), "DOCENTE / FACILITADOR"))</f>
        <v/>
      </c>
      <c r="G1094" s="4">
        <f>IF(B1094="","",IFERROR(VLOOKUP(B1094, PLANTA_BASE!A:R, 9, FALSE), "GENERAL"))</f>
        <v/>
      </c>
      <c r="H1094" s="2">
        <f>IF(B1094="","",IFERROR(VLOOKUP(B1094, PLANTA_BASE!A:R, 17, FALSE), "GENERAL"))</f>
        <v/>
      </c>
    </row>
    <row r="1095" ht="20" customHeight="1">
      <c r="A1095" s="5">
        <f>IF(B1095="","",IFERROR(VLOOKUP(B1095, PLANTA_BASE!A:R, 2, FALSE), "NO ENCONTRADO EN PLANTA"))</f>
        <v/>
      </c>
      <c r="B1095" s="6" t="inlineStr"/>
      <c r="C1095" s="7">
        <f>IF(B1095="","",IFERROR(VLOOKUP(B1095, PLANTA_BASE!A:R, 3, FALSE), ""))</f>
        <v/>
      </c>
      <c r="D1095" s="5">
        <f>IF(B1095="","",IFERROR(VLOOKUP(B1095, PLANTA_BASE!A:R, 5, FALSE), "NO ENCONTRADO EN PLANTA"))</f>
        <v/>
      </c>
      <c r="E1095" s="5">
        <f>IF(B1095="","",IFERROR(VLOOKUP(B1095, PLANTA_BASE!A:R, 6, FALSE), "NO ENCONTRADO EN PLANTA"))</f>
        <v/>
      </c>
      <c r="F1095" s="7">
        <f>IF(B1095="","",IFERROR(VLOOKUP(B1095, PLANTA_BASE!A:R, 8, FALSE), "DOCENTE / FACILITADOR"))</f>
        <v/>
      </c>
      <c r="G1095" s="7">
        <f>IF(B1095="","",IFERROR(VLOOKUP(B1095, PLANTA_BASE!A:R, 9, FALSE), "GENERAL"))</f>
        <v/>
      </c>
      <c r="H1095" s="5">
        <f>IF(B1095="","",IFERROR(VLOOKUP(B1095, PLANTA_BASE!A:R, 17, FALSE), "GENERAL"))</f>
        <v/>
      </c>
    </row>
    <row r="1096" ht="20" customHeight="1">
      <c r="A1096" s="2">
        <f>IF(B1096="","",IFERROR(VLOOKUP(B1096, PLANTA_BASE!A:R, 2, FALSE), "NO ENCONTRADO EN PLANTA"))</f>
        <v/>
      </c>
      <c r="B1096" s="3" t="inlineStr"/>
      <c r="C1096" s="4">
        <f>IF(B1096="","",IFERROR(VLOOKUP(B1096, PLANTA_BASE!A:R, 3, FALSE), ""))</f>
        <v/>
      </c>
      <c r="D1096" s="2">
        <f>IF(B1096="","",IFERROR(VLOOKUP(B1096, PLANTA_BASE!A:R, 5, FALSE), "NO ENCONTRADO EN PLANTA"))</f>
        <v/>
      </c>
      <c r="E1096" s="2">
        <f>IF(B1096="","",IFERROR(VLOOKUP(B1096, PLANTA_BASE!A:R, 6, FALSE), "NO ENCONTRADO EN PLANTA"))</f>
        <v/>
      </c>
      <c r="F1096" s="4">
        <f>IF(B1096="","",IFERROR(VLOOKUP(B1096, PLANTA_BASE!A:R, 8, FALSE), "DOCENTE / FACILITADOR"))</f>
        <v/>
      </c>
      <c r="G1096" s="4">
        <f>IF(B1096="","",IFERROR(VLOOKUP(B1096, PLANTA_BASE!A:R, 9, FALSE), "GENERAL"))</f>
        <v/>
      </c>
      <c r="H1096" s="2">
        <f>IF(B1096="","",IFERROR(VLOOKUP(B1096, PLANTA_BASE!A:R, 17, FALSE), "GENERAL"))</f>
        <v/>
      </c>
    </row>
    <row r="1097" ht="20" customHeight="1">
      <c r="A1097" s="5">
        <f>IF(B1097="","",IFERROR(VLOOKUP(B1097, PLANTA_BASE!A:R, 2, FALSE), "NO ENCONTRADO EN PLANTA"))</f>
        <v/>
      </c>
      <c r="B1097" s="6" t="inlineStr"/>
      <c r="C1097" s="7">
        <f>IF(B1097="","",IFERROR(VLOOKUP(B1097, PLANTA_BASE!A:R, 3, FALSE), ""))</f>
        <v/>
      </c>
      <c r="D1097" s="5">
        <f>IF(B1097="","",IFERROR(VLOOKUP(B1097, PLANTA_BASE!A:R, 5, FALSE), "NO ENCONTRADO EN PLANTA"))</f>
        <v/>
      </c>
      <c r="E1097" s="5">
        <f>IF(B1097="","",IFERROR(VLOOKUP(B1097, PLANTA_BASE!A:R, 6, FALSE), "NO ENCONTRADO EN PLANTA"))</f>
        <v/>
      </c>
      <c r="F1097" s="7">
        <f>IF(B1097="","",IFERROR(VLOOKUP(B1097, PLANTA_BASE!A:R, 8, FALSE), "DOCENTE / FACILITADOR"))</f>
        <v/>
      </c>
      <c r="G1097" s="7">
        <f>IF(B1097="","",IFERROR(VLOOKUP(B1097, PLANTA_BASE!A:R, 9, FALSE), "GENERAL"))</f>
        <v/>
      </c>
      <c r="H1097" s="5">
        <f>IF(B1097="","",IFERROR(VLOOKUP(B1097, PLANTA_BASE!A:R, 17, FALSE), "GENERAL"))</f>
        <v/>
      </c>
    </row>
    <row r="1098" ht="20" customHeight="1">
      <c r="A1098" s="2">
        <f>IF(B1098="","",IFERROR(VLOOKUP(B1098, PLANTA_BASE!A:R, 2, FALSE), "NO ENCONTRADO EN PLANTA"))</f>
        <v/>
      </c>
      <c r="B1098" s="3" t="inlineStr"/>
      <c r="C1098" s="4">
        <f>IF(B1098="","",IFERROR(VLOOKUP(B1098, PLANTA_BASE!A:R, 3, FALSE), ""))</f>
        <v/>
      </c>
      <c r="D1098" s="2">
        <f>IF(B1098="","",IFERROR(VLOOKUP(B1098, PLANTA_BASE!A:R, 5, FALSE), "NO ENCONTRADO EN PLANTA"))</f>
        <v/>
      </c>
      <c r="E1098" s="2">
        <f>IF(B1098="","",IFERROR(VLOOKUP(B1098, PLANTA_BASE!A:R, 6, FALSE), "NO ENCONTRADO EN PLANTA"))</f>
        <v/>
      </c>
      <c r="F1098" s="4">
        <f>IF(B1098="","",IFERROR(VLOOKUP(B1098, PLANTA_BASE!A:R, 8, FALSE), "DOCENTE / FACILITADOR"))</f>
        <v/>
      </c>
      <c r="G1098" s="4">
        <f>IF(B1098="","",IFERROR(VLOOKUP(B1098, PLANTA_BASE!A:R, 9, FALSE), "GENERAL"))</f>
        <v/>
      </c>
      <c r="H1098" s="2">
        <f>IF(B1098="","",IFERROR(VLOOKUP(B1098, PLANTA_BASE!A:R, 17, FALSE), "GENERAL"))</f>
        <v/>
      </c>
    </row>
    <row r="1099" ht="20" customHeight="1">
      <c r="A1099" s="5">
        <f>IF(B1099="","",IFERROR(VLOOKUP(B1099, PLANTA_BASE!A:R, 2, FALSE), "NO ENCONTRADO EN PLANTA"))</f>
        <v/>
      </c>
      <c r="B1099" s="6" t="inlineStr"/>
      <c r="C1099" s="7">
        <f>IF(B1099="","",IFERROR(VLOOKUP(B1099, PLANTA_BASE!A:R, 3, FALSE), ""))</f>
        <v/>
      </c>
      <c r="D1099" s="5">
        <f>IF(B1099="","",IFERROR(VLOOKUP(B1099, PLANTA_BASE!A:R, 5, FALSE), "NO ENCONTRADO EN PLANTA"))</f>
        <v/>
      </c>
      <c r="E1099" s="5">
        <f>IF(B1099="","",IFERROR(VLOOKUP(B1099, PLANTA_BASE!A:R, 6, FALSE), "NO ENCONTRADO EN PLANTA"))</f>
        <v/>
      </c>
      <c r="F1099" s="7">
        <f>IF(B1099="","",IFERROR(VLOOKUP(B1099, PLANTA_BASE!A:R, 8, FALSE), "DOCENTE / FACILITADOR"))</f>
        <v/>
      </c>
      <c r="G1099" s="7">
        <f>IF(B1099="","",IFERROR(VLOOKUP(B1099, PLANTA_BASE!A:R, 9, FALSE), "GENERAL"))</f>
        <v/>
      </c>
      <c r="H1099" s="5">
        <f>IF(B1099="","",IFERROR(VLOOKUP(B1099, PLANTA_BASE!A:R, 17, FALSE), "GENERAL"))</f>
        <v/>
      </c>
    </row>
    <row r="1100" ht="20" customHeight="1">
      <c r="A1100" s="2">
        <f>IF(B1100="","",IFERROR(VLOOKUP(B1100, PLANTA_BASE!A:R, 2, FALSE), "NO ENCONTRADO EN PLANTA"))</f>
        <v/>
      </c>
      <c r="B1100" s="3" t="inlineStr"/>
      <c r="C1100" s="4">
        <f>IF(B1100="","",IFERROR(VLOOKUP(B1100, PLANTA_BASE!A:R, 3, FALSE), ""))</f>
        <v/>
      </c>
      <c r="D1100" s="2">
        <f>IF(B1100="","",IFERROR(VLOOKUP(B1100, PLANTA_BASE!A:R, 5, FALSE), "NO ENCONTRADO EN PLANTA"))</f>
        <v/>
      </c>
      <c r="E1100" s="2">
        <f>IF(B1100="","",IFERROR(VLOOKUP(B1100, PLANTA_BASE!A:R, 6, FALSE), "NO ENCONTRADO EN PLANTA"))</f>
        <v/>
      </c>
      <c r="F1100" s="4">
        <f>IF(B1100="","",IFERROR(VLOOKUP(B1100, PLANTA_BASE!A:R, 8, FALSE), "DOCENTE / FACILITADOR"))</f>
        <v/>
      </c>
      <c r="G1100" s="4">
        <f>IF(B1100="","",IFERROR(VLOOKUP(B1100, PLANTA_BASE!A:R, 9, FALSE), "GENERAL"))</f>
        <v/>
      </c>
      <c r="H1100" s="2">
        <f>IF(B1100="","",IFERROR(VLOOKUP(B1100, PLANTA_BASE!A:R, 17, FALSE), "GENERAL"))</f>
        <v/>
      </c>
    </row>
    <row r="1101" ht="20" customHeight="1">
      <c r="A1101" s="5">
        <f>IF(B1101="","",IFERROR(VLOOKUP(B1101, PLANTA_BASE!A:R, 2, FALSE), "NO ENCONTRADO EN PLANTA"))</f>
        <v/>
      </c>
      <c r="B1101" s="6" t="inlineStr"/>
      <c r="C1101" s="7">
        <f>IF(B1101="","",IFERROR(VLOOKUP(B1101, PLANTA_BASE!A:R, 3, FALSE), ""))</f>
        <v/>
      </c>
      <c r="D1101" s="5">
        <f>IF(B1101="","",IFERROR(VLOOKUP(B1101, PLANTA_BASE!A:R, 5, FALSE), "NO ENCONTRADO EN PLANTA"))</f>
        <v/>
      </c>
      <c r="E1101" s="5">
        <f>IF(B1101="","",IFERROR(VLOOKUP(B1101, PLANTA_BASE!A:R, 6, FALSE), "NO ENCONTRADO EN PLANTA"))</f>
        <v/>
      </c>
      <c r="F1101" s="7">
        <f>IF(B1101="","",IFERROR(VLOOKUP(B1101, PLANTA_BASE!A:R, 8, FALSE), "DOCENTE / FACILITADOR"))</f>
        <v/>
      </c>
      <c r="G1101" s="7">
        <f>IF(B1101="","",IFERROR(VLOOKUP(B1101, PLANTA_BASE!A:R, 9, FALSE), "GENERAL"))</f>
        <v/>
      </c>
      <c r="H1101" s="5">
        <f>IF(B1101="","",IFERROR(VLOOKUP(B1101, PLANTA_BASE!A:R, 17, FALSE), "GENERAL"))</f>
        <v/>
      </c>
    </row>
    <row r="1102" ht="20" customHeight="1">
      <c r="A1102" s="2">
        <f>IF(B1102="","",IFERROR(VLOOKUP(B1102, PLANTA_BASE!A:R, 2, FALSE), "NO ENCONTRADO EN PLANTA"))</f>
        <v/>
      </c>
      <c r="B1102" s="3" t="inlineStr"/>
      <c r="C1102" s="4">
        <f>IF(B1102="","",IFERROR(VLOOKUP(B1102, PLANTA_BASE!A:R, 3, FALSE), ""))</f>
        <v/>
      </c>
      <c r="D1102" s="2">
        <f>IF(B1102="","",IFERROR(VLOOKUP(B1102, PLANTA_BASE!A:R, 5, FALSE), "NO ENCONTRADO EN PLANTA"))</f>
        <v/>
      </c>
      <c r="E1102" s="2">
        <f>IF(B1102="","",IFERROR(VLOOKUP(B1102, PLANTA_BASE!A:R, 6, FALSE), "NO ENCONTRADO EN PLANTA"))</f>
        <v/>
      </c>
      <c r="F1102" s="4">
        <f>IF(B1102="","",IFERROR(VLOOKUP(B1102, PLANTA_BASE!A:R, 8, FALSE), "DOCENTE / FACILITADOR"))</f>
        <v/>
      </c>
      <c r="G1102" s="4">
        <f>IF(B1102="","",IFERROR(VLOOKUP(B1102, PLANTA_BASE!A:R, 9, FALSE), "GENERAL"))</f>
        <v/>
      </c>
      <c r="H1102" s="2">
        <f>IF(B1102="","",IFERROR(VLOOKUP(B1102, PLANTA_BASE!A:R, 17, FALSE), "GENERAL"))</f>
        <v/>
      </c>
    </row>
    <row r="1103" ht="20" customHeight="1">
      <c r="A1103" s="5">
        <f>IF(B1103="","",IFERROR(VLOOKUP(B1103, PLANTA_BASE!A:R, 2, FALSE), "NO ENCONTRADO EN PLANTA"))</f>
        <v/>
      </c>
      <c r="B1103" s="6" t="inlineStr"/>
      <c r="C1103" s="7">
        <f>IF(B1103="","",IFERROR(VLOOKUP(B1103, PLANTA_BASE!A:R, 3, FALSE), ""))</f>
        <v/>
      </c>
      <c r="D1103" s="5">
        <f>IF(B1103="","",IFERROR(VLOOKUP(B1103, PLANTA_BASE!A:R, 5, FALSE), "NO ENCONTRADO EN PLANTA"))</f>
        <v/>
      </c>
      <c r="E1103" s="5">
        <f>IF(B1103="","",IFERROR(VLOOKUP(B1103, PLANTA_BASE!A:R, 6, FALSE), "NO ENCONTRADO EN PLANTA"))</f>
        <v/>
      </c>
      <c r="F1103" s="7">
        <f>IF(B1103="","",IFERROR(VLOOKUP(B1103, PLANTA_BASE!A:R, 8, FALSE), "DOCENTE / FACILITADOR"))</f>
        <v/>
      </c>
      <c r="G1103" s="7">
        <f>IF(B1103="","",IFERROR(VLOOKUP(B1103, PLANTA_BASE!A:R, 9, FALSE), "GENERAL"))</f>
        <v/>
      </c>
      <c r="H1103" s="5">
        <f>IF(B1103="","",IFERROR(VLOOKUP(B1103, PLANTA_BASE!A:R, 17, FALSE), "GENERAL"))</f>
        <v/>
      </c>
    </row>
    <row r="1104" ht="20" customHeight="1">
      <c r="A1104" s="2">
        <f>IF(B1104="","",IFERROR(VLOOKUP(B1104, PLANTA_BASE!A:R, 2, FALSE), "NO ENCONTRADO EN PLANTA"))</f>
        <v/>
      </c>
      <c r="B1104" s="3" t="inlineStr"/>
      <c r="C1104" s="4">
        <f>IF(B1104="","",IFERROR(VLOOKUP(B1104, PLANTA_BASE!A:R, 3, FALSE), ""))</f>
        <v/>
      </c>
      <c r="D1104" s="2">
        <f>IF(B1104="","",IFERROR(VLOOKUP(B1104, PLANTA_BASE!A:R, 5, FALSE), "NO ENCONTRADO EN PLANTA"))</f>
        <v/>
      </c>
      <c r="E1104" s="2">
        <f>IF(B1104="","",IFERROR(VLOOKUP(B1104, PLANTA_BASE!A:R, 6, FALSE), "NO ENCONTRADO EN PLANTA"))</f>
        <v/>
      </c>
      <c r="F1104" s="4">
        <f>IF(B1104="","",IFERROR(VLOOKUP(B1104, PLANTA_BASE!A:R, 8, FALSE), "DOCENTE / FACILITADOR"))</f>
        <v/>
      </c>
      <c r="G1104" s="4">
        <f>IF(B1104="","",IFERROR(VLOOKUP(B1104, PLANTA_BASE!A:R, 9, FALSE), "GENERAL"))</f>
        <v/>
      </c>
      <c r="H1104" s="2">
        <f>IF(B1104="","",IFERROR(VLOOKUP(B1104, PLANTA_BASE!A:R, 17, FALSE), "GENERAL"))</f>
        <v/>
      </c>
    </row>
    <row r="1105" ht="20" customHeight="1">
      <c r="A1105" s="5">
        <f>IF(B1105="","",IFERROR(VLOOKUP(B1105, PLANTA_BASE!A:R, 2, FALSE), "NO ENCONTRADO EN PLANTA"))</f>
        <v/>
      </c>
      <c r="B1105" s="6" t="inlineStr"/>
      <c r="C1105" s="7">
        <f>IF(B1105="","",IFERROR(VLOOKUP(B1105, PLANTA_BASE!A:R, 3, FALSE), ""))</f>
        <v/>
      </c>
      <c r="D1105" s="5">
        <f>IF(B1105="","",IFERROR(VLOOKUP(B1105, PLANTA_BASE!A:R, 5, FALSE), "NO ENCONTRADO EN PLANTA"))</f>
        <v/>
      </c>
      <c r="E1105" s="5">
        <f>IF(B1105="","",IFERROR(VLOOKUP(B1105, PLANTA_BASE!A:R, 6, FALSE), "NO ENCONTRADO EN PLANTA"))</f>
        <v/>
      </c>
      <c r="F1105" s="7">
        <f>IF(B1105="","",IFERROR(VLOOKUP(B1105, PLANTA_BASE!A:R, 8, FALSE), "DOCENTE / FACILITADOR"))</f>
        <v/>
      </c>
      <c r="G1105" s="7">
        <f>IF(B1105="","",IFERROR(VLOOKUP(B1105, PLANTA_BASE!A:R, 9, FALSE), "GENERAL"))</f>
        <v/>
      </c>
      <c r="H1105" s="5">
        <f>IF(B1105="","",IFERROR(VLOOKUP(B1105, PLANTA_BASE!A:R, 17, FALSE), "GENERAL"))</f>
        <v/>
      </c>
    </row>
    <row r="1106" ht="20" customHeight="1">
      <c r="A1106" s="2">
        <f>IF(B1106="","",IFERROR(VLOOKUP(B1106, PLANTA_BASE!A:R, 2, FALSE), "NO ENCONTRADO EN PLANTA"))</f>
        <v/>
      </c>
      <c r="B1106" s="3" t="inlineStr"/>
      <c r="C1106" s="4">
        <f>IF(B1106="","",IFERROR(VLOOKUP(B1106, PLANTA_BASE!A:R, 3, FALSE), ""))</f>
        <v/>
      </c>
      <c r="D1106" s="2">
        <f>IF(B1106="","",IFERROR(VLOOKUP(B1106, PLANTA_BASE!A:R, 5, FALSE), "NO ENCONTRADO EN PLANTA"))</f>
        <v/>
      </c>
      <c r="E1106" s="2">
        <f>IF(B1106="","",IFERROR(VLOOKUP(B1106, PLANTA_BASE!A:R, 6, FALSE), "NO ENCONTRADO EN PLANTA"))</f>
        <v/>
      </c>
      <c r="F1106" s="4">
        <f>IF(B1106="","",IFERROR(VLOOKUP(B1106, PLANTA_BASE!A:R, 8, FALSE), "DOCENTE / FACILITADOR"))</f>
        <v/>
      </c>
      <c r="G1106" s="4">
        <f>IF(B1106="","",IFERROR(VLOOKUP(B1106, PLANTA_BASE!A:R, 9, FALSE), "GENERAL"))</f>
        <v/>
      </c>
      <c r="H1106" s="2">
        <f>IF(B1106="","",IFERROR(VLOOKUP(B1106, PLANTA_BASE!A:R, 17, FALSE), "GENERAL"))</f>
        <v/>
      </c>
    </row>
    <row r="1107" ht="20" customHeight="1">
      <c r="A1107" s="5">
        <f>IF(B1107="","",IFERROR(VLOOKUP(B1107, PLANTA_BASE!A:R, 2, FALSE), "NO ENCONTRADO EN PLANTA"))</f>
        <v/>
      </c>
      <c r="B1107" s="6" t="inlineStr"/>
      <c r="C1107" s="7">
        <f>IF(B1107="","",IFERROR(VLOOKUP(B1107, PLANTA_BASE!A:R, 3, FALSE), ""))</f>
        <v/>
      </c>
      <c r="D1107" s="5">
        <f>IF(B1107="","",IFERROR(VLOOKUP(B1107, PLANTA_BASE!A:R, 5, FALSE), "NO ENCONTRADO EN PLANTA"))</f>
        <v/>
      </c>
      <c r="E1107" s="5">
        <f>IF(B1107="","",IFERROR(VLOOKUP(B1107, PLANTA_BASE!A:R, 6, FALSE), "NO ENCONTRADO EN PLANTA"))</f>
        <v/>
      </c>
      <c r="F1107" s="7">
        <f>IF(B1107="","",IFERROR(VLOOKUP(B1107, PLANTA_BASE!A:R, 8, FALSE), "DOCENTE / FACILITADOR"))</f>
        <v/>
      </c>
      <c r="G1107" s="7">
        <f>IF(B1107="","",IFERROR(VLOOKUP(B1107, PLANTA_BASE!A:R, 9, FALSE), "GENERAL"))</f>
        <v/>
      </c>
      <c r="H1107" s="5">
        <f>IF(B1107="","",IFERROR(VLOOKUP(B1107, PLANTA_BASE!A:R, 17, FALSE), "GENERAL"))</f>
        <v/>
      </c>
    </row>
    <row r="1108" ht="20" customHeight="1">
      <c r="A1108" s="2">
        <f>IF(B1108="","",IFERROR(VLOOKUP(B1108, PLANTA_BASE!A:R, 2, FALSE), "NO ENCONTRADO EN PLANTA"))</f>
        <v/>
      </c>
      <c r="B1108" s="3" t="inlineStr"/>
      <c r="C1108" s="4">
        <f>IF(B1108="","",IFERROR(VLOOKUP(B1108, PLANTA_BASE!A:R, 3, FALSE), ""))</f>
        <v/>
      </c>
      <c r="D1108" s="2">
        <f>IF(B1108="","",IFERROR(VLOOKUP(B1108, PLANTA_BASE!A:R, 5, FALSE), "NO ENCONTRADO EN PLANTA"))</f>
        <v/>
      </c>
      <c r="E1108" s="2">
        <f>IF(B1108="","",IFERROR(VLOOKUP(B1108, PLANTA_BASE!A:R, 6, FALSE), "NO ENCONTRADO EN PLANTA"))</f>
        <v/>
      </c>
      <c r="F1108" s="4">
        <f>IF(B1108="","",IFERROR(VLOOKUP(B1108, PLANTA_BASE!A:R, 8, FALSE), "DOCENTE / FACILITADOR"))</f>
        <v/>
      </c>
      <c r="G1108" s="4">
        <f>IF(B1108="","",IFERROR(VLOOKUP(B1108, PLANTA_BASE!A:R, 9, FALSE), "GENERAL"))</f>
        <v/>
      </c>
      <c r="H1108" s="2">
        <f>IF(B1108="","",IFERROR(VLOOKUP(B1108, PLANTA_BASE!A:R, 17, FALSE), "GENERAL"))</f>
        <v/>
      </c>
    </row>
    <row r="1109" ht="20" customHeight="1">
      <c r="A1109" s="5">
        <f>IF(B1109="","",IFERROR(VLOOKUP(B1109, PLANTA_BASE!A:R, 2, FALSE), "NO ENCONTRADO EN PLANTA"))</f>
        <v/>
      </c>
      <c r="B1109" s="6" t="inlineStr"/>
      <c r="C1109" s="7">
        <f>IF(B1109="","",IFERROR(VLOOKUP(B1109, PLANTA_BASE!A:R, 3, FALSE), ""))</f>
        <v/>
      </c>
      <c r="D1109" s="5">
        <f>IF(B1109="","",IFERROR(VLOOKUP(B1109, PLANTA_BASE!A:R, 5, FALSE), "NO ENCONTRADO EN PLANTA"))</f>
        <v/>
      </c>
      <c r="E1109" s="5">
        <f>IF(B1109="","",IFERROR(VLOOKUP(B1109, PLANTA_BASE!A:R, 6, FALSE), "NO ENCONTRADO EN PLANTA"))</f>
        <v/>
      </c>
      <c r="F1109" s="7">
        <f>IF(B1109="","",IFERROR(VLOOKUP(B1109, PLANTA_BASE!A:R, 8, FALSE), "DOCENTE / FACILITADOR"))</f>
        <v/>
      </c>
      <c r="G1109" s="7">
        <f>IF(B1109="","",IFERROR(VLOOKUP(B1109, PLANTA_BASE!A:R, 9, FALSE), "GENERAL"))</f>
        <v/>
      </c>
      <c r="H1109" s="5">
        <f>IF(B1109="","",IFERROR(VLOOKUP(B1109, PLANTA_BASE!A:R, 17, FALSE), "GENERAL"))</f>
        <v/>
      </c>
    </row>
    <row r="1110" ht="20" customHeight="1">
      <c r="A1110" s="2">
        <f>IF(B1110="","",IFERROR(VLOOKUP(B1110, PLANTA_BASE!A:R, 2, FALSE), "NO ENCONTRADO EN PLANTA"))</f>
        <v/>
      </c>
      <c r="B1110" s="3" t="inlineStr"/>
      <c r="C1110" s="4">
        <f>IF(B1110="","",IFERROR(VLOOKUP(B1110, PLANTA_BASE!A:R, 3, FALSE), ""))</f>
        <v/>
      </c>
      <c r="D1110" s="2">
        <f>IF(B1110="","",IFERROR(VLOOKUP(B1110, PLANTA_BASE!A:R, 5, FALSE), "NO ENCONTRADO EN PLANTA"))</f>
        <v/>
      </c>
      <c r="E1110" s="2">
        <f>IF(B1110="","",IFERROR(VLOOKUP(B1110, PLANTA_BASE!A:R, 6, FALSE), "NO ENCONTRADO EN PLANTA"))</f>
        <v/>
      </c>
      <c r="F1110" s="4">
        <f>IF(B1110="","",IFERROR(VLOOKUP(B1110, PLANTA_BASE!A:R, 8, FALSE), "DOCENTE / FACILITADOR"))</f>
        <v/>
      </c>
      <c r="G1110" s="4">
        <f>IF(B1110="","",IFERROR(VLOOKUP(B1110, PLANTA_BASE!A:R, 9, FALSE), "GENERAL"))</f>
        <v/>
      </c>
      <c r="H1110" s="2">
        <f>IF(B1110="","",IFERROR(VLOOKUP(B1110, PLANTA_BASE!A:R, 17, FALSE), "GENERAL"))</f>
        <v/>
      </c>
    </row>
    <row r="1111" ht="20" customHeight="1">
      <c r="A1111" s="5">
        <f>IF(B1111="","",IFERROR(VLOOKUP(B1111, PLANTA_BASE!A:R, 2, FALSE), "NO ENCONTRADO EN PLANTA"))</f>
        <v/>
      </c>
      <c r="B1111" s="6" t="inlineStr"/>
      <c r="C1111" s="7">
        <f>IF(B1111="","",IFERROR(VLOOKUP(B1111, PLANTA_BASE!A:R, 3, FALSE), ""))</f>
        <v/>
      </c>
      <c r="D1111" s="5">
        <f>IF(B1111="","",IFERROR(VLOOKUP(B1111, PLANTA_BASE!A:R, 5, FALSE), "NO ENCONTRADO EN PLANTA"))</f>
        <v/>
      </c>
      <c r="E1111" s="5">
        <f>IF(B1111="","",IFERROR(VLOOKUP(B1111, PLANTA_BASE!A:R, 6, FALSE), "NO ENCONTRADO EN PLANTA"))</f>
        <v/>
      </c>
      <c r="F1111" s="7">
        <f>IF(B1111="","",IFERROR(VLOOKUP(B1111, PLANTA_BASE!A:R, 8, FALSE), "DOCENTE / FACILITADOR"))</f>
        <v/>
      </c>
      <c r="G1111" s="7">
        <f>IF(B1111="","",IFERROR(VLOOKUP(B1111, PLANTA_BASE!A:R, 9, FALSE), "GENERAL"))</f>
        <v/>
      </c>
      <c r="H1111" s="5">
        <f>IF(B1111="","",IFERROR(VLOOKUP(B1111, PLANTA_BASE!A:R, 17, FALSE), "GENERAL"))</f>
        <v/>
      </c>
    </row>
    <row r="1112" ht="20" customHeight="1">
      <c r="A1112" s="2">
        <f>IF(B1112="","",IFERROR(VLOOKUP(B1112, PLANTA_BASE!A:R, 2, FALSE), "NO ENCONTRADO EN PLANTA"))</f>
        <v/>
      </c>
      <c r="B1112" s="3" t="inlineStr"/>
      <c r="C1112" s="4">
        <f>IF(B1112="","",IFERROR(VLOOKUP(B1112, PLANTA_BASE!A:R, 3, FALSE), ""))</f>
        <v/>
      </c>
      <c r="D1112" s="2">
        <f>IF(B1112="","",IFERROR(VLOOKUP(B1112, PLANTA_BASE!A:R, 5, FALSE), "NO ENCONTRADO EN PLANTA"))</f>
        <v/>
      </c>
      <c r="E1112" s="2">
        <f>IF(B1112="","",IFERROR(VLOOKUP(B1112, PLANTA_BASE!A:R, 6, FALSE), "NO ENCONTRADO EN PLANTA"))</f>
        <v/>
      </c>
      <c r="F1112" s="4">
        <f>IF(B1112="","",IFERROR(VLOOKUP(B1112, PLANTA_BASE!A:R, 8, FALSE), "DOCENTE / FACILITADOR"))</f>
        <v/>
      </c>
      <c r="G1112" s="4">
        <f>IF(B1112="","",IFERROR(VLOOKUP(B1112, PLANTA_BASE!A:R, 9, FALSE), "GENERAL"))</f>
        <v/>
      </c>
      <c r="H1112" s="2">
        <f>IF(B1112="","",IFERROR(VLOOKUP(B1112, PLANTA_BASE!A:R, 17, FALSE), "GENERAL"))</f>
        <v/>
      </c>
    </row>
    <row r="1113" ht="20" customHeight="1">
      <c r="A1113" s="5">
        <f>IF(B1113="","",IFERROR(VLOOKUP(B1113, PLANTA_BASE!A:R, 2, FALSE), "NO ENCONTRADO EN PLANTA"))</f>
        <v/>
      </c>
      <c r="B1113" s="6" t="inlineStr"/>
      <c r="C1113" s="7">
        <f>IF(B1113="","",IFERROR(VLOOKUP(B1113, PLANTA_BASE!A:R, 3, FALSE), ""))</f>
        <v/>
      </c>
      <c r="D1113" s="5">
        <f>IF(B1113="","",IFERROR(VLOOKUP(B1113, PLANTA_BASE!A:R, 5, FALSE), "NO ENCONTRADO EN PLANTA"))</f>
        <v/>
      </c>
      <c r="E1113" s="5">
        <f>IF(B1113="","",IFERROR(VLOOKUP(B1113, PLANTA_BASE!A:R, 6, FALSE), "NO ENCONTRADO EN PLANTA"))</f>
        <v/>
      </c>
      <c r="F1113" s="7">
        <f>IF(B1113="","",IFERROR(VLOOKUP(B1113, PLANTA_BASE!A:R, 8, FALSE), "DOCENTE / FACILITADOR"))</f>
        <v/>
      </c>
      <c r="G1113" s="7">
        <f>IF(B1113="","",IFERROR(VLOOKUP(B1113, PLANTA_BASE!A:R, 9, FALSE), "GENERAL"))</f>
        <v/>
      </c>
      <c r="H1113" s="5">
        <f>IF(B1113="","",IFERROR(VLOOKUP(B1113, PLANTA_BASE!A:R, 17, FALSE), "GENERAL"))</f>
        <v/>
      </c>
    </row>
    <row r="1114" ht="20" customHeight="1">
      <c r="A1114" s="2">
        <f>IF(B1114="","",IFERROR(VLOOKUP(B1114, PLANTA_BASE!A:R, 2, FALSE), "NO ENCONTRADO EN PLANTA"))</f>
        <v/>
      </c>
      <c r="B1114" s="3" t="inlineStr"/>
      <c r="C1114" s="4">
        <f>IF(B1114="","",IFERROR(VLOOKUP(B1114, PLANTA_BASE!A:R, 3, FALSE), ""))</f>
        <v/>
      </c>
      <c r="D1114" s="2">
        <f>IF(B1114="","",IFERROR(VLOOKUP(B1114, PLANTA_BASE!A:R, 5, FALSE), "NO ENCONTRADO EN PLANTA"))</f>
        <v/>
      </c>
      <c r="E1114" s="2">
        <f>IF(B1114="","",IFERROR(VLOOKUP(B1114, PLANTA_BASE!A:R, 6, FALSE), "NO ENCONTRADO EN PLANTA"))</f>
        <v/>
      </c>
      <c r="F1114" s="4">
        <f>IF(B1114="","",IFERROR(VLOOKUP(B1114, PLANTA_BASE!A:R, 8, FALSE), "DOCENTE / FACILITADOR"))</f>
        <v/>
      </c>
      <c r="G1114" s="4">
        <f>IF(B1114="","",IFERROR(VLOOKUP(B1114, PLANTA_BASE!A:R, 9, FALSE), "GENERAL"))</f>
        <v/>
      </c>
      <c r="H1114" s="2">
        <f>IF(B1114="","",IFERROR(VLOOKUP(B1114, PLANTA_BASE!A:R, 17, FALSE), "GENERAL"))</f>
        <v/>
      </c>
    </row>
    <row r="1115" ht="20" customHeight="1">
      <c r="A1115" s="5">
        <f>IF(B1115="","",IFERROR(VLOOKUP(B1115, PLANTA_BASE!A:R, 2, FALSE), "NO ENCONTRADO EN PLANTA"))</f>
        <v/>
      </c>
      <c r="B1115" s="6" t="inlineStr"/>
      <c r="C1115" s="7">
        <f>IF(B1115="","",IFERROR(VLOOKUP(B1115, PLANTA_BASE!A:R, 3, FALSE), ""))</f>
        <v/>
      </c>
      <c r="D1115" s="5">
        <f>IF(B1115="","",IFERROR(VLOOKUP(B1115, PLANTA_BASE!A:R, 5, FALSE), "NO ENCONTRADO EN PLANTA"))</f>
        <v/>
      </c>
      <c r="E1115" s="5">
        <f>IF(B1115="","",IFERROR(VLOOKUP(B1115, PLANTA_BASE!A:R, 6, FALSE), "NO ENCONTRADO EN PLANTA"))</f>
        <v/>
      </c>
      <c r="F1115" s="7">
        <f>IF(B1115="","",IFERROR(VLOOKUP(B1115, PLANTA_BASE!A:R, 8, FALSE), "DOCENTE / FACILITADOR"))</f>
        <v/>
      </c>
      <c r="G1115" s="7">
        <f>IF(B1115="","",IFERROR(VLOOKUP(B1115, PLANTA_BASE!A:R, 9, FALSE), "GENERAL"))</f>
        <v/>
      </c>
      <c r="H1115" s="5">
        <f>IF(B1115="","",IFERROR(VLOOKUP(B1115, PLANTA_BASE!A:R, 17, FALSE), "GENERAL"))</f>
        <v/>
      </c>
    </row>
    <row r="1116" ht="20" customHeight="1">
      <c r="A1116" s="2">
        <f>IF(B1116="","",IFERROR(VLOOKUP(B1116, PLANTA_BASE!A:R, 2, FALSE), "NO ENCONTRADO EN PLANTA"))</f>
        <v/>
      </c>
      <c r="B1116" s="3" t="inlineStr"/>
      <c r="C1116" s="4">
        <f>IF(B1116="","",IFERROR(VLOOKUP(B1116, PLANTA_BASE!A:R, 3, FALSE), ""))</f>
        <v/>
      </c>
      <c r="D1116" s="2">
        <f>IF(B1116="","",IFERROR(VLOOKUP(B1116, PLANTA_BASE!A:R, 5, FALSE), "NO ENCONTRADO EN PLANTA"))</f>
        <v/>
      </c>
      <c r="E1116" s="2">
        <f>IF(B1116="","",IFERROR(VLOOKUP(B1116, PLANTA_BASE!A:R, 6, FALSE), "NO ENCONTRADO EN PLANTA"))</f>
        <v/>
      </c>
      <c r="F1116" s="4">
        <f>IF(B1116="","",IFERROR(VLOOKUP(B1116, PLANTA_BASE!A:R, 8, FALSE), "DOCENTE / FACILITADOR"))</f>
        <v/>
      </c>
      <c r="G1116" s="4">
        <f>IF(B1116="","",IFERROR(VLOOKUP(B1116, PLANTA_BASE!A:R, 9, FALSE), "GENERAL"))</f>
        <v/>
      </c>
      <c r="H1116" s="2">
        <f>IF(B1116="","",IFERROR(VLOOKUP(B1116, PLANTA_BASE!A:R, 17, FALSE), "GENERAL"))</f>
        <v/>
      </c>
    </row>
    <row r="1117" ht="20" customHeight="1">
      <c r="A1117" s="5">
        <f>IF(B1117="","",IFERROR(VLOOKUP(B1117, PLANTA_BASE!A:R, 2, FALSE), "NO ENCONTRADO EN PLANTA"))</f>
        <v/>
      </c>
      <c r="B1117" s="6" t="inlineStr"/>
      <c r="C1117" s="7">
        <f>IF(B1117="","",IFERROR(VLOOKUP(B1117, PLANTA_BASE!A:R, 3, FALSE), ""))</f>
        <v/>
      </c>
      <c r="D1117" s="5">
        <f>IF(B1117="","",IFERROR(VLOOKUP(B1117, PLANTA_BASE!A:R, 5, FALSE), "NO ENCONTRADO EN PLANTA"))</f>
        <v/>
      </c>
      <c r="E1117" s="5">
        <f>IF(B1117="","",IFERROR(VLOOKUP(B1117, PLANTA_BASE!A:R, 6, FALSE), "NO ENCONTRADO EN PLANTA"))</f>
        <v/>
      </c>
      <c r="F1117" s="7">
        <f>IF(B1117="","",IFERROR(VLOOKUP(B1117, PLANTA_BASE!A:R, 8, FALSE), "DOCENTE / FACILITADOR"))</f>
        <v/>
      </c>
      <c r="G1117" s="7">
        <f>IF(B1117="","",IFERROR(VLOOKUP(B1117, PLANTA_BASE!A:R, 9, FALSE), "GENERAL"))</f>
        <v/>
      </c>
      <c r="H1117" s="5">
        <f>IF(B1117="","",IFERROR(VLOOKUP(B1117, PLANTA_BASE!A:R, 17, FALSE), "GENERAL"))</f>
        <v/>
      </c>
    </row>
    <row r="1118" ht="20" customHeight="1">
      <c r="A1118" s="2">
        <f>IF(B1118="","",IFERROR(VLOOKUP(B1118, PLANTA_BASE!A:R, 2, FALSE), "NO ENCONTRADO EN PLANTA"))</f>
        <v/>
      </c>
      <c r="B1118" s="3" t="inlineStr"/>
      <c r="C1118" s="4">
        <f>IF(B1118="","",IFERROR(VLOOKUP(B1118, PLANTA_BASE!A:R, 3, FALSE), ""))</f>
        <v/>
      </c>
      <c r="D1118" s="2">
        <f>IF(B1118="","",IFERROR(VLOOKUP(B1118, PLANTA_BASE!A:R, 5, FALSE), "NO ENCONTRADO EN PLANTA"))</f>
        <v/>
      </c>
      <c r="E1118" s="2">
        <f>IF(B1118="","",IFERROR(VLOOKUP(B1118, PLANTA_BASE!A:R, 6, FALSE), "NO ENCONTRADO EN PLANTA"))</f>
        <v/>
      </c>
      <c r="F1118" s="4">
        <f>IF(B1118="","",IFERROR(VLOOKUP(B1118, PLANTA_BASE!A:R, 8, FALSE), "DOCENTE / FACILITADOR"))</f>
        <v/>
      </c>
      <c r="G1118" s="4">
        <f>IF(B1118="","",IFERROR(VLOOKUP(B1118, PLANTA_BASE!A:R, 9, FALSE), "GENERAL"))</f>
        <v/>
      </c>
      <c r="H1118" s="2">
        <f>IF(B1118="","",IFERROR(VLOOKUP(B1118, PLANTA_BASE!A:R, 17, FALSE), "GENERAL"))</f>
        <v/>
      </c>
    </row>
    <row r="1119" ht="20" customHeight="1">
      <c r="A1119" s="5">
        <f>IF(B1119="","",IFERROR(VLOOKUP(B1119, PLANTA_BASE!A:R, 2, FALSE), "NO ENCONTRADO EN PLANTA"))</f>
        <v/>
      </c>
      <c r="B1119" s="6" t="inlineStr"/>
      <c r="C1119" s="7">
        <f>IF(B1119="","",IFERROR(VLOOKUP(B1119, PLANTA_BASE!A:R, 3, FALSE), ""))</f>
        <v/>
      </c>
      <c r="D1119" s="5">
        <f>IF(B1119="","",IFERROR(VLOOKUP(B1119, PLANTA_BASE!A:R, 5, FALSE), "NO ENCONTRADO EN PLANTA"))</f>
        <v/>
      </c>
      <c r="E1119" s="5">
        <f>IF(B1119="","",IFERROR(VLOOKUP(B1119, PLANTA_BASE!A:R, 6, FALSE), "NO ENCONTRADO EN PLANTA"))</f>
        <v/>
      </c>
      <c r="F1119" s="7">
        <f>IF(B1119="","",IFERROR(VLOOKUP(B1119, PLANTA_BASE!A:R, 8, FALSE), "DOCENTE / FACILITADOR"))</f>
        <v/>
      </c>
      <c r="G1119" s="7">
        <f>IF(B1119="","",IFERROR(VLOOKUP(B1119, PLANTA_BASE!A:R, 9, FALSE), "GENERAL"))</f>
        <v/>
      </c>
      <c r="H1119" s="5">
        <f>IF(B1119="","",IFERROR(VLOOKUP(B1119, PLANTA_BASE!A:R, 17, FALSE), "GENERAL"))</f>
        <v/>
      </c>
    </row>
    <row r="1120" ht="20" customHeight="1">
      <c r="A1120" s="2">
        <f>IF(B1120="","",IFERROR(VLOOKUP(B1120, PLANTA_BASE!A:R, 2, FALSE), "NO ENCONTRADO EN PLANTA"))</f>
        <v/>
      </c>
      <c r="B1120" s="3" t="inlineStr"/>
      <c r="C1120" s="4">
        <f>IF(B1120="","",IFERROR(VLOOKUP(B1120, PLANTA_BASE!A:R, 3, FALSE), ""))</f>
        <v/>
      </c>
      <c r="D1120" s="2">
        <f>IF(B1120="","",IFERROR(VLOOKUP(B1120, PLANTA_BASE!A:R, 5, FALSE), "NO ENCONTRADO EN PLANTA"))</f>
        <v/>
      </c>
      <c r="E1120" s="2">
        <f>IF(B1120="","",IFERROR(VLOOKUP(B1120, PLANTA_BASE!A:R, 6, FALSE), "NO ENCONTRADO EN PLANTA"))</f>
        <v/>
      </c>
      <c r="F1120" s="4">
        <f>IF(B1120="","",IFERROR(VLOOKUP(B1120, PLANTA_BASE!A:R, 8, FALSE), "DOCENTE / FACILITADOR"))</f>
        <v/>
      </c>
      <c r="G1120" s="4">
        <f>IF(B1120="","",IFERROR(VLOOKUP(B1120, PLANTA_BASE!A:R, 9, FALSE), "GENERAL"))</f>
        <v/>
      </c>
      <c r="H1120" s="2">
        <f>IF(B1120="","",IFERROR(VLOOKUP(B1120, PLANTA_BASE!A:R, 17, FALSE), "GENERAL"))</f>
        <v/>
      </c>
    </row>
    <row r="1121" ht="20" customHeight="1">
      <c r="A1121" s="5">
        <f>IF(B1121="","",IFERROR(VLOOKUP(B1121, PLANTA_BASE!A:R, 2, FALSE), "NO ENCONTRADO EN PLANTA"))</f>
        <v/>
      </c>
      <c r="B1121" s="6" t="inlineStr"/>
      <c r="C1121" s="7">
        <f>IF(B1121="","",IFERROR(VLOOKUP(B1121, PLANTA_BASE!A:R, 3, FALSE), ""))</f>
        <v/>
      </c>
      <c r="D1121" s="5">
        <f>IF(B1121="","",IFERROR(VLOOKUP(B1121, PLANTA_BASE!A:R, 5, FALSE), "NO ENCONTRADO EN PLANTA"))</f>
        <v/>
      </c>
      <c r="E1121" s="5">
        <f>IF(B1121="","",IFERROR(VLOOKUP(B1121, PLANTA_BASE!A:R, 6, FALSE), "NO ENCONTRADO EN PLANTA"))</f>
        <v/>
      </c>
      <c r="F1121" s="7">
        <f>IF(B1121="","",IFERROR(VLOOKUP(B1121, PLANTA_BASE!A:R, 8, FALSE), "DOCENTE / FACILITADOR"))</f>
        <v/>
      </c>
      <c r="G1121" s="7">
        <f>IF(B1121="","",IFERROR(VLOOKUP(B1121, PLANTA_BASE!A:R, 9, FALSE), "GENERAL"))</f>
        <v/>
      </c>
      <c r="H1121" s="5">
        <f>IF(B1121="","",IFERROR(VLOOKUP(B1121, PLANTA_BASE!A:R, 17, FALSE), "GENERAL"))</f>
        <v/>
      </c>
    </row>
    <row r="1122" ht="20" customHeight="1">
      <c r="A1122" s="2">
        <f>IF(B1122="","",IFERROR(VLOOKUP(B1122, PLANTA_BASE!A:R, 2, FALSE), "NO ENCONTRADO EN PLANTA"))</f>
        <v/>
      </c>
      <c r="B1122" s="3" t="inlineStr"/>
      <c r="C1122" s="4">
        <f>IF(B1122="","",IFERROR(VLOOKUP(B1122, PLANTA_BASE!A:R, 3, FALSE), ""))</f>
        <v/>
      </c>
      <c r="D1122" s="2">
        <f>IF(B1122="","",IFERROR(VLOOKUP(B1122, PLANTA_BASE!A:R, 5, FALSE), "NO ENCONTRADO EN PLANTA"))</f>
        <v/>
      </c>
      <c r="E1122" s="2">
        <f>IF(B1122="","",IFERROR(VLOOKUP(B1122, PLANTA_BASE!A:R, 6, FALSE), "NO ENCONTRADO EN PLANTA"))</f>
        <v/>
      </c>
      <c r="F1122" s="4">
        <f>IF(B1122="","",IFERROR(VLOOKUP(B1122, PLANTA_BASE!A:R, 8, FALSE), "DOCENTE / FACILITADOR"))</f>
        <v/>
      </c>
      <c r="G1122" s="4">
        <f>IF(B1122="","",IFERROR(VLOOKUP(B1122, PLANTA_BASE!A:R, 9, FALSE), "GENERAL"))</f>
        <v/>
      </c>
      <c r="H1122" s="2">
        <f>IF(B1122="","",IFERROR(VLOOKUP(B1122, PLANTA_BASE!A:R, 17, FALSE), "GENERAL"))</f>
        <v/>
      </c>
    </row>
    <row r="1123" ht="20" customHeight="1">
      <c r="A1123" s="5">
        <f>IF(B1123="","",IFERROR(VLOOKUP(B1123, PLANTA_BASE!A:R, 2, FALSE), "NO ENCONTRADO EN PLANTA"))</f>
        <v/>
      </c>
      <c r="B1123" s="6" t="inlineStr"/>
      <c r="C1123" s="7">
        <f>IF(B1123="","",IFERROR(VLOOKUP(B1123, PLANTA_BASE!A:R, 3, FALSE), ""))</f>
        <v/>
      </c>
      <c r="D1123" s="5">
        <f>IF(B1123="","",IFERROR(VLOOKUP(B1123, PLANTA_BASE!A:R, 5, FALSE), "NO ENCONTRADO EN PLANTA"))</f>
        <v/>
      </c>
      <c r="E1123" s="5">
        <f>IF(B1123="","",IFERROR(VLOOKUP(B1123, PLANTA_BASE!A:R, 6, FALSE), "NO ENCONTRADO EN PLANTA"))</f>
        <v/>
      </c>
      <c r="F1123" s="7">
        <f>IF(B1123="","",IFERROR(VLOOKUP(B1123, PLANTA_BASE!A:R, 8, FALSE), "DOCENTE / FACILITADOR"))</f>
        <v/>
      </c>
      <c r="G1123" s="7">
        <f>IF(B1123="","",IFERROR(VLOOKUP(B1123, PLANTA_BASE!A:R, 9, FALSE), "GENERAL"))</f>
        <v/>
      </c>
      <c r="H1123" s="5">
        <f>IF(B1123="","",IFERROR(VLOOKUP(B1123, PLANTA_BASE!A:R, 17, FALSE), "GENERAL"))</f>
        <v/>
      </c>
    </row>
    <row r="1124" ht="20" customHeight="1">
      <c r="A1124" s="2">
        <f>IF(B1124="","",IFERROR(VLOOKUP(B1124, PLANTA_BASE!A:R, 2, FALSE), "NO ENCONTRADO EN PLANTA"))</f>
        <v/>
      </c>
      <c r="B1124" s="3" t="inlineStr"/>
      <c r="C1124" s="4">
        <f>IF(B1124="","",IFERROR(VLOOKUP(B1124, PLANTA_BASE!A:R, 3, FALSE), ""))</f>
        <v/>
      </c>
      <c r="D1124" s="2">
        <f>IF(B1124="","",IFERROR(VLOOKUP(B1124, PLANTA_BASE!A:R, 5, FALSE), "NO ENCONTRADO EN PLANTA"))</f>
        <v/>
      </c>
      <c r="E1124" s="2">
        <f>IF(B1124="","",IFERROR(VLOOKUP(B1124, PLANTA_BASE!A:R, 6, FALSE), "NO ENCONTRADO EN PLANTA"))</f>
        <v/>
      </c>
      <c r="F1124" s="4">
        <f>IF(B1124="","",IFERROR(VLOOKUP(B1124, PLANTA_BASE!A:R, 8, FALSE), "DOCENTE / FACILITADOR"))</f>
        <v/>
      </c>
      <c r="G1124" s="4">
        <f>IF(B1124="","",IFERROR(VLOOKUP(B1124, PLANTA_BASE!A:R, 9, FALSE), "GENERAL"))</f>
        <v/>
      </c>
      <c r="H1124" s="2">
        <f>IF(B1124="","",IFERROR(VLOOKUP(B1124, PLANTA_BASE!A:R, 17, FALSE), "GENERAL"))</f>
        <v/>
      </c>
    </row>
    <row r="1125" ht="20" customHeight="1">
      <c r="A1125" s="5">
        <f>IF(B1125="","",IFERROR(VLOOKUP(B1125, PLANTA_BASE!A:R, 2, FALSE), "NO ENCONTRADO EN PLANTA"))</f>
        <v/>
      </c>
      <c r="B1125" s="6" t="inlineStr"/>
      <c r="C1125" s="7">
        <f>IF(B1125="","",IFERROR(VLOOKUP(B1125, PLANTA_BASE!A:R, 3, FALSE), ""))</f>
        <v/>
      </c>
      <c r="D1125" s="5">
        <f>IF(B1125="","",IFERROR(VLOOKUP(B1125, PLANTA_BASE!A:R, 5, FALSE), "NO ENCONTRADO EN PLANTA"))</f>
        <v/>
      </c>
      <c r="E1125" s="5">
        <f>IF(B1125="","",IFERROR(VLOOKUP(B1125, PLANTA_BASE!A:R, 6, FALSE), "NO ENCONTRADO EN PLANTA"))</f>
        <v/>
      </c>
      <c r="F1125" s="7">
        <f>IF(B1125="","",IFERROR(VLOOKUP(B1125, PLANTA_BASE!A:R, 8, FALSE), "DOCENTE / FACILITADOR"))</f>
        <v/>
      </c>
      <c r="G1125" s="7">
        <f>IF(B1125="","",IFERROR(VLOOKUP(B1125, PLANTA_BASE!A:R, 9, FALSE), "GENERAL"))</f>
        <v/>
      </c>
      <c r="H1125" s="5">
        <f>IF(B1125="","",IFERROR(VLOOKUP(B1125, PLANTA_BASE!A:R, 17, FALSE), "GENERAL"))</f>
        <v/>
      </c>
    </row>
    <row r="1126" ht="20" customHeight="1">
      <c r="A1126" s="2">
        <f>IF(B1126="","",IFERROR(VLOOKUP(B1126, PLANTA_BASE!A:R, 2, FALSE), "NO ENCONTRADO EN PLANTA"))</f>
        <v/>
      </c>
      <c r="B1126" s="3" t="inlineStr"/>
      <c r="C1126" s="4">
        <f>IF(B1126="","",IFERROR(VLOOKUP(B1126, PLANTA_BASE!A:R, 3, FALSE), ""))</f>
        <v/>
      </c>
      <c r="D1126" s="2">
        <f>IF(B1126="","",IFERROR(VLOOKUP(B1126, PLANTA_BASE!A:R, 5, FALSE), "NO ENCONTRADO EN PLANTA"))</f>
        <v/>
      </c>
      <c r="E1126" s="2">
        <f>IF(B1126="","",IFERROR(VLOOKUP(B1126, PLANTA_BASE!A:R, 6, FALSE), "NO ENCONTRADO EN PLANTA"))</f>
        <v/>
      </c>
      <c r="F1126" s="4">
        <f>IF(B1126="","",IFERROR(VLOOKUP(B1126, PLANTA_BASE!A:R, 8, FALSE), "DOCENTE / FACILITADOR"))</f>
        <v/>
      </c>
      <c r="G1126" s="4">
        <f>IF(B1126="","",IFERROR(VLOOKUP(B1126, PLANTA_BASE!A:R, 9, FALSE), "GENERAL"))</f>
        <v/>
      </c>
      <c r="H1126" s="2">
        <f>IF(B1126="","",IFERROR(VLOOKUP(B1126, PLANTA_BASE!A:R, 17, FALSE), "GENERAL"))</f>
        <v/>
      </c>
    </row>
    <row r="1127" ht="20" customHeight="1">
      <c r="A1127" s="5">
        <f>IF(B1127="","",IFERROR(VLOOKUP(B1127, PLANTA_BASE!A:R, 2, FALSE), "NO ENCONTRADO EN PLANTA"))</f>
        <v/>
      </c>
      <c r="B1127" s="6" t="inlineStr"/>
      <c r="C1127" s="7">
        <f>IF(B1127="","",IFERROR(VLOOKUP(B1127, PLANTA_BASE!A:R, 3, FALSE), ""))</f>
        <v/>
      </c>
      <c r="D1127" s="5">
        <f>IF(B1127="","",IFERROR(VLOOKUP(B1127, PLANTA_BASE!A:R, 5, FALSE), "NO ENCONTRADO EN PLANTA"))</f>
        <v/>
      </c>
      <c r="E1127" s="5">
        <f>IF(B1127="","",IFERROR(VLOOKUP(B1127, PLANTA_BASE!A:R, 6, FALSE), "NO ENCONTRADO EN PLANTA"))</f>
        <v/>
      </c>
      <c r="F1127" s="7">
        <f>IF(B1127="","",IFERROR(VLOOKUP(B1127, PLANTA_BASE!A:R, 8, FALSE), "DOCENTE / FACILITADOR"))</f>
        <v/>
      </c>
      <c r="G1127" s="7">
        <f>IF(B1127="","",IFERROR(VLOOKUP(B1127, PLANTA_BASE!A:R, 9, FALSE), "GENERAL"))</f>
        <v/>
      </c>
      <c r="H1127" s="5">
        <f>IF(B1127="","",IFERROR(VLOOKUP(B1127, PLANTA_BASE!A:R, 17, FALSE), "GENERAL"))</f>
        <v/>
      </c>
    </row>
    <row r="1128" ht="20" customHeight="1">
      <c r="A1128" s="2">
        <f>IF(B1128="","",IFERROR(VLOOKUP(B1128, PLANTA_BASE!A:R, 2, FALSE), "NO ENCONTRADO EN PLANTA"))</f>
        <v/>
      </c>
      <c r="B1128" s="3" t="inlineStr"/>
      <c r="C1128" s="4">
        <f>IF(B1128="","",IFERROR(VLOOKUP(B1128, PLANTA_BASE!A:R, 3, FALSE), ""))</f>
        <v/>
      </c>
      <c r="D1128" s="2">
        <f>IF(B1128="","",IFERROR(VLOOKUP(B1128, PLANTA_BASE!A:R, 5, FALSE), "NO ENCONTRADO EN PLANTA"))</f>
        <v/>
      </c>
      <c r="E1128" s="2">
        <f>IF(B1128="","",IFERROR(VLOOKUP(B1128, PLANTA_BASE!A:R, 6, FALSE), "NO ENCONTRADO EN PLANTA"))</f>
        <v/>
      </c>
      <c r="F1128" s="4">
        <f>IF(B1128="","",IFERROR(VLOOKUP(B1128, PLANTA_BASE!A:R, 8, FALSE), "DOCENTE / FACILITADOR"))</f>
        <v/>
      </c>
      <c r="G1128" s="4">
        <f>IF(B1128="","",IFERROR(VLOOKUP(B1128, PLANTA_BASE!A:R, 9, FALSE), "GENERAL"))</f>
        <v/>
      </c>
      <c r="H1128" s="2">
        <f>IF(B1128="","",IFERROR(VLOOKUP(B1128, PLANTA_BASE!A:R, 17, FALSE), "GENERAL"))</f>
        <v/>
      </c>
    </row>
    <row r="1129" ht="20" customHeight="1">
      <c r="A1129" s="5">
        <f>IF(B1129="","",IFERROR(VLOOKUP(B1129, PLANTA_BASE!A:R, 2, FALSE), "NO ENCONTRADO EN PLANTA"))</f>
        <v/>
      </c>
      <c r="B1129" s="6" t="inlineStr"/>
      <c r="C1129" s="7">
        <f>IF(B1129="","",IFERROR(VLOOKUP(B1129, PLANTA_BASE!A:R, 3, FALSE), ""))</f>
        <v/>
      </c>
      <c r="D1129" s="5">
        <f>IF(B1129="","",IFERROR(VLOOKUP(B1129, PLANTA_BASE!A:R, 5, FALSE), "NO ENCONTRADO EN PLANTA"))</f>
        <v/>
      </c>
      <c r="E1129" s="5">
        <f>IF(B1129="","",IFERROR(VLOOKUP(B1129, PLANTA_BASE!A:R, 6, FALSE), "NO ENCONTRADO EN PLANTA"))</f>
        <v/>
      </c>
      <c r="F1129" s="7">
        <f>IF(B1129="","",IFERROR(VLOOKUP(B1129, PLANTA_BASE!A:R, 8, FALSE), "DOCENTE / FACILITADOR"))</f>
        <v/>
      </c>
      <c r="G1129" s="7">
        <f>IF(B1129="","",IFERROR(VLOOKUP(B1129, PLANTA_BASE!A:R, 9, FALSE), "GENERAL"))</f>
        <v/>
      </c>
      <c r="H1129" s="5">
        <f>IF(B1129="","",IFERROR(VLOOKUP(B1129, PLANTA_BASE!A:R, 17, FALSE), "GENERAL"))</f>
        <v/>
      </c>
    </row>
    <row r="1130" ht="20" customHeight="1">
      <c r="A1130" s="2">
        <f>IF(B1130="","",IFERROR(VLOOKUP(B1130, PLANTA_BASE!A:R, 2, FALSE), "NO ENCONTRADO EN PLANTA"))</f>
        <v/>
      </c>
      <c r="B1130" s="3" t="inlineStr"/>
      <c r="C1130" s="4">
        <f>IF(B1130="","",IFERROR(VLOOKUP(B1130, PLANTA_BASE!A:R, 3, FALSE), ""))</f>
        <v/>
      </c>
      <c r="D1130" s="2">
        <f>IF(B1130="","",IFERROR(VLOOKUP(B1130, PLANTA_BASE!A:R, 5, FALSE), "NO ENCONTRADO EN PLANTA"))</f>
        <v/>
      </c>
      <c r="E1130" s="2">
        <f>IF(B1130="","",IFERROR(VLOOKUP(B1130, PLANTA_BASE!A:R, 6, FALSE), "NO ENCONTRADO EN PLANTA"))</f>
        <v/>
      </c>
      <c r="F1130" s="4">
        <f>IF(B1130="","",IFERROR(VLOOKUP(B1130, PLANTA_BASE!A:R, 8, FALSE), "DOCENTE / FACILITADOR"))</f>
        <v/>
      </c>
      <c r="G1130" s="4">
        <f>IF(B1130="","",IFERROR(VLOOKUP(B1130, PLANTA_BASE!A:R, 9, FALSE), "GENERAL"))</f>
        <v/>
      </c>
      <c r="H1130" s="2">
        <f>IF(B1130="","",IFERROR(VLOOKUP(B1130, PLANTA_BASE!A:R, 17, FALSE), "GENERAL"))</f>
        <v/>
      </c>
    </row>
    <row r="1131" ht="20" customHeight="1">
      <c r="A1131" s="5">
        <f>IF(B1131="","",IFERROR(VLOOKUP(B1131, PLANTA_BASE!A:R, 2, FALSE), "NO ENCONTRADO EN PLANTA"))</f>
        <v/>
      </c>
      <c r="B1131" s="6" t="inlineStr"/>
      <c r="C1131" s="7">
        <f>IF(B1131="","",IFERROR(VLOOKUP(B1131, PLANTA_BASE!A:R, 3, FALSE), ""))</f>
        <v/>
      </c>
      <c r="D1131" s="5">
        <f>IF(B1131="","",IFERROR(VLOOKUP(B1131, PLANTA_BASE!A:R, 5, FALSE), "NO ENCONTRADO EN PLANTA"))</f>
        <v/>
      </c>
      <c r="E1131" s="5">
        <f>IF(B1131="","",IFERROR(VLOOKUP(B1131, PLANTA_BASE!A:R, 6, FALSE), "NO ENCONTRADO EN PLANTA"))</f>
        <v/>
      </c>
      <c r="F1131" s="7">
        <f>IF(B1131="","",IFERROR(VLOOKUP(B1131, PLANTA_BASE!A:R, 8, FALSE), "DOCENTE / FACILITADOR"))</f>
        <v/>
      </c>
      <c r="G1131" s="7">
        <f>IF(B1131="","",IFERROR(VLOOKUP(B1131, PLANTA_BASE!A:R, 9, FALSE), "GENERAL"))</f>
        <v/>
      </c>
      <c r="H1131" s="5">
        <f>IF(B1131="","",IFERROR(VLOOKUP(B1131, PLANTA_BASE!A:R, 17, FALSE), "GENERAL"))</f>
        <v/>
      </c>
    </row>
    <row r="1132" ht="20" customHeight="1">
      <c r="A1132" s="2">
        <f>IF(B1132="","",IFERROR(VLOOKUP(B1132, PLANTA_BASE!A:R, 2, FALSE), "NO ENCONTRADO EN PLANTA"))</f>
        <v/>
      </c>
      <c r="B1132" s="3" t="inlineStr"/>
      <c r="C1132" s="4">
        <f>IF(B1132="","",IFERROR(VLOOKUP(B1132, PLANTA_BASE!A:R, 3, FALSE), ""))</f>
        <v/>
      </c>
      <c r="D1132" s="2">
        <f>IF(B1132="","",IFERROR(VLOOKUP(B1132, PLANTA_BASE!A:R, 5, FALSE), "NO ENCONTRADO EN PLANTA"))</f>
        <v/>
      </c>
      <c r="E1132" s="2">
        <f>IF(B1132="","",IFERROR(VLOOKUP(B1132, PLANTA_BASE!A:R, 6, FALSE), "NO ENCONTRADO EN PLANTA"))</f>
        <v/>
      </c>
      <c r="F1132" s="4">
        <f>IF(B1132="","",IFERROR(VLOOKUP(B1132, PLANTA_BASE!A:R, 8, FALSE), "DOCENTE / FACILITADOR"))</f>
        <v/>
      </c>
      <c r="G1132" s="4">
        <f>IF(B1132="","",IFERROR(VLOOKUP(B1132, PLANTA_BASE!A:R, 9, FALSE), "GENERAL"))</f>
        <v/>
      </c>
      <c r="H1132" s="2">
        <f>IF(B1132="","",IFERROR(VLOOKUP(B1132, PLANTA_BASE!A:R, 17, FALSE), "GENERAL"))</f>
        <v/>
      </c>
    </row>
    <row r="1133" ht="20" customHeight="1">
      <c r="A1133" s="5">
        <f>IF(B1133="","",IFERROR(VLOOKUP(B1133, PLANTA_BASE!A:R, 2, FALSE), "NO ENCONTRADO EN PLANTA"))</f>
        <v/>
      </c>
      <c r="B1133" s="6" t="inlineStr"/>
      <c r="C1133" s="7">
        <f>IF(B1133="","",IFERROR(VLOOKUP(B1133, PLANTA_BASE!A:R, 3, FALSE), ""))</f>
        <v/>
      </c>
      <c r="D1133" s="5">
        <f>IF(B1133="","",IFERROR(VLOOKUP(B1133, PLANTA_BASE!A:R, 5, FALSE), "NO ENCONTRADO EN PLANTA"))</f>
        <v/>
      </c>
      <c r="E1133" s="5">
        <f>IF(B1133="","",IFERROR(VLOOKUP(B1133, PLANTA_BASE!A:R, 6, FALSE), "NO ENCONTRADO EN PLANTA"))</f>
        <v/>
      </c>
      <c r="F1133" s="7">
        <f>IF(B1133="","",IFERROR(VLOOKUP(B1133, PLANTA_BASE!A:R, 8, FALSE), "DOCENTE / FACILITADOR"))</f>
        <v/>
      </c>
      <c r="G1133" s="7">
        <f>IF(B1133="","",IFERROR(VLOOKUP(B1133, PLANTA_BASE!A:R, 9, FALSE), "GENERAL"))</f>
        <v/>
      </c>
      <c r="H1133" s="5">
        <f>IF(B1133="","",IFERROR(VLOOKUP(B1133, PLANTA_BASE!A:R, 17, FALSE), "GENERAL"))</f>
        <v/>
      </c>
    </row>
    <row r="1134" ht="20" customHeight="1">
      <c r="A1134" s="2">
        <f>IF(B1134="","",IFERROR(VLOOKUP(B1134, PLANTA_BASE!A:R, 2, FALSE), "NO ENCONTRADO EN PLANTA"))</f>
        <v/>
      </c>
      <c r="B1134" s="3" t="inlineStr"/>
      <c r="C1134" s="4">
        <f>IF(B1134="","",IFERROR(VLOOKUP(B1134, PLANTA_BASE!A:R, 3, FALSE), ""))</f>
        <v/>
      </c>
      <c r="D1134" s="2">
        <f>IF(B1134="","",IFERROR(VLOOKUP(B1134, PLANTA_BASE!A:R, 5, FALSE), "NO ENCONTRADO EN PLANTA"))</f>
        <v/>
      </c>
      <c r="E1134" s="2">
        <f>IF(B1134="","",IFERROR(VLOOKUP(B1134, PLANTA_BASE!A:R, 6, FALSE), "NO ENCONTRADO EN PLANTA"))</f>
        <v/>
      </c>
      <c r="F1134" s="4">
        <f>IF(B1134="","",IFERROR(VLOOKUP(B1134, PLANTA_BASE!A:R, 8, FALSE), "DOCENTE / FACILITADOR"))</f>
        <v/>
      </c>
      <c r="G1134" s="4">
        <f>IF(B1134="","",IFERROR(VLOOKUP(B1134, PLANTA_BASE!A:R, 9, FALSE), "GENERAL"))</f>
        <v/>
      </c>
      <c r="H1134" s="2">
        <f>IF(B1134="","",IFERROR(VLOOKUP(B1134, PLANTA_BASE!A:R, 17, FALSE), "GENERAL"))</f>
        <v/>
      </c>
    </row>
    <row r="1135" ht="20" customHeight="1">
      <c r="A1135" s="5">
        <f>IF(B1135="","",IFERROR(VLOOKUP(B1135, PLANTA_BASE!A:R, 2, FALSE), "NO ENCONTRADO EN PLANTA"))</f>
        <v/>
      </c>
      <c r="B1135" s="6" t="inlineStr"/>
      <c r="C1135" s="7">
        <f>IF(B1135="","",IFERROR(VLOOKUP(B1135, PLANTA_BASE!A:R, 3, FALSE), ""))</f>
        <v/>
      </c>
      <c r="D1135" s="5">
        <f>IF(B1135="","",IFERROR(VLOOKUP(B1135, PLANTA_BASE!A:R, 5, FALSE), "NO ENCONTRADO EN PLANTA"))</f>
        <v/>
      </c>
      <c r="E1135" s="5">
        <f>IF(B1135="","",IFERROR(VLOOKUP(B1135, PLANTA_BASE!A:R, 6, FALSE), "NO ENCONTRADO EN PLANTA"))</f>
        <v/>
      </c>
      <c r="F1135" s="7">
        <f>IF(B1135="","",IFERROR(VLOOKUP(B1135, PLANTA_BASE!A:R, 8, FALSE), "DOCENTE / FACILITADOR"))</f>
        <v/>
      </c>
      <c r="G1135" s="7">
        <f>IF(B1135="","",IFERROR(VLOOKUP(B1135, PLANTA_BASE!A:R, 9, FALSE), "GENERAL"))</f>
        <v/>
      </c>
      <c r="H1135" s="5">
        <f>IF(B1135="","",IFERROR(VLOOKUP(B1135, PLANTA_BASE!A:R, 17, FALSE), "GENERAL"))</f>
        <v/>
      </c>
    </row>
    <row r="1136" ht="20" customHeight="1">
      <c r="A1136" s="2">
        <f>IF(B1136="","",IFERROR(VLOOKUP(B1136, PLANTA_BASE!A:R, 2, FALSE), "NO ENCONTRADO EN PLANTA"))</f>
        <v/>
      </c>
      <c r="B1136" s="3" t="inlineStr"/>
      <c r="C1136" s="4">
        <f>IF(B1136="","",IFERROR(VLOOKUP(B1136, PLANTA_BASE!A:R, 3, FALSE), ""))</f>
        <v/>
      </c>
      <c r="D1136" s="2">
        <f>IF(B1136="","",IFERROR(VLOOKUP(B1136, PLANTA_BASE!A:R, 5, FALSE), "NO ENCONTRADO EN PLANTA"))</f>
        <v/>
      </c>
      <c r="E1136" s="2">
        <f>IF(B1136="","",IFERROR(VLOOKUP(B1136, PLANTA_BASE!A:R, 6, FALSE), "NO ENCONTRADO EN PLANTA"))</f>
        <v/>
      </c>
      <c r="F1136" s="4">
        <f>IF(B1136="","",IFERROR(VLOOKUP(B1136, PLANTA_BASE!A:R, 8, FALSE), "DOCENTE / FACILITADOR"))</f>
        <v/>
      </c>
      <c r="G1136" s="4">
        <f>IF(B1136="","",IFERROR(VLOOKUP(B1136, PLANTA_BASE!A:R, 9, FALSE), "GENERAL"))</f>
        <v/>
      </c>
      <c r="H1136" s="2">
        <f>IF(B1136="","",IFERROR(VLOOKUP(B1136, PLANTA_BASE!A:R, 17, FALSE), "GENERAL"))</f>
        <v/>
      </c>
    </row>
    <row r="1137" ht="20" customHeight="1">
      <c r="A1137" s="5">
        <f>IF(B1137="","",IFERROR(VLOOKUP(B1137, PLANTA_BASE!A:R, 2, FALSE), "NO ENCONTRADO EN PLANTA"))</f>
        <v/>
      </c>
      <c r="B1137" s="6" t="inlineStr"/>
      <c r="C1137" s="7">
        <f>IF(B1137="","",IFERROR(VLOOKUP(B1137, PLANTA_BASE!A:R, 3, FALSE), ""))</f>
        <v/>
      </c>
      <c r="D1137" s="5">
        <f>IF(B1137="","",IFERROR(VLOOKUP(B1137, PLANTA_BASE!A:R, 5, FALSE), "NO ENCONTRADO EN PLANTA"))</f>
        <v/>
      </c>
      <c r="E1137" s="5">
        <f>IF(B1137="","",IFERROR(VLOOKUP(B1137, PLANTA_BASE!A:R, 6, FALSE), "NO ENCONTRADO EN PLANTA"))</f>
        <v/>
      </c>
      <c r="F1137" s="7">
        <f>IF(B1137="","",IFERROR(VLOOKUP(B1137, PLANTA_BASE!A:R, 8, FALSE), "DOCENTE / FACILITADOR"))</f>
        <v/>
      </c>
      <c r="G1137" s="7">
        <f>IF(B1137="","",IFERROR(VLOOKUP(B1137, PLANTA_BASE!A:R, 9, FALSE), "GENERAL"))</f>
        <v/>
      </c>
      <c r="H1137" s="5">
        <f>IF(B1137="","",IFERROR(VLOOKUP(B1137, PLANTA_BASE!A:R, 17, FALSE), "GENERAL"))</f>
        <v/>
      </c>
    </row>
    <row r="1138" ht="20" customHeight="1">
      <c r="A1138" s="2">
        <f>IF(B1138="","",IFERROR(VLOOKUP(B1138, PLANTA_BASE!A:R, 2, FALSE), "NO ENCONTRADO EN PLANTA"))</f>
        <v/>
      </c>
      <c r="B1138" s="3" t="inlineStr"/>
      <c r="C1138" s="4">
        <f>IF(B1138="","",IFERROR(VLOOKUP(B1138, PLANTA_BASE!A:R, 3, FALSE), ""))</f>
        <v/>
      </c>
      <c r="D1138" s="2">
        <f>IF(B1138="","",IFERROR(VLOOKUP(B1138, PLANTA_BASE!A:R, 5, FALSE), "NO ENCONTRADO EN PLANTA"))</f>
        <v/>
      </c>
      <c r="E1138" s="2">
        <f>IF(B1138="","",IFERROR(VLOOKUP(B1138, PLANTA_BASE!A:R, 6, FALSE), "NO ENCONTRADO EN PLANTA"))</f>
        <v/>
      </c>
      <c r="F1138" s="4">
        <f>IF(B1138="","",IFERROR(VLOOKUP(B1138, PLANTA_BASE!A:R, 8, FALSE), "DOCENTE / FACILITADOR"))</f>
        <v/>
      </c>
      <c r="G1138" s="4">
        <f>IF(B1138="","",IFERROR(VLOOKUP(B1138, PLANTA_BASE!A:R, 9, FALSE), "GENERAL"))</f>
        <v/>
      </c>
      <c r="H1138" s="2">
        <f>IF(B1138="","",IFERROR(VLOOKUP(B1138, PLANTA_BASE!A:R, 17, FALSE), "GENERAL"))</f>
        <v/>
      </c>
    </row>
    <row r="1139" ht="20" customHeight="1">
      <c r="A1139" s="5">
        <f>IF(B1139="","",IFERROR(VLOOKUP(B1139, PLANTA_BASE!A:R, 2, FALSE), "NO ENCONTRADO EN PLANTA"))</f>
        <v/>
      </c>
      <c r="B1139" s="6" t="inlineStr"/>
      <c r="C1139" s="7">
        <f>IF(B1139="","",IFERROR(VLOOKUP(B1139, PLANTA_BASE!A:R, 3, FALSE), ""))</f>
        <v/>
      </c>
      <c r="D1139" s="5">
        <f>IF(B1139="","",IFERROR(VLOOKUP(B1139, PLANTA_BASE!A:R, 5, FALSE), "NO ENCONTRADO EN PLANTA"))</f>
        <v/>
      </c>
      <c r="E1139" s="5">
        <f>IF(B1139="","",IFERROR(VLOOKUP(B1139, PLANTA_BASE!A:R, 6, FALSE), "NO ENCONTRADO EN PLANTA"))</f>
        <v/>
      </c>
      <c r="F1139" s="7">
        <f>IF(B1139="","",IFERROR(VLOOKUP(B1139, PLANTA_BASE!A:R, 8, FALSE), "DOCENTE / FACILITADOR"))</f>
        <v/>
      </c>
      <c r="G1139" s="7">
        <f>IF(B1139="","",IFERROR(VLOOKUP(B1139, PLANTA_BASE!A:R, 9, FALSE), "GENERAL"))</f>
        <v/>
      </c>
      <c r="H1139" s="5">
        <f>IF(B1139="","",IFERROR(VLOOKUP(B1139, PLANTA_BASE!A:R, 17, FALSE), "GENERAL"))</f>
        <v/>
      </c>
    </row>
    <row r="1140" ht="20" customHeight="1">
      <c r="A1140" s="2">
        <f>IF(B1140="","",IFERROR(VLOOKUP(B1140, PLANTA_BASE!A:R, 2, FALSE), "NO ENCONTRADO EN PLANTA"))</f>
        <v/>
      </c>
      <c r="B1140" s="3" t="inlineStr"/>
      <c r="C1140" s="4">
        <f>IF(B1140="","",IFERROR(VLOOKUP(B1140, PLANTA_BASE!A:R, 3, FALSE), ""))</f>
        <v/>
      </c>
      <c r="D1140" s="2">
        <f>IF(B1140="","",IFERROR(VLOOKUP(B1140, PLANTA_BASE!A:R, 5, FALSE), "NO ENCONTRADO EN PLANTA"))</f>
        <v/>
      </c>
      <c r="E1140" s="2">
        <f>IF(B1140="","",IFERROR(VLOOKUP(B1140, PLANTA_BASE!A:R, 6, FALSE), "NO ENCONTRADO EN PLANTA"))</f>
        <v/>
      </c>
      <c r="F1140" s="4">
        <f>IF(B1140="","",IFERROR(VLOOKUP(B1140, PLANTA_BASE!A:R, 8, FALSE), "DOCENTE / FACILITADOR"))</f>
        <v/>
      </c>
      <c r="G1140" s="4">
        <f>IF(B1140="","",IFERROR(VLOOKUP(B1140, PLANTA_BASE!A:R, 9, FALSE), "GENERAL"))</f>
        <v/>
      </c>
      <c r="H1140" s="2">
        <f>IF(B1140="","",IFERROR(VLOOKUP(B1140, PLANTA_BASE!A:R, 17, FALSE), "GENERAL"))</f>
        <v/>
      </c>
    </row>
    <row r="1141" ht="20" customHeight="1">
      <c r="A1141" s="5">
        <f>IF(B1141="","",IFERROR(VLOOKUP(B1141, PLANTA_BASE!A:R, 2, FALSE), "NO ENCONTRADO EN PLANTA"))</f>
        <v/>
      </c>
      <c r="B1141" s="6" t="inlineStr"/>
      <c r="C1141" s="7">
        <f>IF(B1141="","",IFERROR(VLOOKUP(B1141, PLANTA_BASE!A:R, 3, FALSE), ""))</f>
        <v/>
      </c>
      <c r="D1141" s="5">
        <f>IF(B1141="","",IFERROR(VLOOKUP(B1141, PLANTA_BASE!A:R, 5, FALSE), "NO ENCONTRADO EN PLANTA"))</f>
        <v/>
      </c>
      <c r="E1141" s="5">
        <f>IF(B1141="","",IFERROR(VLOOKUP(B1141, PLANTA_BASE!A:R, 6, FALSE), "NO ENCONTRADO EN PLANTA"))</f>
        <v/>
      </c>
      <c r="F1141" s="7">
        <f>IF(B1141="","",IFERROR(VLOOKUP(B1141, PLANTA_BASE!A:R, 8, FALSE), "DOCENTE / FACILITADOR"))</f>
        <v/>
      </c>
      <c r="G1141" s="7">
        <f>IF(B1141="","",IFERROR(VLOOKUP(B1141, PLANTA_BASE!A:R, 9, FALSE), "GENERAL"))</f>
        <v/>
      </c>
      <c r="H1141" s="5">
        <f>IF(B1141="","",IFERROR(VLOOKUP(B1141, PLANTA_BASE!A:R, 17, FALSE), "GENERAL"))</f>
        <v/>
      </c>
    </row>
    <row r="1142" ht="20" customHeight="1">
      <c r="A1142" s="2">
        <f>IF(B1142="","",IFERROR(VLOOKUP(B1142, PLANTA_BASE!A:R, 2, FALSE), "NO ENCONTRADO EN PLANTA"))</f>
        <v/>
      </c>
      <c r="B1142" s="3" t="inlineStr"/>
      <c r="C1142" s="4">
        <f>IF(B1142="","",IFERROR(VLOOKUP(B1142, PLANTA_BASE!A:R, 3, FALSE), ""))</f>
        <v/>
      </c>
      <c r="D1142" s="2">
        <f>IF(B1142="","",IFERROR(VLOOKUP(B1142, PLANTA_BASE!A:R, 5, FALSE), "NO ENCONTRADO EN PLANTA"))</f>
        <v/>
      </c>
      <c r="E1142" s="2">
        <f>IF(B1142="","",IFERROR(VLOOKUP(B1142, PLANTA_BASE!A:R, 6, FALSE), "NO ENCONTRADO EN PLANTA"))</f>
        <v/>
      </c>
      <c r="F1142" s="4">
        <f>IF(B1142="","",IFERROR(VLOOKUP(B1142, PLANTA_BASE!A:R, 8, FALSE), "DOCENTE / FACILITADOR"))</f>
        <v/>
      </c>
      <c r="G1142" s="4">
        <f>IF(B1142="","",IFERROR(VLOOKUP(B1142, PLANTA_BASE!A:R, 9, FALSE), "GENERAL"))</f>
        <v/>
      </c>
      <c r="H1142" s="2">
        <f>IF(B1142="","",IFERROR(VLOOKUP(B1142, PLANTA_BASE!A:R, 17, FALSE), "GENERAL"))</f>
        <v/>
      </c>
    </row>
    <row r="1143" ht="20" customHeight="1">
      <c r="A1143" s="5">
        <f>IF(B1143="","",IFERROR(VLOOKUP(B1143, PLANTA_BASE!A:R, 2, FALSE), "NO ENCONTRADO EN PLANTA"))</f>
        <v/>
      </c>
      <c r="B1143" s="6" t="inlineStr"/>
      <c r="C1143" s="7">
        <f>IF(B1143="","",IFERROR(VLOOKUP(B1143, PLANTA_BASE!A:R, 3, FALSE), ""))</f>
        <v/>
      </c>
      <c r="D1143" s="5">
        <f>IF(B1143="","",IFERROR(VLOOKUP(B1143, PLANTA_BASE!A:R, 5, FALSE), "NO ENCONTRADO EN PLANTA"))</f>
        <v/>
      </c>
      <c r="E1143" s="5">
        <f>IF(B1143="","",IFERROR(VLOOKUP(B1143, PLANTA_BASE!A:R, 6, FALSE), "NO ENCONTRADO EN PLANTA"))</f>
        <v/>
      </c>
      <c r="F1143" s="7">
        <f>IF(B1143="","",IFERROR(VLOOKUP(B1143, PLANTA_BASE!A:R, 8, FALSE), "DOCENTE / FACILITADOR"))</f>
        <v/>
      </c>
      <c r="G1143" s="7">
        <f>IF(B1143="","",IFERROR(VLOOKUP(B1143, PLANTA_BASE!A:R, 9, FALSE), "GENERAL"))</f>
        <v/>
      </c>
      <c r="H1143" s="5">
        <f>IF(B1143="","",IFERROR(VLOOKUP(B1143, PLANTA_BASE!A:R, 17, FALSE), "GENERAL"))</f>
        <v/>
      </c>
    </row>
    <row r="1144" ht="20" customHeight="1">
      <c r="A1144" s="2">
        <f>IF(B1144="","",IFERROR(VLOOKUP(B1144, PLANTA_BASE!A:R, 2, FALSE), "NO ENCONTRADO EN PLANTA"))</f>
        <v/>
      </c>
      <c r="B1144" s="3" t="inlineStr"/>
      <c r="C1144" s="4">
        <f>IF(B1144="","",IFERROR(VLOOKUP(B1144, PLANTA_BASE!A:R, 3, FALSE), ""))</f>
        <v/>
      </c>
      <c r="D1144" s="2">
        <f>IF(B1144="","",IFERROR(VLOOKUP(B1144, PLANTA_BASE!A:R, 5, FALSE), "NO ENCONTRADO EN PLANTA"))</f>
        <v/>
      </c>
      <c r="E1144" s="2">
        <f>IF(B1144="","",IFERROR(VLOOKUP(B1144, PLANTA_BASE!A:R, 6, FALSE), "NO ENCONTRADO EN PLANTA"))</f>
        <v/>
      </c>
      <c r="F1144" s="4">
        <f>IF(B1144="","",IFERROR(VLOOKUP(B1144, PLANTA_BASE!A:R, 8, FALSE), "DOCENTE / FACILITADOR"))</f>
        <v/>
      </c>
      <c r="G1144" s="4">
        <f>IF(B1144="","",IFERROR(VLOOKUP(B1144, PLANTA_BASE!A:R, 9, FALSE), "GENERAL"))</f>
        <v/>
      </c>
      <c r="H1144" s="2">
        <f>IF(B1144="","",IFERROR(VLOOKUP(B1144, PLANTA_BASE!A:R, 17, FALSE), "GENERAL"))</f>
        <v/>
      </c>
    </row>
    <row r="1145" ht="20" customHeight="1">
      <c r="A1145" s="5">
        <f>IF(B1145="","",IFERROR(VLOOKUP(B1145, PLANTA_BASE!A:R, 2, FALSE), "NO ENCONTRADO EN PLANTA"))</f>
        <v/>
      </c>
      <c r="B1145" s="6" t="inlineStr"/>
      <c r="C1145" s="7">
        <f>IF(B1145="","",IFERROR(VLOOKUP(B1145, PLANTA_BASE!A:R, 3, FALSE), ""))</f>
        <v/>
      </c>
      <c r="D1145" s="5">
        <f>IF(B1145="","",IFERROR(VLOOKUP(B1145, PLANTA_BASE!A:R, 5, FALSE), "NO ENCONTRADO EN PLANTA"))</f>
        <v/>
      </c>
      <c r="E1145" s="5">
        <f>IF(B1145="","",IFERROR(VLOOKUP(B1145, PLANTA_BASE!A:R, 6, FALSE), "NO ENCONTRADO EN PLANTA"))</f>
        <v/>
      </c>
      <c r="F1145" s="7">
        <f>IF(B1145="","",IFERROR(VLOOKUP(B1145, PLANTA_BASE!A:R, 8, FALSE), "DOCENTE / FACILITADOR"))</f>
        <v/>
      </c>
      <c r="G1145" s="7">
        <f>IF(B1145="","",IFERROR(VLOOKUP(B1145, PLANTA_BASE!A:R, 9, FALSE), "GENERAL"))</f>
        <v/>
      </c>
      <c r="H1145" s="5">
        <f>IF(B1145="","",IFERROR(VLOOKUP(B1145, PLANTA_BASE!A:R, 17, FALSE), "GENERAL"))</f>
        <v/>
      </c>
    </row>
    <row r="1146" ht="20" customHeight="1">
      <c r="A1146" s="2">
        <f>IF(B1146="","",IFERROR(VLOOKUP(B1146, PLANTA_BASE!A:R, 2, FALSE), "NO ENCONTRADO EN PLANTA"))</f>
        <v/>
      </c>
      <c r="B1146" s="3" t="inlineStr"/>
      <c r="C1146" s="4">
        <f>IF(B1146="","",IFERROR(VLOOKUP(B1146, PLANTA_BASE!A:R, 3, FALSE), ""))</f>
        <v/>
      </c>
      <c r="D1146" s="2">
        <f>IF(B1146="","",IFERROR(VLOOKUP(B1146, PLANTA_BASE!A:R, 5, FALSE), "NO ENCONTRADO EN PLANTA"))</f>
        <v/>
      </c>
      <c r="E1146" s="2">
        <f>IF(B1146="","",IFERROR(VLOOKUP(B1146, PLANTA_BASE!A:R, 6, FALSE), "NO ENCONTRADO EN PLANTA"))</f>
        <v/>
      </c>
      <c r="F1146" s="4">
        <f>IF(B1146="","",IFERROR(VLOOKUP(B1146, PLANTA_BASE!A:R, 8, FALSE), "DOCENTE / FACILITADOR"))</f>
        <v/>
      </c>
      <c r="G1146" s="4">
        <f>IF(B1146="","",IFERROR(VLOOKUP(B1146, PLANTA_BASE!A:R, 9, FALSE), "GENERAL"))</f>
        <v/>
      </c>
      <c r="H1146" s="2">
        <f>IF(B1146="","",IFERROR(VLOOKUP(B1146, PLANTA_BASE!A:R, 17, FALSE), "GENERAL"))</f>
        <v/>
      </c>
    </row>
    <row r="1147" ht="20" customHeight="1">
      <c r="A1147" s="5">
        <f>IF(B1147="","",IFERROR(VLOOKUP(B1147, PLANTA_BASE!A:R, 2, FALSE), "NO ENCONTRADO EN PLANTA"))</f>
        <v/>
      </c>
      <c r="B1147" s="6" t="inlineStr"/>
      <c r="C1147" s="7">
        <f>IF(B1147="","",IFERROR(VLOOKUP(B1147, PLANTA_BASE!A:R, 3, FALSE), ""))</f>
        <v/>
      </c>
      <c r="D1147" s="5">
        <f>IF(B1147="","",IFERROR(VLOOKUP(B1147, PLANTA_BASE!A:R, 5, FALSE), "NO ENCONTRADO EN PLANTA"))</f>
        <v/>
      </c>
      <c r="E1147" s="5">
        <f>IF(B1147="","",IFERROR(VLOOKUP(B1147, PLANTA_BASE!A:R, 6, FALSE), "NO ENCONTRADO EN PLANTA"))</f>
        <v/>
      </c>
      <c r="F1147" s="7">
        <f>IF(B1147="","",IFERROR(VLOOKUP(B1147, PLANTA_BASE!A:R, 8, FALSE), "DOCENTE / FACILITADOR"))</f>
        <v/>
      </c>
      <c r="G1147" s="7">
        <f>IF(B1147="","",IFERROR(VLOOKUP(B1147, PLANTA_BASE!A:R, 9, FALSE), "GENERAL"))</f>
        <v/>
      </c>
      <c r="H1147" s="5">
        <f>IF(B1147="","",IFERROR(VLOOKUP(B1147, PLANTA_BASE!A:R, 17, FALSE), "GENERAL"))</f>
        <v/>
      </c>
    </row>
    <row r="1148" ht="20" customHeight="1">
      <c r="A1148" s="2">
        <f>IF(B1148="","",IFERROR(VLOOKUP(B1148, PLANTA_BASE!A:R, 2, FALSE), "NO ENCONTRADO EN PLANTA"))</f>
        <v/>
      </c>
      <c r="B1148" s="3" t="inlineStr"/>
      <c r="C1148" s="4">
        <f>IF(B1148="","",IFERROR(VLOOKUP(B1148, PLANTA_BASE!A:R, 3, FALSE), ""))</f>
        <v/>
      </c>
      <c r="D1148" s="2">
        <f>IF(B1148="","",IFERROR(VLOOKUP(B1148, PLANTA_BASE!A:R, 5, FALSE), "NO ENCONTRADO EN PLANTA"))</f>
        <v/>
      </c>
      <c r="E1148" s="2">
        <f>IF(B1148="","",IFERROR(VLOOKUP(B1148, PLANTA_BASE!A:R, 6, FALSE), "NO ENCONTRADO EN PLANTA"))</f>
        <v/>
      </c>
      <c r="F1148" s="4">
        <f>IF(B1148="","",IFERROR(VLOOKUP(B1148, PLANTA_BASE!A:R, 8, FALSE), "DOCENTE / FACILITADOR"))</f>
        <v/>
      </c>
      <c r="G1148" s="4">
        <f>IF(B1148="","",IFERROR(VLOOKUP(B1148, PLANTA_BASE!A:R, 9, FALSE), "GENERAL"))</f>
        <v/>
      </c>
      <c r="H1148" s="2">
        <f>IF(B1148="","",IFERROR(VLOOKUP(B1148, PLANTA_BASE!A:R, 17, FALSE), "GENERAL"))</f>
        <v/>
      </c>
    </row>
    <row r="1149" ht="20" customHeight="1">
      <c r="A1149" s="5">
        <f>IF(B1149="","",IFERROR(VLOOKUP(B1149, PLANTA_BASE!A:R, 2, FALSE), "NO ENCONTRADO EN PLANTA"))</f>
        <v/>
      </c>
      <c r="B1149" s="6" t="inlineStr"/>
      <c r="C1149" s="7">
        <f>IF(B1149="","",IFERROR(VLOOKUP(B1149, PLANTA_BASE!A:R, 3, FALSE), ""))</f>
        <v/>
      </c>
      <c r="D1149" s="5">
        <f>IF(B1149="","",IFERROR(VLOOKUP(B1149, PLANTA_BASE!A:R, 5, FALSE), "NO ENCONTRADO EN PLANTA"))</f>
        <v/>
      </c>
      <c r="E1149" s="5">
        <f>IF(B1149="","",IFERROR(VLOOKUP(B1149, PLANTA_BASE!A:R, 6, FALSE), "NO ENCONTRADO EN PLANTA"))</f>
        <v/>
      </c>
      <c r="F1149" s="7">
        <f>IF(B1149="","",IFERROR(VLOOKUP(B1149, PLANTA_BASE!A:R, 8, FALSE), "DOCENTE / FACILITADOR"))</f>
        <v/>
      </c>
      <c r="G1149" s="7">
        <f>IF(B1149="","",IFERROR(VLOOKUP(B1149, PLANTA_BASE!A:R, 9, FALSE), "GENERAL"))</f>
        <v/>
      </c>
      <c r="H1149" s="5">
        <f>IF(B1149="","",IFERROR(VLOOKUP(B1149, PLANTA_BASE!A:R, 17, FALSE), "GENERAL"))</f>
        <v/>
      </c>
    </row>
    <row r="1150" ht="20" customHeight="1">
      <c r="A1150" s="2">
        <f>IF(B1150="","",IFERROR(VLOOKUP(B1150, PLANTA_BASE!A:R, 2, FALSE), "NO ENCONTRADO EN PLANTA"))</f>
        <v/>
      </c>
      <c r="B1150" s="3" t="inlineStr"/>
      <c r="C1150" s="4">
        <f>IF(B1150="","",IFERROR(VLOOKUP(B1150, PLANTA_BASE!A:R, 3, FALSE), ""))</f>
        <v/>
      </c>
      <c r="D1150" s="2">
        <f>IF(B1150="","",IFERROR(VLOOKUP(B1150, PLANTA_BASE!A:R, 5, FALSE), "NO ENCONTRADO EN PLANTA"))</f>
        <v/>
      </c>
      <c r="E1150" s="2">
        <f>IF(B1150="","",IFERROR(VLOOKUP(B1150, PLANTA_BASE!A:R, 6, FALSE), "NO ENCONTRADO EN PLANTA"))</f>
        <v/>
      </c>
      <c r="F1150" s="4">
        <f>IF(B1150="","",IFERROR(VLOOKUP(B1150, PLANTA_BASE!A:R, 8, FALSE), "DOCENTE / FACILITADOR"))</f>
        <v/>
      </c>
      <c r="G1150" s="4">
        <f>IF(B1150="","",IFERROR(VLOOKUP(B1150, PLANTA_BASE!A:R, 9, FALSE), "GENERAL"))</f>
        <v/>
      </c>
      <c r="H1150" s="2">
        <f>IF(B1150="","",IFERROR(VLOOKUP(B1150, PLANTA_BASE!A:R, 17, FALSE), "GENERAL"))</f>
        <v/>
      </c>
    </row>
    <row r="1151" ht="20" customHeight="1">
      <c r="A1151" s="5">
        <f>IF(B1151="","",IFERROR(VLOOKUP(B1151, PLANTA_BASE!A:R, 2, FALSE), "NO ENCONTRADO EN PLANTA"))</f>
        <v/>
      </c>
      <c r="B1151" s="6" t="inlineStr"/>
      <c r="C1151" s="7">
        <f>IF(B1151="","",IFERROR(VLOOKUP(B1151, PLANTA_BASE!A:R, 3, FALSE), ""))</f>
        <v/>
      </c>
      <c r="D1151" s="5">
        <f>IF(B1151="","",IFERROR(VLOOKUP(B1151, PLANTA_BASE!A:R, 5, FALSE), "NO ENCONTRADO EN PLANTA"))</f>
        <v/>
      </c>
      <c r="E1151" s="5">
        <f>IF(B1151="","",IFERROR(VLOOKUP(B1151, PLANTA_BASE!A:R, 6, FALSE), "NO ENCONTRADO EN PLANTA"))</f>
        <v/>
      </c>
      <c r="F1151" s="7">
        <f>IF(B1151="","",IFERROR(VLOOKUP(B1151, PLANTA_BASE!A:R, 8, FALSE), "DOCENTE / FACILITADOR"))</f>
        <v/>
      </c>
      <c r="G1151" s="7">
        <f>IF(B1151="","",IFERROR(VLOOKUP(B1151, PLANTA_BASE!A:R, 9, FALSE), "GENERAL"))</f>
        <v/>
      </c>
      <c r="H1151" s="5">
        <f>IF(B1151="","",IFERROR(VLOOKUP(B1151, PLANTA_BASE!A:R, 17, FALSE), "GENERAL"))</f>
        <v/>
      </c>
    </row>
    <row r="1152" ht="20" customHeight="1">
      <c r="A1152" s="2">
        <f>IF(B1152="","",IFERROR(VLOOKUP(B1152, PLANTA_BASE!A:R, 2, FALSE), "NO ENCONTRADO EN PLANTA"))</f>
        <v/>
      </c>
      <c r="B1152" s="3" t="inlineStr"/>
      <c r="C1152" s="4">
        <f>IF(B1152="","",IFERROR(VLOOKUP(B1152, PLANTA_BASE!A:R, 3, FALSE), ""))</f>
        <v/>
      </c>
      <c r="D1152" s="2">
        <f>IF(B1152="","",IFERROR(VLOOKUP(B1152, PLANTA_BASE!A:R, 5, FALSE), "NO ENCONTRADO EN PLANTA"))</f>
        <v/>
      </c>
      <c r="E1152" s="2">
        <f>IF(B1152="","",IFERROR(VLOOKUP(B1152, PLANTA_BASE!A:R, 6, FALSE), "NO ENCONTRADO EN PLANTA"))</f>
        <v/>
      </c>
      <c r="F1152" s="4">
        <f>IF(B1152="","",IFERROR(VLOOKUP(B1152, PLANTA_BASE!A:R, 8, FALSE), "DOCENTE / FACILITADOR"))</f>
        <v/>
      </c>
      <c r="G1152" s="4">
        <f>IF(B1152="","",IFERROR(VLOOKUP(B1152, PLANTA_BASE!A:R, 9, FALSE), "GENERAL"))</f>
        <v/>
      </c>
      <c r="H1152" s="2">
        <f>IF(B1152="","",IFERROR(VLOOKUP(B1152, PLANTA_BASE!A:R, 17, FALSE), "GENERAL"))</f>
        <v/>
      </c>
    </row>
    <row r="1153" ht="20" customHeight="1">
      <c r="A1153" s="5">
        <f>IF(B1153="","",IFERROR(VLOOKUP(B1153, PLANTA_BASE!A:R, 2, FALSE), "NO ENCONTRADO EN PLANTA"))</f>
        <v/>
      </c>
      <c r="B1153" s="6" t="inlineStr"/>
      <c r="C1153" s="7">
        <f>IF(B1153="","",IFERROR(VLOOKUP(B1153, PLANTA_BASE!A:R, 3, FALSE), ""))</f>
        <v/>
      </c>
      <c r="D1153" s="5">
        <f>IF(B1153="","",IFERROR(VLOOKUP(B1153, PLANTA_BASE!A:R, 5, FALSE), "NO ENCONTRADO EN PLANTA"))</f>
        <v/>
      </c>
      <c r="E1153" s="5">
        <f>IF(B1153="","",IFERROR(VLOOKUP(B1153, PLANTA_BASE!A:R, 6, FALSE), "NO ENCONTRADO EN PLANTA"))</f>
        <v/>
      </c>
      <c r="F1153" s="7">
        <f>IF(B1153="","",IFERROR(VLOOKUP(B1153, PLANTA_BASE!A:R, 8, FALSE), "DOCENTE / FACILITADOR"))</f>
        <v/>
      </c>
      <c r="G1153" s="7">
        <f>IF(B1153="","",IFERROR(VLOOKUP(B1153, PLANTA_BASE!A:R, 9, FALSE), "GENERAL"))</f>
        <v/>
      </c>
      <c r="H1153" s="5">
        <f>IF(B1153="","",IFERROR(VLOOKUP(B1153, PLANTA_BASE!A:R, 17, FALSE), "GENERAL"))</f>
        <v/>
      </c>
    </row>
    <row r="1154" ht="20" customHeight="1">
      <c r="A1154" s="2">
        <f>IF(B1154="","",IFERROR(VLOOKUP(B1154, PLANTA_BASE!A:R, 2, FALSE), "NO ENCONTRADO EN PLANTA"))</f>
        <v/>
      </c>
      <c r="B1154" s="3" t="inlineStr"/>
      <c r="C1154" s="4">
        <f>IF(B1154="","",IFERROR(VLOOKUP(B1154, PLANTA_BASE!A:R, 3, FALSE), ""))</f>
        <v/>
      </c>
      <c r="D1154" s="2">
        <f>IF(B1154="","",IFERROR(VLOOKUP(B1154, PLANTA_BASE!A:R, 5, FALSE), "NO ENCONTRADO EN PLANTA"))</f>
        <v/>
      </c>
      <c r="E1154" s="2">
        <f>IF(B1154="","",IFERROR(VLOOKUP(B1154, PLANTA_BASE!A:R, 6, FALSE), "NO ENCONTRADO EN PLANTA"))</f>
        <v/>
      </c>
      <c r="F1154" s="4">
        <f>IF(B1154="","",IFERROR(VLOOKUP(B1154, PLANTA_BASE!A:R, 8, FALSE), "DOCENTE / FACILITADOR"))</f>
        <v/>
      </c>
      <c r="G1154" s="4">
        <f>IF(B1154="","",IFERROR(VLOOKUP(B1154, PLANTA_BASE!A:R, 9, FALSE), "GENERAL"))</f>
        <v/>
      </c>
      <c r="H1154" s="2">
        <f>IF(B1154="","",IFERROR(VLOOKUP(B1154, PLANTA_BASE!A:R, 17, FALSE), "GENERAL"))</f>
        <v/>
      </c>
    </row>
    <row r="1155" ht="20" customHeight="1">
      <c r="A1155" s="5">
        <f>IF(B1155="","",IFERROR(VLOOKUP(B1155, PLANTA_BASE!A:R, 2, FALSE), "NO ENCONTRADO EN PLANTA"))</f>
        <v/>
      </c>
      <c r="B1155" s="6" t="inlineStr"/>
      <c r="C1155" s="7">
        <f>IF(B1155="","",IFERROR(VLOOKUP(B1155, PLANTA_BASE!A:R, 3, FALSE), ""))</f>
        <v/>
      </c>
      <c r="D1155" s="5">
        <f>IF(B1155="","",IFERROR(VLOOKUP(B1155, PLANTA_BASE!A:R, 5, FALSE), "NO ENCONTRADO EN PLANTA"))</f>
        <v/>
      </c>
      <c r="E1155" s="5">
        <f>IF(B1155="","",IFERROR(VLOOKUP(B1155, PLANTA_BASE!A:R, 6, FALSE), "NO ENCONTRADO EN PLANTA"))</f>
        <v/>
      </c>
      <c r="F1155" s="7">
        <f>IF(B1155="","",IFERROR(VLOOKUP(B1155, PLANTA_BASE!A:R, 8, FALSE), "DOCENTE / FACILITADOR"))</f>
        <v/>
      </c>
      <c r="G1155" s="7">
        <f>IF(B1155="","",IFERROR(VLOOKUP(B1155, PLANTA_BASE!A:R, 9, FALSE), "GENERAL"))</f>
        <v/>
      </c>
      <c r="H1155" s="5">
        <f>IF(B1155="","",IFERROR(VLOOKUP(B1155, PLANTA_BASE!A:R, 17, FALSE), "GENERAL"))</f>
        <v/>
      </c>
    </row>
    <row r="1156" ht="20" customHeight="1">
      <c r="A1156" s="2">
        <f>IF(B1156="","",IFERROR(VLOOKUP(B1156, PLANTA_BASE!A:R, 2, FALSE), "NO ENCONTRADO EN PLANTA"))</f>
        <v/>
      </c>
      <c r="B1156" s="3" t="inlineStr"/>
      <c r="C1156" s="4">
        <f>IF(B1156="","",IFERROR(VLOOKUP(B1156, PLANTA_BASE!A:R, 3, FALSE), ""))</f>
        <v/>
      </c>
      <c r="D1156" s="2">
        <f>IF(B1156="","",IFERROR(VLOOKUP(B1156, PLANTA_BASE!A:R, 5, FALSE), "NO ENCONTRADO EN PLANTA"))</f>
        <v/>
      </c>
      <c r="E1156" s="2">
        <f>IF(B1156="","",IFERROR(VLOOKUP(B1156, PLANTA_BASE!A:R, 6, FALSE), "NO ENCONTRADO EN PLANTA"))</f>
        <v/>
      </c>
      <c r="F1156" s="4">
        <f>IF(B1156="","",IFERROR(VLOOKUP(B1156, PLANTA_BASE!A:R, 8, FALSE), "DOCENTE / FACILITADOR"))</f>
        <v/>
      </c>
      <c r="G1156" s="4">
        <f>IF(B1156="","",IFERROR(VLOOKUP(B1156, PLANTA_BASE!A:R, 9, FALSE), "GENERAL"))</f>
        <v/>
      </c>
      <c r="H1156" s="2">
        <f>IF(B1156="","",IFERROR(VLOOKUP(B1156, PLANTA_BASE!A:R, 17, FALSE), "GENERAL"))</f>
        <v/>
      </c>
    </row>
    <row r="1157" ht="20" customHeight="1">
      <c r="A1157" s="5">
        <f>IF(B1157="","",IFERROR(VLOOKUP(B1157, PLANTA_BASE!A:R, 2, FALSE), "NO ENCONTRADO EN PLANTA"))</f>
        <v/>
      </c>
      <c r="B1157" s="6" t="inlineStr"/>
      <c r="C1157" s="7">
        <f>IF(B1157="","",IFERROR(VLOOKUP(B1157, PLANTA_BASE!A:R, 3, FALSE), ""))</f>
        <v/>
      </c>
      <c r="D1157" s="5">
        <f>IF(B1157="","",IFERROR(VLOOKUP(B1157, PLANTA_BASE!A:R, 5, FALSE), "NO ENCONTRADO EN PLANTA"))</f>
        <v/>
      </c>
      <c r="E1157" s="5">
        <f>IF(B1157="","",IFERROR(VLOOKUP(B1157, PLANTA_BASE!A:R, 6, FALSE), "NO ENCONTRADO EN PLANTA"))</f>
        <v/>
      </c>
      <c r="F1157" s="7">
        <f>IF(B1157="","",IFERROR(VLOOKUP(B1157, PLANTA_BASE!A:R, 8, FALSE), "DOCENTE / FACILITADOR"))</f>
        <v/>
      </c>
      <c r="G1157" s="7">
        <f>IF(B1157="","",IFERROR(VLOOKUP(B1157, PLANTA_BASE!A:R, 9, FALSE), "GENERAL"))</f>
        <v/>
      </c>
      <c r="H1157" s="5">
        <f>IF(B1157="","",IFERROR(VLOOKUP(B1157, PLANTA_BASE!A:R, 17, FALSE), "GENERAL"))</f>
        <v/>
      </c>
    </row>
    <row r="1158" ht="20" customHeight="1">
      <c r="A1158" s="2">
        <f>IF(B1158="","",IFERROR(VLOOKUP(B1158, PLANTA_BASE!A:R, 2, FALSE), "NO ENCONTRADO EN PLANTA"))</f>
        <v/>
      </c>
      <c r="B1158" s="3" t="inlineStr"/>
      <c r="C1158" s="4">
        <f>IF(B1158="","",IFERROR(VLOOKUP(B1158, PLANTA_BASE!A:R, 3, FALSE), ""))</f>
        <v/>
      </c>
      <c r="D1158" s="2">
        <f>IF(B1158="","",IFERROR(VLOOKUP(B1158, PLANTA_BASE!A:R, 5, FALSE), "NO ENCONTRADO EN PLANTA"))</f>
        <v/>
      </c>
      <c r="E1158" s="2">
        <f>IF(B1158="","",IFERROR(VLOOKUP(B1158, PLANTA_BASE!A:R, 6, FALSE), "NO ENCONTRADO EN PLANTA"))</f>
        <v/>
      </c>
      <c r="F1158" s="4">
        <f>IF(B1158="","",IFERROR(VLOOKUP(B1158, PLANTA_BASE!A:R, 8, FALSE), "DOCENTE / FACILITADOR"))</f>
        <v/>
      </c>
      <c r="G1158" s="4">
        <f>IF(B1158="","",IFERROR(VLOOKUP(B1158, PLANTA_BASE!A:R, 9, FALSE), "GENERAL"))</f>
        <v/>
      </c>
      <c r="H1158" s="2">
        <f>IF(B1158="","",IFERROR(VLOOKUP(B1158, PLANTA_BASE!A:R, 17, FALSE), "GENERAL"))</f>
        <v/>
      </c>
    </row>
    <row r="1159" ht="20" customHeight="1">
      <c r="A1159" s="5">
        <f>IF(B1159="","",IFERROR(VLOOKUP(B1159, PLANTA_BASE!A:R, 2, FALSE), "NO ENCONTRADO EN PLANTA"))</f>
        <v/>
      </c>
      <c r="B1159" s="6" t="inlineStr"/>
      <c r="C1159" s="7">
        <f>IF(B1159="","",IFERROR(VLOOKUP(B1159, PLANTA_BASE!A:R, 3, FALSE), ""))</f>
        <v/>
      </c>
      <c r="D1159" s="5">
        <f>IF(B1159="","",IFERROR(VLOOKUP(B1159, PLANTA_BASE!A:R, 5, FALSE), "NO ENCONTRADO EN PLANTA"))</f>
        <v/>
      </c>
      <c r="E1159" s="5">
        <f>IF(B1159="","",IFERROR(VLOOKUP(B1159, PLANTA_BASE!A:R, 6, FALSE), "NO ENCONTRADO EN PLANTA"))</f>
        <v/>
      </c>
      <c r="F1159" s="7">
        <f>IF(B1159="","",IFERROR(VLOOKUP(B1159, PLANTA_BASE!A:R, 8, FALSE), "DOCENTE / FACILITADOR"))</f>
        <v/>
      </c>
      <c r="G1159" s="7">
        <f>IF(B1159="","",IFERROR(VLOOKUP(B1159, PLANTA_BASE!A:R, 9, FALSE), "GENERAL"))</f>
        <v/>
      </c>
      <c r="H1159" s="5">
        <f>IF(B1159="","",IFERROR(VLOOKUP(B1159, PLANTA_BASE!A:R, 17, FALSE), "GENERAL"))</f>
        <v/>
      </c>
    </row>
    <row r="1160" ht="20" customHeight="1">
      <c r="A1160" s="2">
        <f>IF(B1160="","",IFERROR(VLOOKUP(B1160, PLANTA_BASE!A:R, 2, FALSE), "NO ENCONTRADO EN PLANTA"))</f>
        <v/>
      </c>
      <c r="B1160" s="3" t="inlineStr"/>
      <c r="C1160" s="4">
        <f>IF(B1160="","",IFERROR(VLOOKUP(B1160, PLANTA_BASE!A:R, 3, FALSE), ""))</f>
        <v/>
      </c>
      <c r="D1160" s="2">
        <f>IF(B1160="","",IFERROR(VLOOKUP(B1160, PLANTA_BASE!A:R, 5, FALSE), "NO ENCONTRADO EN PLANTA"))</f>
        <v/>
      </c>
      <c r="E1160" s="2">
        <f>IF(B1160="","",IFERROR(VLOOKUP(B1160, PLANTA_BASE!A:R, 6, FALSE), "NO ENCONTRADO EN PLANTA"))</f>
        <v/>
      </c>
      <c r="F1160" s="4">
        <f>IF(B1160="","",IFERROR(VLOOKUP(B1160, PLANTA_BASE!A:R, 8, FALSE), "DOCENTE / FACILITADOR"))</f>
        <v/>
      </c>
      <c r="G1160" s="4">
        <f>IF(B1160="","",IFERROR(VLOOKUP(B1160, PLANTA_BASE!A:R, 9, FALSE), "GENERAL"))</f>
        <v/>
      </c>
      <c r="H1160" s="2">
        <f>IF(B1160="","",IFERROR(VLOOKUP(B1160, PLANTA_BASE!A:R, 17, FALSE), "GENERAL"))</f>
        <v/>
      </c>
    </row>
    <row r="1161" ht="20" customHeight="1">
      <c r="A1161" s="5">
        <f>IF(B1161="","",IFERROR(VLOOKUP(B1161, PLANTA_BASE!A:R, 2, FALSE), "NO ENCONTRADO EN PLANTA"))</f>
        <v/>
      </c>
      <c r="B1161" s="6" t="inlineStr"/>
      <c r="C1161" s="7">
        <f>IF(B1161="","",IFERROR(VLOOKUP(B1161, PLANTA_BASE!A:R, 3, FALSE), ""))</f>
        <v/>
      </c>
      <c r="D1161" s="5">
        <f>IF(B1161="","",IFERROR(VLOOKUP(B1161, PLANTA_BASE!A:R, 5, FALSE), "NO ENCONTRADO EN PLANTA"))</f>
        <v/>
      </c>
      <c r="E1161" s="5">
        <f>IF(B1161="","",IFERROR(VLOOKUP(B1161, PLANTA_BASE!A:R, 6, FALSE), "NO ENCONTRADO EN PLANTA"))</f>
        <v/>
      </c>
      <c r="F1161" s="7">
        <f>IF(B1161="","",IFERROR(VLOOKUP(B1161, PLANTA_BASE!A:R, 8, FALSE), "DOCENTE / FACILITADOR"))</f>
        <v/>
      </c>
      <c r="G1161" s="7">
        <f>IF(B1161="","",IFERROR(VLOOKUP(B1161, PLANTA_BASE!A:R, 9, FALSE), "GENERAL"))</f>
        <v/>
      </c>
      <c r="H1161" s="5">
        <f>IF(B1161="","",IFERROR(VLOOKUP(B1161, PLANTA_BASE!A:R, 17, FALSE), "GENERAL"))</f>
        <v/>
      </c>
    </row>
    <row r="1162" ht="20" customHeight="1">
      <c r="A1162" s="2">
        <f>IF(B1162="","",IFERROR(VLOOKUP(B1162, PLANTA_BASE!A:R, 2, FALSE), "NO ENCONTRADO EN PLANTA"))</f>
        <v/>
      </c>
      <c r="B1162" s="3" t="inlineStr"/>
      <c r="C1162" s="4">
        <f>IF(B1162="","",IFERROR(VLOOKUP(B1162, PLANTA_BASE!A:R, 3, FALSE), ""))</f>
        <v/>
      </c>
      <c r="D1162" s="2">
        <f>IF(B1162="","",IFERROR(VLOOKUP(B1162, PLANTA_BASE!A:R, 5, FALSE), "NO ENCONTRADO EN PLANTA"))</f>
        <v/>
      </c>
      <c r="E1162" s="2">
        <f>IF(B1162="","",IFERROR(VLOOKUP(B1162, PLANTA_BASE!A:R, 6, FALSE), "NO ENCONTRADO EN PLANTA"))</f>
        <v/>
      </c>
      <c r="F1162" s="4">
        <f>IF(B1162="","",IFERROR(VLOOKUP(B1162, PLANTA_BASE!A:R, 8, FALSE), "DOCENTE / FACILITADOR"))</f>
        <v/>
      </c>
      <c r="G1162" s="4">
        <f>IF(B1162="","",IFERROR(VLOOKUP(B1162, PLANTA_BASE!A:R, 9, FALSE), "GENERAL"))</f>
        <v/>
      </c>
      <c r="H1162" s="2">
        <f>IF(B1162="","",IFERROR(VLOOKUP(B1162, PLANTA_BASE!A:R, 17, FALSE), "GENERAL"))</f>
        <v/>
      </c>
    </row>
    <row r="1163" ht="20" customHeight="1">
      <c r="A1163" s="5">
        <f>IF(B1163="","",IFERROR(VLOOKUP(B1163, PLANTA_BASE!A:R, 2, FALSE), "NO ENCONTRADO EN PLANTA"))</f>
        <v/>
      </c>
      <c r="B1163" s="6" t="inlineStr"/>
      <c r="C1163" s="7">
        <f>IF(B1163="","",IFERROR(VLOOKUP(B1163, PLANTA_BASE!A:R, 3, FALSE), ""))</f>
        <v/>
      </c>
      <c r="D1163" s="5">
        <f>IF(B1163="","",IFERROR(VLOOKUP(B1163, PLANTA_BASE!A:R, 5, FALSE), "NO ENCONTRADO EN PLANTA"))</f>
        <v/>
      </c>
      <c r="E1163" s="5">
        <f>IF(B1163="","",IFERROR(VLOOKUP(B1163, PLANTA_BASE!A:R, 6, FALSE), "NO ENCONTRADO EN PLANTA"))</f>
        <v/>
      </c>
      <c r="F1163" s="7">
        <f>IF(B1163="","",IFERROR(VLOOKUP(B1163, PLANTA_BASE!A:R, 8, FALSE), "DOCENTE / FACILITADOR"))</f>
        <v/>
      </c>
      <c r="G1163" s="7">
        <f>IF(B1163="","",IFERROR(VLOOKUP(B1163, PLANTA_BASE!A:R, 9, FALSE), "GENERAL"))</f>
        <v/>
      </c>
      <c r="H1163" s="5">
        <f>IF(B1163="","",IFERROR(VLOOKUP(B1163, PLANTA_BASE!A:R, 17, FALSE), "GENERAL"))</f>
        <v/>
      </c>
    </row>
    <row r="1164" ht="20" customHeight="1">
      <c r="A1164" s="2">
        <f>IF(B1164="","",IFERROR(VLOOKUP(B1164, PLANTA_BASE!A:R, 2, FALSE), "NO ENCONTRADO EN PLANTA"))</f>
        <v/>
      </c>
      <c r="B1164" s="3" t="inlineStr"/>
      <c r="C1164" s="4">
        <f>IF(B1164="","",IFERROR(VLOOKUP(B1164, PLANTA_BASE!A:R, 3, FALSE), ""))</f>
        <v/>
      </c>
      <c r="D1164" s="2">
        <f>IF(B1164="","",IFERROR(VLOOKUP(B1164, PLANTA_BASE!A:R, 5, FALSE), "NO ENCONTRADO EN PLANTA"))</f>
        <v/>
      </c>
      <c r="E1164" s="2">
        <f>IF(B1164="","",IFERROR(VLOOKUP(B1164, PLANTA_BASE!A:R, 6, FALSE), "NO ENCONTRADO EN PLANTA"))</f>
        <v/>
      </c>
      <c r="F1164" s="4">
        <f>IF(B1164="","",IFERROR(VLOOKUP(B1164, PLANTA_BASE!A:R, 8, FALSE), "DOCENTE / FACILITADOR"))</f>
        <v/>
      </c>
      <c r="G1164" s="4">
        <f>IF(B1164="","",IFERROR(VLOOKUP(B1164, PLANTA_BASE!A:R, 9, FALSE), "GENERAL"))</f>
        <v/>
      </c>
      <c r="H1164" s="2">
        <f>IF(B1164="","",IFERROR(VLOOKUP(B1164, PLANTA_BASE!A:R, 17, FALSE), "GENERAL"))</f>
        <v/>
      </c>
    </row>
    <row r="1165" ht="20" customHeight="1">
      <c r="A1165" s="5">
        <f>IF(B1165="","",IFERROR(VLOOKUP(B1165, PLANTA_BASE!A:R, 2, FALSE), "NO ENCONTRADO EN PLANTA"))</f>
        <v/>
      </c>
      <c r="B1165" s="6" t="inlineStr"/>
      <c r="C1165" s="7">
        <f>IF(B1165="","",IFERROR(VLOOKUP(B1165, PLANTA_BASE!A:R, 3, FALSE), ""))</f>
        <v/>
      </c>
      <c r="D1165" s="5">
        <f>IF(B1165="","",IFERROR(VLOOKUP(B1165, PLANTA_BASE!A:R, 5, FALSE), "NO ENCONTRADO EN PLANTA"))</f>
        <v/>
      </c>
      <c r="E1165" s="5">
        <f>IF(B1165="","",IFERROR(VLOOKUP(B1165, PLANTA_BASE!A:R, 6, FALSE), "NO ENCONTRADO EN PLANTA"))</f>
        <v/>
      </c>
      <c r="F1165" s="7">
        <f>IF(B1165="","",IFERROR(VLOOKUP(B1165, PLANTA_BASE!A:R, 8, FALSE), "DOCENTE / FACILITADOR"))</f>
        <v/>
      </c>
      <c r="G1165" s="7">
        <f>IF(B1165="","",IFERROR(VLOOKUP(B1165, PLANTA_BASE!A:R, 9, FALSE), "GENERAL"))</f>
        <v/>
      </c>
      <c r="H1165" s="5">
        <f>IF(B1165="","",IFERROR(VLOOKUP(B1165, PLANTA_BASE!A:R, 17, FALSE), "GENERAL"))</f>
        <v/>
      </c>
    </row>
    <row r="1166" ht="20" customHeight="1">
      <c r="A1166" s="2">
        <f>IF(B1166="","",IFERROR(VLOOKUP(B1166, PLANTA_BASE!A:R, 2, FALSE), "NO ENCONTRADO EN PLANTA"))</f>
        <v/>
      </c>
      <c r="B1166" s="3" t="inlineStr"/>
      <c r="C1166" s="4">
        <f>IF(B1166="","",IFERROR(VLOOKUP(B1166, PLANTA_BASE!A:R, 3, FALSE), ""))</f>
        <v/>
      </c>
      <c r="D1166" s="2">
        <f>IF(B1166="","",IFERROR(VLOOKUP(B1166, PLANTA_BASE!A:R, 5, FALSE), "NO ENCONTRADO EN PLANTA"))</f>
        <v/>
      </c>
      <c r="E1166" s="2">
        <f>IF(B1166="","",IFERROR(VLOOKUP(B1166, PLANTA_BASE!A:R, 6, FALSE), "NO ENCONTRADO EN PLANTA"))</f>
        <v/>
      </c>
      <c r="F1166" s="4">
        <f>IF(B1166="","",IFERROR(VLOOKUP(B1166, PLANTA_BASE!A:R, 8, FALSE), "DOCENTE / FACILITADOR"))</f>
        <v/>
      </c>
      <c r="G1166" s="4">
        <f>IF(B1166="","",IFERROR(VLOOKUP(B1166, PLANTA_BASE!A:R, 9, FALSE), "GENERAL"))</f>
        <v/>
      </c>
      <c r="H1166" s="2">
        <f>IF(B1166="","",IFERROR(VLOOKUP(B1166, PLANTA_BASE!A:R, 17, FALSE), "GENERAL"))</f>
        <v/>
      </c>
    </row>
    <row r="1167" ht="20" customHeight="1">
      <c r="A1167" s="5">
        <f>IF(B1167="","",IFERROR(VLOOKUP(B1167, PLANTA_BASE!A:R, 2, FALSE), "NO ENCONTRADO EN PLANTA"))</f>
        <v/>
      </c>
      <c r="B1167" s="6" t="inlineStr"/>
      <c r="C1167" s="7">
        <f>IF(B1167="","",IFERROR(VLOOKUP(B1167, PLANTA_BASE!A:R, 3, FALSE), ""))</f>
        <v/>
      </c>
      <c r="D1167" s="5">
        <f>IF(B1167="","",IFERROR(VLOOKUP(B1167, PLANTA_BASE!A:R, 5, FALSE), "NO ENCONTRADO EN PLANTA"))</f>
        <v/>
      </c>
      <c r="E1167" s="5">
        <f>IF(B1167="","",IFERROR(VLOOKUP(B1167, PLANTA_BASE!A:R, 6, FALSE), "NO ENCONTRADO EN PLANTA"))</f>
        <v/>
      </c>
      <c r="F1167" s="7">
        <f>IF(B1167="","",IFERROR(VLOOKUP(B1167, PLANTA_BASE!A:R, 8, FALSE), "DOCENTE / FACILITADOR"))</f>
        <v/>
      </c>
      <c r="G1167" s="7">
        <f>IF(B1167="","",IFERROR(VLOOKUP(B1167, PLANTA_BASE!A:R, 9, FALSE), "GENERAL"))</f>
        <v/>
      </c>
      <c r="H1167" s="5">
        <f>IF(B1167="","",IFERROR(VLOOKUP(B1167, PLANTA_BASE!A:R, 17, FALSE), "GENERAL"))</f>
        <v/>
      </c>
    </row>
    <row r="1168" ht="20" customHeight="1">
      <c r="A1168" s="2">
        <f>IF(B1168="","",IFERROR(VLOOKUP(B1168, PLANTA_BASE!A:R, 2, FALSE), "NO ENCONTRADO EN PLANTA"))</f>
        <v/>
      </c>
      <c r="B1168" s="3" t="inlineStr"/>
      <c r="C1168" s="4">
        <f>IF(B1168="","",IFERROR(VLOOKUP(B1168, PLANTA_BASE!A:R, 3, FALSE), ""))</f>
        <v/>
      </c>
      <c r="D1168" s="2">
        <f>IF(B1168="","",IFERROR(VLOOKUP(B1168, PLANTA_BASE!A:R, 5, FALSE), "NO ENCONTRADO EN PLANTA"))</f>
        <v/>
      </c>
      <c r="E1168" s="2">
        <f>IF(B1168="","",IFERROR(VLOOKUP(B1168, PLANTA_BASE!A:R, 6, FALSE), "NO ENCONTRADO EN PLANTA"))</f>
        <v/>
      </c>
      <c r="F1168" s="4">
        <f>IF(B1168="","",IFERROR(VLOOKUP(B1168, PLANTA_BASE!A:R, 8, FALSE), "DOCENTE / FACILITADOR"))</f>
        <v/>
      </c>
      <c r="G1168" s="4">
        <f>IF(B1168="","",IFERROR(VLOOKUP(B1168, PLANTA_BASE!A:R, 9, FALSE), "GENERAL"))</f>
        <v/>
      </c>
      <c r="H1168" s="2">
        <f>IF(B1168="","",IFERROR(VLOOKUP(B1168, PLANTA_BASE!A:R, 17, FALSE), "GENERAL"))</f>
        <v/>
      </c>
    </row>
    <row r="1169" ht="20" customHeight="1">
      <c r="A1169" s="5">
        <f>IF(B1169="","",IFERROR(VLOOKUP(B1169, PLANTA_BASE!A:R, 2, FALSE), "NO ENCONTRADO EN PLANTA"))</f>
        <v/>
      </c>
      <c r="B1169" s="6" t="inlineStr"/>
      <c r="C1169" s="7">
        <f>IF(B1169="","",IFERROR(VLOOKUP(B1169, PLANTA_BASE!A:R, 3, FALSE), ""))</f>
        <v/>
      </c>
      <c r="D1169" s="5">
        <f>IF(B1169="","",IFERROR(VLOOKUP(B1169, PLANTA_BASE!A:R, 5, FALSE), "NO ENCONTRADO EN PLANTA"))</f>
        <v/>
      </c>
      <c r="E1169" s="5">
        <f>IF(B1169="","",IFERROR(VLOOKUP(B1169, PLANTA_BASE!A:R, 6, FALSE), "NO ENCONTRADO EN PLANTA"))</f>
        <v/>
      </c>
      <c r="F1169" s="7">
        <f>IF(B1169="","",IFERROR(VLOOKUP(B1169, PLANTA_BASE!A:R, 8, FALSE), "DOCENTE / FACILITADOR"))</f>
        <v/>
      </c>
      <c r="G1169" s="7">
        <f>IF(B1169="","",IFERROR(VLOOKUP(B1169, PLANTA_BASE!A:R, 9, FALSE), "GENERAL"))</f>
        <v/>
      </c>
      <c r="H1169" s="5">
        <f>IF(B1169="","",IFERROR(VLOOKUP(B1169, PLANTA_BASE!A:R, 17, FALSE), "GENERAL"))</f>
        <v/>
      </c>
    </row>
    <row r="1170" ht="20" customHeight="1">
      <c r="A1170" s="2">
        <f>IF(B1170="","",IFERROR(VLOOKUP(B1170, PLANTA_BASE!A:R, 2, FALSE), "NO ENCONTRADO EN PLANTA"))</f>
        <v/>
      </c>
      <c r="B1170" s="3" t="inlineStr"/>
      <c r="C1170" s="4">
        <f>IF(B1170="","",IFERROR(VLOOKUP(B1170, PLANTA_BASE!A:R, 3, FALSE), ""))</f>
        <v/>
      </c>
      <c r="D1170" s="2">
        <f>IF(B1170="","",IFERROR(VLOOKUP(B1170, PLANTA_BASE!A:R, 5, FALSE), "NO ENCONTRADO EN PLANTA"))</f>
        <v/>
      </c>
      <c r="E1170" s="2">
        <f>IF(B1170="","",IFERROR(VLOOKUP(B1170, PLANTA_BASE!A:R, 6, FALSE), "NO ENCONTRADO EN PLANTA"))</f>
        <v/>
      </c>
      <c r="F1170" s="4">
        <f>IF(B1170="","",IFERROR(VLOOKUP(B1170, PLANTA_BASE!A:R, 8, FALSE), "DOCENTE / FACILITADOR"))</f>
        <v/>
      </c>
      <c r="G1170" s="4">
        <f>IF(B1170="","",IFERROR(VLOOKUP(B1170, PLANTA_BASE!A:R, 9, FALSE), "GENERAL"))</f>
        <v/>
      </c>
      <c r="H1170" s="2">
        <f>IF(B1170="","",IFERROR(VLOOKUP(B1170, PLANTA_BASE!A:R, 17, FALSE), "GENERAL"))</f>
        <v/>
      </c>
    </row>
    <row r="1171" ht="20" customHeight="1">
      <c r="A1171" s="5">
        <f>IF(B1171="","",IFERROR(VLOOKUP(B1171, PLANTA_BASE!A:R, 2, FALSE), "NO ENCONTRADO EN PLANTA"))</f>
        <v/>
      </c>
      <c r="B1171" s="6" t="inlineStr"/>
      <c r="C1171" s="7">
        <f>IF(B1171="","",IFERROR(VLOOKUP(B1171, PLANTA_BASE!A:R, 3, FALSE), ""))</f>
        <v/>
      </c>
      <c r="D1171" s="5">
        <f>IF(B1171="","",IFERROR(VLOOKUP(B1171, PLANTA_BASE!A:R, 5, FALSE), "NO ENCONTRADO EN PLANTA"))</f>
        <v/>
      </c>
      <c r="E1171" s="5">
        <f>IF(B1171="","",IFERROR(VLOOKUP(B1171, PLANTA_BASE!A:R, 6, FALSE), "NO ENCONTRADO EN PLANTA"))</f>
        <v/>
      </c>
      <c r="F1171" s="7">
        <f>IF(B1171="","",IFERROR(VLOOKUP(B1171, PLANTA_BASE!A:R, 8, FALSE), "DOCENTE / FACILITADOR"))</f>
        <v/>
      </c>
      <c r="G1171" s="7">
        <f>IF(B1171="","",IFERROR(VLOOKUP(B1171, PLANTA_BASE!A:R, 9, FALSE), "GENERAL"))</f>
        <v/>
      </c>
      <c r="H1171" s="5">
        <f>IF(B1171="","",IFERROR(VLOOKUP(B1171, PLANTA_BASE!A:R, 17, FALSE), "GENERAL"))</f>
        <v/>
      </c>
    </row>
    <row r="1172" ht="20" customHeight="1">
      <c r="A1172" s="2">
        <f>IF(B1172="","",IFERROR(VLOOKUP(B1172, PLANTA_BASE!A:R, 2, FALSE), "NO ENCONTRADO EN PLANTA"))</f>
        <v/>
      </c>
      <c r="B1172" s="3" t="inlineStr"/>
      <c r="C1172" s="4">
        <f>IF(B1172="","",IFERROR(VLOOKUP(B1172, PLANTA_BASE!A:R, 3, FALSE), ""))</f>
        <v/>
      </c>
      <c r="D1172" s="2">
        <f>IF(B1172="","",IFERROR(VLOOKUP(B1172, PLANTA_BASE!A:R, 5, FALSE), "NO ENCONTRADO EN PLANTA"))</f>
        <v/>
      </c>
      <c r="E1172" s="2">
        <f>IF(B1172="","",IFERROR(VLOOKUP(B1172, PLANTA_BASE!A:R, 6, FALSE), "NO ENCONTRADO EN PLANTA"))</f>
        <v/>
      </c>
      <c r="F1172" s="4">
        <f>IF(B1172="","",IFERROR(VLOOKUP(B1172, PLANTA_BASE!A:R, 8, FALSE), "DOCENTE / FACILITADOR"))</f>
        <v/>
      </c>
      <c r="G1172" s="4">
        <f>IF(B1172="","",IFERROR(VLOOKUP(B1172, PLANTA_BASE!A:R, 9, FALSE), "GENERAL"))</f>
        <v/>
      </c>
      <c r="H1172" s="2">
        <f>IF(B1172="","",IFERROR(VLOOKUP(B1172, PLANTA_BASE!A:R, 17, FALSE), "GENERAL"))</f>
        <v/>
      </c>
    </row>
    <row r="1173" ht="20" customHeight="1">
      <c r="A1173" s="5">
        <f>IF(B1173="","",IFERROR(VLOOKUP(B1173, PLANTA_BASE!A:R, 2, FALSE), "NO ENCONTRADO EN PLANTA"))</f>
        <v/>
      </c>
      <c r="B1173" s="6" t="inlineStr"/>
      <c r="C1173" s="7">
        <f>IF(B1173="","",IFERROR(VLOOKUP(B1173, PLANTA_BASE!A:R, 3, FALSE), ""))</f>
        <v/>
      </c>
      <c r="D1173" s="5">
        <f>IF(B1173="","",IFERROR(VLOOKUP(B1173, PLANTA_BASE!A:R, 5, FALSE), "NO ENCONTRADO EN PLANTA"))</f>
        <v/>
      </c>
      <c r="E1173" s="5">
        <f>IF(B1173="","",IFERROR(VLOOKUP(B1173, PLANTA_BASE!A:R, 6, FALSE), "NO ENCONTRADO EN PLANTA"))</f>
        <v/>
      </c>
      <c r="F1173" s="7">
        <f>IF(B1173="","",IFERROR(VLOOKUP(B1173, PLANTA_BASE!A:R, 8, FALSE), "DOCENTE / FACILITADOR"))</f>
        <v/>
      </c>
      <c r="G1173" s="7">
        <f>IF(B1173="","",IFERROR(VLOOKUP(B1173, PLANTA_BASE!A:R, 9, FALSE), "GENERAL"))</f>
        <v/>
      </c>
      <c r="H1173" s="5">
        <f>IF(B1173="","",IFERROR(VLOOKUP(B1173, PLANTA_BASE!A:R, 17, FALSE), "GENERAL"))</f>
        <v/>
      </c>
    </row>
    <row r="1174" ht="20" customHeight="1">
      <c r="A1174" s="2">
        <f>IF(B1174="","",IFERROR(VLOOKUP(B1174, PLANTA_BASE!A:R, 2, FALSE), "NO ENCONTRADO EN PLANTA"))</f>
        <v/>
      </c>
      <c r="B1174" s="3" t="inlineStr"/>
      <c r="C1174" s="4">
        <f>IF(B1174="","",IFERROR(VLOOKUP(B1174, PLANTA_BASE!A:R, 3, FALSE), ""))</f>
        <v/>
      </c>
      <c r="D1174" s="2">
        <f>IF(B1174="","",IFERROR(VLOOKUP(B1174, PLANTA_BASE!A:R, 5, FALSE), "NO ENCONTRADO EN PLANTA"))</f>
        <v/>
      </c>
      <c r="E1174" s="2">
        <f>IF(B1174="","",IFERROR(VLOOKUP(B1174, PLANTA_BASE!A:R, 6, FALSE), "NO ENCONTRADO EN PLANTA"))</f>
        <v/>
      </c>
      <c r="F1174" s="4">
        <f>IF(B1174="","",IFERROR(VLOOKUP(B1174, PLANTA_BASE!A:R, 8, FALSE), "DOCENTE / FACILITADOR"))</f>
        <v/>
      </c>
      <c r="G1174" s="4">
        <f>IF(B1174="","",IFERROR(VLOOKUP(B1174, PLANTA_BASE!A:R, 9, FALSE), "GENERAL"))</f>
        <v/>
      </c>
      <c r="H1174" s="2">
        <f>IF(B1174="","",IFERROR(VLOOKUP(B1174, PLANTA_BASE!A:R, 17, FALSE), "GENERAL"))</f>
        <v/>
      </c>
    </row>
    <row r="1175" ht="20" customHeight="1">
      <c r="A1175" s="5">
        <f>IF(B1175="","",IFERROR(VLOOKUP(B1175, PLANTA_BASE!A:R, 2, FALSE), "NO ENCONTRADO EN PLANTA"))</f>
        <v/>
      </c>
      <c r="B1175" s="6" t="inlineStr"/>
      <c r="C1175" s="7">
        <f>IF(B1175="","",IFERROR(VLOOKUP(B1175, PLANTA_BASE!A:R, 3, FALSE), ""))</f>
        <v/>
      </c>
      <c r="D1175" s="5">
        <f>IF(B1175="","",IFERROR(VLOOKUP(B1175, PLANTA_BASE!A:R, 5, FALSE), "NO ENCONTRADO EN PLANTA"))</f>
        <v/>
      </c>
      <c r="E1175" s="5">
        <f>IF(B1175="","",IFERROR(VLOOKUP(B1175, PLANTA_BASE!A:R, 6, FALSE), "NO ENCONTRADO EN PLANTA"))</f>
        <v/>
      </c>
      <c r="F1175" s="7">
        <f>IF(B1175="","",IFERROR(VLOOKUP(B1175, PLANTA_BASE!A:R, 8, FALSE), "DOCENTE / FACILITADOR"))</f>
        <v/>
      </c>
      <c r="G1175" s="7">
        <f>IF(B1175="","",IFERROR(VLOOKUP(B1175, PLANTA_BASE!A:R, 9, FALSE), "GENERAL"))</f>
        <v/>
      </c>
      <c r="H1175" s="5">
        <f>IF(B1175="","",IFERROR(VLOOKUP(B1175, PLANTA_BASE!A:R, 17, FALSE), "GENERAL"))</f>
        <v/>
      </c>
    </row>
    <row r="1176" ht="20" customHeight="1">
      <c r="A1176" s="2">
        <f>IF(B1176="","",IFERROR(VLOOKUP(B1176, PLANTA_BASE!A:R, 2, FALSE), "NO ENCONTRADO EN PLANTA"))</f>
        <v/>
      </c>
      <c r="B1176" s="3" t="inlineStr"/>
      <c r="C1176" s="4">
        <f>IF(B1176="","",IFERROR(VLOOKUP(B1176, PLANTA_BASE!A:R, 3, FALSE), ""))</f>
        <v/>
      </c>
      <c r="D1176" s="2">
        <f>IF(B1176="","",IFERROR(VLOOKUP(B1176, PLANTA_BASE!A:R, 5, FALSE), "NO ENCONTRADO EN PLANTA"))</f>
        <v/>
      </c>
      <c r="E1176" s="2">
        <f>IF(B1176="","",IFERROR(VLOOKUP(B1176, PLANTA_BASE!A:R, 6, FALSE), "NO ENCONTRADO EN PLANTA"))</f>
        <v/>
      </c>
      <c r="F1176" s="4">
        <f>IF(B1176="","",IFERROR(VLOOKUP(B1176, PLANTA_BASE!A:R, 8, FALSE), "DOCENTE / FACILITADOR"))</f>
        <v/>
      </c>
      <c r="G1176" s="4">
        <f>IF(B1176="","",IFERROR(VLOOKUP(B1176, PLANTA_BASE!A:R, 9, FALSE), "GENERAL"))</f>
        <v/>
      </c>
      <c r="H1176" s="2">
        <f>IF(B1176="","",IFERROR(VLOOKUP(B1176, PLANTA_BASE!A:R, 17, FALSE), "GENERAL"))</f>
        <v/>
      </c>
    </row>
    <row r="1177" ht="20" customHeight="1">
      <c r="A1177" s="5">
        <f>IF(B1177="","",IFERROR(VLOOKUP(B1177, PLANTA_BASE!A:R, 2, FALSE), "NO ENCONTRADO EN PLANTA"))</f>
        <v/>
      </c>
      <c r="B1177" s="6" t="inlineStr"/>
      <c r="C1177" s="7">
        <f>IF(B1177="","",IFERROR(VLOOKUP(B1177, PLANTA_BASE!A:R, 3, FALSE), ""))</f>
        <v/>
      </c>
      <c r="D1177" s="5">
        <f>IF(B1177="","",IFERROR(VLOOKUP(B1177, PLANTA_BASE!A:R, 5, FALSE), "NO ENCONTRADO EN PLANTA"))</f>
        <v/>
      </c>
      <c r="E1177" s="5">
        <f>IF(B1177="","",IFERROR(VLOOKUP(B1177, PLANTA_BASE!A:R, 6, FALSE), "NO ENCONTRADO EN PLANTA"))</f>
        <v/>
      </c>
      <c r="F1177" s="7">
        <f>IF(B1177="","",IFERROR(VLOOKUP(B1177, PLANTA_BASE!A:R, 8, FALSE), "DOCENTE / FACILITADOR"))</f>
        <v/>
      </c>
      <c r="G1177" s="7">
        <f>IF(B1177="","",IFERROR(VLOOKUP(B1177, PLANTA_BASE!A:R, 9, FALSE), "GENERAL"))</f>
        <v/>
      </c>
      <c r="H1177" s="5">
        <f>IF(B1177="","",IFERROR(VLOOKUP(B1177, PLANTA_BASE!A:R, 17, FALSE), "GENERAL"))</f>
        <v/>
      </c>
    </row>
    <row r="1178" ht="20" customHeight="1">
      <c r="A1178" s="2">
        <f>IF(B1178="","",IFERROR(VLOOKUP(B1178, PLANTA_BASE!A:R, 2, FALSE), "NO ENCONTRADO EN PLANTA"))</f>
        <v/>
      </c>
      <c r="B1178" s="3" t="inlineStr"/>
      <c r="C1178" s="4">
        <f>IF(B1178="","",IFERROR(VLOOKUP(B1178, PLANTA_BASE!A:R, 3, FALSE), ""))</f>
        <v/>
      </c>
      <c r="D1178" s="2">
        <f>IF(B1178="","",IFERROR(VLOOKUP(B1178, PLANTA_BASE!A:R, 5, FALSE), "NO ENCONTRADO EN PLANTA"))</f>
        <v/>
      </c>
      <c r="E1178" s="2">
        <f>IF(B1178="","",IFERROR(VLOOKUP(B1178, PLANTA_BASE!A:R, 6, FALSE), "NO ENCONTRADO EN PLANTA"))</f>
        <v/>
      </c>
      <c r="F1178" s="4">
        <f>IF(B1178="","",IFERROR(VLOOKUP(B1178, PLANTA_BASE!A:R, 8, FALSE), "DOCENTE / FACILITADOR"))</f>
        <v/>
      </c>
      <c r="G1178" s="4">
        <f>IF(B1178="","",IFERROR(VLOOKUP(B1178, PLANTA_BASE!A:R, 9, FALSE), "GENERAL"))</f>
        <v/>
      </c>
      <c r="H1178" s="2">
        <f>IF(B1178="","",IFERROR(VLOOKUP(B1178, PLANTA_BASE!A:R, 17, FALSE), "GENERAL"))</f>
        <v/>
      </c>
    </row>
    <row r="1179" ht="20" customHeight="1">
      <c r="A1179" s="5">
        <f>IF(B1179="","",IFERROR(VLOOKUP(B1179, PLANTA_BASE!A:R, 2, FALSE), "NO ENCONTRADO EN PLANTA"))</f>
        <v/>
      </c>
      <c r="B1179" s="6" t="inlineStr"/>
      <c r="C1179" s="7">
        <f>IF(B1179="","",IFERROR(VLOOKUP(B1179, PLANTA_BASE!A:R, 3, FALSE), ""))</f>
        <v/>
      </c>
      <c r="D1179" s="5">
        <f>IF(B1179="","",IFERROR(VLOOKUP(B1179, PLANTA_BASE!A:R, 5, FALSE), "NO ENCONTRADO EN PLANTA"))</f>
        <v/>
      </c>
      <c r="E1179" s="5">
        <f>IF(B1179="","",IFERROR(VLOOKUP(B1179, PLANTA_BASE!A:R, 6, FALSE), "NO ENCONTRADO EN PLANTA"))</f>
        <v/>
      </c>
      <c r="F1179" s="7">
        <f>IF(B1179="","",IFERROR(VLOOKUP(B1179, PLANTA_BASE!A:R, 8, FALSE), "DOCENTE / FACILITADOR"))</f>
        <v/>
      </c>
      <c r="G1179" s="7">
        <f>IF(B1179="","",IFERROR(VLOOKUP(B1179, PLANTA_BASE!A:R, 9, FALSE), "GENERAL"))</f>
        <v/>
      </c>
      <c r="H1179" s="5">
        <f>IF(B1179="","",IFERROR(VLOOKUP(B1179, PLANTA_BASE!A:R, 17, FALSE), "GENERAL"))</f>
        <v/>
      </c>
    </row>
    <row r="1180" ht="20" customHeight="1">
      <c r="A1180" s="2">
        <f>IF(B1180="","",IFERROR(VLOOKUP(B1180, PLANTA_BASE!A:R, 2, FALSE), "NO ENCONTRADO EN PLANTA"))</f>
        <v/>
      </c>
      <c r="B1180" s="3" t="inlineStr"/>
      <c r="C1180" s="4">
        <f>IF(B1180="","",IFERROR(VLOOKUP(B1180, PLANTA_BASE!A:R, 3, FALSE), ""))</f>
        <v/>
      </c>
      <c r="D1180" s="2">
        <f>IF(B1180="","",IFERROR(VLOOKUP(B1180, PLANTA_BASE!A:R, 5, FALSE), "NO ENCONTRADO EN PLANTA"))</f>
        <v/>
      </c>
      <c r="E1180" s="2">
        <f>IF(B1180="","",IFERROR(VLOOKUP(B1180, PLANTA_BASE!A:R, 6, FALSE), "NO ENCONTRADO EN PLANTA"))</f>
        <v/>
      </c>
      <c r="F1180" s="4">
        <f>IF(B1180="","",IFERROR(VLOOKUP(B1180, PLANTA_BASE!A:R, 8, FALSE), "DOCENTE / FACILITADOR"))</f>
        <v/>
      </c>
      <c r="G1180" s="4">
        <f>IF(B1180="","",IFERROR(VLOOKUP(B1180, PLANTA_BASE!A:R, 9, FALSE), "GENERAL"))</f>
        <v/>
      </c>
      <c r="H1180" s="2">
        <f>IF(B1180="","",IFERROR(VLOOKUP(B1180, PLANTA_BASE!A:R, 17, FALSE), "GENERAL"))</f>
        <v/>
      </c>
    </row>
    <row r="1181" ht="20" customHeight="1">
      <c r="A1181" s="5">
        <f>IF(B1181="","",IFERROR(VLOOKUP(B1181, PLANTA_BASE!A:R, 2, FALSE), "NO ENCONTRADO EN PLANTA"))</f>
        <v/>
      </c>
      <c r="B1181" s="6" t="inlineStr"/>
      <c r="C1181" s="7">
        <f>IF(B1181="","",IFERROR(VLOOKUP(B1181, PLANTA_BASE!A:R, 3, FALSE), ""))</f>
        <v/>
      </c>
      <c r="D1181" s="5">
        <f>IF(B1181="","",IFERROR(VLOOKUP(B1181, PLANTA_BASE!A:R, 5, FALSE), "NO ENCONTRADO EN PLANTA"))</f>
        <v/>
      </c>
      <c r="E1181" s="5">
        <f>IF(B1181="","",IFERROR(VLOOKUP(B1181, PLANTA_BASE!A:R, 6, FALSE), "NO ENCONTRADO EN PLANTA"))</f>
        <v/>
      </c>
      <c r="F1181" s="7">
        <f>IF(B1181="","",IFERROR(VLOOKUP(B1181, PLANTA_BASE!A:R, 8, FALSE), "DOCENTE / FACILITADOR"))</f>
        <v/>
      </c>
      <c r="G1181" s="7">
        <f>IF(B1181="","",IFERROR(VLOOKUP(B1181, PLANTA_BASE!A:R, 9, FALSE), "GENERAL"))</f>
        <v/>
      </c>
      <c r="H1181" s="5">
        <f>IF(B1181="","",IFERROR(VLOOKUP(B1181, PLANTA_BASE!A:R, 17, FALSE), "GENERAL"))</f>
        <v/>
      </c>
    </row>
    <row r="1182" ht="20" customHeight="1">
      <c r="A1182" s="2">
        <f>IF(B1182="","",IFERROR(VLOOKUP(B1182, PLANTA_BASE!A:R, 2, FALSE), "NO ENCONTRADO EN PLANTA"))</f>
        <v/>
      </c>
      <c r="B1182" s="3" t="inlineStr"/>
      <c r="C1182" s="4">
        <f>IF(B1182="","",IFERROR(VLOOKUP(B1182, PLANTA_BASE!A:R, 3, FALSE), ""))</f>
        <v/>
      </c>
      <c r="D1182" s="2">
        <f>IF(B1182="","",IFERROR(VLOOKUP(B1182, PLANTA_BASE!A:R, 5, FALSE), "NO ENCONTRADO EN PLANTA"))</f>
        <v/>
      </c>
      <c r="E1182" s="2">
        <f>IF(B1182="","",IFERROR(VLOOKUP(B1182, PLANTA_BASE!A:R, 6, FALSE), "NO ENCONTRADO EN PLANTA"))</f>
        <v/>
      </c>
      <c r="F1182" s="4">
        <f>IF(B1182="","",IFERROR(VLOOKUP(B1182, PLANTA_BASE!A:R, 8, FALSE), "DOCENTE / FACILITADOR"))</f>
        <v/>
      </c>
      <c r="G1182" s="4">
        <f>IF(B1182="","",IFERROR(VLOOKUP(B1182, PLANTA_BASE!A:R, 9, FALSE), "GENERAL"))</f>
        <v/>
      </c>
      <c r="H1182" s="2">
        <f>IF(B1182="","",IFERROR(VLOOKUP(B1182, PLANTA_BASE!A:R, 17, FALSE), "GENERAL"))</f>
        <v/>
      </c>
    </row>
    <row r="1183" ht="20" customHeight="1">
      <c r="A1183" s="5">
        <f>IF(B1183="","",IFERROR(VLOOKUP(B1183, PLANTA_BASE!A:R, 2, FALSE), "NO ENCONTRADO EN PLANTA"))</f>
        <v/>
      </c>
      <c r="B1183" s="6" t="inlineStr"/>
      <c r="C1183" s="7">
        <f>IF(B1183="","",IFERROR(VLOOKUP(B1183, PLANTA_BASE!A:R, 3, FALSE), ""))</f>
        <v/>
      </c>
      <c r="D1183" s="5">
        <f>IF(B1183="","",IFERROR(VLOOKUP(B1183, PLANTA_BASE!A:R, 5, FALSE), "NO ENCONTRADO EN PLANTA"))</f>
        <v/>
      </c>
      <c r="E1183" s="5">
        <f>IF(B1183="","",IFERROR(VLOOKUP(B1183, PLANTA_BASE!A:R, 6, FALSE), "NO ENCONTRADO EN PLANTA"))</f>
        <v/>
      </c>
      <c r="F1183" s="7">
        <f>IF(B1183="","",IFERROR(VLOOKUP(B1183, PLANTA_BASE!A:R, 8, FALSE), "DOCENTE / FACILITADOR"))</f>
        <v/>
      </c>
      <c r="G1183" s="7">
        <f>IF(B1183="","",IFERROR(VLOOKUP(B1183, PLANTA_BASE!A:R, 9, FALSE), "GENERAL"))</f>
        <v/>
      </c>
      <c r="H1183" s="5">
        <f>IF(B1183="","",IFERROR(VLOOKUP(B1183, PLANTA_BASE!A:R, 17, FALSE), "GENERAL"))</f>
        <v/>
      </c>
    </row>
    <row r="1184" ht="20" customHeight="1">
      <c r="A1184" s="2">
        <f>IF(B1184="","",IFERROR(VLOOKUP(B1184, PLANTA_BASE!A:R, 2, FALSE), "NO ENCONTRADO EN PLANTA"))</f>
        <v/>
      </c>
      <c r="B1184" s="3" t="inlineStr"/>
      <c r="C1184" s="4">
        <f>IF(B1184="","",IFERROR(VLOOKUP(B1184, PLANTA_BASE!A:R, 3, FALSE), ""))</f>
        <v/>
      </c>
      <c r="D1184" s="2">
        <f>IF(B1184="","",IFERROR(VLOOKUP(B1184, PLANTA_BASE!A:R, 5, FALSE), "NO ENCONTRADO EN PLANTA"))</f>
        <v/>
      </c>
      <c r="E1184" s="2">
        <f>IF(B1184="","",IFERROR(VLOOKUP(B1184, PLANTA_BASE!A:R, 6, FALSE), "NO ENCONTRADO EN PLANTA"))</f>
        <v/>
      </c>
      <c r="F1184" s="4">
        <f>IF(B1184="","",IFERROR(VLOOKUP(B1184, PLANTA_BASE!A:R, 8, FALSE), "DOCENTE / FACILITADOR"))</f>
        <v/>
      </c>
      <c r="G1184" s="4">
        <f>IF(B1184="","",IFERROR(VLOOKUP(B1184, PLANTA_BASE!A:R, 9, FALSE), "GENERAL"))</f>
        <v/>
      </c>
      <c r="H1184" s="2">
        <f>IF(B1184="","",IFERROR(VLOOKUP(B1184, PLANTA_BASE!A:R, 17, FALSE), "GENERAL"))</f>
        <v/>
      </c>
    </row>
    <row r="1185" ht="20" customHeight="1">
      <c r="A1185" s="5">
        <f>IF(B1185="","",IFERROR(VLOOKUP(B1185, PLANTA_BASE!A:R, 2, FALSE), "NO ENCONTRADO EN PLANTA"))</f>
        <v/>
      </c>
      <c r="B1185" s="6" t="inlineStr"/>
      <c r="C1185" s="7">
        <f>IF(B1185="","",IFERROR(VLOOKUP(B1185, PLANTA_BASE!A:R, 3, FALSE), ""))</f>
        <v/>
      </c>
      <c r="D1185" s="5">
        <f>IF(B1185="","",IFERROR(VLOOKUP(B1185, PLANTA_BASE!A:R, 5, FALSE), "NO ENCONTRADO EN PLANTA"))</f>
        <v/>
      </c>
      <c r="E1185" s="5">
        <f>IF(B1185="","",IFERROR(VLOOKUP(B1185, PLANTA_BASE!A:R, 6, FALSE), "NO ENCONTRADO EN PLANTA"))</f>
        <v/>
      </c>
      <c r="F1185" s="7">
        <f>IF(B1185="","",IFERROR(VLOOKUP(B1185, PLANTA_BASE!A:R, 8, FALSE), "DOCENTE / FACILITADOR"))</f>
        <v/>
      </c>
      <c r="G1185" s="7">
        <f>IF(B1185="","",IFERROR(VLOOKUP(B1185, PLANTA_BASE!A:R, 9, FALSE), "GENERAL"))</f>
        <v/>
      </c>
      <c r="H1185" s="5">
        <f>IF(B1185="","",IFERROR(VLOOKUP(B1185, PLANTA_BASE!A:R, 17, FALSE), "GENERAL"))</f>
        <v/>
      </c>
    </row>
    <row r="1186" ht="20" customHeight="1">
      <c r="A1186" s="2">
        <f>IF(B1186="","",IFERROR(VLOOKUP(B1186, PLANTA_BASE!A:R, 2, FALSE), "NO ENCONTRADO EN PLANTA"))</f>
        <v/>
      </c>
      <c r="B1186" s="3" t="inlineStr"/>
      <c r="C1186" s="4">
        <f>IF(B1186="","",IFERROR(VLOOKUP(B1186, PLANTA_BASE!A:R, 3, FALSE), ""))</f>
        <v/>
      </c>
      <c r="D1186" s="2">
        <f>IF(B1186="","",IFERROR(VLOOKUP(B1186, PLANTA_BASE!A:R, 5, FALSE), "NO ENCONTRADO EN PLANTA"))</f>
        <v/>
      </c>
      <c r="E1186" s="2">
        <f>IF(B1186="","",IFERROR(VLOOKUP(B1186, PLANTA_BASE!A:R, 6, FALSE), "NO ENCONTRADO EN PLANTA"))</f>
        <v/>
      </c>
      <c r="F1186" s="4">
        <f>IF(B1186="","",IFERROR(VLOOKUP(B1186, PLANTA_BASE!A:R, 8, FALSE), "DOCENTE / FACILITADOR"))</f>
        <v/>
      </c>
      <c r="G1186" s="4">
        <f>IF(B1186="","",IFERROR(VLOOKUP(B1186, PLANTA_BASE!A:R, 9, FALSE), "GENERAL"))</f>
        <v/>
      </c>
      <c r="H1186" s="2">
        <f>IF(B1186="","",IFERROR(VLOOKUP(B1186, PLANTA_BASE!A:R, 17, FALSE), "GENERAL"))</f>
        <v/>
      </c>
    </row>
    <row r="1187" ht="20" customHeight="1">
      <c r="A1187" s="5">
        <f>IF(B1187="","",IFERROR(VLOOKUP(B1187, PLANTA_BASE!A:R, 2, FALSE), "NO ENCONTRADO EN PLANTA"))</f>
        <v/>
      </c>
      <c r="B1187" s="6" t="inlineStr"/>
      <c r="C1187" s="7">
        <f>IF(B1187="","",IFERROR(VLOOKUP(B1187, PLANTA_BASE!A:R, 3, FALSE), ""))</f>
        <v/>
      </c>
      <c r="D1187" s="5">
        <f>IF(B1187="","",IFERROR(VLOOKUP(B1187, PLANTA_BASE!A:R, 5, FALSE), "NO ENCONTRADO EN PLANTA"))</f>
        <v/>
      </c>
      <c r="E1187" s="5">
        <f>IF(B1187="","",IFERROR(VLOOKUP(B1187, PLANTA_BASE!A:R, 6, FALSE), "NO ENCONTRADO EN PLANTA"))</f>
        <v/>
      </c>
      <c r="F1187" s="7">
        <f>IF(B1187="","",IFERROR(VLOOKUP(B1187, PLANTA_BASE!A:R, 8, FALSE), "DOCENTE / FACILITADOR"))</f>
        <v/>
      </c>
      <c r="G1187" s="7">
        <f>IF(B1187="","",IFERROR(VLOOKUP(B1187, PLANTA_BASE!A:R, 9, FALSE), "GENERAL"))</f>
        <v/>
      </c>
      <c r="H1187" s="5">
        <f>IF(B1187="","",IFERROR(VLOOKUP(B1187, PLANTA_BASE!A:R, 17, FALSE), "GENERAL"))</f>
        <v/>
      </c>
    </row>
    <row r="1188" ht="20" customHeight="1">
      <c r="A1188" s="2">
        <f>IF(B1188="","",IFERROR(VLOOKUP(B1188, PLANTA_BASE!A:R, 2, FALSE), "NO ENCONTRADO EN PLANTA"))</f>
        <v/>
      </c>
      <c r="B1188" s="3" t="inlineStr"/>
      <c r="C1188" s="4">
        <f>IF(B1188="","",IFERROR(VLOOKUP(B1188, PLANTA_BASE!A:R, 3, FALSE), ""))</f>
        <v/>
      </c>
      <c r="D1188" s="2">
        <f>IF(B1188="","",IFERROR(VLOOKUP(B1188, PLANTA_BASE!A:R, 5, FALSE), "NO ENCONTRADO EN PLANTA"))</f>
        <v/>
      </c>
      <c r="E1188" s="2">
        <f>IF(B1188="","",IFERROR(VLOOKUP(B1188, PLANTA_BASE!A:R, 6, FALSE), "NO ENCONTRADO EN PLANTA"))</f>
        <v/>
      </c>
      <c r="F1188" s="4">
        <f>IF(B1188="","",IFERROR(VLOOKUP(B1188, PLANTA_BASE!A:R, 8, FALSE), "DOCENTE / FACILITADOR"))</f>
        <v/>
      </c>
      <c r="G1188" s="4">
        <f>IF(B1188="","",IFERROR(VLOOKUP(B1188, PLANTA_BASE!A:R, 9, FALSE), "GENERAL"))</f>
        <v/>
      </c>
      <c r="H1188" s="2">
        <f>IF(B1188="","",IFERROR(VLOOKUP(B1188, PLANTA_BASE!A:R, 17, FALSE), "GENERAL"))</f>
        <v/>
      </c>
    </row>
    <row r="1189" ht="20" customHeight="1">
      <c r="A1189" s="5">
        <f>IF(B1189="","",IFERROR(VLOOKUP(B1189, PLANTA_BASE!A:R, 2, FALSE), "NO ENCONTRADO EN PLANTA"))</f>
        <v/>
      </c>
      <c r="B1189" s="6" t="inlineStr"/>
      <c r="C1189" s="7">
        <f>IF(B1189="","",IFERROR(VLOOKUP(B1189, PLANTA_BASE!A:R, 3, FALSE), ""))</f>
        <v/>
      </c>
      <c r="D1189" s="5">
        <f>IF(B1189="","",IFERROR(VLOOKUP(B1189, PLANTA_BASE!A:R, 5, FALSE), "NO ENCONTRADO EN PLANTA"))</f>
        <v/>
      </c>
      <c r="E1189" s="5">
        <f>IF(B1189="","",IFERROR(VLOOKUP(B1189, PLANTA_BASE!A:R, 6, FALSE), "NO ENCONTRADO EN PLANTA"))</f>
        <v/>
      </c>
      <c r="F1189" s="7">
        <f>IF(B1189="","",IFERROR(VLOOKUP(B1189, PLANTA_BASE!A:R, 8, FALSE), "DOCENTE / FACILITADOR"))</f>
        <v/>
      </c>
      <c r="G1189" s="7">
        <f>IF(B1189="","",IFERROR(VLOOKUP(B1189, PLANTA_BASE!A:R, 9, FALSE), "GENERAL"))</f>
        <v/>
      </c>
      <c r="H1189" s="5">
        <f>IF(B1189="","",IFERROR(VLOOKUP(B1189, PLANTA_BASE!A:R, 17, FALSE), "GENERAL"))</f>
        <v/>
      </c>
    </row>
    <row r="1190" ht="20" customHeight="1">
      <c r="A1190" s="2">
        <f>IF(B1190="","",IFERROR(VLOOKUP(B1190, PLANTA_BASE!A:R, 2, FALSE), "NO ENCONTRADO EN PLANTA"))</f>
        <v/>
      </c>
      <c r="B1190" s="3" t="inlineStr"/>
      <c r="C1190" s="4">
        <f>IF(B1190="","",IFERROR(VLOOKUP(B1190, PLANTA_BASE!A:R, 3, FALSE), ""))</f>
        <v/>
      </c>
      <c r="D1190" s="2">
        <f>IF(B1190="","",IFERROR(VLOOKUP(B1190, PLANTA_BASE!A:R, 5, FALSE), "NO ENCONTRADO EN PLANTA"))</f>
        <v/>
      </c>
      <c r="E1190" s="2">
        <f>IF(B1190="","",IFERROR(VLOOKUP(B1190, PLANTA_BASE!A:R, 6, FALSE), "NO ENCONTRADO EN PLANTA"))</f>
        <v/>
      </c>
      <c r="F1190" s="4">
        <f>IF(B1190="","",IFERROR(VLOOKUP(B1190, PLANTA_BASE!A:R, 8, FALSE), "DOCENTE / FACILITADOR"))</f>
        <v/>
      </c>
      <c r="G1190" s="4">
        <f>IF(B1190="","",IFERROR(VLOOKUP(B1190, PLANTA_BASE!A:R, 9, FALSE), "GENERAL"))</f>
        <v/>
      </c>
      <c r="H1190" s="2">
        <f>IF(B1190="","",IFERROR(VLOOKUP(B1190, PLANTA_BASE!A:R, 17, FALSE), "GENERAL"))</f>
        <v/>
      </c>
    </row>
    <row r="1191" ht="20" customHeight="1">
      <c r="A1191" s="5">
        <f>IF(B1191="","",IFERROR(VLOOKUP(B1191, PLANTA_BASE!A:R, 2, FALSE), "NO ENCONTRADO EN PLANTA"))</f>
        <v/>
      </c>
      <c r="B1191" s="6" t="inlineStr"/>
      <c r="C1191" s="7">
        <f>IF(B1191="","",IFERROR(VLOOKUP(B1191, PLANTA_BASE!A:R, 3, FALSE), ""))</f>
        <v/>
      </c>
      <c r="D1191" s="5">
        <f>IF(B1191="","",IFERROR(VLOOKUP(B1191, PLANTA_BASE!A:R, 5, FALSE), "NO ENCONTRADO EN PLANTA"))</f>
        <v/>
      </c>
      <c r="E1191" s="5">
        <f>IF(B1191="","",IFERROR(VLOOKUP(B1191, PLANTA_BASE!A:R, 6, FALSE), "NO ENCONTRADO EN PLANTA"))</f>
        <v/>
      </c>
      <c r="F1191" s="7">
        <f>IF(B1191="","",IFERROR(VLOOKUP(B1191, PLANTA_BASE!A:R, 8, FALSE), "DOCENTE / FACILITADOR"))</f>
        <v/>
      </c>
      <c r="G1191" s="7">
        <f>IF(B1191="","",IFERROR(VLOOKUP(B1191, PLANTA_BASE!A:R, 9, FALSE), "GENERAL"))</f>
        <v/>
      </c>
      <c r="H1191" s="5">
        <f>IF(B1191="","",IFERROR(VLOOKUP(B1191, PLANTA_BASE!A:R, 17, FALSE), "GENERAL"))</f>
        <v/>
      </c>
    </row>
    <row r="1192" ht="20" customHeight="1">
      <c r="A1192" s="2">
        <f>IF(B1192="","",IFERROR(VLOOKUP(B1192, PLANTA_BASE!A:R, 2, FALSE), "NO ENCONTRADO EN PLANTA"))</f>
        <v/>
      </c>
      <c r="B1192" s="3" t="inlineStr"/>
      <c r="C1192" s="4">
        <f>IF(B1192="","",IFERROR(VLOOKUP(B1192, PLANTA_BASE!A:R, 3, FALSE), ""))</f>
        <v/>
      </c>
      <c r="D1192" s="2">
        <f>IF(B1192="","",IFERROR(VLOOKUP(B1192, PLANTA_BASE!A:R, 5, FALSE), "NO ENCONTRADO EN PLANTA"))</f>
        <v/>
      </c>
      <c r="E1192" s="2">
        <f>IF(B1192="","",IFERROR(VLOOKUP(B1192, PLANTA_BASE!A:R, 6, FALSE), "NO ENCONTRADO EN PLANTA"))</f>
        <v/>
      </c>
      <c r="F1192" s="4">
        <f>IF(B1192="","",IFERROR(VLOOKUP(B1192, PLANTA_BASE!A:R, 8, FALSE), "DOCENTE / FACILITADOR"))</f>
        <v/>
      </c>
      <c r="G1192" s="4">
        <f>IF(B1192="","",IFERROR(VLOOKUP(B1192, PLANTA_BASE!A:R, 9, FALSE), "GENERAL"))</f>
        <v/>
      </c>
      <c r="H1192" s="2">
        <f>IF(B1192="","",IFERROR(VLOOKUP(B1192, PLANTA_BASE!A:R, 17, FALSE), "GENERAL"))</f>
        <v/>
      </c>
    </row>
    <row r="1193" ht="20" customHeight="1">
      <c r="A1193" s="5">
        <f>IF(B1193="","",IFERROR(VLOOKUP(B1193, PLANTA_BASE!A:R, 2, FALSE), "NO ENCONTRADO EN PLANTA"))</f>
        <v/>
      </c>
      <c r="B1193" s="6" t="inlineStr"/>
      <c r="C1193" s="7">
        <f>IF(B1193="","",IFERROR(VLOOKUP(B1193, PLANTA_BASE!A:R, 3, FALSE), ""))</f>
        <v/>
      </c>
      <c r="D1193" s="5">
        <f>IF(B1193="","",IFERROR(VLOOKUP(B1193, PLANTA_BASE!A:R, 5, FALSE), "NO ENCONTRADO EN PLANTA"))</f>
        <v/>
      </c>
      <c r="E1193" s="5">
        <f>IF(B1193="","",IFERROR(VLOOKUP(B1193, PLANTA_BASE!A:R, 6, FALSE), "NO ENCONTRADO EN PLANTA"))</f>
        <v/>
      </c>
      <c r="F1193" s="7">
        <f>IF(B1193="","",IFERROR(VLOOKUP(B1193, PLANTA_BASE!A:R, 8, FALSE), "DOCENTE / FACILITADOR"))</f>
        <v/>
      </c>
      <c r="G1193" s="7">
        <f>IF(B1193="","",IFERROR(VLOOKUP(B1193, PLANTA_BASE!A:R, 9, FALSE), "GENERAL"))</f>
        <v/>
      </c>
      <c r="H1193" s="5">
        <f>IF(B1193="","",IFERROR(VLOOKUP(B1193, PLANTA_BASE!A:R, 17, FALSE), "GENERAL"))</f>
        <v/>
      </c>
    </row>
    <row r="1194" ht="20" customHeight="1">
      <c r="A1194" s="2">
        <f>IF(B1194="","",IFERROR(VLOOKUP(B1194, PLANTA_BASE!A:R, 2, FALSE), "NO ENCONTRADO EN PLANTA"))</f>
        <v/>
      </c>
      <c r="B1194" s="3" t="inlineStr"/>
      <c r="C1194" s="4">
        <f>IF(B1194="","",IFERROR(VLOOKUP(B1194, PLANTA_BASE!A:R, 3, FALSE), ""))</f>
        <v/>
      </c>
      <c r="D1194" s="2">
        <f>IF(B1194="","",IFERROR(VLOOKUP(B1194, PLANTA_BASE!A:R, 5, FALSE), "NO ENCONTRADO EN PLANTA"))</f>
        <v/>
      </c>
      <c r="E1194" s="2">
        <f>IF(B1194="","",IFERROR(VLOOKUP(B1194, PLANTA_BASE!A:R, 6, FALSE), "NO ENCONTRADO EN PLANTA"))</f>
        <v/>
      </c>
      <c r="F1194" s="4">
        <f>IF(B1194="","",IFERROR(VLOOKUP(B1194, PLANTA_BASE!A:R, 8, FALSE), "DOCENTE / FACILITADOR"))</f>
        <v/>
      </c>
      <c r="G1194" s="4">
        <f>IF(B1194="","",IFERROR(VLOOKUP(B1194, PLANTA_BASE!A:R, 9, FALSE), "GENERAL"))</f>
        <v/>
      </c>
      <c r="H1194" s="2">
        <f>IF(B1194="","",IFERROR(VLOOKUP(B1194, PLANTA_BASE!A:R, 17, FALSE), "GENERAL"))</f>
        <v/>
      </c>
    </row>
    <row r="1195" ht="20" customHeight="1">
      <c r="A1195" s="5">
        <f>IF(B1195="","",IFERROR(VLOOKUP(B1195, PLANTA_BASE!A:R, 2, FALSE), "NO ENCONTRADO EN PLANTA"))</f>
        <v/>
      </c>
      <c r="B1195" s="6" t="inlineStr"/>
      <c r="C1195" s="7">
        <f>IF(B1195="","",IFERROR(VLOOKUP(B1195, PLANTA_BASE!A:R, 3, FALSE), ""))</f>
        <v/>
      </c>
      <c r="D1195" s="5">
        <f>IF(B1195="","",IFERROR(VLOOKUP(B1195, PLANTA_BASE!A:R, 5, FALSE), "NO ENCONTRADO EN PLANTA"))</f>
        <v/>
      </c>
      <c r="E1195" s="5">
        <f>IF(B1195="","",IFERROR(VLOOKUP(B1195, PLANTA_BASE!A:R, 6, FALSE), "NO ENCONTRADO EN PLANTA"))</f>
        <v/>
      </c>
      <c r="F1195" s="7">
        <f>IF(B1195="","",IFERROR(VLOOKUP(B1195, PLANTA_BASE!A:R, 8, FALSE), "DOCENTE / FACILITADOR"))</f>
        <v/>
      </c>
      <c r="G1195" s="7">
        <f>IF(B1195="","",IFERROR(VLOOKUP(B1195, PLANTA_BASE!A:R, 9, FALSE), "GENERAL"))</f>
        <v/>
      </c>
      <c r="H1195" s="5">
        <f>IF(B1195="","",IFERROR(VLOOKUP(B1195, PLANTA_BASE!A:R, 17, FALSE), "GENERAL"))</f>
        <v/>
      </c>
    </row>
    <row r="1196" ht="20" customHeight="1">
      <c r="A1196" s="2">
        <f>IF(B1196="","",IFERROR(VLOOKUP(B1196, PLANTA_BASE!A:R, 2, FALSE), "NO ENCONTRADO EN PLANTA"))</f>
        <v/>
      </c>
      <c r="B1196" s="3" t="inlineStr"/>
      <c r="C1196" s="4">
        <f>IF(B1196="","",IFERROR(VLOOKUP(B1196, PLANTA_BASE!A:R, 3, FALSE), ""))</f>
        <v/>
      </c>
      <c r="D1196" s="2">
        <f>IF(B1196="","",IFERROR(VLOOKUP(B1196, PLANTA_BASE!A:R, 5, FALSE), "NO ENCONTRADO EN PLANTA"))</f>
        <v/>
      </c>
      <c r="E1196" s="2">
        <f>IF(B1196="","",IFERROR(VLOOKUP(B1196, PLANTA_BASE!A:R, 6, FALSE), "NO ENCONTRADO EN PLANTA"))</f>
        <v/>
      </c>
      <c r="F1196" s="4">
        <f>IF(B1196="","",IFERROR(VLOOKUP(B1196, PLANTA_BASE!A:R, 8, FALSE), "DOCENTE / FACILITADOR"))</f>
        <v/>
      </c>
      <c r="G1196" s="4">
        <f>IF(B1196="","",IFERROR(VLOOKUP(B1196, PLANTA_BASE!A:R, 9, FALSE), "GENERAL"))</f>
        <v/>
      </c>
      <c r="H1196" s="2">
        <f>IF(B1196="","",IFERROR(VLOOKUP(B1196, PLANTA_BASE!A:R, 17, FALSE), "GENERAL"))</f>
        <v/>
      </c>
    </row>
    <row r="1197" ht="20" customHeight="1">
      <c r="A1197" s="5">
        <f>IF(B1197="","",IFERROR(VLOOKUP(B1197, PLANTA_BASE!A:R, 2, FALSE), "NO ENCONTRADO EN PLANTA"))</f>
        <v/>
      </c>
      <c r="B1197" s="6" t="inlineStr"/>
      <c r="C1197" s="7">
        <f>IF(B1197="","",IFERROR(VLOOKUP(B1197, PLANTA_BASE!A:R, 3, FALSE), ""))</f>
        <v/>
      </c>
      <c r="D1197" s="5">
        <f>IF(B1197="","",IFERROR(VLOOKUP(B1197, PLANTA_BASE!A:R, 5, FALSE), "NO ENCONTRADO EN PLANTA"))</f>
        <v/>
      </c>
      <c r="E1197" s="5">
        <f>IF(B1197="","",IFERROR(VLOOKUP(B1197, PLANTA_BASE!A:R, 6, FALSE), "NO ENCONTRADO EN PLANTA"))</f>
        <v/>
      </c>
      <c r="F1197" s="7">
        <f>IF(B1197="","",IFERROR(VLOOKUP(B1197, PLANTA_BASE!A:R, 8, FALSE), "DOCENTE / FACILITADOR"))</f>
        <v/>
      </c>
      <c r="G1197" s="7">
        <f>IF(B1197="","",IFERROR(VLOOKUP(B1197, PLANTA_BASE!A:R, 9, FALSE), "GENERAL"))</f>
        <v/>
      </c>
      <c r="H1197" s="5">
        <f>IF(B1197="","",IFERROR(VLOOKUP(B1197, PLANTA_BASE!A:R, 17, FALSE), "GENERAL"))</f>
        <v/>
      </c>
    </row>
    <row r="1198" ht="20" customHeight="1">
      <c r="A1198" s="2">
        <f>IF(B1198="","",IFERROR(VLOOKUP(B1198, PLANTA_BASE!A:R, 2, FALSE), "NO ENCONTRADO EN PLANTA"))</f>
        <v/>
      </c>
      <c r="B1198" s="3" t="inlineStr"/>
      <c r="C1198" s="4">
        <f>IF(B1198="","",IFERROR(VLOOKUP(B1198, PLANTA_BASE!A:R, 3, FALSE), ""))</f>
        <v/>
      </c>
      <c r="D1198" s="2">
        <f>IF(B1198="","",IFERROR(VLOOKUP(B1198, PLANTA_BASE!A:R, 5, FALSE), "NO ENCONTRADO EN PLANTA"))</f>
        <v/>
      </c>
      <c r="E1198" s="2">
        <f>IF(B1198="","",IFERROR(VLOOKUP(B1198, PLANTA_BASE!A:R, 6, FALSE), "NO ENCONTRADO EN PLANTA"))</f>
        <v/>
      </c>
      <c r="F1198" s="4">
        <f>IF(B1198="","",IFERROR(VLOOKUP(B1198, PLANTA_BASE!A:R, 8, FALSE), "DOCENTE / FACILITADOR"))</f>
        <v/>
      </c>
      <c r="G1198" s="4">
        <f>IF(B1198="","",IFERROR(VLOOKUP(B1198, PLANTA_BASE!A:R, 9, FALSE), "GENERAL"))</f>
        <v/>
      </c>
      <c r="H1198" s="2">
        <f>IF(B1198="","",IFERROR(VLOOKUP(B1198, PLANTA_BASE!A:R, 17, FALSE), "GENERAL"))</f>
        <v/>
      </c>
    </row>
    <row r="1199" ht="20" customHeight="1">
      <c r="A1199" s="5">
        <f>IF(B1199="","",IFERROR(VLOOKUP(B1199, PLANTA_BASE!A:R, 2, FALSE), "NO ENCONTRADO EN PLANTA"))</f>
        <v/>
      </c>
      <c r="B1199" s="6" t="inlineStr"/>
      <c r="C1199" s="7">
        <f>IF(B1199="","",IFERROR(VLOOKUP(B1199, PLANTA_BASE!A:R, 3, FALSE), ""))</f>
        <v/>
      </c>
      <c r="D1199" s="5">
        <f>IF(B1199="","",IFERROR(VLOOKUP(B1199, PLANTA_BASE!A:R, 5, FALSE), "NO ENCONTRADO EN PLANTA"))</f>
        <v/>
      </c>
      <c r="E1199" s="5">
        <f>IF(B1199="","",IFERROR(VLOOKUP(B1199, PLANTA_BASE!A:R, 6, FALSE), "NO ENCONTRADO EN PLANTA"))</f>
        <v/>
      </c>
      <c r="F1199" s="7">
        <f>IF(B1199="","",IFERROR(VLOOKUP(B1199, PLANTA_BASE!A:R, 8, FALSE), "DOCENTE / FACILITADOR"))</f>
        <v/>
      </c>
      <c r="G1199" s="7">
        <f>IF(B1199="","",IFERROR(VLOOKUP(B1199, PLANTA_BASE!A:R, 9, FALSE), "GENERAL"))</f>
        <v/>
      </c>
      <c r="H1199" s="5">
        <f>IF(B1199="","",IFERROR(VLOOKUP(B1199, PLANTA_BASE!A:R, 17, FALSE), "GENERAL"))</f>
        <v/>
      </c>
    </row>
    <row r="1200" ht="20" customHeight="1">
      <c r="A1200" s="2">
        <f>IF(B1200="","",IFERROR(VLOOKUP(B1200, PLANTA_BASE!A:R, 2, FALSE), "NO ENCONTRADO EN PLANTA"))</f>
        <v/>
      </c>
      <c r="B1200" s="3" t="inlineStr"/>
      <c r="C1200" s="4">
        <f>IF(B1200="","",IFERROR(VLOOKUP(B1200, PLANTA_BASE!A:R, 3, FALSE), ""))</f>
        <v/>
      </c>
      <c r="D1200" s="2">
        <f>IF(B1200="","",IFERROR(VLOOKUP(B1200, PLANTA_BASE!A:R, 5, FALSE), "NO ENCONTRADO EN PLANTA"))</f>
        <v/>
      </c>
      <c r="E1200" s="2">
        <f>IF(B1200="","",IFERROR(VLOOKUP(B1200, PLANTA_BASE!A:R, 6, FALSE), "NO ENCONTRADO EN PLANTA"))</f>
        <v/>
      </c>
      <c r="F1200" s="4">
        <f>IF(B1200="","",IFERROR(VLOOKUP(B1200, PLANTA_BASE!A:R, 8, FALSE), "DOCENTE / FACILITADOR"))</f>
        <v/>
      </c>
      <c r="G1200" s="4">
        <f>IF(B1200="","",IFERROR(VLOOKUP(B1200, PLANTA_BASE!A:R, 9, FALSE), "GENERAL"))</f>
        <v/>
      </c>
      <c r="H1200" s="2">
        <f>IF(B1200="","",IFERROR(VLOOKUP(B1200, PLANTA_BASE!A:R, 17, FALSE), "GENERAL"))</f>
        <v/>
      </c>
    </row>
    <row r="1201" ht="20" customHeight="1">
      <c r="A1201" s="5">
        <f>IF(B1201="","",IFERROR(VLOOKUP(B1201, PLANTA_BASE!A:R, 2, FALSE), "NO ENCONTRADO EN PLANTA"))</f>
        <v/>
      </c>
      <c r="B1201" s="6" t="inlineStr"/>
      <c r="C1201" s="7">
        <f>IF(B1201="","",IFERROR(VLOOKUP(B1201, PLANTA_BASE!A:R, 3, FALSE), ""))</f>
        <v/>
      </c>
      <c r="D1201" s="5">
        <f>IF(B1201="","",IFERROR(VLOOKUP(B1201, PLANTA_BASE!A:R, 5, FALSE), "NO ENCONTRADO EN PLANTA"))</f>
        <v/>
      </c>
      <c r="E1201" s="5">
        <f>IF(B1201="","",IFERROR(VLOOKUP(B1201, PLANTA_BASE!A:R, 6, FALSE), "NO ENCONTRADO EN PLANTA"))</f>
        <v/>
      </c>
      <c r="F1201" s="7">
        <f>IF(B1201="","",IFERROR(VLOOKUP(B1201, PLANTA_BASE!A:R, 8, FALSE), "DOCENTE / FACILITADOR"))</f>
        <v/>
      </c>
      <c r="G1201" s="7">
        <f>IF(B1201="","",IFERROR(VLOOKUP(B1201, PLANTA_BASE!A:R, 9, FALSE), "GENERAL"))</f>
        <v/>
      </c>
      <c r="H1201" s="5">
        <f>IF(B1201="","",IFERROR(VLOOKUP(B1201, PLANTA_BASE!A:R, 17, FALSE), "GENERAL"))</f>
        <v/>
      </c>
    </row>
    <row r="1202" ht="20" customHeight="1">
      <c r="A1202" s="2">
        <f>IF(B1202="","",IFERROR(VLOOKUP(B1202, PLANTA_BASE!A:R, 2, FALSE), "NO ENCONTRADO EN PLANTA"))</f>
        <v/>
      </c>
      <c r="B1202" s="3" t="inlineStr"/>
      <c r="C1202" s="4">
        <f>IF(B1202="","",IFERROR(VLOOKUP(B1202, PLANTA_BASE!A:R, 3, FALSE), ""))</f>
        <v/>
      </c>
      <c r="D1202" s="2">
        <f>IF(B1202="","",IFERROR(VLOOKUP(B1202, PLANTA_BASE!A:R, 5, FALSE), "NO ENCONTRADO EN PLANTA"))</f>
        <v/>
      </c>
      <c r="E1202" s="2">
        <f>IF(B1202="","",IFERROR(VLOOKUP(B1202, PLANTA_BASE!A:R, 6, FALSE), "NO ENCONTRADO EN PLANTA"))</f>
        <v/>
      </c>
      <c r="F1202" s="4">
        <f>IF(B1202="","",IFERROR(VLOOKUP(B1202, PLANTA_BASE!A:R, 8, FALSE), "DOCENTE / FACILITADOR"))</f>
        <v/>
      </c>
      <c r="G1202" s="4">
        <f>IF(B1202="","",IFERROR(VLOOKUP(B1202, PLANTA_BASE!A:R, 9, FALSE), "GENERAL"))</f>
        <v/>
      </c>
      <c r="H1202" s="2">
        <f>IF(B1202="","",IFERROR(VLOOKUP(B1202, PLANTA_BASE!A:R, 17, FALSE), "GENERAL"))</f>
        <v/>
      </c>
    </row>
    <row r="1203" ht="20" customHeight="1">
      <c r="A1203" s="5">
        <f>IF(B1203="","",IFERROR(VLOOKUP(B1203, PLANTA_BASE!A:R, 2, FALSE), "NO ENCONTRADO EN PLANTA"))</f>
        <v/>
      </c>
      <c r="B1203" s="6" t="inlineStr"/>
      <c r="C1203" s="7">
        <f>IF(B1203="","",IFERROR(VLOOKUP(B1203, PLANTA_BASE!A:R, 3, FALSE), ""))</f>
        <v/>
      </c>
      <c r="D1203" s="5">
        <f>IF(B1203="","",IFERROR(VLOOKUP(B1203, PLANTA_BASE!A:R, 5, FALSE), "NO ENCONTRADO EN PLANTA"))</f>
        <v/>
      </c>
      <c r="E1203" s="5">
        <f>IF(B1203="","",IFERROR(VLOOKUP(B1203, PLANTA_BASE!A:R, 6, FALSE), "NO ENCONTRADO EN PLANTA"))</f>
        <v/>
      </c>
      <c r="F1203" s="7">
        <f>IF(B1203="","",IFERROR(VLOOKUP(B1203, PLANTA_BASE!A:R, 8, FALSE), "DOCENTE / FACILITADOR"))</f>
        <v/>
      </c>
      <c r="G1203" s="7">
        <f>IF(B1203="","",IFERROR(VLOOKUP(B1203, PLANTA_BASE!A:R, 9, FALSE), "GENERAL"))</f>
        <v/>
      </c>
      <c r="H1203" s="5">
        <f>IF(B1203="","",IFERROR(VLOOKUP(B1203, PLANTA_BASE!A:R, 17, FALSE), "GENERAL"))</f>
        <v/>
      </c>
    </row>
    <row r="1204" ht="20" customHeight="1">
      <c r="A1204" s="2">
        <f>IF(B1204="","",IFERROR(VLOOKUP(B1204, PLANTA_BASE!A:R, 2, FALSE), "NO ENCONTRADO EN PLANTA"))</f>
        <v/>
      </c>
      <c r="B1204" s="3" t="inlineStr"/>
      <c r="C1204" s="4">
        <f>IF(B1204="","",IFERROR(VLOOKUP(B1204, PLANTA_BASE!A:R, 3, FALSE), ""))</f>
        <v/>
      </c>
      <c r="D1204" s="2">
        <f>IF(B1204="","",IFERROR(VLOOKUP(B1204, PLANTA_BASE!A:R, 5, FALSE), "NO ENCONTRADO EN PLANTA"))</f>
        <v/>
      </c>
      <c r="E1204" s="2">
        <f>IF(B1204="","",IFERROR(VLOOKUP(B1204, PLANTA_BASE!A:R, 6, FALSE), "NO ENCONTRADO EN PLANTA"))</f>
        <v/>
      </c>
      <c r="F1204" s="4">
        <f>IF(B1204="","",IFERROR(VLOOKUP(B1204, PLANTA_BASE!A:R, 8, FALSE), "DOCENTE / FACILITADOR"))</f>
        <v/>
      </c>
      <c r="G1204" s="4">
        <f>IF(B1204="","",IFERROR(VLOOKUP(B1204, PLANTA_BASE!A:R, 9, FALSE), "GENERAL"))</f>
        <v/>
      </c>
      <c r="H1204" s="2">
        <f>IF(B1204="","",IFERROR(VLOOKUP(B1204, PLANTA_BASE!A:R, 17, FALSE), "GENERAL"))</f>
        <v/>
      </c>
    </row>
    <row r="1205" ht="20" customHeight="1">
      <c r="A1205" s="5">
        <f>IF(B1205="","",IFERROR(VLOOKUP(B1205, PLANTA_BASE!A:R, 2, FALSE), "NO ENCONTRADO EN PLANTA"))</f>
        <v/>
      </c>
      <c r="B1205" s="6" t="inlineStr"/>
      <c r="C1205" s="7">
        <f>IF(B1205="","",IFERROR(VLOOKUP(B1205, PLANTA_BASE!A:R, 3, FALSE), ""))</f>
        <v/>
      </c>
      <c r="D1205" s="5">
        <f>IF(B1205="","",IFERROR(VLOOKUP(B1205, PLANTA_BASE!A:R, 5, FALSE), "NO ENCONTRADO EN PLANTA"))</f>
        <v/>
      </c>
      <c r="E1205" s="5">
        <f>IF(B1205="","",IFERROR(VLOOKUP(B1205, PLANTA_BASE!A:R, 6, FALSE), "NO ENCONTRADO EN PLANTA"))</f>
        <v/>
      </c>
      <c r="F1205" s="7">
        <f>IF(B1205="","",IFERROR(VLOOKUP(B1205, PLANTA_BASE!A:R, 8, FALSE), "DOCENTE / FACILITADOR"))</f>
        <v/>
      </c>
      <c r="G1205" s="7">
        <f>IF(B1205="","",IFERROR(VLOOKUP(B1205, PLANTA_BASE!A:R, 9, FALSE), "GENERAL"))</f>
        <v/>
      </c>
      <c r="H1205" s="5">
        <f>IF(B1205="","",IFERROR(VLOOKUP(B1205, PLANTA_BASE!A:R, 17, FALSE), "GENERAL"))</f>
        <v/>
      </c>
    </row>
    <row r="1206" ht="20" customHeight="1">
      <c r="A1206" s="2">
        <f>IF(B1206="","",IFERROR(VLOOKUP(B1206, PLANTA_BASE!A:R, 2, FALSE), "NO ENCONTRADO EN PLANTA"))</f>
        <v/>
      </c>
      <c r="B1206" s="3" t="inlineStr"/>
      <c r="C1206" s="4">
        <f>IF(B1206="","",IFERROR(VLOOKUP(B1206, PLANTA_BASE!A:R, 3, FALSE), ""))</f>
        <v/>
      </c>
      <c r="D1206" s="2">
        <f>IF(B1206="","",IFERROR(VLOOKUP(B1206, PLANTA_BASE!A:R, 5, FALSE), "NO ENCONTRADO EN PLANTA"))</f>
        <v/>
      </c>
      <c r="E1206" s="2">
        <f>IF(B1206="","",IFERROR(VLOOKUP(B1206, PLANTA_BASE!A:R, 6, FALSE), "NO ENCONTRADO EN PLANTA"))</f>
        <v/>
      </c>
      <c r="F1206" s="4">
        <f>IF(B1206="","",IFERROR(VLOOKUP(B1206, PLANTA_BASE!A:R, 8, FALSE), "DOCENTE / FACILITADOR"))</f>
        <v/>
      </c>
      <c r="G1206" s="4">
        <f>IF(B1206="","",IFERROR(VLOOKUP(B1206, PLANTA_BASE!A:R, 9, FALSE), "GENERAL"))</f>
        <v/>
      </c>
      <c r="H1206" s="2">
        <f>IF(B1206="","",IFERROR(VLOOKUP(B1206, PLANTA_BASE!A:R, 17, FALSE), "GENERAL"))</f>
        <v/>
      </c>
    </row>
    <row r="1207" ht="20" customHeight="1">
      <c r="A1207" s="5">
        <f>IF(B1207="","",IFERROR(VLOOKUP(B1207, PLANTA_BASE!A:R, 2, FALSE), "NO ENCONTRADO EN PLANTA"))</f>
        <v/>
      </c>
      <c r="B1207" s="6" t="inlineStr"/>
      <c r="C1207" s="7">
        <f>IF(B1207="","",IFERROR(VLOOKUP(B1207, PLANTA_BASE!A:R, 3, FALSE), ""))</f>
        <v/>
      </c>
      <c r="D1207" s="5">
        <f>IF(B1207="","",IFERROR(VLOOKUP(B1207, PLANTA_BASE!A:R, 5, FALSE), "NO ENCONTRADO EN PLANTA"))</f>
        <v/>
      </c>
      <c r="E1207" s="5">
        <f>IF(B1207="","",IFERROR(VLOOKUP(B1207, PLANTA_BASE!A:R, 6, FALSE), "NO ENCONTRADO EN PLANTA"))</f>
        <v/>
      </c>
      <c r="F1207" s="7">
        <f>IF(B1207="","",IFERROR(VLOOKUP(B1207, PLANTA_BASE!A:R, 8, FALSE), "DOCENTE / FACILITADOR"))</f>
        <v/>
      </c>
      <c r="G1207" s="7">
        <f>IF(B1207="","",IFERROR(VLOOKUP(B1207, PLANTA_BASE!A:R, 9, FALSE), "GENERAL"))</f>
        <v/>
      </c>
      <c r="H1207" s="5">
        <f>IF(B1207="","",IFERROR(VLOOKUP(B1207, PLANTA_BASE!A:R, 17, FALSE), "GENERAL"))</f>
        <v/>
      </c>
    </row>
    <row r="1208" ht="20" customHeight="1">
      <c r="A1208" s="2">
        <f>IF(B1208="","",IFERROR(VLOOKUP(B1208, PLANTA_BASE!A:R, 2, FALSE), "NO ENCONTRADO EN PLANTA"))</f>
        <v/>
      </c>
      <c r="B1208" s="3" t="inlineStr"/>
      <c r="C1208" s="4">
        <f>IF(B1208="","",IFERROR(VLOOKUP(B1208, PLANTA_BASE!A:R, 3, FALSE), ""))</f>
        <v/>
      </c>
      <c r="D1208" s="2">
        <f>IF(B1208="","",IFERROR(VLOOKUP(B1208, PLANTA_BASE!A:R, 5, FALSE), "NO ENCONTRADO EN PLANTA"))</f>
        <v/>
      </c>
      <c r="E1208" s="2">
        <f>IF(B1208="","",IFERROR(VLOOKUP(B1208, PLANTA_BASE!A:R, 6, FALSE), "NO ENCONTRADO EN PLANTA"))</f>
        <v/>
      </c>
      <c r="F1208" s="4">
        <f>IF(B1208="","",IFERROR(VLOOKUP(B1208, PLANTA_BASE!A:R, 8, FALSE), "DOCENTE / FACILITADOR"))</f>
        <v/>
      </c>
      <c r="G1208" s="4">
        <f>IF(B1208="","",IFERROR(VLOOKUP(B1208, PLANTA_BASE!A:R, 9, FALSE), "GENERAL"))</f>
        <v/>
      </c>
      <c r="H1208" s="2">
        <f>IF(B1208="","",IFERROR(VLOOKUP(B1208, PLANTA_BASE!A:R, 17, FALSE), "GENERAL"))</f>
        <v/>
      </c>
    </row>
    <row r="1209" ht="20" customHeight="1">
      <c r="A1209" s="5">
        <f>IF(B1209="","",IFERROR(VLOOKUP(B1209, PLANTA_BASE!A:R, 2, FALSE), "NO ENCONTRADO EN PLANTA"))</f>
        <v/>
      </c>
      <c r="B1209" s="6" t="inlineStr"/>
      <c r="C1209" s="7">
        <f>IF(B1209="","",IFERROR(VLOOKUP(B1209, PLANTA_BASE!A:R, 3, FALSE), ""))</f>
        <v/>
      </c>
      <c r="D1209" s="5">
        <f>IF(B1209="","",IFERROR(VLOOKUP(B1209, PLANTA_BASE!A:R, 5, FALSE), "NO ENCONTRADO EN PLANTA"))</f>
        <v/>
      </c>
      <c r="E1209" s="5">
        <f>IF(B1209="","",IFERROR(VLOOKUP(B1209, PLANTA_BASE!A:R, 6, FALSE), "NO ENCONTRADO EN PLANTA"))</f>
        <v/>
      </c>
      <c r="F1209" s="7">
        <f>IF(B1209="","",IFERROR(VLOOKUP(B1209, PLANTA_BASE!A:R, 8, FALSE), "DOCENTE / FACILITADOR"))</f>
        <v/>
      </c>
      <c r="G1209" s="7">
        <f>IF(B1209="","",IFERROR(VLOOKUP(B1209, PLANTA_BASE!A:R, 9, FALSE), "GENERAL"))</f>
        <v/>
      </c>
      <c r="H1209" s="5">
        <f>IF(B1209="","",IFERROR(VLOOKUP(B1209, PLANTA_BASE!A:R, 17, FALSE), "GENERAL"))</f>
        <v/>
      </c>
    </row>
    <row r="1210" ht="20" customHeight="1">
      <c r="A1210" s="2">
        <f>IF(B1210="","",IFERROR(VLOOKUP(B1210, PLANTA_BASE!A:R, 2, FALSE), "NO ENCONTRADO EN PLANTA"))</f>
        <v/>
      </c>
      <c r="B1210" s="3" t="inlineStr"/>
      <c r="C1210" s="4">
        <f>IF(B1210="","",IFERROR(VLOOKUP(B1210, PLANTA_BASE!A:R, 3, FALSE), ""))</f>
        <v/>
      </c>
      <c r="D1210" s="2">
        <f>IF(B1210="","",IFERROR(VLOOKUP(B1210, PLANTA_BASE!A:R, 5, FALSE), "NO ENCONTRADO EN PLANTA"))</f>
        <v/>
      </c>
      <c r="E1210" s="2">
        <f>IF(B1210="","",IFERROR(VLOOKUP(B1210, PLANTA_BASE!A:R, 6, FALSE), "NO ENCONTRADO EN PLANTA"))</f>
        <v/>
      </c>
      <c r="F1210" s="4">
        <f>IF(B1210="","",IFERROR(VLOOKUP(B1210, PLANTA_BASE!A:R, 8, FALSE), "DOCENTE / FACILITADOR"))</f>
        <v/>
      </c>
      <c r="G1210" s="4">
        <f>IF(B1210="","",IFERROR(VLOOKUP(B1210, PLANTA_BASE!A:R, 9, FALSE), "GENERAL"))</f>
        <v/>
      </c>
      <c r="H1210" s="2">
        <f>IF(B1210="","",IFERROR(VLOOKUP(B1210, PLANTA_BASE!A:R, 17, FALSE), "GENERAL"))</f>
        <v/>
      </c>
    </row>
    <row r="1211" ht="20" customHeight="1">
      <c r="A1211" s="5">
        <f>IF(B1211="","",IFERROR(VLOOKUP(B1211, PLANTA_BASE!A:R, 2, FALSE), "NO ENCONTRADO EN PLANTA"))</f>
        <v/>
      </c>
      <c r="B1211" s="6" t="inlineStr"/>
      <c r="C1211" s="7">
        <f>IF(B1211="","",IFERROR(VLOOKUP(B1211, PLANTA_BASE!A:R, 3, FALSE), ""))</f>
        <v/>
      </c>
      <c r="D1211" s="5">
        <f>IF(B1211="","",IFERROR(VLOOKUP(B1211, PLANTA_BASE!A:R, 5, FALSE), "NO ENCONTRADO EN PLANTA"))</f>
        <v/>
      </c>
      <c r="E1211" s="5">
        <f>IF(B1211="","",IFERROR(VLOOKUP(B1211, PLANTA_BASE!A:R, 6, FALSE), "NO ENCONTRADO EN PLANTA"))</f>
        <v/>
      </c>
      <c r="F1211" s="7">
        <f>IF(B1211="","",IFERROR(VLOOKUP(B1211, PLANTA_BASE!A:R, 8, FALSE), "DOCENTE / FACILITADOR"))</f>
        <v/>
      </c>
      <c r="G1211" s="7">
        <f>IF(B1211="","",IFERROR(VLOOKUP(B1211, PLANTA_BASE!A:R, 9, FALSE), "GENERAL"))</f>
        <v/>
      </c>
      <c r="H1211" s="5">
        <f>IF(B1211="","",IFERROR(VLOOKUP(B1211, PLANTA_BASE!A:R, 17, FALSE), "GENERAL"))</f>
        <v/>
      </c>
    </row>
    <row r="1212" ht="20" customHeight="1">
      <c r="A1212" s="2">
        <f>IF(B1212="","",IFERROR(VLOOKUP(B1212, PLANTA_BASE!A:R, 2, FALSE), "NO ENCONTRADO EN PLANTA"))</f>
        <v/>
      </c>
      <c r="B1212" s="3" t="inlineStr"/>
      <c r="C1212" s="4">
        <f>IF(B1212="","",IFERROR(VLOOKUP(B1212, PLANTA_BASE!A:R, 3, FALSE), ""))</f>
        <v/>
      </c>
      <c r="D1212" s="2">
        <f>IF(B1212="","",IFERROR(VLOOKUP(B1212, PLANTA_BASE!A:R, 5, FALSE), "NO ENCONTRADO EN PLANTA"))</f>
        <v/>
      </c>
      <c r="E1212" s="2">
        <f>IF(B1212="","",IFERROR(VLOOKUP(B1212, PLANTA_BASE!A:R, 6, FALSE), "NO ENCONTRADO EN PLANTA"))</f>
        <v/>
      </c>
      <c r="F1212" s="4">
        <f>IF(B1212="","",IFERROR(VLOOKUP(B1212, PLANTA_BASE!A:R, 8, FALSE), "DOCENTE / FACILITADOR"))</f>
        <v/>
      </c>
      <c r="G1212" s="4">
        <f>IF(B1212="","",IFERROR(VLOOKUP(B1212, PLANTA_BASE!A:R, 9, FALSE), "GENERAL"))</f>
        <v/>
      </c>
      <c r="H1212" s="2">
        <f>IF(B1212="","",IFERROR(VLOOKUP(B1212, PLANTA_BASE!A:R, 17, FALSE), "GENERAL"))</f>
        <v/>
      </c>
    </row>
    <row r="1213" ht="20" customHeight="1">
      <c r="A1213" s="5">
        <f>IF(B1213="","",IFERROR(VLOOKUP(B1213, PLANTA_BASE!A:R, 2, FALSE), "NO ENCONTRADO EN PLANTA"))</f>
        <v/>
      </c>
      <c r="B1213" s="6" t="inlineStr"/>
      <c r="C1213" s="7">
        <f>IF(B1213="","",IFERROR(VLOOKUP(B1213, PLANTA_BASE!A:R, 3, FALSE), ""))</f>
        <v/>
      </c>
      <c r="D1213" s="5">
        <f>IF(B1213="","",IFERROR(VLOOKUP(B1213, PLANTA_BASE!A:R, 5, FALSE), "NO ENCONTRADO EN PLANTA"))</f>
        <v/>
      </c>
      <c r="E1213" s="5">
        <f>IF(B1213="","",IFERROR(VLOOKUP(B1213, PLANTA_BASE!A:R, 6, FALSE), "NO ENCONTRADO EN PLANTA"))</f>
        <v/>
      </c>
      <c r="F1213" s="7">
        <f>IF(B1213="","",IFERROR(VLOOKUP(B1213, PLANTA_BASE!A:R, 8, FALSE), "DOCENTE / FACILITADOR"))</f>
        <v/>
      </c>
      <c r="G1213" s="7">
        <f>IF(B1213="","",IFERROR(VLOOKUP(B1213, PLANTA_BASE!A:R, 9, FALSE), "GENERAL"))</f>
        <v/>
      </c>
      <c r="H1213" s="5">
        <f>IF(B1213="","",IFERROR(VLOOKUP(B1213, PLANTA_BASE!A:R, 17, FALSE), "GENERAL"))</f>
        <v/>
      </c>
    </row>
    <row r="1214" ht="20" customHeight="1">
      <c r="A1214" s="2">
        <f>IF(B1214="","",IFERROR(VLOOKUP(B1214, PLANTA_BASE!A:R, 2, FALSE), "NO ENCONTRADO EN PLANTA"))</f>
        <v/>
      </c>
      <c r="B1214" s="3" t="inlineStr"/>
      <c r="C1214" s="4">
        <f>IF(B1214="","",IFERROR(VLOOKUP(B1214, PLANTA_BASE!A:R, 3, FALSE), ""))</f>
        <v/>
      </c>
      <c r="D1214" s="2">
        <f>IF(B1214="","",IFERROR(VLOOKUP(B1214, PLANTA_BASE!A:R, 5, FALSE), "NO ENCONTRADO EN PLANTA"))</f>
        <v/>
      </c>
      <c r="E1214" s="2">
        <f>IF(B1214="","",IFERROR(VLOOKUP(B1214, PLANTA_BASE!A:R, 6, FALSE), "NO ENCONTRADO EN PLANTA"))</f>
        <v/>
      </c>
      <c r="F1214" s="4">
        <f>IF(B1214="","",IFERROR(VLOOKUP(B1214, PLANTA_BASE!A:R, 8, FALSE), "DOCENTE / FACILITADOR"))</f>
        <v/>
      </c>
      <c r="G1214" s="4">
        <f>IF(B1214="","",IFERROR(VLOOKUP(B1214, PLANTA_BASE!A:R, 9, FALSE), "GENERAL"))</f>
        <v/>
      </c>
      <c r="H1214" s="2">
        <f>IF(B1214="","",IFERROR(VLOOKUP(B1214, PLANTA_BASE!A:R, 17, FALSE), "GENERAL"))</f>
        <v/>
      </c>
    </row>
    <row r="1215" ht="20" customHeight="1">
      <c r="A1215" s="5">
        <f>IF(B1215="","",IFERROR(VLOOKUP(B1215, PLANTA_BASE!A:R, 2, FALSE), "NO ENCONTRADO EN PLANTA"))</f>
        <v/>
      </c>
      <c r="B1215" s="6" t="inlineStr"/>
      <c r="C1215" s="7">
        <f>IF(B1215="","",IFERROR(VLOOKUP(B1215, PLANTA_BASE!A:R, 3, FALSE), ""))</f>
        <v/>
      </c>
      <c r="D1215" s="5">
        <f>IF(B1215="","",IFERROR(VLOOKUP(B1215, PLANTA_BASE!A:R, 5, FALSE), "NO ENCONTRADO EN PLANTA"))</f>
        <v/>
      </c>
      <c r="E1215" s="5">
        <f>IF(B1215="","",IFERROR(VLOOKUP(B1215, PLANTA_BASE!A:R, 6, FALSE), "NO ENCONTRADO EN PLANTA"))</f>
        <v/>
      </c>
      <c r="F1215" s="7">
        <f>IF(B1215="","",IFERROR(VLOOKUP(B1215, PLANTA_BASE!A:R, 8, FALSE), "DOCENTE / FACILITADOR"))</f>
        <v/>
      </c>
      <c r="G1215" s="7">
        <f>IF(B1215="","",IFERROR(VLOOKUP(B1215, PLANTA_BASE!A:R, 9, FALSE), "GENERAL"))</f>
        <v/>
      </c>
      <c r="H1215" s="5">
        <f>IF(B1215="","",IFERROR(VLOOKUP(B1215, PLANTA_BASE!A:R, 17, FALSE), "GENERAL"))</f>
        <v/>
      </c>
    </row>
    <row r="1216" ht="20" customHeight="1">
      <c r="A1216" s="2">
        <f>IF(B1216="","",IFERROR(VLOOKUP(B1216, PLANTA_BASE!A:R, 2, FALSE), "NO ENCONTRADO EN PLANTA"))</f>
        <v/>
      </c>
      <c r="B1216" s="3" t="inlineStr"/>
      <c r="C1216" s="4">
        <f>IF(B1216="","",IFERROR(VLOOKUP(B1216, PLANTA_BASE!A:R, 3, FALSE), ""))</f>
        <v/>
      </c>
      <c r="D1216" s="2">
        <f>IF(B1216="","",IFERROR(VLOOKUP(B1216, PLANTA_BASE!A:R, 5, FALSE), "NO ENCONTRADO EN PLANTA"))</f>
        <v/>
      </c>
      <c r="E1216" s="2">
        <f>IF(B1216="","",IFERROR(VLOOKUP(B1216, PLANTA_BASE!A:R, 6, FALSE), "NO ENCONTRADO EN PLANTA"))</f>
        <v/>
      </c>
      <c r="F1216" s="4">
        <f>IF(B1216="","",IFERROR(VLOOKUP(B1216, PLANTA_BASE!A:R, 8, FALSE), "DOCENTE / FACILITADOR"))</f>
        <v/>
      </c>
      <c r="G1216" s="4">
        <f>IF(B1216="","",IFERROR(VLOOKUP(B1216, PLANTA_BASE!A:R, 9, FALSE), "GENERAL"))</f>
        <v/>
      </c>
      <c r="H1216" s="2">
        <f>IF(B1216="","",IFERROR(VLOOKUP(B1216, PLANTA_BASE!A:R, 17, FALSE), "GENERAL"))</f>
        <v/>
      </c>
    </row>
    <row r="1217" ht="20" customHeight="1">
      <c r="A1217" s="5">
        <f>IF(B1217="","",IFERROR(VLOOKUP(B1217, PLANTA_BASE!A:R, 2, FALSE), "NO ENCONTRADO EN PLANTA"))</f>
        <v/>
      </c>
      <c r="B1217" s="6" t="inlineStr"/>
      <c r="C1217" s="7">
        <f>IF(B1217="","",IFERROR(VLOOKUP(B1217, PLANTA_BASE!A:R, 3, FALSE), ""))</f>
        <v/>
      </c>
      <c r="D1217" s="5">
        <f>IF(B1217="","",IFERROR(VLOOKUP(B1217, PLANTA_BASE!A:R, 5, FALSE), "NO ENCONTRADO EN PLANTA"))</f>
        <v/>
      </c>
      <c r="E1217" s="5">
        <f>IF(B1217="","",IFERROR(VLOOKUP(B1217, PLANTA_BASE!A:R, 6, FALSE), "NO ENCONTRADO EN PLANTA"))</f>
        <v/>
      </c>
      <c r="F1217" s="7">
        <f>IF(B1217="","",IFERROR(VLOOKUP(B1217, PLANTA_BASE!A:R, 8, FALSE), "DOCENTE / FACILITADOR"))</f>
        <v/>
      </c>
      <c r="G1217" s="7">
        <f>IF(B1217="","",IFERROR(VLOOKUP(B1217, PLANTA_BASE!A:R, 9, FALSE), "GENERAL"))</f>
        <v/>
      </c>
      <c r="H1217" s="5">
        <f>IF(B1217="","",IFERROR(VLOOKUP(B1217, PLANTA_BASE!A:R, 17, FALSE), "GENERAL"))</f>
        <v/>
      </c>
    </row>
    <row r="1218" ht="20" customHeight="1">
      <c r="A1218" s="2">
        <f>IF(B1218="","",IFERROR(VLOOKUP(B1218, PLANTA_BASE!A:R, 2, FALSE), "NO ENCONTRADO EN PLANTA"))</f>
        <v/>
      </c>
      <c r="B1218" s="3" t="inlineStr"/>
      <c r="C1218" s="4">
        <f>IF(B1218="","",IFERROR(VLOOKUP(B1218, PLANTA_BASE!A:R, 3, FALSE), ""))</f>
        <v/>
      </c>
      <c r="D1218" s="2">
        <f>IF(B1218="","",IFERROR(VLOOKUP(B1218, PLANTA_BASE!A:R, 5, FALSE), "NO ENCONTRADO EN PLANTA"))</f>
        <v/>
      </c>
      <c r="E1218" s="2">
        <f>IF(B1218="","",IFERROR(VLOOKUP(B1218, PLANTA_BASE!A:R, 6, FALSE), "NO ENCONTRADO EN PLANTA"))</f>
        <v/>
      </c>
      <c r="F1218" s="4">
        <f>IF(B1218="","",IFERROR(VLOOKUP(B1218, PLANTA_BASE!A:R, 8, FALSE), "DOCENTE / FACILITADOR"))</f>
        <v/>
      </c>
      <c r="G1218" s="4">
        <f>IF(B1218="","",IFERROR(VLOOKUP(B1218, PLANTA_BASE!A:R, 9, FALSE), "GENERAL"))</f>
        <v/>
      </c>
      <c r="H1218" s="2">
        <f>IF(B1218="","",IFERROR(VLOOKUP(B1218, PLANTA_BASE!A:R, 17, FALSE), "GENERAL"))</f>
        <v/>
      </c>
    </row>
    <row r="1219" ht="20" customHeight="1">
      <c r="A1219" s="5">
        <f>IF(B1219="","",IFERROR(VLOOKUP(B1219, PLANTA_BASE!A:R, 2, FALSE), "NO ENCONTRADO EN PLANTA"))</f>
        <v/>
      </c>
      <c r="B1219" s="6" t="inlineStr"/>
      <c r="C1219" s="7">
        <f>IF(B1219="","",IFERROR(VLOOKUP(B1219, PLANTA_BASE!A:R, 3, FALSE), ""))</f>
        <v/>
      </c>
      <c r="D1219" s="5">
        <f>IF(B1219="","",IFERROR(VLOOKUP(B1219, PLANTA_BASE!A:R, 5, FALSE), "NO ENCONTRADO EN PLANTA"))</f>
        <v/>
      </c>
      <c r="E1219" s="5">
        <f>IF(B1219="","",IFERROR(VLOOKUP(B1219, PLANTA_BASE!A:R, 6, FALSE), "NO ENCONTRADO EN PLANTA"))</f>
        <v/>
      </c>
      <c r="F1219" s="7">
        <f>IF(B1219="","",IFERROR(VLOOKUP(B1219, PLANTA_BASE!A:R, 8, FALSE), "DOCENTE / FACILITADOR"))</f>
        <v/>
      </c>
      <c r="G1219" s="7">
        <f>IF(B1219="","",IFERROR(VLOOKUP(B1219, PLANTA_BASE!A:R, 9, FALSE), "GENERAL"))</f>
        <v/>
      </c>
      <c r="H1219" s="5">
        <f>IF(B1219="","",IFERROR(VLOOKUP(B1219, PLANTA_BASE!A:R, 17, FALSE), "GENERAL"))</f>
        <v/>
      </c>
    </row>
    <row r="1220" ht="20" customHeight="1">
      <c r="A1220" s="2">
        <f>IF(B1220="","",IFERROR(VLOOKUP(B1220, PLANTA_BASE!A:R, 2, FALSE), "NO ENCONTRADO EN PLANTA"))</f>
        <v/>
      </c>
      <c r="B1220" s="3" t="inlineStr"/>
      <c r="C1220" s="4">
        <f>IF(B1220="","",IFERROR(VLOOKUP(B1220, PLANTA_BASE!A:R, 3, FALSE), ""))</f>
        <v/>
      </c>
      <c r="D1220" s="2">
        <f>IF(B1220="","",IFERROR(VLOOKUP(B1220, PLANTA_BASE!A:R, 5, FALSE), "NO ENCONTRADO EN PLANTA"))</f>
        <v/>
      </c>
      <c r="E1220" s="2">
        <f>IF(B1220="","",IFERROR(VLOOKUP(B1220, PLANTA_BASE!A:R, 6, FALSE), "NO ENCONTRADO EN PLANTA"))</f>
        <v/>
      </c>
      <c r="F1220" s="4">
        <f>IF(B1220="","",IFERROR(VLOOKUP(B1220, PLANTA_BASE!A:R, 8, FALSE), "DOCENTE / FACILITADOR"))</f>
        <v/>
      </c>
      <c r="G1220" s="4">
        <f>IF(B1220="","",IFERROR(VLOOKUP(B1220, PLANTA_BASE!A:R, 9, FALSE), "GENERAL"))</f>
        <v/>
      </c>
      <c r="H1220" s="2">
        <f>IF(B1220="","",IFERROR(VLOOKUP(B1220, PLANTA_BASE!A:R, 17, FALSE), "GENERAL"))</f>
        <v/>
      </c>
    </row>
    <row r="1221" ht="20" customHeight="1">
      <c r="A1221" s="5">
        <f>IF(B1221="","",IFERROR(VLOOKUP(B1221, PLANTA_BASE!A:R, 2, FALSE), "NO ENCONTRADO EN PLANTA"))</f>
        <v/>
      </c>
      <c r="B1221" s="6" t="inlineStr"/>
      <c r="C1221" s="7">
        <f>IF(B1221="","",IFERROR(VLOOKUP(B1221, PLANTA_BASE!A:R, 3, FALSE), ""))</f>
        <v/>
      </c>
      <c r="D1221" s="5">
        <f>IF(B1221="","",IFERROR(VLOOKUP(B1221, PLANTA_BASE!A:R, 5, FALSE), "NO ENCONTRADO EN PLANTA"))</f>
        <v/>
      </c>
      <c r="E1221" s="5">
        <f>IF(B1221="","",IFERROR(VLOOKUP(B1221, PLANTA_BASE!A:R, 6, FALSE), "NO ENCONTRADO EN PLANTA"))</f>
        <v/>
      </c>
      <c r="F1221" s="7">
        <f>IF(B1221="","",IFERROR(VLOOKUP(B1221, PLANTA_BASE!A:R, 8, FALSE), "DOCENTE / FACILITADOR"))</f>
        <v/>
      </c>
      <c r="G1221" s="7">
        <f>IF(B1221="","",IFERROR(VLOOKUP(B1221, PLANTA_BASE!A:R, 9, FALSE), "GENERAL"))</f>
        <v/>
      </c>
      <c r="H1221" s="5">
        <f>IF(B1221="","",IFERROR(VLOOKUP(B1221, PLANTA_BASE!A:R, 17, FALSE), "GENERAL"))</f>
        <v/>
      </c>
    </row>
    <row r="1222" ht="20" customHeight="1">
      <c r="A1222" s="2">
        <f>IF(B1222="","",IFERROR(VLOOKUP(B1222, PLANTA_BASE!A:R, 2, FALSE), "NO ENCONTRADO EN PLANTA"))</f>
        <v/>
      </c>
      <c r="B1222" s="3" t="inlineStr"/>
      <c r="C1222" s="4">
        <f>IF(B1222="","",IFERROR(VLOOKUP(B1222, PLANTA_BASE!A:R, 3, FALSE), ""))</f>
        <v/>
      </c>
      <c r="D1222" s="2">
        <f>IF(B1222="","",IFERROR(VLOOKUP(B1222, PLANTA_BASE!A:R, 5, FALSE), "NO ENCONTRADO EN PLANTA"))</f>
        <v/>
      </c>
      <c r="E1222" s="2">
        <f>IF(B1222="","",IFERROR(VLOOKUP(B1222, PLANTA_BASE!A:R, 6, FALSE), "NO ENCONTRADO EN PLANTA"))</f>
        <v/>
      </c>
      <c r="F1222" s="4">
        <f>IF(B1222="","",IFERROR(VLOOKUP(B1222, PLANTA_BASE!A:R, 8, FALSE), "DOCENTE / FACILITADOR"))</f>
        <v/>
      </c>
      <c r="G1222" s="4">
        <f>IF(B1222="","",IFERROR(VLOOKUP(B1222, PLANTA_BASE!A:R, 9, FALSE), "GENERAL"))</f>
        <v/>
      </c>
      <c r="H1222" s="2">
        <f>IF(B1222="","",IFERROR(VLOOKUP(B1222, PLANTA_BASE!A:R, 17, FALSE), "GENERAL"))</f>
        <v/>
      </c>
    </row>
    <row r="1223" ht="20" customHeight="1">
      <c r="A1223" s="5">
        <f>IF(B1223="","",IFERROR(VLOOKUP(B1223, PLANTA_BASE!A:R, 2, FALSE), "NO ENCONTRADO EN PLANTA"))</f>
        <v/>
      </c>
      <c r="B1223" s="6" t="inlineStr"/>
      <c r="C1223" s="7">
        <f>IF(B1223="","",IFERROR(VLOOKUP(B1223, PLANTA_BASE!A:R, 3, FALSE), ""))</f>
        <v/>
      </c>
      <c r="D1223" s="5">
        <f>IF(B1223="","",IFERROR(VLOOKUP(B1223, PLANTA_BASE!A:R, 5, FALSE), "NO ENCONTRADO EN PLANTA"))</f>
        <v/>
      </c>
      <c r="E1223" s="5">
        <f>IF(B1223="","",IFERROR(VLOOKUP(B1223, PLANTA_BASE!A:R, 6, FALSE), "NO ENCONTRADO EN PLANTA"))</f>
        <v/>
      </c>
      <c r="F1223" s="7">
        <f>IF(B1223="","",IFERROR(VLOOKUP(B1223, PLANTA_BASE!A:R, 8, FALSE), "DOCENTE / FACILITADOR"))</f>
        <v/>
      </c>
      <c r="G1223" s="7">
        <f>IF(B1223="","",IFERROR(VLOOKUP(B1223, PLANTA_BASE!A:R, 9, FALSE), "GENERAL"))</f>
        <v/>
      </c>
      <c r="H1223" s="5">
        <f>IF(B1223="","",IFERROR(VLOOKUP(B1223, PLANTA_BASE!A:R, 17, FALSE), "GENERAL"))</f>
        <v/>
      </c>
    </row>
    <row r="1224" ht="20" customHeight="1">
      <c r="A1224" s="2">
        <f>IF(B1224="","",IFERROR(VLOOKUP(B1224, PLANTA_BASE!A:R, 2, FALSE), "NO ENCONTRADO EN PLANTA"))</f>
        <v/>
      </c>
      <c r="B1224" s="3" t="inlineStr"/>
      <c r="C1224" s="4">
        <f>IF(B1224="","",IFERROR(VLOOKUP(B1224, PLANTA_BASE!A:R, 3, FALSE), ""))</f>
        <v/>
      </c>
      <c r="D1224" s="2">
        <f>IF(B1224="","",IFERROR(VLOOKUP(B1224, PLANTA_BASE!A:R, 5, FALSE), "NO ENCONTRADO EN PLANTA"))</f>
        <v/>
      </c>
      <c r="E1224" s="2">
        <f>IF(B1224="","",IFERROR(VLOOKUP(B1224, PLANTA_BASE!A:R, 6, FALSE), "NO ENCONTRADO EN PLANTA"))</f>
        <v/>
      </c>
      <c r="F1224" s="4">
        <f>IF(B1224="","",IFERROR(VLOOKUP(B1224, PLANTA_BASE!A:R, 8, FALSE), "DOCENTE / FACILITADOR"))</f>
        <v/>
      </c>
      <c r="G1224" s="4">
        <f>IF(B1224="","",IFERROR(VLOOKUP(B1224, PLANTA_BASE!A:R, 9, FALSE), "GENERAL"))</f>
        <v/>
      </c>
      <c r="H1224" s="2">
        <f>IF(B1224="","",IFERROR(VLOOKUP(B1224, PLANTA_BASE!A:R, 17, FALSE), "GENERAL"))</f>
        <v/>
      </c>
    </row>
    <row r="1225" ht="20" customHeight="1">
      <c r="A1225" s="5">
        <f>IF(B1225="","",IFERROR(VLOOKUP(B1225, PLANTA_BASE!A:R, 2, FALSE), "NO ENCONTRADO EN PLANTA"))</f>
        <v/>
      </c>
      <c r="B1225" s="6" t="inlineStr"/>
      <c r="C1225" s="7">
        <f>IF(B1225="","",IFERROR(VLOOKUP(B1225, PLANTA_BASE!A:R, 3, FALSE), ""))</f>
        <v/>
      </c>
      <c r="D1225" s="5">
        <f>IF(B1225="","",IFERROR(VLOOKUP(B1225, PLANTA_BASE!A:R, 5, FALSE), "NO ENCONTRADO EN PLANTA"))</f>
        <v/>
      </c>
      <c r="E1225" s="5">
        <f>IF(B1225="","",IFERROR(VLOOKUP(B1225, PLANTA_BASE!A:R, 6, FALSE), "NO ENCONTRADO EN PLANTA"))</f>
        <v/>
      </c>
      <c r="F1225" s="7">
        <f>IF(B1225="","",IFERROR(VLOOKUP(B1225, PLANTA_BASE!A:R, 8, FALSE), "DOCENTE / FACILITADOR"))</f>
        <v/>
      </c>
      <c r="G1225" s="7">
        <f>IF(B1225="","",IFERROR(VLOOKUP(B1225, PLANTA_BASE!A:R, 9, FALSE), "GENERAL"))</f>
        <v/>
      </c>
      <c r="H1225" s="5">
        <f>IF(B1225="","",IFERROR(VLOOKUP(B1225, PLANTA_BASE!A:R, 17, FALSE), "GENERAL"))</f>
        <v/>
      </c>
    </row>
    <row r="1226" ht="20" customHeight="1">
      <c r="A1226" s="2">
        <f>IF(B1226="","",IFERROR(VLOOKUP(B1226, PLANTA_BASE!A:R, 2, FALSE), "NO ENCONTRADO EN PLANTA"))</f>
        <v/>
      </c>
      <c r="B1226" s="3" t="inlineStr"/>
      <c r="C1226" s="4">
        <f>IF(B1226="","",IFERROR(VLOOKUP(B1226, PLANTA_BASE!A:R, 3, FALSE), ""))</f>
        <v/>
      </c>
      <c r="D1226" s="2">
        <f>IF(B1226="","",IFERROR(VLOOKUP(B1226, PLANTA_BASE!A:R, 5, FALSE), "NO ENCONTRADO EN PLANTA"))</f>
        <v/>
      </c>
      <c r="E1226" s="2">
        <f>IF(B1226="","",IFERROR(VLOOKUP(B1226, PLANTA_BASE!A:R, 6, FALSE), "NO ENCONTRADO EN PLANTA"))</f>
        <v/>
      </c>
      <c r="F1226" s="4">
        <f>IF(B1226="","",IFERROR(VLOOKUP(B1226, PLANTA_BASE!A:R, 8, FALSE), "DOCENTE / FACILITADOR"))</f>
        <v/>
      </c>
      <c r="G1226" s="4">
        <f>IF(B1226="","",IFERROR(VLOOKUP(B1226, PLANTA_BASE!A:R, 9, FALSE), "GENERAL"))</f>
        <v/>
      </c>
      <c r="H1226" s="2">
        <f>IF(B1226="","",IFERROR(VLOOKUP(B1226, PLANTA_BASE!A:R, 17, FALSE), "GENERAL"))</f>
        <v/>
      </c>
    </row>
    <row r="1227" ht="20" customHeight="1">
      <c r="A1227" s="5">
        <f>IF(B1227="","",IFERROR(VLOOKUP(B1227, PLANTA_BASE!A:R, 2, FALSE), "NO ENCONTRADO EN PLANTA"))</f>
        <v/>
      </c>
      <c r="B1227" s="6" t="inlineStr"/>
      <c r="C1227" s="7">
        <f>IF(B1227="","",IFERROR(VLOOKUP(B1227, PLANTA_BASE!A:R, 3, FALSE), ""))</f>
        <v/>
      </c>
      <c r="D1227" s="5">
        <f>IF(B1227="","",IFERROR(VLOOKUP(B1227, PLANTA_BASE!A:R, 5, FALSE), "NO ENCONTRADO EN PLANTA"))</f>
        <v/>
      </c>
      <c r="E1227" s="5">
        <f>IF(B1227="","",IFERROR(VLOOKUP(B1227, PLANTA_BASE!A:R, 6, FALSE), "NO ENCONTRADO EN PLANTA"))</f>
        <v/>
      </c>
      <c r="F1227" s="7">
        <f>IF(B1227="","",IFERROR(VLOOKUP(B1227, PLANTA_BASE!A:R, 8, FALSE), "DOCENTE / FACILITADOR"))</f>
        <v/>
      </c>
      <c r="G1227" s="7">
        <f>IF(B1227="","",IFERROR(VLOOKUP(B1227, PLANTA_BASE!A:R, 9, FALSE), "GENERAL"))</f>
        <v/>
      </c>
      <c r="H1227" s="5">
        <f>IF(B1227="","",IFERROR(VLOOKUP(B1227, PLANTA_BASE!A:R, 17, FALSE), "GENERAL"))</f>
        <v/>
      </c>
    </row>
    <row r="1228" ht="20" customHeight="1">
      <c r="A1228" s="2">
        <f>IF(B1228="","",IFERROR(VLOOKUP(B1228, PLANTA_BASE!A:R, 2, FALSE), "NO ENCONTRADO EN PLANTA"))</f>
        <v/>
      </c>
      <c r="B1228" s="3" t="inlineStr"/>
      <c r="C1228" s="4">
        <f>IF(B1228="","",IFERROR(VLOOKUP(B1228, PLANTA_BASE!A:R, 3, FALSE), ""))</f>
        <v/>
      </c>
      <c r="D1228" s="2">
        <f>IF(B1228="","",IFERROR(VLOOKUP(B1228, PLANTA_BASE!A:R, 5, FALSE), "NO ENCONTRADO EN PLANTA"))</f>
        <v/>
      </c>
      <c r="E1228" s="2">
        <f>IF(B1228="","",IFERROR(VLOOKUP(B1228, PLANTA_BASE!A:R, 6, FALSE), "NO ENCONTRADO EN PLANTA"))</f>
        <v/>
      </c>
      <c r="F1228" s="4">
        <f>IF(B1228="","",IFERROR(VLOOKUP(B1228, PLANTA_BASE!A:R, 8, FALSE), "DOCENTE / FACILITADOR"))</f>
        <v/>
      </c>
      <c r="G1228" s="4">
        <f>IF(B1228="","",IFERROR(VLOOKUP(B1228, PLANTA_BASE!A:R, 9, FALSE), "GENERAL"))</f>
        <v/>
      </c>
      <c r="H1228" s="2">
        <f>IF(B1228="","",IFERROR(VLOOKUP(B1228, PLANTA_BASE!A:R, 17, FALSE), "GENERAL"))</f>
        <v/>
      </c>
    </row>
    <row r="1229" ht="20" customHeight="1">
      <c r="A1229" s="5">
        <f>IF(B1229="","",IFERROR(VLOOKUP(B1229, PLANTA_BASE!A:R, 2, FALSE), "NO ENCONTRADO EN PLANTA"))</f>
        <v/>
      </c>
      <c r="B1229" s="6" t="inlineStr"/>
      <c r="C1229" s="7">
        <f>IF(B1229="","",IFERROR(VLOOKUP(B1229, PLANTA_BASE!A:R, 3, FALSE), ""))</f>
        <v/>
      </c>
      <c r="D1229" s="5">
        <f>IF(B1229="","",IFERROR(VLOOKUP(B1229, PLANTA_BASE!A:R, 5, FALSE), "NO ENCONTRADO EN PLANTA"))</f>
        <v/>
      </c>
      <c r="E1229" s="5">
        <f>IF(B1229="","",IFERROR(VLOOKUP(B1229, PLANTA_BASE!A:R, 6, FALSE), "NO ENCONTRADO EN PLANTA"))</f>
        <v/>
      </c>
      <c r="F1229" s="7">
        <f>IF(B1229="","",IFERROR(VLOOKUP(B1229, PLANTA_BASE!A:R, 8, FALSE), "DOCENTE / FACILITADOR"))</f>
        <v/>
      </c>
      <c r="G1229" s="7">
        <f>IF(B1229="","",IFERROR(VLOOKUP(B1229, PLANTA_BASE!A:R, 9, FALSE), "GENERAL"))</f>
        <v/>
      </c>
      <c r="H1229" s="5">
        <f>IF(B1229="","",IFERROR(VLOOKUP(B1229, PLANTA_BASE!A:R, 17, FALSE), "GENERAL"))</f>
        <v/>
      </c>
    </row>
    <row r="1230" ht="20" customHeight="1">
      <c r="A1230" s="2">
        <f>IF(B1230="","",IFERROR(VLOOKUP(B1230, PLANTA_BASE!A:R, 2, FALSE), "NO ENCONTRADO EN PLANTA"))</f>
        <v/>
      </c>
      <c r="B1230" s="3" t="inlineStr"/>
      <c r="C1230" s="4">
        <f>IF(B1230="","",IFERROR(VLOOKUP(B1230, PLANTA_BASE!A:R, 3, FALSE), ""))</f>
        <v/>
      </c>
      <c r="D1230" s="2">
        <f>IF(B1230="","",IFERROR(VLOOKUP(B1230, PLANTA_BASE!A:R, 5, FALSE), "NO ENCONTRADO EN PLANTA"))</f>
        <v/>
      </c>
      <c r="E1230" s="2">
        <f>IF(B1230="","",IFERROR(VLOOKUP(B1230, PLANTA_BASE!A:R, 6, FALSE), "NO ENCONTRADO EN PLANTA"))</f>
        <v/>
      </c>
      <c r="F1230" s="4">
        <f>IF(B1230="","",IFERROR(VLOOKUP(B1230, PLANTA_BASE!A:R, 8, FALSE), "DOCENTE / FACILITADOR"))</f>
        <v/>
      </c>
      <c r="G1230" s="4">
        <f>IF(B1230="","",IFERROR(VLOOKUP(B1230, PLANTA_BASE!A:R, 9, FALSE), "GENERAL"))</f>
        <v/>
      </c>
      <c r="H1230" s="2">
        <f>IF(B1230="","",IFERROR(VLOOKUP(B1230, PLANTA_BASE!A:R, 17, FALSE), "GENERAL"))</f>
        <v/>
      </c>
    </row>
    <row r="1231" ht="20" customHeight="1">
      <c r="A1231" s="5">
        <f>IF(B1231="","",IFERROR(VLOOKUP(B1231, PLANTA_BASE!A:R, 2, FALSE), "NO ENCONTRADO EN PLANTA"))</f>
        <v/>
      </c>
      <c r="B1231" s="6" t="inlineStr"/>
      <c r="C1231" s="7">
        <f>IF(B1231="","",IFERROR(VLOOKUP(B1231, PLANTA_BASE!A:R, 3, FALSE), ""))</f>
        <v/>
      </c>
      <c r="D1231" s="5">
        <f>IF(B1231="","",IFERROR(VLOOKUP(B1231, PLANTA_BASE!A:R, 5, FALSE), "NO ENCONTRADO EN PLANTA"))</f>
        <v/>
      </c>
      <c r="E1231" s="5">
        <f>IF(B1231="","",IFERROR(VLOOKUP(B1231, PLANTA_BASE!A:R, 6, FALSE), "NO ENCONTRADO EN PLANTA"))</f>
        <v/>
      </c>
      <c r="F1231" s="7">
        <f>IF(B1231="","",IFERROR(VLOOKUP(B1231, PLANTA_BASE!A:R, 8, FALSE), "DOCENTE / FACILITADOR"))</f>
        <v/>
      </c>
      <c r="G1231" s="7">
        <f>IF(B1231="","",IFERROR(VLOOKUP(B1231, PLANTA_BASE!A:R, 9, FALSE), "GENERAL"))</f>
        <v/>
      </c>
      <c r="H1231" s="5">
        <f>IF(B1231="","",IFERROR(VLOOKUP(B1231, PLANTA_BASE!A:R, 17, FALSE), "GENERAL"))</f>
        <v/>
      </c>
    </row>
    <row r="1232" ht="20" customHeight="1">
      <c r="A1232" s="2">
        <f>IF(B1232="","",IFERROR(VLOOKUP(B1232, PLANTA_BASE!A:R, 2, FALSE), "NO ENCONTRADO EN PLANTA"))</f>
        <v/>
      </c>
      <c r="B1232" s="3" t="inlineStr"/>
      <c r="C1232" s="4">
        <f>IF(B1232="","",IFERROR(VLOOKUP(B1232, PLANTA_BASE!A:R, 3, FALSE), ""))</f>
        <v/>
      </c>
      <c r="D1232" s="2">
        <f>IF(B1232="","",IFERROR(VLOOKUP(B1232, PLANTA_BASE!A:R, 5, FALSE), "NO ENCONTRADO EN PLANTA"))</f>
        <v/>
      </c>
      <c r="E1232" s="2">
        <f>IF(B1232="","",IFERROR(VLOOKUP(B1232, PLANTA_BASE!A:R, 6, FALSE), "NO ENCONTRADO EN PLANTA"))</f>
        <v/>
      </c>
      <c r="F1232" s="4">
        <f>IF(B1232="","",IFERROR(VLOOKUP(B1232, PLANTA_BASE!A:R, 8, FALSE), "DOCENTE / FACILITADOR"))</f>
        <v/>
      </c>
      <c r="G1232" s="4">
        <f>IF(B1232="","",IFERROR(VLOOKUP(B1232, PLANTA_BASE!A:R, 9, FALSE), "GENERAL"))</f>
        <v/>
      </c>
      <c r="H1232" s="2">
        <f>IF(B1232="","",IFERROR(VLOOKUP(B1232, PLANTA_BASE!A:R, 17, FALSE), "GENERAL"))</f>
        <v/>
      </c>
    </row>
    <row r="1233" ht="20" customHeight="1">
      <c r="A1233" s="5">
        <f>IF(B1233="","",IFERROR(VLOOKUP(B1233, PLANTA_BASE!A:R, 2, FALSE), "NO ENCONTRADO EN PLANTA"))</f>
        <v/>
      </c>
      <c r="B1233" s="6" t="inlineStr"/>
      <c r="C1233" s="7">
        <f>IF(B1233="","",IFERROR(VLOOKUP(B1233, PLANTA_BASE!A:R, 3, FALSE), ""))</f>
        <v/>
      </c>
      <c r="D1233" s="5">
        <f>IF(B1233="","",IFERROR(VLOOKUP(B1233, PLANTA_BASE!A:R, 5, FALSE), "NO ENCONTRADO EN PLANTA"))</f>
        <v/>
      </c>
      <c r="E1233" s="5">
        <f>IF(B1233="","",IFERROR(VLOOKUP(B1233, PLANTA_BASE!A:R, 6, FALSE), "NO ENCONTRADO EN PLANTA"))</f>
        <v/>
      </c>
      <c r="F1233" s="7">
        <f>IF(B1233="","",IFERROR(VLOOKUP(B1233, PLANTA_BASE!A:R, 8, FALSE), "DOCENTE / FACILITADOR"))</f>
        <v/>
      </c>
      <c r="G1233" s="7">
        <f>IF(B1233="","",IFERROR(VLOOKUP(B1233, PLANTA_BASE!A:R, 9, FALSE), "GENERAL"))</f>
        <v/>
      </c>
      <c r="H1233" s="5">
        <f>IF(B1233="","",IFERROR(VLOOKUP(B1233, PLANTA_BASE!A:R, 17, FALSE), "GENERAL"))</f>
        <v/>
      </c>
    </row>
    <row r="1234" ht="20" customHeight="1">
      <c r="A1234" s="2">
        <f>IF(B1234="","",IFERROR(VLOOKUP(B1234, PLANTA_BASE!A:R, 2, FALSE), "NO ENCONTRADO EN PLANTA"))</f>
        <v/>
      </c>
      <c r="B1234" s="3" t="inlineStr"/>
      <c r="C1234" s="4">
        <f>IF(B1234="","",IFERROR(VLOOKUP(B1234, PLANTA_BASE!A:R, 3, FALSE), ""))</f>
        <v/>
      </c>
      <c r="D1234" s="2">
        <f>IF(B1234="","",IFERROR(VLOOKUP(B1234, PLANTA_BASE!A:R, 5, FALSE), "NO ENCONTRADO EN PLANTA"))</f>
        <v/>
      </c>
      <c r="E1234" s="2">
        <f>IF(B1234="","",IFERROR(VLOOKUP(B1234, PLANTA_BASE!A:R, 6, FALSE), "NO ENCONTRADO EN PLANTA"))</f>
        <v/>
      </c>
      <c r="F1234" s="4">
        <f>IF(B1234="","",IFERROR(VLOOKUP(B1234, PLANTA_BASE!A:R, 8, FALSE), "DOCENTE / FACILITADOR"))</f>
        <v/>
      </c>
      <c r="G1234" s="4">
        <f>IF(B1234="","",IFERROR(VLOOKUP(B1234, PLANTA_BASE!A:R, 9, FALSE), "GENERAL"))</f>
        <v/>
      </c>
      <c r="H1234" s="2">
        <f>IF(B1234="","",IFERROR(VLOOKUP(B1234, PLANTA_BASE!A:R, 17, FALSE), "GENERAL"))</f>
        <v/>
      </c>
    </row>
    <row r="1235" ht="20" customHeight="1">
      <c r="A1235" s="5">
        <f>IF(B1235="","",IFERROR(VLOOKUP(B1235, PLANTA_BASE!A:R, 2, FALSE), "NO ENCONTRADO EN PLANTA"))</f>
        <v/>
      </c>
      <c r="B1235" s="6" t="inlineStr"/>
      <c r="C1235" s="7">
        <f>IF(B1235="","",IFERROR(VLOOKUP(B1235, PLANTA_BASE!A:R, 3, FALSE), ""))</f>
        <v/>
      </c>
      <c r="D1235" s="5">
        <f>IF(B1235="","",IFERROR(VLOOKUP(B1235, PLANTA_BASE!A:R, 5, FALSE), "NO ENCONTRADO EN PLANTA"))</f>
        <v/>
      </c>
      <c r="E1235" s="5">
        <f>IF(B1235="","",IFERROR(VLOOKUP(B1235, PLANTA_BASE!A:R, 6, FALSE), "NO ENCONTRADO EN PLANTA"))</f>
        <v/>
      </c>
      <c r="F1235" s="7">
        <f>IF(B1235="","",IFERROR(VLOOKUP(B1235, PLANTA_BASE!A:R, 8, FALSE), "DOCENTE / FACILITADOR"))</f>
        <v/>
      </c>
      <c r="G1235" s="7">
        <f>IF(B1235="","",IFERROR(VLOOKUP(B1235, PLANTA_BASE!A:R, 9, FALSE), "GENERAL"))</f>
        <v/>
      </c>
      <c r="H1235" s="5">
        <f>IF(B1235="","",IFERROR(VLOOKUP(B1235, PLANTA_BASE!A:R, 17, FALSE), "GENERAL"))</f>
        <v/>
      </c>
    </row>
    <row r="1236" ht="20" customHeight="1">
      <c r="A1236" s="2">
        <f>IF(B1236="","",IFERROR(VLOOKUP(B1236, PLANTA_BASE!A:R, 2, FALSE), "NO ENCONTRADO EN PLANTA"))</f>
        <v/>
      </c>
      <c r="B1236" s="3" t="inlineStr"/>
      <c r="C1236" s="4">
        <f>IF(B1236="","",IFERROR(VLOOKUP(B1236, PLANTA_BASE!A:R, 3, FALSE), ""))</f>
        <v/>
      </c>
      <c r="D1236" s="2">
        <f>IF(B1236="","",IFERROR(VLOOKUP(B1236, PLANTA_BASE!A:R, 5, FALSE), "NO ENCONTRADO EN PLANTA"))</f>
        <v/>
      </c>
      <c r="E1236" s="2">
        <f>IF(B1236="","",IFERROR(VLOOKUP(B1236, PLANTA_BASE!A:R, 6, FALSE), "NO ENCONTRADO EN PLANTA"))</f>
        <v/>
      </c>
      <c r="F1236" s="4">
        <f>IF(B1236="","",IFERROR(VLOOKUP(B1236, PLANTA_BASE!A:R, 8, FALSE), "DOCENTE / FACILITADOR"))</f>
        <v/>
      </c>
      <c r="G1236" s="4">
        <f>IF(B1236="","",IFERROR(VLOOKUP(B1236, PLANTA_BASE!A:R, 9, FALSE), "GENERAL"))</f>
        <v/>
      </c>
      <c r="H1236" s="2">
        <f>IF(B1236="","",IFERROR(VLOOKUP(B1236, PLANTA_BASE!A:R, 17, FALSE), "GENERAL"))</f>
        <v/>
      </c>
    </row>
    <row r="1237" ht="20" customHeight="1">
      <c r="A1237" s="5">
        <f>IF(B1237="","",IFERROR(VLOOKUP(B1237, PLANTA_BASE!A:R, 2, FALSE), "NO ENCONTRADO EN PLANTA"))</f>
        <v/>
      </c>
      <c r="B1237" s="6" t="inlineStr"/>
      <c r="C1237" s="7">
        <f>IF(B1237="","",IFERROR(VLOOKUP(B1237, PLANTA_BASE!A:R, 3, FALSE), ""))</f>
        <v/>
      </c>
      <c r="D1237" s="5">
        <f>IF(B1237="","",IFERROR(VLOOKUP(B1237, PLANTA_BASE!A:R, 5, FALSE), "NO ENCONTRADO EN PLANTA"))</f>
        <v/>
      </c>
      <c r="E1237" s="5">
        <f>IF(B1237="","",IFERROR(VLOOKUP(B1237, PLANTA_BASE!A:R, 6, FALSE), "NO ENCONTRADO EN PLANTA"))</f>
        <v/>
      </c>
      <c r="F1237" s="7">
        <f>IF(B1237="","",IFERROR(VLOOKUP(B1237, PLANTA_BASE!A:R, 8, FALSE), "DOCENTE / FACILITADOR"))</f>
        <v/>
      </c>
      <c r="G1237" s="7">
        <f>IF(B1237="","",IFERROR(VLOOKUP(B1237, PLANTA_BASE!A:R, 9, FALSE), "GENERAL"))</f>
        <v/>
      </c>
      <c r="H1237" s="5">
        <f>IF(B1237="","",IFERROR(VLOOKUP(B1237, PLANTA_BASE!A:R, 17, FALSE), "GENERAL"))</f>
        <v/>
      </c>
    </row>
    <row r="1238" ht="20" customHeight="1">
      <c r="A1238" s="2">
        <f>IF(B1238="","",IFERROR(VLOOKUP(B1238, PLANTA_BASE!A:R, 2, FALSE), "NO ENCONTRADO EN PLANTA"))</f>
        <v/>
      </c>
      <c r="B1238" s="3" t="inlineStr"/>
      <c r="C1238" s="4">
        <f>IF(B1238="","",IFERROR(VLOOKUP(B1238, PLANTA_BASE!A:R, 3, FALSE), ""))</f>
        <v/>
      </c>
      <c r="D1238" s="2">
        <f>IF(B1238="","",IFERROR(VLOOKUP(B1238, PLANTA_BASE!A:R, 5, FALSE), "NO ENCONTRADO EN PLANTA"))</f>
        <v/>
      </c>
      <c r="E1238" s="2">
        <f>IF(B1238="","",IFERROR(VLOOKUP(B1238, PLANTA_BASE!A:R, 6, FALSE), "NO ENCONTRADO EN PLANTA"))</f>
        <v/>
      </c>
      <c r="F1238" s="4">
        <f>IF(B1238="","",IFERROR(VLOOKUP(B1238, PLANTA_BASE!A:R, 8, FALSE), "DOCENTE / FACILITADOR"))</f>
        <v/>
      </c>
      <c r="G1238" s="4">
        <f>IF(B1238="","",IFERROR(VLOOKUP(B1238, PLANTA_BASE!A:R, 9, FALSE), "GENERAL"))</f>
        <v/>
      </c>
      <c r="H1238" s="2">
        <f>IF(B1238="","",IFERROR(VLOOKUP(B1238, PLANTA_BASE!A:R, 17, FALSE), "GENERAL"))</f>
        <v/>
      </c>
    </row>
    <row r="1239" ht="20" customHeight="1">
      <c r="A1239" s="5">
        <f>IF(B1239="","",IFERROR(VLOOKUP(B1239, PLANTA_BASE!A:R, 2, FALSE), "NO ENCONTRADO EN PLANTA"))</f>
        <v/>
      </c>
      <c r="B1239" s="6" t="inlineStr"/>
      <c r="C1239" s="7">
        <f>IF(B1239="","",IFERROR(VLOOKUP(B1239, PLANTA_BASE!A:R, 3, FALSE), ""))</f>
        <v/>
      </c>
      <c r="D1239" s="5">
        <f>IF(B1239="","",IFERROR(VLOOKUP(B1239, PLANTA_BASE!A:R, 5, FALSE), "NO ENCONTRADO EN PLANTA"))</f>
        <v/>
      </c>
      <c r="E1239" s="5">
        <f>IF(B1239="","",IFERROR(VLOOKUP(B1239, PLANTA_BASE!A:R, 6, FALSE), "NO ENCONTRADO EN PLANTA"))</f>
        <v/>
      </c>
      <c r="F1239" s="7">
        <f>IF(B1239="","",IFERROR(VLOOKUP(B1239, PLANTA_BASE!A:R, 8, FALSE), "DOCENTE / FACILITADOR"))</f>
        <v/>
      </c>
      <c r="G1239" s="7">
        <f>IF(B1239="","",IFERROR(VLOOKUP(B1239, PLANTA_BASE!A:R, 9, FALSE), "GENERAL"))</f>
        <v/>
      </c>
      <c r="H1239" s="5">
        <f>IF(B1239="","",IFERROR(VLOOKUP(B1239, PLANTA_BASE!A:R, 17, FALSE), "GENERAL"))</f>
        <v/>
      </c>
    </row>
    <row r="1240" ht="20" customHeight="1">
      <c r="A1240" s="2">
        <f>IF(B1240="","",IFERROR(VLOOKUP(B1240, PLANTA_BASE!A:R, 2, FALSE), "NO ENCONTRADO EN PLANTA"))</f>
        <v/>
      </c>
      <c r="B1240" s="3" t="inlineStr"/>
      <c r="C1240" s="4">
        <f>IF(B1240="","",IFERROR(VLOOKUP(B1240, PLANTA_BASE!A:R, 3, FALSE), ""))</f>
        <v/>
      </c>
      <c r="D1240" s="2">
        <f>IF(B1240="","",IFERROR(VLOOKUP(B1240, PLANTA_BASE!A:R, 5, FALSE), "NO ENCONTRADO EN PLANTA"))</f>
        <v/>
      </c>
      <c r="E1240" s="2">
        <f>IF(B1240="","",IFERROR(VLOOKUP(B1240, PLANTA_BASE!A:R, 6, FALSE), "NO ENCONTRADO EN PLANTA"))</f>
        <v/>
      </c>
      <c r="F1240" s="4">
        <f>IF(B1240="","",IFERROR(VLOOKUP(B1240, PLANTA_BASE!A:R, 8, FALSE), "DOCENTE / FACILITADOR"))</f>
        <v/>
      </c>
      <c r="G1240" s="4">
        <f>IF(B1240="","",IFERROR(VLOOKUP(B1240, PLANTA_BASE!A:R, 9, FALSE), "GENERAL"))</f>
        <v/>
      </c>
      <c r="H1240" s="2">
        <f>IF(B1240="","",IFERROR(VLOOKUP(B1240, PLANTA_BASE!A:R, 17, FALSE), "GENERAL"))</f>
        <v/>
      </c>
    </row>
    <row r="1241" ht="20" customHeight="1">
      <c r="A1241" s="5">
        <f>IF(B1241="","",IFERROR(VLOOKUP(B1241, PLANTA_BASE!A:R, 2, FALSE), "NO ENCONTRADO EN PLANTA"))</f>
        <v/>
      </c>
      <c r="B1241" s="6" t="inlineStr"/>
      <c r="C1241" s="7">
        <f>IF(B1241="","",IFERROR(VLOOKUP(B1241, PLANTA_BASE!A:R, 3, FALSE), ""))</f>
        <v/>
      </c>
      <c r="D1241" s="5">
        <f>IF(B1241="","",IFERROR(VLOOKUP(B1241, PLANTA_BASE!A:R, 5, FALSE), "NO ENCONTRADO EN PLANTA"))</f>
        <v/>
      </c>
      <c r="E1241" s="5">
        <f>IF(B1241="","",IFERROR(VLOOKUP(B1241, PLANTA_BASE!A:R, 6, FALSE), "NO ENCONTRADO EN PLANTA"))</f>
        <v/>
      </c>
      <c r="F1241" s="7">
        <f>IF(B1241="","",IFERROR(VLOOKUP(B1241, PLANTA_BASE!A:R, 8, FALSE), "DOCENTE / FACILITADOR"))</f>
        <v/>
      </c>
      <c r="G1241" s="7">
        <f>IF(B1241="","",IFERROR(VLOOKUP(B1241, PLANTA_BASE!A:R, 9, FALSE), "GENERAL"))</f>
        <v/>
      </c>
      <c r="H1241" s="5">
        <f>IF(B1241="","",IFERROR(VLOOKUP(B1241, PLANTA_BASE!A:R, 17, FALSE), "GENERAL"))</f>
        <v/>
      </c>
    </row>
    <row r="1242" ht="20" customHeight="1">
      <c r="A1242" s="2">
        <f>IF(B1242="","",IFERROR(VLOOKUP(B1242, PLANTA_BASE!A:R, 2, FALSE), "NO ENCONTRADO EN PLANTA"))</f>
        <v/>
      </c>
      <c r="B1242" s="3" t="inlineStr"/>
      <c r="C1242" s="4">
        <f>IF(B1242="","",IFERROR(VLOOKUP(B1242, PLANTA_BASE!A:R, 3, FALSE), ""))</f>
        <v/>
      </c>
      <c r="D1242" s="2">
        <f>IF(B1242="","",IFERROR(VLOOKUP(B1242, PLANTA_BASE!A:R, 5, FALSE), "NO ENCONTRADO EN PLANTA"))</f>
        <v/>
      </c>
      <c r="E1242" s="2">
        <f>IF(B1242="","",IFERROR(VLOOKUP(B1242, PLANTA_BASE!A:R, 6, FALSE), "NO ENCONTRADO EN PLANTA"))</f>
        <v/>
      </c>
      <c r="F1242" s="4">
        <f>IF(B1242="","",IFERROR(VLOOKUP(B1242, PLANTA_BASE!A:R, 8, FALSE), "DOCENTE / FACILITADOR"))</f>
        <v/>
      </c>
      <c r="G1242" s="4">
        <f>IF(B1242="","",IFERROR(VLOOKUP(B1242, PLANTA_BASE!A:R, 9, FALSE), "GENERAL"))</f>
        <v/>
      </c>
      <c r="H1242" s="2">
        <f>IF(B1242="","",IFERROR(VLOOKUP(B1242, PLANTA_BASE!A:R, 17, FALSE), "GENERAL"))</f>
        <v/>
      </c>
    </row>
    <row r="1243" ht="20" customHeight="1">
      <c r="A1243" s="5">
        <f>IF(B1243="","",IFERROR(VLOOKUP(B1243, PLANTA_BASE!A:R, 2, FALSE), "NO ENCONTRADO EN PLANTA"))</f>
        <v/>
      </c>
      <c r="B1243" s="6" t="inlineStr"/>
      <c r="C1243" s="7">
        <f>IF(B1243="","",IFERROR(VLOOKUP(B1243, PLANTA_BASE!A:R, 3, FALSE), ""))</f>
        <v/>
      </c>
      <c r="D1243" s="5">
        <f>IF(B1243="","",IFERROR(VLOOKUP(B1243, PLANTA_BASE!A:R, 5, FALSE), "NO ENCONTRADO EN PLANTA"))</f>
        <v/>
      </c>
      <c r="E1243" s="5">
        <f>IF(B1243="","",IFERROR(VLOOKUP(B1243, PLANTA_BASE!A:R, 6, FALSE), "NO ENCONTRADO EN PLANTA"))</f>
        <v/>
      </c>
      <c r="F1243" s="7">
        <f>IF(B1243="","",IFERROR(VLOOKUP(B1243, PLANTA_BASE!A:R, 8, FALSE), "DOCENTE / FACILITADOR"))</f>
        <v/>
      </c>
      <c r="G1243" s="7">
        <f>IF(B1243="","",IFERROR(VLOOKUP(B1243, PLANTA_BASE!A:R, 9, FALSE), "GENERAL"))</f>
        <v/>
      </c>
      <c r="H1243" s="5">
        <f>IF(B1243="","",IFERROR(VLOOKUP(B1243, PLANTA_BASE!A:R, 17, FALSE), "GENERAL"))</f>
        <v/>
      </c>
    </row>
    <row r="1244" ht="20" customHeight="1">
      <c r="A1244" s="2">
        <f>IF(B1244="","",IFERROR(VLOOKUP(B1244, PLANTA_BASE!A:R, 2, FALSE), "NO ENCONTRADO EN PLANTA"))</f>
        <v/>
      </c>
      <c r="B1244" s="3" t="inlineStr"/>
      <c r="C1244" s="4">
        <f>IF(B1244="","",IFERROR(VLOOKUP(B1244, PLANTA_BASE!A:R, 3, FALSE), ""))</f>
        <v/>
      </c>
      <c r="D1244" s="2">
        <f>IF(B1244="","",IFERROR(VLOOKUP(B1244, PLANTA_BASE!A:R, 5, FALSE), "NO ENCONTRADO EN PLANTA"))</f>
        <v/>
      </c>
      <c r="E1244" s="2">
        <f>IF(B1244="","",IFERROR(VLOOKUP(B1244, PLANTA_BASE!A:R, 6, FALSE), "NO ENCONTRADO EN PLANTA"))</f>
        <v/>
      </c>
      <c r="F1244" s="4">
        <f>IF(B1244="","",IFERROR(VLOOKUP(B1244, PLANTA_BASE!A:R, 8, FALSE), "DOCENTE / FACILITADOR"))</f>
        <v/>
      </c>
      <c r="G1244" s="4">
        <f>IF(B1244="","",IFERROR(VLOOKUP(B1244, PLANTA_BASE!A:R, 9, FALSE), "GENERAL"))</f>
        <v/>
      </c>
      <c r="H1244" s="2">
        <f>IF(B1244="","",IFERROR(VLOOKUP(B1244, PLANTA_BASE!A:R, 17, FALSE), "GENERAL"))</f>
        <v/>
      </c>
    </row>
    <row r="1245" ht="20" customHeight="1">
      <c r="A1245" s="5">
        <f>IF(B1245="","",IFERROR(VLOOKUP(B1245, PLANTA_BASE!A:R, 2, FALSE), "NO ENCONTRADO EN PLANTA"))</f>
        <v/>
      </c>
      <c r="B1245" s="6" t="inlineStr"/>
      <c r="C1245" s="7">
        <f>IF(B1245="","",IFERROR(VLOOKUP(B1245, PLANTA_BASE!A:R, 3, FALSE), ""))</f>
        <v/>
      </c>
      <c r="D1245" s="5">
        <f>IF(B1245="","",IFERROR(VLOOKUP(B1245, PLANTA_BASE!A:R, 5, FALSE), "NO ENCONTRADO EN PLANTA"))</f>
        <v/>
      </c>
      <c r="E1245" s="5">
        <f>IF(B1245="","",IFERROR(VLOOKUP(B1245, PLANTA_BASE!A:R, 6, FALSE), "NO ENCONTRADO EN PLANTA"))</f>
        <v/>
      </c>
      <c r="F1245" s="7">
        <f>IF(B1245="","",IFERROR(VLOOKUP(B1245, PLANTA_BASE!A:R, 8, FALSE), "DOCENTE / FACILITADOR"))</f>
        <v/>
      </c>
      <c r="G1245" s="7">
        <f>IF(B1245="","",IFERROR(VLOOKUP(B1245, PLANTA_BASE!A:R, 9, FALSE), "GENERAL"))</f>
        <v/>
      </c>
      <c r="H1245" s="5">
        <f>IF(B1245="","",IFERROR(VLOOKUP(B1245, PLANTA_BASE!A:R, 17, FALSE), "GENERAL"))</f>
        <v/>
      </c>
    </row>
    <row r="1246" ht="20" customHeight="1">
      <c r="A1246" s="2">
        <f>IF(B1246="","",IFERROR(VLOOKUP(B1246, PLANTA_BASE!A:R, 2, FALSE), "NO ENCONTRADO EN PLANTA"))</f>
        <v/>
      </c>
      <c r="B1246" s="3" t="inlineStr"/>
      <c r="C1246" s="4">
        <f>IF(B1246="","",IFERROR(VLOOKUP(B1246, PLANTA_BASE!A:R, 3, FALSE), ""))</f>
        <v/>
      </c>
      <c r="D1246" s="2">
        <f>IF(B1246="","",IFERROR(VLOOKUP(B1246, PLANTA_BASE!A:R, 5, FALSE), "NO ENCONTRADO EN PLANTA"))</f>
        <v/>
      </c>
      <c r="E1246" s="2">
        <f>IF(B1246="","",IFERROR(VLOOKUP(B1246, PLANTA_BASE!A:R, 6, FALSE), "NO ENCONTRADO EN PLANTA"))</f>
        <v/>
      </c>
      <c r="F1246" s="4">
        <f>IF(B1246="","",IFERROR(VLOOKUP(B1246, PLANTA_BASE!A:R, 8, FALSE), "DOCENTE / FACILITADOR"))</f>
        <v/>
      </c>
      <c r="G1246" s="4">
        <f>IF(B1246="","",IFERROR(VLOOKUP(B1246, PLANTA_BASE!A:R, 9, FALSE), "GENERAL"))</f>
        <v/>
      </c>
      <c r="H1246" s="2">
        <f>IF(B1246="","",IFERROR(VLOOKUP(B1246, PLANTA_BASE!A:R, 17, FALSE), "GENERAL"))</f>
        <v/>
      </c>
    </row>
    <row r="1247" ht="20" customHeight="1">
      <c r="A1247" s="5">
        <f>IF(B1247="","",IFERROR(VLOOKUP(B1247, PLANTA_BASE!A:R, 2, FALSE), "NO ENCONTRADO EN PLANTA"))</f>
        <v/>
      </c>
      <c r="B1247" s="6" t="inlineStr"/>
      <c r="C1247" s="7">
        <f>IF(B1247="","",IFERROR(VLOOKUP(B1247, PLANTA_BASE!A:R, 3, FALSE), ""))</f>
        <v/>
      </c>
      <c r="D1247" s="5">
        <f>IF(B1247="","",IFERROR(VLOOKUP(B1247, PLANTA_BASE!A:R, 5, FALSE), "NO ENCONTRADO EN PLANTA"))</f>
        <v/>
      </c>
      <c r="E1247" s="5">
        <f>IF(B1247="","",IFERROR(VLOOKUP(B1247, PLANTA_BASE!A:R, 6, FALSE), "NO ENCONTRADO EN PLANTA"))</f>
        <v/>
      </c>
      <c r="F1247" s="7">
        <f>IF(B1247="","",IFERROR(VLOOKUP(B1247, PLANTA_BASE!A:R, 8, FALSE), "DOCENTE / FACILITADOR"))</f>
        <v/>
      </c>
      <c r="G1247" s="7">
        <f>IF(B1247="","",IFERROR(VLOOKUP(B1247, PLANTA_BASE!A:R, 9, FALSE), "GENERAL"))</f>
        <v/>
      </c>
      <c r="H1247" s="5">
        <f>IF(B1247="","",IFERROR(VLOOKUP(B1247, PLANTA_BASE!A:R, 17, FALSE), "GENERAL"))</f>
        <v/>
      </c>
    </row>
    <row r="1248" ht="20" customHeight="1">
      <c r="A1248" s="2">
        <f>IF(B1248="","",IFERROR(VLOOKUP(B1248, PLANTA_BASE!A:R, 2, FALSE), "NO ENCONTRADO EN PLANTA"))</f>
        <v/>
      </c>
      <c r="B1248" s="3" t="inlineStr"/>
      <c r="C1248" s="4">
        <f>IF(B1248="","",IFERROR(VLOOKUP(B1248, PLANTA_BASE!A:R, 3, FALSE), ""))</f>
        <v/>
      </c>
      <c r="D1248" s="2">
        <f>IF(B1248="","",IFERROR(VLOOKUP(B1248, PLANTA_BASE!A:R, 5, FALSE), "NO ENCONTRADO EN PLANTA"))</f>
        <v/>
      </c>
      <c r="E1248" s="2">
        <f>IF(B1248="","",IFERROR(VLOOKUP(B1248, PLANTA_BASE!A:R, 6, FALSE), "NO ENCONTRADO EN PLANTA"))</f>
        <v/>
      </c>
      <c r="F1248" s="4">
        <f>IF(B1248="","",IFERROR(VLOOKUP(B1248, PLANTA_BASE!A:R, 8, FALSE), "DOCENTE / FACILITADOR"))</f>
        <v/>
      </c>
      <c r="G1248" s="4">
        <f>IF(B1248="","",IFERROR(VLOOKUP(B1248, PLANTA_BASE!A:R, 9, FALSE), "GENERAL"))</f>
        <v/>
      </c>
      <c r="H1248" s="2">
        <f>IF(B1248="","",IFERROR(VLOOKUP(B1248, PLANTA_BASE!A:R, 17, FALSE), "GENERAL"))</f>
        <v/>
      </c>
    </row>
    <row r="1249" ht="20" customHeight="1">
      <c r="A1249" s="5">
        <f>IF(B1249="","",IFERROR(VLOOKUP(B1249, PLANTA_BASE!A:R, 2, FALSE), "NO ENCONTRADO EN PLANTA"))</f>
        <v/>
      </c>
      <c r="B1249" s="6" t="inlineStr"/>
      <c r="C1249" s="7">
        <f>IF(B1249="","",IFERROR(VLOOKUP(B1249, PLANTA_BASE!A:R, 3, FALSE), ""))</f>
        <v/>
      </c>
      <c r="D1249" s="5">
        <f>IF(B1249="","",IFERROR(VLOOKUP(B1249, PLANTA_BASE!A:R, 5, FALSE), "NO ENCONTRADO EN PLANTA"))</f>
        <v/>
      </c>
      <c r="E1249" s="5">
        <f>IF(B1249="","",IFERROR(VLOOKUP(B1249, PLANTA_BASE!A:R, 6, FALSE), "NO ENCONTRADO EN PLANTA"))</f>
        <v/>
      </c>
      <c r="F1249" s="7">
        <f>IF(B1249="","",IFERROR(VLOOKUP(B1249, PLANTA_BASE!A:R, 8, FALSE), "DOCENTE / FACILITADOR"))</f>
        <v/>
      </c>
      <c r="G1249" s="7">
        <f>IF(B1249="","",IFERROR(VLOOKUP(B1249, PLANTA_BASE!A:R, 9, FALSE), "GENERAL"))</f>
        <v/>
      </c>
      <c r="H1249" s="5">
        <f>IF(B1249="","",IFERROR(VLOOKUP(B1249, PLANTA_BASE!A:R, 17, FALSE), "GENERAL"))</f>
        <v/>
      </c>
    </row>
    <row r="1250" ht="20" customHeight="1">
      <c r="A1250" s="2">
        <f>IF(B1250="","",IFERROR(VLOOKUP(B1250, PLANTA_BASE!A:R, 2, FALSE), "NO ENCONTRADO EN PLANTA"))</f>
        <v/>
      </c>
      <c r="B1250" s="3" t="inlineStr"/>
      <c r="C1250" s="4">
        <f>IF(B1250="","",IFERROR(VLOOKUP(B1250, PLANTA_BASE!A:R, 3, FALSE), ""))</f>
        <v/>
      </c>
      <c r="D1250" s="2">
        <f>IF(B1250="","",IFERROR(VLOOKUP(B1250, PLANTA_BASE!A:R, 5, FALSE), "NO ENCONTRADO EN PLANTA"))</f>
        <v/>
      </c>
      <c r="E1250" s="2">
        <f>IF(B1250="","",IFERROR(VLOOKUP(B1250, PLANTA_BASE!A:R, 6, FALSE), "NO ENCONTRADO EN PLANTA"))</f>
        <v/>
      </c>
      <c r="F1250" s="4">
        <f>IF(B1250="","",IFERROR(VLOOKUP(B1250, PLANTA_BASE!A:R, 8, FALSE), "DOCENTE / FACILITADOR"))</f>
        <v/>
      </c>
      <c r="G1250" s="4">
        <f>IF(B1250="","",IFERROR(VLOOKUP(B1250, PLANTA_BASE!A:R, 9, FALSE), "GENERAL"))</f>
        <v/>
      </c>
      <c r="H1250" s="2">
        <f>IF(B1250="","",IFERROR(VLOOKUP(B1250, PLANTA_BASE!A:R, 17, FALSE), "GENERAL"))</f>
        <v/>
      </c>
    </row>
    <row r="1251" ht="20" customHeight="1">
      <c r="A1251" s="5">
        <f>IF(B1251="","",IFERROR(VLOOKUP(B1251, PLANTA_BASE!A:R, 2, FALSE), "NO ENCONTRADO EN PLANTA"))</f>
        <v/>
      </c>
      <c r="B1251" s="6" t="inlineStr"/>
      <c r="C1251" s="7">
        <f>IF(B1251="","",IFERROR(VLOOKUP(B1251, PLANTA_BASE!A:R, 3, FALSE), ""))</f>
        <v/>
      </c>
      <c r="D1251" s="5">
        <f>IF(B1251="","",IFERROR(VLOOKUP(B1251, PLANTA_BASE!A:R, 5, FALSE), "NO ENCONTRADO EN PLANTA"))</f>
        <v/>
      </c>
      <c r="E1251" s="5">
        <f>IF(B1251="","",IFERROR(VLOOKUP(B1251, PLANTA_BASE!A:R, 6, FALSE), "NO ENCONTRADO EN PLANTA"))</f>
        <v/>
      </c>
      <c r="F1251" s="7">
        <f>IF(B1251="","",IFERROR(VLOOKUP(B1251, PLANTA_BASE!A:R, 8, FALSE), "DOCENTE / FACILITADOR"))</f>
        <v/>
      </c>
      <c r="G1251" s="7">
        <f>IF(B1251="","",IFERROR(VLOOKUP(B1251, PLANTA_BASE!A:R, 9, FALSE), "GENERAL"))</f>
        <v/>
      </c>
      <c r="H1251" s="5">
        <f>IF(B1251="","",IFERROR(VLOOKUP(B1251, PLANTA_BASE!A:R, 17, FALSE), "GENERAL"))</f>
        <v/>
      </c>
    </row>
    <row r="1252" ht="20" customHeight="1">
      <c r="A1252" s="2">
        <f>IF(B1252="","",IFERROR(VLOOKUP(B1252, PLANTA_BASE!A:R, 2, FALSE), "NO ENCONTRADO EN PLANTA"))</f>
        <v/>
      </c>
      <c r="B1252" s="3" t="inlineStr"/>
      <c r="C1252" s="4">
        <f>IF(B1252="","",IFERROR(VLOOKUP(B1252, PLANTA_BASE!A:R, 3, FALSE), ""))</f>
        <v/>
      </c>
      <c r="D1252" s="2">
        <f>IF(B1252="","",IFERROR(VLOOKUP(B1252, PLANTA_BASE!A:R, 5, FALSE), "NO ENCONTRADO EN PLANTA"))</f>
        <v/>
      </c>
      <c r="E1252" s="2">
        <f>IF(B1252="","",IFERROR(VLOOKUP(B1252, PLANTA_BASE!A:R, 6, FALSE), "NO ENCONTRADO EN PLANTA"))</f>
        <v/>
      </c>
      <c r="F1252" s="4">
        <f>IF(B1252="","",IFERROR(VLOOKUP(B1252, PLANTA_BASE!A:R, 8, FALSE), "DOCENTE / FACILITADOR"))</f>
        <v/>
      </c>
      <c r="G1252" s="4">
        <f>IF(B1252="","",IFERROR(VLOOKUP(B1252, PLANTA_BASE!A:R, 9, FALSE), "GENERAL"))</f>
        <v/>
      </c>
      <c r="H1252" s="2">
        <f>IF(B1252="","",IFERROR(VLOOKUP(B1252, PLANTA_BASE!A:R, 17, FALSE), "GENERAL"))</f>
        <v/>
      </c>
    </row>
    <row r="1253" ht="20" customHeight="1">
      <c r="A1253" s="5">
        <f>IF(B1253="","",IFERROR(VLOOKUP(B1253, PLANTA_BASE!A:R, 2, FALSE), "NO ENCONTRADO EN PLANTA"))</f>
        <v/>
      </c>
      <c r="B1253" s="6" t="inlineStr"/>
      <c r="C1253" s="7">
        <f>IF(B1253="","",IFERROR(VLOOKUP(B1253, PLANTA_BASE!A:R, 3, FALSE), ""))</f>
        <v/>
      </c>
      <c r="D1253" s="5">
        <f>IF(B1253="","",IFERROR(VLOOKUP(B1253, PLANTA_BASE!A:R, 5, FALSE), "NO ENCONTRADO EN PLANTA"))</f>
        <v/>
      </c>
      <c r="E1253" s="5">
        <f>IF(B1253="","",IFERROR(VLOOKUP(B1253, PLANTA_BASE!A:R, 6, FALSE), "NO ENCONTRADO EN PLANTA"))</f>
        <v/>
      </c>
      <c r="F1253" s="7">
        <f>IF(B1253="","",IFERROR(VLOOKUP(B1253, PLANTA_BASE!A:R, 8, FALSE), "DOCENTE / FACILITADOR"))</f>
        <v/>
      </c>
      <c r="G1253" s="7">
        <f>IF(B1253="","",IFERROR(VLOOKUP(B1253, PLANTA_BASE!A:R, 9, FALSE), "GENERAL"))</f>
        <v/>
      </c>
      <c r="H1253" s="5">
        <f>IF(B1253="","",IFERROR(VLOOKUP(B1253, PLANTA_BASE!A:R, 17, FALSE), "GENERAL"))</f>
        <v/>
      </c>
    </row>
    <row r="1254" ht="20" customHeight="1">
      <c r="A1254" s="2">
        <f>IF(B1254="","",IFERROR(VLOOKUP(B1254, PLANTA_BASE!A:R, 2, FALSE), "NO ENCONTRADO EN PLANTA"))</f>
        <v/>
      </c>
      <c r="B1254" s="3" t="inlineStr"/>
      <c r="C1254" s="4">
        <f>IF(B1254="","",IFERROR(VLOOKUP(B1254, PLANTA_BASE!A:R, 3, FALSE), ""))</f>
        <v/>
      </c>
      <c r="D1254" s="2">
        <f>IF(B1254="","",IFERROR(VLOOKUP(B1254, PLANTA_BASE!A:R, 5, FALSE), "NO ENCONTRADO EN PLANTA"))</f>
        <v/>
      </c>
      <c r="E1254" s="2">
        <f>IF(B1254="","",IFERROR(VLOOKUP(B1254, PLANTA_BASE!A:R, 6, FALSE), "NO ENCONTRADO EN PLANTA"))</f>
        <v/>
      </c>
      <c r="F1254" s="4">
        <f>IF(B1254="","",IFERROR(VLOOKUP(B1254, PLANTA_BASE!A:R, 8, FALSE), "DOCENTE / FACILITADOR"))</f>
        <v/>
      </c>
      <c r="G1254" s="4">
        <f>IF(B1254="","",IFERROR(VLOOKUP(B1254, PLANTA_BASE!A:R, 9, FALSE), "GENERAL"))</f>
        <v/>
      </c>
      <c r="H1254" s="2">
        <f>IF(B1254="","",IFERROR(VLOOKUP(B1254, PLANTA_BASE!A:R, 17, FALSE), "GENERAL"))</f>
        <v/>
      </c>
    </row>
    <row r="1255" ht="20" customHeight="1">
      <c r="A1255" s="5">
        <f>IF(B1255="","",IFERROR(VLOOKUP(B1255, PLANTA_BASE!A:R, 2, FALSE), "NO ENCONTRADO EN PLANTA"))</f>
        <v/>
      </c>
      <c r="B1255" s="6" t="inlineStr"/>
      <c r="C1255" s="7">
        <f>IF(B1255="","",IFERROR(VLOOKUP(B1255, PLANTA_BASE!A:R, 3, FALSE), ""))</f>
        <v/>
      </c>
      <c r="D1255" s="5">
        <f>IF(B1255="","",IFERROR(VLOOKUP(B1255, PLANTA_BASE!A:R, 5, FALSE), "NO ENCONTRADO EN PLANTA"))</f>
        <v/>
      </c>
      <c r="E1255" s="5">
        <f>IF(B1255="","",IFERROR(VLOOKUP(B1255, PLANTA_BASE!A:R, 6, FALSE), "NO ENCONTRADO EN PLANTA"))</f>
        <v/>
      </c>
      <c r="F1255" s="7">
        <f>IF(B1255="","",IFERROR(VLOOKUP(B1255, PLANTA_BASE!A:R, 8, FALSE), "DOCENTE / FACILITADOR"))</f>
        <v/>
      </c>
      <c r="G1255" s="7">
        <f>IF(B1255="","",IFERROR(VLOOKUP(B1255, PLANTA_BASE!A:R, 9, FALSE), "GENERAL"))</f>
        <v/>
      </c>
      <c r="H1255" s="5">
        <f>IF(B1255="","",IFERROR(VLOOKUP(B1255, PLANTA_BASE!A:R, 17, FALSE), "GENERAL"))</f>
        <v/>
      </c>
    </row>
    <row r="1256" ht="20" customHeight="1">
      <c r="A1256" s="2">
        <f>IF(B1256="","",IFERROR(VLOOKUP(B1256, PLANTA_BASE!A:R, 2, FALSE), "NO ENCONTRADO EN PLANTA"))</f>
        <v/>
      </c>
      <c r="B1256" s="3" t="inlineStr"/>
      <c r="C1256" s="4">
        <f>IF(B1256="","",IFERROR(VLOOKUP(B1256, PLANTA_BASE!A:R, 3, FALSE), ""))</f>
        <v/>
      </c>
      <c r="D1256" s="2">
        <f>IF(B1256="","",IFERROR(VLOOKUP(B1256, PLANTA_BASE!A:R, 5, FALSE), "NO ENCONTRADO EN PLANTA"))</f>
        <v/>
      </c>
      <c r="E1256" s="2">
        <f>IF(B1256="","",IFERROR(VLOOKUP(B1256, PLANTA_BASE!A:R, 6, FALSE), "NO ENCONTRADO EN PLANTA"))</f>
        <v/>
      </c>
      <c r="F1256" s="4">
        <f>IF(B1256="","",IFERROR(VLOOKUP(B1256, PLANTA_BASE!A:R, 8, FALSE), "DOCENTE / FACILITADOR"))</f>
        <v/>
      </c>
      <c r="G1256" s="4">
        <f>IF(B1256="","",IFERROR(VLOOKUP(B1256, PLANTA_BASE!A:R, 9, FALSE), "GENERAL"))</f>
        <v/>
      </c>
      <c r="H1256" s="2">
        <f>IF(B1256="","",IFERROR(VLOOKUP(B1256, PLANTA_BASE!A:R, 17, FALSE), "GENERAL"))</f>
        <v/>
      </c>
    </row>
    <row r="1257" ht="20" customHeight="1">
      <c r="A1257" s="5">
        <f>IF(B1257="","",IFERROR(VLOOKUP(B1257, PLANTA_BASE!A:R, 2, FALSE), "NO ENCONTRADO EN PLANTA"))</f>
        <v/>
      </c>
      <c r="B1257" s="6" t="inlineStr"/>
      <c r="C1257" s="7">
        <f>IF(B1257="","",IFERROR(VLOOKUP(B1257, PLANTA_BASE!A:R, 3, FALSE), ""))</f>
        <v/>
      </c>
      <c r="D1257" s="5">
        <f>IF(B1257="","",IFERROR(VLOOKUP(B1257, PLANTA_BASE!A:R, 5, FALSE), "NO ENCONTRADO EN PLANTA"))</f>
        <v/>
      </c>
      <c r="E1257" s="5">
        <f>IF(B1257="","",IFERROR(VLOOKUP(B1257, PLANTA_BASE!A:R, 6, FALSE), "NO ENCONTRADO EN PLANTA"))</f>
        <v/>
      </c>
      <c r="F1257" s="7">
        <f>IF(B1257="","",IFERROR(VLOOKUP(B1257, PLANTA_BASE!A:R, 8, FALSE), "DOCENTE / FACILITADOR"))</f>
        <v/>
      </c>
      <c r="G1257" s="7">
        <f>IF(B1257="","",IFERROR(VLOOKUP(B1257, PLANTA_BASE!A:R, 9, FALSE), "GENERAL"))</f>
        <v/>
      </c>
      <c r="H1257" s="5">
        <f>IF(B1257="","",IFERROR(VLOOKUP(B1257, PLANTA_BASE!A:R, 17, FALSE), "GENERAL"))</f>
        <v/>
      </c>
    </row>
    <row r="1258" ht="20" customHeight="1">
      <c r="A1258" s="2">
        <f>IF(B1258="","",IFERROR(VLOOKUP(B1258, PLANTA_BASE!A:R, 2, FALSE), "NO ENCONTRADO EN PLANTA"))</f>
        <v/>
      </c>
      <c r="B1258" s="3" t="inlineStr"/>
      <c r="C1258" s="4">
        <f>IF(B1258="","",IFERROR(VLOOKUP(B1258, PLANTA_BASE!A:R, 3, FALSE), ""))</f>
        <v/>
      </c>
      <c r="D1258" s="2">
        <f>IF(B1258="","",IFERROR(VLOOKUP(B1258, PLANTA_BASE!A:R, 5, FALSE), "NO ENCONTRADO EN PLANTA"))</f>
        <v/>
      </c>
      <c r="E1258" s="2">
        <f>IF(B1258="","",IFERROR(VLOOKUP(B1258, PLANTA_BASE!A:R, 6, FALSE), "NO ENCONTRADO EN PLANTA"))</f>
        <v/>
      </c>
      <c r="F1258" s="4">
        <f>IF(B1258="","",IFERROR(VLOOKUP(B1258, PLANTA_BASE!A:R, 8, FALSE), "DOCENTE / FACILITADOR"))</f>
        <v/>
      </c>
      <c r="G1258" s="4">
        <f>IF(B1258="","",IFERROR(VLOOKUP(B1258, PLANTA_BASE!A:R, 9, FALSE), "GENERAL"))</f>
        <v/>
      </c>
      <c r="H1258" s="2">
        <f>IF(B1258="","",IFERROR(VLOOKUP(B1258, PLANTA_BASE!A:R, 17, FALSE), "GENERAL"))</f>
        <v/>
      </c>
    </row>
    <row r="1259" ht="20" customHeight="1">
      <c r="A1259" s="5">
        <f>IF(B1259="","",IFERROR(VLOOKUP(B1259, PLANTA_BASE!A:R, 2, FALSE), "NO ENCONTRADO EN PLANTA"))</f>
        <v/>
      </c>
      <c r="B1259" s="6" t="inlineStr"/>
      <c r="C1259" s="7">
        <f>IF(B1259="","",IFERROR(VLOOKUP(B1259, PLANTA_BASE!A:R, 3, FALSE), ""))</f>
        <v/>
      </c>
      <c r="D1259" s="5">
        <f>IF(B1259="","",IFERROR(VLOOKUP(B1259, PLANTA_BASE!A:R, 5, FALSE), "NO ENCONTRADO EN PLANTA"))</f>
        <v/>
      </c>
      <c r="E1259" s="5">
        <f>IF(B1259="","",IFERROR(VLOOKUP(B1259, PLANTA_BASE!A:R, 6, FALSE), "NO ENCONTRADO EN PLANTA"))</f>
        <v/>
      </c>
      <c r="F1259" s="7">
        <f>IF(B1259="","",IFERROR(VLOOKUP(B1259, PLANTA_BASE!A:R, 8, FALSE), "DOCENTE / FACILITADOR"))</f>
        <v/>
      </c>
      <c r="G1259" s="7">
        <f>IF(B1259="","",IFERROR(VLOOKUP(B1259, PLANTA_BASE!A:R, 9, FALSE), "GENERAL"))</f>
        <v/>
      </c>
      <c r="H1259" s="5">
        <f>IF(B1259="","",IFERROR(VLOOKUP(B1259, PLANTA_BASE!A:R, 17, FALSE), "GENERAL"))</f>
        <v/>
      </c>
    </row>
    <row r="1260" ht="20" customHeight="1">
      <c r="A1260" s="2">
        <f>IF(B1260="","",IFERROR(VLOOKUP(B1260, PLANTA_BASE!A:R, 2, FALSE), "NO ENCONTRADO EN PLANTA"))</f>
        <v/>
      </c>
      <c r="B1260" s="3" t="inlineStr"/>
      <c r="C1260" s="4">
        <f>IF(B1260="","",IFERROR(VLOOKUP(B1260, PLANTA_BASE!A:R, 3, FALSE), ""))</f>
        <v/>
      </c>
      <c r="D1260" s="2">
        <f>IF(B1260="","",IFERROR(VLOOKUP(B1260, PLANTA_BASE!A:R, 5, FALSE), "NO ENCONTRADO EN PLANTA"))</f>
        <v/>
      </c>
      <c r="E1260" s="2">
        <f>IF(B1260="","",IFERROR(VLOOKUP(B1260, PLANTA_BASE!A:R, 6, FALSE), "NO ENCONTRADO EN PLANTA"))</f>
        <v/>
      </c>
      <c r="F1260" s="4">
        <f>IF(B1260="","",IFERROR(VLOOKUP(B1260, PLANTA_BASE!A:R, 8, FALSE), "DOCENTE / FACILITADOR"))</f>
        <v/>
      </c>
      <c r="G1260" s="4">
        <f>IF(B1260="","",IFERROR(VLOOKUP(B1260, PLANTA_BASE!A:R, 9, FALSE), "GENERAL"))</f>
        <v/>
      </c>
      <c r="H1260" s="2">
        <f>IF(B1260="","",IFERROR(VLOOKUP(B1260, PLANTA_BASE!A:R, 17, FALSE), "GENERAL"))</f>
        <v/>
      </c>
    </row>
    <row r="1261" ht="20" customHeight="1">
      <c r="A1261" s="5">
        <f>IF(B1261="","",IFERROR(VLOOKUP(B1261, PLANTA_BASE!A:R, 2, FALSE), "NO ENCONTRADO EN PLANTA"))</f>
        <v/>
      </c>
      <c r="B1261" s="6" t="inlineStr"/>
      <c r="C1261" s="7">
        <f>IF(B1261="","",IFERROR(VLOOKUP(B1261, PLANTA_BASE!A:R, 3, FALSE), ""))</f>
        <v/>
      </c>
      <c r="D1261" s="5">
        <f>IF(B1261="","",IFERROR(VLOOKUP(B1261, PLANTA_BASE!A:R, 5, FALSE), "NO ENCONTRADO EN PLANTA"))</f>
        <v/>
      </c>
      <c r="E1261" s="5">
        <f>IF(B1261="","",IFERROR(VLOOKUP(B1261, PLANTA_BASE!A:R, 6, FALSE), "NO ENCONTRADO EN PLANTA"))</f>
        <v/>
      </c>
      <c r="F1261" s="7">
        <f>IF(B1261="","",IFERROR(VLOOKUP(B1261, PLANTA_BASE!A:R, 8, FALSE), "DOCENTE / FACILITADOR"))</f>
        <v/>
      </c>
      <c r="G1261" s="7">
        <f>IF(B1261="","",IFERROR(VLOOKUP(B1261, PLANTA_BASE!A:R, 9, FALSE), "GENERAL"))</f>
        <v/>
      </c>
      <c r="H1261" s="5">
        <f>IF(B1261="","",IFERROR(VLOOKUP(B1261, PLANTA_BASE!A:R, 17, FALSE), "GENERAL"))</f>
        <v/>
      </c>
    </row>
    <row r="1262" ht="20" customHeight="1">
      <c r="A1262" s="2">
        <f>IF(B1262="","",IFERROR(VLOOKUP(B1262, PLANTA_BASE!A:R, 2, FALSE), "NO ENCONTRADO EN PLANTA"))</f>
        <v/>
      </c>
      <c r="B1262" s="3" t="inlineStr"/>
      <c r="C1262" s="4">
        <f>IF(B1262="","",IFERROR(VLOOKUP(B1262, PLANTA_BASE!A:R, 3, FALSE), ""))</f>
        <v/>
      </c>
      <c r="D1262" s="2">
        <f>IF(B1262="","",IFERROR(VLOOKUP(B1262, PLANTA_BASE!A:R, 5, FALSE), "NO ENCONTRADO EN PLANTA"))</f>
        <v/>
      </c>
      <c r="E1262" s="2">
        <f>IF(B1262="","",IFERROR(VLOOKUP(B1262, PLANTA_BASE!A:R, 6, FALSE), "NO ENCONTRADO EN PLANTA"))</f>
        <v/>
      </c>
      <c r="F1262" s="4">
        <f>IF(B1262="","",IFERROR(VLOOKUP(B1262, PLANTA_BASE!A:R, 8, FALSE), "DOCENTE / FACILITADOR"))</f>
        <v/>
      </c>
      <c r="G1262" s="4">
        <f>IF(B1262="","",IFERROR(VLOOKUP(B1262, PLANTA_BASE!A:R, 9, FALSE), "GENERAL"))</f>
        <v/>
      </c>
      <c r="H1262" s="2">
        <f>IF(B1262="","",IFERROR(VLOOKUP(B1262, PLANTA_BASE!A:R, 17, FALSE), "GENERAL"))</f>
        <v/>
      </c>
    </row>
    <row r="1263" ht="20" customHeight="1">
      <c r="A1263" s="5">
        <f>IF(B1263="","",IFERROR(VLOOKUP(B1263, PLANTA_BASE!A:R, 2, FALSE), "NO ENCONTRADO EN PLANTA"))</f>
        <v/>
      </c>
      <c r="B1263" s="6" t="inlineStr"/>
      <c r="C1263" s="7">
        <f>IF(B1263="","",IFERROR(VLOOKUP(B1263, PLANTA_BASE!A:R, 3, FALSE), ""))</f>
        <v/>
      </c>
      <c r="D1263" s="5">
        <f>IF(B1263="","",IFERROR(VLOOKUP(B1263, PLANTA_BASE!A:R, 5, FALSE), "NO ENCONTRADO EN PLANTA"))</f>
        <v/>
      </c>
      <c r="E1263" s="5">
        <f>IF(B1263="","",IFERROR(VLOOKUP(B1263, PLANTA_BASE!A:R, 6, FALSE), "NO ENCONTRADO EN PLANTA"))</f>
        <v/>
      </c>
      <c r="F1263" s="7">
        <f>IF(B1263="","",IFERROR(VLOOKUP(B1263, PLANTA_BASE!A:R, 8, FALSE), "DOCENTE / FACILITADOR"))</f>
        <v/>
      </c>
      <c r="G1263" s="7">
        <f>IF(B1263="","",IFERROR(VLOOKUP(B1263, PLANTA_BASE!A:R, 9, FALSE), "GENERAL"))</f>
        <v/>
      </c>
      <c r="H1263" s="5">
        <f>IF(B1263="","",IFERROR(VLOOKUP(B1263, PLANTA_BASE!A:R, 17, FALSE), "GENERAL"))</f>
        <v/>
      </c>
    </row>
    <row r="1264" ht="20" customHeight="1">
      <c r="A1264" s="2">
        <f>IF(B1264="","",IFERROR(VLOOKUP(B1264, PLANTA_BASE!A:R, 2, FALSE), "NO ENCONTRADO EN PLANTA"))</f>
        <v/>
      </c>
      <c r="B1264" s="3" t="inlineStr"/>
      <c r="C1264" s="4">
        <f>IF(B1264="","",IFERROR(VLOOKUP(B1264, PLANTA_BASE!A:R, 3, FALSE), ""))</f>
        <v/>
      </c>
      <c r="D1264" s="2">
        <f>IF(B1264="","",IFERROR(VLOOKUP(B1264, PLANTA_BASE!A:R, 5, FALSE), "NO ENCONTRADO EN PLANTA"))</f>
        <v/>
      </c>
      <c r="E1264" s="2">
        <f>IF(B1264="","",IFERROR(VLOOKUP(B1264, PLANTA_BASE!A:R, 6, FALSE), "NO ENCONTRADO EN PLANTA"))</f>
        <v/>
      </c>
      <c r="F1264" s="4">
        <f>IF(B1264="","",IFERROR(VLOOKUP(B1264, PLANTA_BASE!A:R, 8, FALSE), "DOCENTE / FACILITADOR"))</f>
        <v/>
      </c>
      <c r="G1264" s="4">
        <f>IF(B1264="","",IFERROR(VLOOKUP(B1264, PLANTA_BASE!A:R, 9, FALSE), "GENERAL"))</f>
        <v/>
      </c>
      <c r="H1264" s="2">
        <f>IF(B1264="","",IFERROR(VLOOKUP(B1264, PLANTA_BASE!A:R, 17, FALSE), "GENERAL"))</f>
        <v/>
      </c>
    </row>
    <row r="1265" ht="20" customHeight="1">
      <c r="A1265" s="5">
        <f>IF(B1265="","",IFERROR(VLOOKUP(B1265, PLANTA_BASE!A:R, 2, FALSE), "NO ENCONTRADO EN PLANTA"))</f>
        <v/>
      </c>
      <c r="B1265" s="6" t="inlineStr"/>
      <c r="C1265" s="7">
        <f>IF(B1265="","",IFERROR(VLOOKUP(B1265, PLANTA_BASE!A:R, 3, FALSE), ""))</f>
        <v/>
      </c>
      <c r="D1265" s="5">
        <f>IF(B1265="","",IFERROR(VLOOKUP(B1265, PLANTA_BASE!A:R, 5, FALSE), "NO ENCONTRADO EN PLANTA"))</f>
        <v/>
      </c>
      <c r="E1265" s="5">
        <f>IF(B1265="","",IFERROR(VLOOKUP(B1265, PLANTA_BASE!A:R, 6, FALSE), "NO ENCONTRADO EN PLANTA"))</f>
        <v/>
      </c>
      <c r="F1265" s="7">
        <f>IF(B1265="","",IFERROR(VLOOKUP(B1265, PLANTA_BASE!A:R, 8, FALSE), "DOCENTE / FACILITADOR"))</f>
        <v/>
      </c>
      <c r="G1265" s="7">
        <f>IF(B1265="","",IFERROR(VLOOKUP(B1265, PLANTA_BASE!A:R, 9, FALSE), "GENERAL"))</f>
        <v/>
      </c>
      <c r="H1265" s="5">
        <f>IF(B1265="","",IFERROR(VLOOKUP(B1265, PLANTA_BASE!A:R, 17, FALSE), "GENERAL"))</f>
        <v/>
      </c>
    </row>
    <row r="1266" ht="20" customHeight="1">
      <c r="A1266" s="2">
        <f>IF(B1266="","",IFERROR(VLOOKUP(B1266, PLANTA_BASE!A:R, 2, FALSE), "NO ENCONTRADO EN PLANTA"))</f>
        <v/>
      </c>
      <c r="B1266" s="3" t="inlineStr"/>
      <c r="C1266" s="4">
        <f>IF(B1266="","",IFERROR(VLOOKUP(B1266, PLANTA_BASE!A:R, 3, FALSE), ""))</f>
        <v/>
      </c>
      <c r="D1266" s="2">
        <f>IF(B1266="","",IFERROR(VLOOKUP(B1266, PLANTA_BASE!A:R, 5, FALSE), "NO ENCONTRADO EN PLANTA"))</f>
        <v/>
      </c>
      <c r="E1266" s="2">
        <f>IF(B1266="","",IFERROR(VLOOKUP(B1266, PLANTA_BASE!A:R, 6, FALSE), "NO ENCONTRADO EN PLANTA"))</f>
        <v/>
      </c>
      <c r="F1266" s="4">
        <f>IF(B1266="","",IFERROR(VLOOKUP(B1266, PLANTA_BASE!A:R, 8, FALSE), "DOCENTE / FACILITADOR"))</f>
        <v/>
      </c>
      <c r="G1266" s="4">
        <f>IF(B1266="","",IFERROR(VLOOKUP(B1266, PLANTA_BASE!A:R, 9, FALSE), "GENERAL"))</f>
        <v/>
      </c>
      <c r="H1266" s="2">
        <f>IF(B1266="","",IFERROR(VLOOKUP(B1266, PLANTA_BASE!A:R, 17, FALSE), "GENERAL"))</f>
        <v/>
      </c>
    </row>
    <row r="1267" ht="20" customHeight="1">
      <c r="A1267" s="5">
        <f>IF(B1267="","",IFERROR(VLOOKUP(B1267, PLANTA_BASE!A:R, 2, FALSE), "NO ENCONTRADO EN PLANTA"))</f>
        <v/>
      </c>
      <c r="B1267" s="6" t="inlineStr"/>
      <c r="C1267" s="7">
        <f>IF(B1267="","",IFERROR(VLOOKUP(B1267, PLANTA_BASE!A:R, 3, FALSE), ""))</f>
        <v/>
      </c>
      <c r="D1267" s="5">
        <f>IF(B1267="","",IFERROR(VLOOKUP(B1267, PLANTA_BASE!A:R, 5, FALSE), "NO ENCONTRADO EN PLANTA"))</f>
        <v/>
      </c>
      <c r="E1267" s="5">
        <f>IF(B1267="","",IFERROR(VLOOKUP(B1267, PLANTA_BASE!A:R, 6, FALSE), "NO ENCONTRADO EN PLANTA"))</f>
        <v/>
      </c>
      <c r="F1267" s="7">
        <f>IF(B1267="","",IFERROR(VLOOKUP(B1267, PLANTA_BASE!A:R, 8, FALSE), "DOCENTE / FACILITADOR"))</f>
        <v/>
      </c>
      <c r="G1267" s="7">
        <f>IF(B1267="","",IFERROR(VLOOKUP(B1267, PLANTA_BASE!A:R, 9, FALSE), "GENERAL"))</f>
        <v/>
      </c>
      <c r="H1267" s="5">
        <f>IF(B1267="","",IFERROR(VLOOKUP(B1267, PLANTA_BASE!A:R, 17, FALSE), "GENERAL"))</f>
        <v/>
      </c>
    </row>
    <row r="1268" ht="20" customHeight="1">
      <c r="A1268" s="2">
        <f>IF(B1268="","",IFERROR(VLOOKUP(B1268, PLANTA_BASE!A:R, 2, FALSE), "NO ENCONTRADO EN PLANTA"))</f>
        <v/>
      </c>
      <c r="B1268" s="3" t="inlineStr"/>
      <c r="C1268" s="4">
        <f>IF(B1268="","",IFERROR(VLOOKUP(B1268, PLANTA_BASE!A:R, 3, FALSE), ""))</f>
        <v/>
      </c>
      <c r="D1268" s="2">
        <f>IF(B1268="","",IFERROR(VLOOKUP(B1268, PLANTA_BASE!A:R, 5, FALSE), "NO ENCONTRADO EN PLANTA"))</f>
        <v/>
      </c>
      <c r="E1268" s="2">
        <f>IF(B1268="","",IFERROR(VLOOKUP(B1268, PLANTA_BASE!A:R, 6, FALSE), "NO ENCONTRADO EN PLANTA"))</f>
        <v/>
      </c>
      <c r="F1268" s="4">
        <f>IF(B1268="","",IFERROR(VLOOKUP(B1268, PLANTA_BASE!A:R, 8, FALSE), "DOCENTE / FACILITADOR"))</f>
        <v/>
      </c>
      <c r="G1268" s="4">
        <f>IF(B1268="","",IFERROR(VLOOKUP(B1268, PLANTA_BASE!A:R, 9, FALSE), "GENERAL"))</f>
        <v/>
      </c>
      <c r="H1268" s="2">
        <f>IF(B1268="","",IFERROR(VLOOKUP(B1268, PLANTA_BASE!A:R, 17, FALSE), "GENERAL"))</f>
        <v/>
      </c>
    </row>
    <row r="1269" ht="20" customHeight="1">
      <c r="A1269" s="5">
        <f>IF(B1269="","",IFERROR(VLOOKUP(B1269, PLANTA_BASE!A:R, 2, FALSE), "NO ENCONTRADO EN PLANTA"))</f>
        <v/>
      </c>
      <c r="B1269" s="6" t="inlineStr"/>
      <c r="C1269" s="7">
        <f>IF(B1269="","",IFERROR(VLOOKUP(B1269, PLANTA_BASE!A:R, 3, FALSE), ""))</f>
        <v/>
      </c>
      <c r="D1269" s="5">
        <f>IF(B1269="","",IFERROR(VLOOKUP(B1269, PLANTA_BASE!A:R, 5, FALSE), "NO ENCONTRADO EN PLANTA"))</f>
        <v/>
      </c>
      <c r="E1269" s="5">
        <f>IF(B1269="","",IFERROR(VLOOKUP(B1269, PLANTA_BASE!A:R, 6, FALSE), "NO ENCONTRADO EN PLANTA"))</f>
        <v/>
      </c>
      <c r="F1269" s="7">
        <f>IF(B1269="","",IFERROR(VLOOKUP(B1269, PLANTA_BASE!A:R, 8, FALSE), "DOCENTE / FACILITADOR"))</f>
        <v/>
      </c>
      <c r="G1269" s="7">
        <f>IF(B1269="","",IFERROR(VLOOKUP(B1269, PLANTA_BASE!A:R, 9, FALSE), "GENERAL"))</f>
        <v/>
      </c>
      <c r="H1269" s="5">
        <f>IF(B1269="","",IFERROR(VLOOKUP(B1269, PLANTA_BASE!A:R, 17, FALSE), "GENERAL"))</f>
        <v/>
      </c>
    </row>
    <row r="1270" ht="20" customHeight="1">
      <c r="A1270" s="2">
        <f>IF(B1270="","",IFERROR(VLOOKUP(B1270, PLANTA_BASE!A:R, 2, FALSE), "NO ENCONTRADO EN PLANTA"))</f>
        <v/>
      </c>
      <c r="B1270" s="3" t="inlineStr"/>
      <c r="C1270" s="4">
        <f>IF(B1270="","",IFERROR(VLOOKUP(B1270, PLANTA_BASE!A:R, 3, FALSE), ""))</f>
        <v/>
      </c>
      <c r="D1270" s="2">
        <f>IF(B1270="","",IFERROR(VLOOKUP(B1270, PLANTA_BASE!A:R, 5, FALSE), "NO ENCONTRADO EN PLANTA"))</f>
        <v/>
      </c>
      <c r="E1270" s="2">
        <f>IF(B1270="","",IFERROR(VLOOKUP(B1270, PLANTA_BASE!A:R, 6, FALSE), "NO ENCONTRADO EN PLANTA"))</f>
        <v/>
      </c>
      <c r="F1270" s="4">
        <f>IF(B1270="","",IFERROR(VLOOKUP(B1270, PLANTA_BASE!A:R, 8, FALSE), "DOCENTE / FACILITADOR"))</f>
        <v/>
      </c>
      <c r="G1270" s="4">
        <f>IF(B1270="","",IFERROR(VLOOKUP(B1270, PLANTA_BASE!A:R, 9, FALSE), "GENERAL"))</f>
        <v/>
      </c>
      <c r="H1270" s="2">
        <f>IF(B1270="","",IFERROR(VLOOKUP(B1270, PLANTA_BASE!A:R, 17, FALSE), "GENERAL"))</f>
        <v/>
      </c>
    </row>
    <row r="1271" ht="20" customHeight="1">
      <c r="A1271" s="5">
        <f>IF(B1271="","",IFERROR(VLOOKUP(B1271, PLANTA_BASE!A:R, 2, FALSE), "NO ENCONTRADO EN PLANTA"))</f>
        <v/>
      </c>
      <c r="B1271" s="6" t="inlineStr"/>
      <c r="C1271" s="7">
        <f>IF(B1271="","",IFERROR(VLOOKUP(B1271, PLANTA_BASE!A:R, 3, FALSE), ""))</f>
        <v/>
      </c>
      <c r="D1271" s="5">
        <f>IF(B1271="","",IFERROR(VLOOKUP(B1271, PLANTA_BASE!A:R, 5, FALSE), "NO ENCONTRADO EN PLANTA"))</f>
        <v/>
      </c>
      <c r="E1271" s="5">
        <f>IF(B1271="","",IFERROR(VLOOKUP(B1271, PLANTA_BASE!A:R, 6, FALSE), "NO ENCONTRADO EN PLANTA"))</f>
        <v/>
      </c>
      <c r="F1271" s="7">
        <f>IF(B1271="","",IFERROR(VLOOKUP(B1271, PLANTA_BASE!A:R, 8, FALSE), "DOCENTE / FACILITADOR"))</f>
        <v/>
      </c>
      <c r="G1271" s="7">
        <f>IF(B1271="","",IFERROR(VLOOKUP(B1271, PLANTA_BASE!A:R, 9, FALSE), "GENERAL"))</f>
        <v/>
      </c>
      <c r="H1271" s="5">
        <f>IF(B1271="","",IFERROR(VLOOKUP(B1271, PLANTA_BASE!A:R, 17, FALSE), "GENERAL"))</f>
        <v/>
      </c>
    </row>
    <row r="1272" ht="20" customHeight="1">
      <c r="A1272" s="2">
        <f>IF(B1272="","",IFERROR(VLOOKUP(B1272, PLANTA_BASE!A:R, 2, FALSE), "NO ENCONTRADO EN PLANTA"))</f>
        <v/>
      </c>
      <c r="B1272" s="3" t="inlineStr"/>
      <c r="C1272" s="4">
        <f>IF(B1272="","",IFERROR(VLOOKUP(B1272, PLANTA_BASE!A:R, 3, FALSE), ""))</f>
        <v/>
      </c>
      <c r="D1272" s="2">
        <f>IF(B1272="","",IFERROR(VLOOKUP(B1272, PLANTA_BASE!A:R, 5, FALSE), "NO ENCONTRADO EN PLANTA"))</f>
        <v/>
      </c>
      <c r="E1272" s="2">
        <f>IF(B1272="","",IFERROR(VLOOKUP(B1272, PLANTA_BASE!A:R, 6, FALSE), "NO ENCONTRADO EN PLANTA"))</f>
        <v/>
      </c>
      <c r="F1272" s="4">
        <f>IF(B1272="","",IFERROR(VLOOKUP(B1272, PLANTA_BASE!A:R, 8, FALSE), "DOCENTE / FACILITADOR"))</f>
        <v/>
      </c>
      <c r="G1272" s="4">
        <f>IF(B1272="","",IFERROR(VLOOKUP(B1272, PLANTA_BASE!A:R, 9, FALSE), "GENERAL"))</f>
        <v/>
      </c>
      <c r="H1272" s="2">
        <f>IF(B1272="","",IFERROR(VLOOKUP(B1272, PLANTA_BASE!A:R, 17, FALSE), "GENERAL"))</f>
        <v/>
      </c>
    </row>
    <row r="1273" ht="20" customHeight="1">
      <c r="A1273" s="5">
        <f>IF(B1273="","",IFERROR(VLOOKUP(B1273, PLANTA_BASE!A:R, 2, FALSE), "NO ENCONTRADO EN PLANTA"))</f>
        <v/>
      </c>
      <c r="B1273" s="6" t="inlineStr"/>
      <c r="C1273" s="7">
        <f>IF(B1273="","",IFERROR(VLOOKUP(B1273, PLANTA_BASE!A:R, 3, FALSE), ""))</f>
        <v/>
      </c>
      <c r="D1273" s="5">
        <f>IF(B1273="","",IFERROR(VLOOKUP(B1273, PLANTA_BASE!A:R, 5, FALSE), "NO ENCONTRADO EN PLANTA"))</f>
        <v/>
      </c>
      <c r="E1273" s="5">
        <f>IF(B1273="","",IFERROR(VLOOKUP(B1273, PLANTA_BASE!A:R, 6, FALSE), "NO ENCONTRADO EN PLANTA"))</f>
        <v/>
      </c>
      <c r="F1273" s="7">
        <f>IF(B1273="","",IFERROR(VLOOKUP(B1273, PLANTA_BASE!A:R, 8, FALSE), "DOCENTE / FACILITADOR"))</f>
        <v/>
      </c>
      <c r="G1273" s="7">
        <f>IF(B1273="","",IFERROR(VLOOKUP(B1273, PLANTA_BASE!A:R, 9, FALSE), "GENERAL"))</f>
        <v/>
      </c>
      <c r="H1273" s="5">
        <f>IF(B1273="","",IFERROR(VLOOKUP(B1273, PLANTA_BASE!A:R, 17, FALSE), "GENERAL"))</f>
        <v/>
      </c>
    </row>
    <row r="1274" ht="20" customHeight="1">
      <c r="A1274" s="2">
        <f>IF(B1274="","",IFERROR(VLOOKUP(B1274, PLANTA_BASE!A:R, 2, FALSE), "NO ENCONTRADO EN PLANTA"))</f>
        <v/>
      </c>
      <c r="B1274" s="3" t="inlineStr"/>
      <c r="C1274" s="4">
        <f>IF(B1274="","",IFERROR(VLOOKUP(B1274, PLANTA_BASE!A:R, 3, FALSE), ""))</f>
        <v/>
      </c>
      <c r="D1274" s="2">
        <f>IF(B1274="","",IFERROR(VLOOKUP(B1274, PLANTA_BASE!A:R, 5, FALSE), "NO ENCONTRADO EN PLANTA"))</f>
        <v/>
      </c>
      <c r="E1274" s="2">
        <f>IF(B1274="","",IFERROR(VLOOKUP(B1274, PLANTA_BASE!A:R, 6, FALSE), "NO ENCONTRADO EN PLANTA"))</f>
        <v/>
      </c>
      <c r="F1274" s="4">
        <f>IF(B1274="","",IFERROR(VLOOKUP(B1274, PLANTA_BASE!A:R, 8, FALSE), "DOCENTE / FACILITADOR"))</f>
        <v/>
      </c>
      <c r="G1274" s="4">
        <f>IF(B1274="","",IFERROR(VLOOKUP(B1274, PLANTA_BASE!A:R, 9, FALSE), "GENERAL"))</f>
        <v/>
      </c>
      <c r="H1274" s="2">
        <f>IF(B1274="","",IFERROR(VLOOKUP(B1274, PLANTA_BASE!A:R, 17, FALSE), "GENERAL"))</f>
        <v/>
      </c>
    </row>
    <row r="1275" ht="20" customHeight="1">
      <c r="A1275" s="5">
        <f>IF(B1275="","",IFERROR(VLOOKUP(B1275, PLANTA_BASE!A:R, 2, FALSE), "NO ENCONTRADO EN PLANTA"))</f>
        <v/>
      </c>
      <c r="B1275" s="6" t="inlineStr"/>
      <c r="C1275" s="7">
        <f>IF(B1275="","",IFERROR(VLOOKUP(B1275, PLANTA_BASE!A:R, 3, FALSE), ""))</f>
        <v/>
      </c>
      <c r="D1275" s="5">
        <f>IF(B1275="","",IFERROR(VLOOKUP(B1275, PLANTA_BASE!A:R, 5, FALSE), "NO ENCONTRADO EN PLANTA"))</f>
        <v/>
      </c>
      <c r="E1275" s="5">
        <f>IF(B1275="","",IFERROR(VLOOKUP(B1275, PLANTA_BASE!A:R, 6, FALSE), "NO ENCONTRADO EN PLANTA"))</f>
        <v/>
      </c>
      <c r="F1275" s="7">
        <f>IF(B1275="","",IFERROR(VLOOKUP(B1275, PLANTA_BASE!A:R, 8, FALSE), "DOCENTE / FACILITADOR"))</f>
        <v/>
      </c>
      <c r="G1275" s="7">
        <f>IF(B1275="","",IFERROR(VLOOKUP(B1275, PLANTA_BASE!A:R, 9, FALSE), "GENERAL"))</f>
        <v/>
      </c>
      <c r="H1275" s="5">
        <f>IF(B1275="","",IFERROR(VLOOKUP(B1275, PLANTA_BASE!A:R, 17, FALSE), "GENERAL"))</f>
        <v/>
      </c>
    </row>
    <row r="1276" ht="20" customHeight="1">
      <c r="A1276" s="2">
        <f>IF(B1276="","",IFERROR(VLOOKUP(B1276, PLANTA_BASE!A:R, 2, FALSE), "NO ENCONTRADO EN PLANTA"))</f>
        <v/>
      </c>
      <c r="B1276" s="3" t="inlineStr"/>
      <c r="C1276" s="4">
        <f>IF(B1276="","",IFERROR(VLOOKUP(B1276, PLANTA_BASE!A:R, 3, FALSE), ""))</f>
        <v/>
      </c>
      <c r="D1276" s="2">
        <f>IF(B1276="","",IFERROR(VLOOKUP(B1276, PLANTA_BASE!A:R, 5, FALSE), "NO ENCONTRADO EN PLANTA"))</f>
        <v/>
      </c>
      <c r="E1276" s="2">
        <f>IF(B1276="","",IFERROR(VLOOKUP(B1276, PLANTA_BASE!A:R, 6, FALSE), "NO ENCONTRADO EN PLANTA"))</f>
        <v/>
      </c>
      <c r="F1276" s="4">
        <f>IF(B1276="","",IFERROR(VLOOKUP(B1276, PLANTA_BASE!A:R, 8, FALSE), "DOCENTE / FACILITADOR"))</f>
        <v/>
      </c>
      <c r="G1276" s="4">
        <f>IF(B1276="","",IFERROR(VLOOKUP(B1276, PLANTA_BASE!A:R, 9, FALSE), "GENERAL"))</f>
        <v/>
      </c>
      <c r="H1276" s="2">
        <f>IF(B1276="","",IFERROR(VLOOKUP(B1276, PLANTA_BASE!A:R, 17, FALSE), "GENERAL"))</f>
        <v/>
      </c>
    </row>
    <row r="1277" ht="20" customHeight="1">
      <c r="A1277" s="5">
        <f>IF(B1277="","",IFERROR(VLOOKUP(B1277, PLANTA_BASE!A:R, 2, FALSE), "NO ENCONTRADO EN PLANTA"))</f>
        <v/>
      </c>
      <c r="B1277" s="6" t="inlineStr"/>
      <c r="C1277" s="7">
        <f>IF(B1277="","",IFERROR(VLOOKUP(B1277, PLANTA_BASE!A:R, 3, FALSE), ""))</f>
        <v/>
      </c>
      <c r="D1277" s="5">
        <f>IF(B1277="","",IFERROR(VLOOKUP(B1277, PLANTA_BASE!A:R, 5, FALSE), "NO ENCONTRADO EN PLANTA"))</f>
        <v/>
      </c>
      <c r="E1277" s="5">
        <f>IF(B1277="","",IFERROR(VLOOKUP(B1277, PLANTA_BASE!A:R, 6, FALSE), "NO ENCONTRADO EN PLANTA"))</f>
        <v/>
      </c>
      <c r="F1277" s="7">
        <f>IF(B1277="","",IFERROR(VLOOKUP(B1277, PLANTA_BASE!A:R, 8, FALSE), "DOCENTE / FACILITADOR"))</f>
        <v/>
      </c>
      <c r="G1277" s="7">
        <f>IF(B1277="","",IFERROR(VLOOKUP(B1277, PLANTA_BASE!A:R, 9, FALSE), "GENERAL"))</f>
        <v/>
      </c>
      <c r="H1277" s="5">
        <f>IF(B1277="","",IFERROR(VLOOKUP(B1277, PLANTA_BASE!A:R, 17, FALSE), "GENERAL"))</f>
        <v/>
      </c>
    </row>
    <row r="1278" ht="20" customHeight="1">
      <c r="A1278" s="2">
        <f>IF(B1278="","",IFERROR(VLOOKUP(B1278, PLANTA_BASE!A:R, 2, FALSE), "NO ENCONTRADO EN PLANTA"))</f>
        <v/>
      </c>
      <c r="B1278" s="3" t="inlineStr"/>
      <c r="C1278" s="4">
        <f>IF(B1278="","",IFERROR(VLOOKUP(B1278, PLANTA_BASE!A:R, 3, FALSE), ""))</f>
        <v/>
      </c>
      <c r="D1278" s="2">
        <f>IF(B1278="","",IFERROR(VLOOKUP(B1278, PLANTA_BASE!A:R, 5, FALSE), "NO ENCONTRADO EN PLANTA"))</f>
        <v/>
      </c>
      <c r="E1278" s="2">
        <f>IF(B1278="","",IFERROR(VLOOKUP(B1278, PLANTA_BASE!A:R, 6, FALSE), "NO ENCONTRADO EN PLANTA"))</f>
        <v/>
      </c>
      <c r="F1278" s="4">
        <f>IF(B1278="","",IFERROR(VLOOKUP(B1278, PLANTA_BASE!A:R, 8, FALSE), "DOCENTE / FACILITADOR"))</f>
        <v/>
      </c>
      <c r="G1278" s="4">
        <f>IF(B1278="","",IFERROR(VLOOKUP(B1278, PLANTA_BASE!A:R, 9, FALSE), "GENERAL"))</f>
        <v/>
      </c>
      <c r="H1278" s="2">
        <f>IF(B1278="","",IFERROR(VLOOKUP(B1278, PLANTA_BASE!A:R, 17, FALSE), "GENERAL"))</f>
        <v/>
      </c>
    </row>
    <row r="1279" ht="20" customHeight="1">
      <c r="A1279" s="5">
        <f>IF(B1279="","",IFERROR(VLOOKUP(B1279, PLANTA_BASE!A:R, 2, FALSE), "NO ENCONTRADO EN PLANTA"))</f>
        <v/>
      </c>
      <c r="B1279" s="6" t="inlineStr"/>
      <c r="C1279" s="7">
        <f>IF(B1279="","",IFERROR(VLOOKUP(B1279, PLANTA_BASE!A:R, 3, FALSE), ""))</f>
        <v/>
      </c>
      <c r="D1279" s="5">
        <f>IF(B1279="","",IFERROR(VLOOKUP(B1279, PLANTA_BASE!A:R, 5, FALSE), "NO ENCONTRADO EN PLANTA"))</f>
        <v/>
      </c>
      <c r="E1279" s="5">
        <f>IF(B1279="","",IFERROR(VLOOKUP(B1279, PLANTA_BASE!A:R, 6, FALSE), "NO ENCONTRADO EN PLANTA"))</f>
        <v/>
      </c>
      <c r="F1279" s="7">
        <f>IF(B1279="","",IFERROR(VLOOKUP(B1279, PLANTA_BASE!A:R, 8, FALSE), "DOCENTE / FACILITADOR"))</f>
        <v/>
      </c>
      <c r="G1279" s="7">
        <f>IF(B1279="","",IFERROR(VLOOKUP(B1279, PLANTA_BASE!A:R, 9, FALSE), "GENERAL"))</f>
        <v/>
      </c>
      <c r="H1279" s="5">
        <f>IF(B1279="","",IFERROR(VLOOKUP(B1279, PLANTA_BASE!A:R, 17, FALSE), "GENERAL"))</f>
        <v/>
      </c>
    </row>
    <row r="1280" ht="20" customHeight="1">
      <c r="A1280" s="2">
        <f>IF(B1280="","",IFERROR(VLOOKUP(B1280, PLANTA_BASE!A:R, 2, FALSE), "NO ENCONTRADO EN PLANTA"))</f>
        <v/>
      </c>
      <c r="B1280" s="3" t="inlineStr"/>
      <c r="C1280" s="4">
        <f>IF(B1280="","",IFERROR(VLOOKUP(B1280, PLANTA_BASE!A:R, 3, FALSE), ""))</f>
        <v/>
      </c>
      <c r="D1280" s="2">
        <f>IF(B1280="","",IFERROR(VLOOKUP(B1280, PLANTA_BASE!A:R, 5, FALSE), "NO ENCONTRADO EN PLANTA"))</f>
        <v/>
      </c>
      <c r="E1280" s="2">
        <f>IF(B1280="","",IFERROR(VLOOKUP(B1280, PLANTA_BASE!A:R, 6, FALSE), "NO ENCONTRADO EN PLANTA"))</f>
        <v/>
      </c>
      <c r="F1280" s="4">
        <f>IF(B1280="","",IFERROR(VLOOKUP(B1280, PLANTA_BASE!A:R, 8, FALSE), "DOCENTE / FACILITADOR"))</f>
        <v/>
      </c>
      <c r="G1280" s="4">
        <f>IF(B1280="","",IFERROR(VLOOKUP(B1280, PLANTA_BASE!A:R, 9, FALSE), "GENERAL"))</f>
        <v/>
      </c>
      <c r="H1280" s="2">
        <f>IF(B1280="","",IFERROR(VLOOKUP(B1280, PLANTA_BASE!A:R, 17, FALSE), "GENERAL"))</f>
        <v/>
      </c>
    </row>
    <row r="1281" ht="20" customHeight="1">
      <c r="A1281" s="5">
        <f>IF(B1281="","",IFERROR(VLOOKUP(B1281, PLANTA_BASE!A:R, 2, FALSE), "NO ENCONTRADO EN PLANTA"))</f>
        <v/>
      </c>
      <c r="B1281" s="6" t="inlineStr"/>
      <c r="C1281" s="7">
        <f>IF(B1281="","",IFERROR(VLOOKUP(B1281, PLANTA_BASE!A:R, 3, FALSE), ""))</f>
        <v/>
      </c>
      <c r="D1281" s="5">
        <f>IF(B1281="","",IFERROR(VLOOKUP(B1281, PLANTA_BASE!A:R, 5, FALSE), "NO ENCONTRADO EN PLANTA"))</f>
        <v/>
      </c>
      <c r="E1281" s="5">
        <f>IF(B1281="","",IFERROR(VLOOKUP(B1281, PLANTA_BASE!A:R, 6, FALSE), "NO ENCONTRADO EN PLANTA"))</f>
        <v/>
      </c>
      <c r="F1281" s="7">
        <f>IF(B1281="","",IFERROR(VLOOKUP(B1281, PLANTA_BASE!A:R, 8, FALSE), "DOCENTE / FACILITADOR"))</f>
        <v/>
      </c>
      <c r="G1281" s="7">
        <f>IF(B1281="","",IFERROR(VLOOKUP(B1281, PLANTA_BASE!A:R, 9, FALSE), "GENERAL"))</f>
        <v/>
      </c>
      <c r="H1281" s="5">
        <f>IF(B1281="","",IFERROR(VLOOKUP(B1281, PLANTA_BASE!A:R, 17, FALSE), "GENERAL"))</f>
        <v/>
      </c>
    </row>
    <row r="1282" ht="20" customHeight="1">
      <c r="A1282" s="2">
        <f>IF(B1282="","",IFERROR(VLOOKUP(B1282, PLANTA_BASE!A:R, 2, FALSE), "NO ENCONTRADO EN PLANTA"))</f>
        <v/>
      </c>
      <c r="B1282" s="3" t="inlineStr"/>
      <c r="C1282" s="4">
        <f>IF(B1282="","",IFERROR(VLOOKUP(B1282, PLANTA_BASE!A:R, 3, FALSE), ""))</f>
        <v/>
      </c>
      <c r="D1282" s="2">
        <f>IF(B1282="","",IFERROR(VLOOKUP(B1282, PLANTA_BASE!A:R, 5, FALSE), "NO ENCONTRADO EN PLANTA"))</f>
        <v/>
      </c>
      <c r="E1282" s="2">
        <f>IF(B1282="","",IFERROR(VLOOKUP(B1282, PLANTA_BASE!A:R, 6, FALSE), "NO ENCONTRADO EN PLANTA"))</f>
        <v/>
      </c>
      <c r="F1282" s="4">
        <f>IF(B1282="","",IFERROR(VLOOKUP(B1282, PLANTA_BASE!A:R, 8, FALSE), "DOCENTE / FACILITADOR"))</f>
        <v/>
      </c>
      <c r="G1282" s="4">
        <f>IF(B1282="","",IFERROR(VLOOKUP(B1282, PLANTA_BASE!A:R, 9, FALSE), "GENERAL"))</f>
        <v/>
      </c>
      <c r="H1282" s="2">
        <f>IF(B1282="","",IFERROR(VLOOKUP(B1282, PLANTA_BASE!A:R, 17, FALSE), "GENERAL"))</f>
        <v/>
      </c>
    </row>
    <row r="1283" ht="20" customHeight="1">
      <c r="A1283" s="5">
        <f>IF(B1283="","",IFERROR(VLOOKUP(B1283, PLANTA_BASE!A:R, 2, FALSE), "NO ENCONTRADO EN PLANTA"))</f>
        <v/>
      </c>
      <c r="B1283" s="6" t="inlineStr"/>
      <c r="C1283" s="7">
        <f>IF(B1283="","",IFERROR(VLOOKUP(B1283, PLANTA_BASE!A:R, 3, FALSE), ""))</f>
        <v/>
      </c>
      <c r="D1283" s="5">
        <f>IF(B1283="","",IFERROR(VLOOKUP(B1283, PLANTA_BASE!A:R, 5, FALSE), "NO ENCONTRADO EN PLANTA"))</f>
        <v/>
      </c>
      <c r="E1283" s="5">
        <f>IF(B1283="","",IFERROR(VLOOKUP(B1283, PLANTA_BASE!A:R, 6, FALSE), "NO ENCONTRADO EN PLANTA"))</f>
        <v/>
      </c>
      <c r="F1283" s="7">
        <f>IF(B1283="","",IFERROR(VLOOKUP(B1283, PLANTA_BASE!A:R, 8, FALSE), "DOCENTE / FACILITADOR"))</f>
        <v/>
      </c>
      <c r="G1283" s="7">
        <f>IF(B1283="","",IFERROR(VLOOKUP(B1283, PLANTA_BASE!A:R, 9, FALSE), "GENERAL"))</f>
        <v/>
      </c>
      <c r="H1283" s="5">
        <f>IF(B1283="","",IFERROR(VLOOKUP(B1283, PLANTA_BASE!A:R, 17, FALSE), "GENERAL"))</f>
        <v/>
      </c>
    </row>
    <row r="1284" ht="20" customHeight="1">
      <c r="A1284" s="2">
        <f>IF(B1284="","",IFERROR(VLOOKUP(B1284, PLANTA_BASE!A:R, 2, FALSE), "NO ENCONTRADO EN PLANTA"))</f>
        <v/>
      </c>
      <c r="B1284" s="3" t="inlineStr"/>
      <c r="C1284" s="4">
        <f>IF(B1284="","",IFERROR(VLOOKUP(B1284, PLANTA_BASE!A:R, 3, FALSE), ""))</f>
        <v/>
      </c>
      <c r="D1284" s="2">
        <f>IF(B1284="","",IFERROR(VLOOKUP(B1284, PLANTA_BASE!A:R, 5, FALSE), "NO ENCONTRADO EN PLANTA"))</f>
        <v/>
      </c>
      <c r="E1284" s="2">
        <f>IF(B1284="","",IFERROR(VLOOKUP(B1284, PLANTA_BASE!A:R, 6, FALSE), "NO ENCONTRADO EN PLANTA"))</f>
        <v/>
      </c>
      <c r="F1284" s="4">
        <f>IF(B1284="","",IFERROR(VLOOKUP(B1284, PLANTA_BASE!A:R, 8, FALSE), "DOCENTE / FACILITADOR"))</f>
        <v/>
      </c>
      <c r="G1284" s="4">
        <f>IF(B1284="","",IFERROR(VLOOKUP(B1284, PLANTA_BASE!A:R, 9, FALSE), "GENERAL"))</f>
        <v/>
      </c>
      <c r="H1284" s="2">
        <f>IF(B1284="","",IFERROR(VLOOKUP(B1284, PLANTA_BASE!A:R, 17, FALSE), "GENERAL"))</f>
        <v/>
      </c>
    </row>
    <row r="1285" ht="20" customHeight="1">
      <c r="A1285" s="5">
        <f>IF(B1285="","",IFERROR(VLOOKUP(B1285, PLANTA_BASE!A:R, 2, FALSE), "NO ENCONTRADO EN PLANTA"))</f>
        <v/>
      </c>
      <c r="B1285" s="6" t="inlineStr"/>
      <c r="C1285" s="7">
        <f>IF(B1285="","",IFERROR(VLOOKUP(B1285, PLANTA_BASE!A:R, 3, FALSE), ""))</f>
        <v/>
      </c>
      <c r="D1285" s="5">
        <f>IF(B1285="","",IFERROR(VLOOKUP(B1285, PLANTA_BASE!A:R, 5, FALSE), "NO ENCONTRADO EN PLANTA"))</f>
        <v/>
      </c>
      <c r="E1285" s="5">
        <f>IF(B1285="","",IFERROR(VLOOKUP(B1285, PLANTA_BASE!A:R, 6, FALSE), "NO ENCONTRADO EN PLANTA"))</f>
        <v/>
      </c>
      <c r="F1285" s="7">
        <f>IF(B1285="","",IFERROR(VLOOKUP(B1285, PLANTA_BASE!A:R, 8, FALSE), "DOCENTE / FACILITADOR"))</f>
        <v/>
      </c>
      <c r="G1285" s="7">
        <f>IF(B1285="","",IFERROR(VLOOKUP(B1285, PLANTA_BASE!A:R, 9, FALSE), "GENERAL"))</f>
        <v/>
      </c>
      <c r="H1285" s="5">
        <f>IF(B1285="","",IFERROR(VLOOKUP(B1285, PLANTA_BASE!A:R, 17, FALSE), "GENERAL"))</f>
        <v/>
      </c>
    </row>
    <row r="1286" ht="20" customHeight="1">
      <c r="A1286" s="2">
        <f>IF(B1286="","",IFERROR(VLOOKUP(B1286, PLANTA_BASE!A:R, 2, FALSE), "NO ENCONTRADO EN PLANTA"))</f>
        <v/>
      </c>
      <c r="B1286" s="3" t="inlineStr"/>
      <c r="C1286" s="4">
        <f>IF(B1286="","",IFERROR(VLOOKUP(B1286, PLANTA_BASE!A:R, 3, FALSE), ""))</f>
        <v/>
      </c>
      <c r="D1286" s="2">
        <f>IF(B1286="","",IFERROR(VLOOKUP(B1286, PLANTA_BASE!A:R, 5, FALSE), "NO ENCONTRADO EN PLANTA"))</f>
        <v/>
      </c>
      <c r="E1286" s="2">
        <f>IF(B1286="","",IFERROR(VLOOKUP(B1286, PLANTA_BASE!A:R, 6, FALSE), "NO ENCONTRADO EN PLANTA"))</f>
        <v/>
      </c>
      <c r="F1286" s="4">
        <f>IF(B1286="","",IFERROR(VLOOKUP(B1286, PLANTA_BASE!A:R, 8, FALSE), "DOCENTE / FACILITADOR"))</f>
        <v/>
      </c>
      <c r="G1286" s="4">
        <f>IF(B1286="","",IFERROR(VLOOKUP(B1286, PLANTA_BASE!A:R, 9, FALSE), "GENERAL"))</f>
        <v/>
      </c>
      <c r="H1286" s="2">
        <f>IF(B1286="","",IFERROR(VLOOKUP(B1286, PLANTA_BASE!A:R, 17, FALSE), "GENERAL"))</f>
        <v/>
      </c>
    </row>
    <row r="1287" ht="20" customHeight="1">
      <c r="A1287" s="5">
        <f>IF(B1287="","",IFERROR(VLOOKUP(B1287, PLANTA_BASE!A:R, 2, FALSE), "NO ENCONTRADO EN PLANTA"))</f>
        <v/>
      </c>
      <c r="B1287" s="6" t="inlineStr"/>
      <c r="C1287" s="7">
        <f>IF(B1287="","",IFERROR(VLOOKUP(B1287, PLANTA_BASE!A:R, 3, FALSE), ""))</f>
        <v/>
      </c>
      <c r="D1287" s="5">
        <f>IF(B1287="","",IFERROR(VLOOKUP(B1287, PLANTA_BASE!A:R, 5, FALSE), "NO ENCONTRADO EN PLANTA"))</f>
        <v/>
      </c>
      <c r="E1287" s="5">
        <f>IF(B1287="","",IFERROR(VLOOKUP(B1287, PLANTA_BASE!A:R, 6, FALSE), "NO ENCONTRADO EN PLANTA"))</f>
        <v/>
      </c>
      <c r="F1287" s="7">
        <f>IF(B1287="","",IFERROR(VLOOKUP(B1287, PLANTA_BASE!A:R, 8, FALSE), "DOCENTE / FACILITADOR"))</f>
        <v/>
      </c>
      <c r="G1287" s="7">
        <f>IF(B1287="","",IFERROR(VLOOKUP(B1287, PLANTA_BASE!A:R, 9, FALSE), "GENERAL"))</f>
        <v/>
      </c>
      <c r="H1287" s="5">
        <f>IF(B1287="","",IFERROR(VLOOKUP(B1287, PLANTA_BASE!A:R, 17, FALSE), "GENERAL"))</f>
        <v/>
      </c>
    </row>
    <row r="1288" ht="20" customHeight="1">
      <c r="A1288" s="2">
        <f>IF(B1288="","",IFERROR(VLOOKUP(B1288, PLANTA_BASE!A:R, 2, FALSE), "NO ENCONTRADO EN PLANTA"))</f>
        <v/>
      </c>
      <c r="B1288" s="3" t="inlineStr"/>
      <c r="C1288" s="4">
        <f>IF(B1288="","",IFERROR(VLOOKUP(B1288, PLANTA_BASE!A:R, 3, FALSE), ""))</f>
        <v/>
      </c>
      <c r="D1288" s="2">
        <f>IF(B1288="","",IFERROR(VLOOKUP(B1288, PLANTA_BASE!A:R, 5, FALSE), "NO ENCONTRADO EN PLANTA"))</f>
        <v/>
      </c>
      <c r="E1288" s="2">
        <f>IF(B1288="","",IFERROR(VLOOKUP(B1288, PLANTA_BASE!A:R, 6, FALSE), "NO ENCONTRADO EN PLANTA"))</f>
        <v/>
      </c>
      <c r="F1288" s="4">
        <f>IF(B1288="","",IFERROR(VLOOKUP(B1288, PLANTA_BASE!A:R, 8, FALSE), "DOCENTE / FACILITADOR"))</f>
        <v/>
      </c>
      <c r="G1288" s="4">
        <f>IF(B1288="","",IFERROR(VLOOKUP(B1288, PLANTA_BASE!A:R, 9, FALSE), "GENERAL"))</f>
        <v/>
      </c>
      <c r="H1288" s="2">
        <f>IF(B1288="","",IFERROR(VLOOKUP(B1288, PLANTA_BASE!A:R, 17, FALSE), "GENERAL"))</f>
        <v/>
      </c>
    </row>
    <row r="1289" ht="20" customHeight="1">
      <c r="A1289" s="5">
        <f>IF(B1289="","",IFERROR(VLOOKUP(B1289, PLANTA_BASE!A:R, 2, FALSE), "NO ENCONTRADO EN PLANTA"))</f>
        <v/>
      </c>
      <c r="B1289" s="6" t="inlineStr"/>
      <c r="C1289" s="7">
        <f>IF(B1289="","",IFERROR(VLOOKUP(B1289, PLANTA_BASE!A:R, 3, FALSE), ""))</f>
        <v/>
      </c>
      <c r="D1289" s="5">
        <f>IF(B1289="","",IFERROR(VLOOKUP(B1289, PLANTA_BASE!A:R, 5, FALSE), "NO ENCONTRADO EN PLANTA"))</f>
        <v/>
      </c>
      <c r="E1289" s="5">
        <f>IF(B1289="","",IFERROR(VLOOKUP(B1289, PLANTA_BASE!A:R, 6, FALSE), "NO ENCONTRADO EN PLANTA"))</f>
        <v/>
      </c>
      <c r="F1289" s="7">
        <f>IF(B1289="","",IFERROR(VLOOKUP(B1289, PLANTA_BASE!A:R, 8, FALSE), "DOCENTE / FACILITADOR"))</f>
        <v/>
      </c>
      <c r="G1289" s="7">
        <f>IF(B1289="","",IFERROR(VLOOKUP(B1289, PLANTA_BASE!A:R, 9, FALSE), "GENERAL"))</f>
        <v/>
      </c>
      <c r="H1289" s="5">
        <f>IF(B1289="","",IFERROR(VLOOKUP(B1289, PLANTA_BASE!A:R, 17, FALSE), "GENERAL"))</f>
        <v/>
      </c>
    </row>
    <row r="1290" ht="20" customHeight="1">
      <c r="A1290" s="2">
        <f>IF(B1290="","",IFERROR(VLOOKUP(B1290, PLANTA_BASE!A:R, 2, FALSE), "NO ENCONTRADO EN PLANTA"))</f>
        <v/>
      </c>
      <c r="B1290" s="3" t="inlineStr"/>
      <c r="C1290" s="4">
        <f>IF(B1290="","",IFERROR(VLOOKUP(B1290, PLANTA_BASE!A:R, 3, FALSE), ""))</f>
        <v/>
      </c>
      <c r="D1290" s="2">
        <f>IF(B1290="","",IFERROR(VLOOKUP(B1290, PLANTA_BASE!A:R, 5, FALSE), "NO ENCONTRADO EN PLANTA"))</f>
        <v/>
      </c>
      <c r="E1290" s="2">
        <f>IF(B1290="","",IFERROR(VLOOKUP(B1290, PLANTA_BASE!A:R, 6, FALSE), "NO ENCONTRADO EN PLANTA"))</f>
        <v/>
      </c>
      <c r="F1290" s="4">
        <f>IF(B1290="","",IFERROR(VLOOKUP(B1290, PLANTA_BASE!A:R, 8, FALSE), "DOCENTE / FACILITADOR"))</f>
        <v/>
      </c>
      <c r="G1290" s="4">
        <f>IF(B1290="","",IFERROR(VLOOKUP(B1290, PLANTA_BASE!A:R, 9, FALSE), "GENERAL"))</f>
        <v/>
      </c>
      <c r="H1290" s="2">
        <f>IF(B1290="","",IFERROR(VLOOKUP(B1290, PLANTA_BASE!A:R, 17, FALSE), "GENERAL"))</f>
        <v/>
      </c>
    </row>
    <row r="1291" ht="20" customHeight="1">
      <c r="A1291" s="5">
        <f>IF(B1291="","",IFERROR(VLOOKUP(B1291, PLANTA_BASE!A:R, 2, FALSE), "NO ENCONTRADO EN PLANTA"))</f>
        <v/>
      </c>
      <c r="B1291" s="6" t="inlineStr"/>
      <c r="C1291" s="7">
        <f>IF(B1291="","",IFERROR(VLOOKUP(B1291, PLANTA_BASE!A:R, 3, FALSE), ""))</f>
        <v/>
      </c>
      <c r="D1291" s="5">
        <f>IF(B1291="","",IFERROR(VLOOKUP(B1291, PLANTA_BASE!A:R, 5, FALSE), "NO ENCONTRADO EN PLANTA"))</f>
        <v/>
      </c>
      <c r="E1291" s="5">
        <f>IF(B1291="","",IFERROR(VLOOKUP(B1291, PLANTA_BASE!A:R, 6, FALSE), "NO ENCONTRADO EN PLANTA"))</f>
        <v/>
      </c>
      <c r="F1291" s="7">
        <f>IF(B1291="","",IFERROR(VLOOKUP(B1291, PLANTA_BASE!A:R, 8, FALSE), "DOCENTE / FACILITADOR"))</f>
        <v/>
      </c>
      <c r="G1291" s="7">
        <f>IF(B1291="","",IFERROR(VLOOKUP(B1291, PLANTA_BASE!A:R, 9, FALSE), "GENERAL"))</f>
        <v/>
      </c>
      <c r="H1291" s="5">
        <f>IF(B1291="","",IFERROR(VLOOKUP(B1291, PLANTA_BASE!A:R, 17, FALSE), "GENERAL"))</f>
        <v/>
      </c>
    </row>
    <row r="1292" ht="20" customHeight="1">
      <c r="A1292" s="2">
        <f>IF(B1292="","",IFERROR(VLOOKUP(B1292, PLANTA_BASE!A:R, 2, FALSE), "NO ENCONTRADO EN PLANTA"))</f>
        <v/>
      </c>
      <c r="B1292" s="3" t="inlineStr"/>
      <c r="C1292" s="4">
        <f>IF(B1292="","",IFERROR(VLOOKUP(B1292, PLANTA_BASE!A:R, 3, FALSE), ""))</f>
        <v/>
      </c>
      <c r="D1292" s="2">
        <f>IF(B1292="","",IFERROR(VLOOKUP(B1292, PLANTA_BASE!A:R, 5, FALSE), "NO ENCONTRADO EN PLANTA"))</f>
        <v/>
      </c>
      <c r="E1292" s="2">
        <f>IF(B1292="","",IFERROR(VLOOKUP(B1292, PLANTA_BASE!A:R, 6, FALSE), "NO ENCONTRADO EN PLANTA"))</f>
        <v/>
      </c>
      <c r="F1292" s="4">
        <f>IF(B1292="","",IFERROR(VLOOKUP(B1292, PLANTA_BASE!A:R, 8, FALSE), "DOCENTE / FACILITADOR"))</f>
        <v/>
      </c>
      <c r="G1292" s="4">
        <f>IF(B1292="","",IFERROR(VLOOKUP(B1292, PLANTA_BASE!A:R, 9, FALSE), "GENERAL"))</f>
        <v/>
      </c>
      <c r="H1292" s="2">
        <f>IF(B1292="","",IFERROR(VLOOKUP(B1292, PLANTA_BASE!A:R, 17, FALSE), "GENERAL"))</f>
        <v/>
      </c>
    </row>
    <row r="1293" ht="20" customHeight="1">
      <c r="A1293" s="5">
        <f>IF(B1293="","",IFERROR(VLOOKUP(B1293, PLANTA_BASE!A:R, 2, FALSE), "NO ENCONTRADO EN PLANTA"))</f>
        <v/>
      </c>
      <c r="B1293" s="6" t="inlineStr"/>
      <c r="C1293" s="7">
        <f>IF(B1293="","",IFERROR(VLOOKUP(B1293, PLANTA_BASE!A:R, 3, FALSE), ""))</f>
        <v/>
      </c>
      <c r="D1293" s="5">
        <f>IF(B1293="","",IFERROR(VLOOKUP(B1293, PLANTA_BASE!A:R, 5, FALSE), "NO ENCONTRADO EN PLANTA"))</f>
        <v/>
      </c>
      <c r="E1293" s="5">
        <f>IF(B1293="","",IFERROR(VLOOKUP(B1293, PLANTA_BASE!A:R, 6, FALSE), "NO ENCONTRADO EN PLANTA"))</f>
        <v/>
      </c>
      <c r="F1293" s="7">
        <f>IF(B1293="","",IFERROR(VLOOKUP(B1293, PLANTA_BASE!A:R, 8, FALSE), "DOCENTE / FACILITADOR"))</f>
        <v/>
      </c>
      <c r="G1293" s="7">
        <f>IF(B1293="","",IFERROR(VLOOKUP(B1293, PLANTA_BASE!A:R, 9, FALSE), "GENERAL"))</f>
        <v/>
      </c>
      <c r="H1293" s="5">
        <f>IF(B1293="","",IFERROR(VLOOKUP(B1293, PLANTA_BASE!A:R, 17, FALSE), "GENERAL"))</f>
        <v/>
      </c>
    </row>
    <row r="1294" ht="20" customHeight="1">
      <c r="A1294" s="2">
        <f>IF(B1294="","",IFERROR(VLOOKUP(B1294, PLANTA_BASE!A:R, 2, FALSE), "NO ENCONTRADO EN PLANTA"))</f>
        <v/>
      </c>
      <c r="B1294" s="3" t="inlineStr"/>
      <c r="C1294" s="4">
        <f>IF(B1294="","",IFERROR(VLOOKUP(B1294, PLANTA_BASE!A:R, 3, FALSE), ""))</f>
        <v/>
      </c>
      <c r="D1294" s="2">
        <f>IF(B1294="","",IFERROR(VLOOKUP(B1294, PLANTA_BASE!A:R, 5, FALSE), "NO ENCONTRADO EN PLANTA"))</f>
        <v/>
      </c>
      <c r="E1294" s="2">
        <f>IF(B1294="","",IFERROR(VLOOKUP(B1294, PLANTA_BASE!A:R, 6, FALSE), "NO ENCONTRADO EN PLANTA"))</f>
        <v/>
      </c>
      <c r="F1294" s="4">
        <f>IF(B1294="","",IFERROR(VLOOKUP(B1294, PLANTA_BASE!A:R, 8, FALSE), "DOCENTE / FACILITADOR"))</f>
        <v/>
      </c>
      <c r="G1294" s="4">
        <f>IF(B1294="","",IFERROR(VLOOKUP(B1294, PLANTA_BASE!A:R, 9, FALSE), "GENERAL"))</f>
        <v/>
      </c>
      <c r="H1294" s="2">
        <f>IF(B1294="","",IFERROR(VLOOKUP(B1294, PLANTA_BASE!A:R, 17, FALSE), "GENERAL"))</f>
        <v/>
      </c>
    </row>
    <row r="1295" ht="20" customHeight="1">
      <c r="A1295" s="5">
        <f>IF(B1295="","",IFERROR(VLOOKUP(B1295, PLANTA_BASE!A:R, 2, FALSE), "NO ENCONTRADO EN PLANTA"))</f>
        <v/>
      </c>
      <c r="B1295" s="6" t="inlineStr"/>
      <c r="C1295" s="7">
        <f>IF(B1295="","",IFERROR(VLOOKUP(B1295, PLANTA_BASE!A:R, 3, FALSE), ""))</f>
        <v/>
      </c>
      <c r="D1295" s="5">
        <f>IF(B1295="","",IFERROR(VLOOKUP(B1295, PLANTA_BASE!A:R, 5, FALSE), "NO ENCONTRADO EN PLANTA"))</f>
        <v/>
      </c>
      <c r="E1295" s="5">
        <f>IF(B1295="","",IFERROR(VLOOKUP(B1295, PLANTA_BASE!A:R, 6, FALSE), "NO ENCONTRADO EN PLANTA"))</f>
        <v/>
      </c>
      <c r="F1295" s="7">
        <f>IF(B1295="","",IFERROR(VLOOKUP(B1295, PLANTA_BASE!A:R, 8, FALSE), "DOCENTE / FACILITADOR"))</f>
        <v/>
      </c>
      <c r="G1295" s="7">
        <f>IF(B1295="","",IFERROR(VLOOKUP(B1295, PLANTA_BASE!A:R, 9, FALSE), "GENERAL"))</f>
        <v/>
      </c>
      <c r="H1295" s="5">
        <f>IF(B1295="","",IFERROR(VLOOKUP(B1295, PLANTA_BASE!A:R, 17, FALSE), "GENERAL"))</f>
        <v/>
      </c>
    </row>
    <row r="1296" ht="20" customHeight="1">
      <c r="A1296" s="2">
        <f>IF(B1296="","",IFERROR(VLOOKUP(B1296, PLANTA_BASE!A:R, 2, FALSE), "NO ENCONTRADO EN PLANTA"))</f>
        <v/>
      </c>
      <c r="B1296" s="3" t="inlineStr"/>
      <c r="C1296" s="4">
        <f>IF(B1296="","",IFERROR(VLOOKUP(B1296, PLANTA_BASE!A:R, 3, FALSE), ""))</f>
        <v/>
      </c>
      <c r="D1296" s="2">
        <f>IF(B1296="","",IFERROR(VLOOKUP(B1296, PLANTA_BASE!A:R, 5, FALSE), "NO ENCONTRADO EN PLANTA"))</f>
        <v/>
      </c>
      <c r="E1296" s="2">
        <f>IF(B1296="","",IFERROR(VLOOKUP(B1296, PLANTA_BASE!A:R, 6, FALSE), "NO ENCONTRADO EN PLANTA"))</f>
        <v/>
      </c>
      <c r="F1296" s="4">
        <f>IF(B1296="","",IFERROR(VLOOKUP(B1296, PLANTA_BASE!A:R, 8, FALSE), "DOCENTE / FACILITADOR"))</f>
        <v/>
      </c>
      <c r="G1296" s="4">
        <f>IF(B1296="","",IFERROR(VLOOKUP(B1296, PLANTA_BASE!A:R, 9, FALSE), "GENERAL"))</f>
        <v/>
      </c>
      <c r="H1296" s="2">
        <f>IF(B1296="","",IFERROR(VLOOKUP(B1296, PLANTA_BASE!A:R, 17, FALSE), "GENERAL"))</f>
        <v/>
      </c>
    </row>
    <row r="1297" ht="20" customHeight="1">
      <c r="A1297" s="5">
        <f>IF(B1297="","",IFERROR(VLOOKUP(B1297, PLANTA_BASE!A:R, 2, FALSE), "NO ENCONTRADO EN PLANTA"))</f>
        <v/>
      </c>
      <c r="B1297" s="6" t="inlineStr"/>
      <c r="C1297" s="7">
        <f>IF(B1297="","",IFERROR(VLOOKUP(B1297, PLANTA_BASE!A:R, 3, FALSE), ""))</f>
        <v/>
      </c>
      <c r="D1297" s="5">
        <f>IF(B1297="","",IFERROR(VLOOKUP(B1297, PLANTA_BASE!A:R, 5, FALSE), "NO ENCONTRADO EN PLANTA"))</f>
        <v/>
      </c>
      <c r="E1297" s="5">
        <f>IF(B1297="","",IFERROR(VLOOKUP(B1297, PLANTA_BASE!A:R, 6, FALSE), "NO ENCONTRADO EN PLANTA"))</f>
        <v/>
      </c>
      <c r="F1297" s="7">
        <f>IF(B1297="","",IFERROR(VLOOKUP(B1297, PLANTA_BASE!A:R, 8, FALSE), "DOCENTE / FACILITADOR"))</f>
        <v/>
      </c>
      <c r="G1297" s="7">
        <f>IF(B1297="","",IFERROR(VLOOKUP(B1297, PLANTA_BASE!A:R, 9, FALSE), "GENERAL"))</f>
        <v/>
      </c>
      <c r="H1297" s="5">
        <f>IF(B1297="","",IFERROR(VLOOKUP(B1297, PLANTA_BASE!A:R, 17, FALSE), "GENERAL"))</f>
        <v/>
      </c>
    </row>
    <row r="1298" ht="20" customHeight="1">
      <c r="A1298" s="2">
        <f>IF(B1298="","",IFERROR(VLOOKUP(B1298, PLANTA_BASE!A:R, 2, FALSE), "NO ENCONTRADO EN PLANTA"))</f>
        <v/>
      </c>
      <c r="B1298" s="3" t="inlineStr"/>
      <c r="C1298" s="4">
        <f>IF(B1298="","",IFERROR(VLOOKUP(B1298, PLANTA_BASE!A:R, 3, FALSE), ""))</f>
        <v/>
      </c>
      <c r="D1298" s="2">
        <f>IF(B1298="","",IFERROR(VLOOKUP(B1298, PLANTA_BASE!A:R, 5, FALSE), "NO ENCONTRADO EN PLANTA"))</f>
        <v/>
      </c>
      <c r="E1298" s="2">
        <f>IF(B1298="","",IFERROR(VLOOKUP(B1298, PLANTA_BASE!A:R, 6, FALSE), "NO ENCONTRADO EN PLANTA"))</f>
        <v/>
      </c>
      <c r="F1298" s="4">
        <f>IF(B1298="","",IFERROR(VLOOKUP(B1298, PLANTA_BASE!A:R, 8, FALSE), "DOCENTE / FACILITADOR"))</f>
        <v/>
      </c>
      <c r="G1298" s="4">
        <f>IF(B1298="","",IFERROR(VLOOKUP(B1298, PLANTA_BASE!A:R, 9, FALSE), "GENERAL"))</f>
        <v/>
      </c>
      <c r="H1298" s="2">
        <f>IF(B1298="","",IFERROR(VLOOKUP(B1298, PLANTA_BASE!A:R, 17, FALSE), "GENERAL"))</f>
        <v/>
      </c>
    </row>
    <row r="1299" ht="20" customHeight="1">
      <c r="A1299" s="5">
        <f>IF(B1299="","",IFERROR(VLOOKUP(B1299, PLANTA_BASE!A:R, 2, FALSE), "NO ENCONTRADO EN PLANTA"))</f>
        <v/>
      </c>
      <c r="B1299" s="6" t="inlineStr"/>
      <c r="C1299" s="7">
        <f>IF(B1299="","",IFERROR(VLOOKUP(B1299, PLANTA_BASE!A:R, 3, FALSE), ""))</f>
        <v/>
      </c>
      <c r="D1299" s="5">
        <f>IF(B1299="","",IFERROR(VLOOKUP(B1299, PLANTA_BASE!A:R, 5, FALSE), "NO ENCONTRADO EN PLANTA"))</f>
        <v/>
      </c>
      <c r="E1299" s="5">
        <f>IF(B1299="","",IFERROR(VLOOKUP(B1299, PLANTA_BASE!A:R, 6, FALSE), "NO ENCONTRADO EN PLANTA"))</f>
        <v/>
      </c>
      <c r="F1299" s="7">
        <f>IF(B1299="","",IFERROR(VLOOKUP(B1299, PLANTA_BASE!A:R, 8, FALSE), "DOCENTE / FACILITADOR"))</f>
        <v/>
      </c>
      <c r="G1299" s="7">
        <f>IF(B1299="","",IFERROR(VLOOKUP(B1299, PLANTA_BASE!A:R, 9, FALSE), "GENERAL"))</f>
        <v/>
      </c>
      <c r="H1299" s="5">
        <f>IF(B1299="","",IFERROR(VLOOKUP(B1299, PLANTA_BASE!A:R, 17, FALSE), "GENERAL"))</f>
        <v/>
      </c>
    </row>
    <row r="1300" ht="20" customHeight="1">
      <c r="A1300" s="2">
        <f>IF(B1300="","",IFERROR(VLOOKUP(B1300, PLANTA_BASE!A:R, 2, FALSE), "NO ENCONTRADO EN PLANTA"))</f>
        <v/>
      </c>
      <c r="B1300" s="3" t="inlineStr"/>
      <c r="C1300" s="4">
        <f>IF(B1300="","",IFERROR(VLOOKUP(B1300, PLANTA_BASE!A:R, 3, FALSE), ""))</f>
        <v/>
      </c>
      <c r="D1300" s="2">
        <f>IF(B1300="","",IFERROR(VLOOKUP(B1300, PLANTA_BASE!A:R, 5, FALSE), "NO ENCONTRADO EN PLANTA"))</f>
        <v/>
      </c>
      <c r="E1300" s="2">
        <f>IF(B1300="","",IFERROR(VLOOKUP(B1300, PLANTA_BASE!A:R, 6, FALSE), "NO ENCONTRADO EN PLANTA"))</f>
        <v/>
      </c>
      <c r="F1300" s="4">
        <f>IF(B1300="","",IFERROR(VLOOKUP(B1300, PLANTA_BASE!A:R, 8, FALSE), "DOCENTE / FACILITADOR"))</f>
        <v/>
      </c>
      <c r="G1300" s="4">
        <f>IF(B1300="","",IFERROR(VLOOKUP(B1300, PLANTA_BASE!A:R, 9, FALSE), "GENERAL"))</f>
        <v/>
      </c>
      <c r="H1300" s="2">
        <f>IF(B1300="","",IFERROR(VLOOKUP(B1300, PLANTA_BASE!A:R, 17, FALSE), "GENERAL"))</f>
        <v/>
      </c>
    </row>
    <row r="1301" ht="20" customHeight="1">
      <c r="A1301" s="5">
        <f>IF(B1301="","",IFERROR(VLOOKUP(B1301, PLANTA_BASE!A:R, 2, FALSE), "NO ENCONTRADO EN PLANTA"))</f>
        <v/>
      </c>
      <c r="B1301" s="6" t="inlineStr"/>
      <c r="C1301" s="7">
        <f>IF(B1301="","",IFERROR(VLOOKUP(B1301, PLANTA_BASE!A:R, 3, FALSE), ""))</f>
        <v/>
      </c>
      <c r="D1301" s="5">
        <f>IF(B1301="","",IFERROR(VLOOKUP(B1301, PLANTA_BASE!A:R, 5, FALSE), "NO ENCONTRADO EN PLANTA"))</f>
        <v/>
      </c>
      <c r="E1301" s="5">
        <f>IF(B1301="","",IFERROR(VLOOKUP(B1301, PLANTA_BASE!A:R, 6, FALSE), "NO ENCONTRADO EN PLANTA"))</f>
        <v/>
      </c>
      <c r="F1301" s="7">
        <f>IF(B1301="","",IFERROR(VLOOKUP(B1301, PLANTA_BASE!A:R, 8, FALSE), "DOCENTE / FACILITADOR"))</f>
        <v/>
      </c>
      <c r="G1301" s="7">
        <f>IF(B1301="","",IFERROR(VLOOKUP(B1301, PLANTA_BASE!A:R, 9, FALSE), "GENERAL"))</f>
        <v/>
      </c>
      <c r="H1301" s="5">
        <f>IF(B1301="","",IFERROR(VLOOKUP(B1301, PLANTA_BASE!A:R, 17, FALSE), "GENERAL"))</f>
        <v/>
      </c>
    </row>
    <row r="1302" ht="20" customHeight="1">
      <c r="A1302" s="2">
        <f>IF(B1302="","",IFERROR(VLOOKUP(B1302, PLANTA_BASE!A:R, 2, FALSE), "NO ENCONTRADO EN PLANTA"))</f>
        <v/>
      </c>
      <c r="B1302" s="3" t="inlineStr"/>
      <c r="C1302" s="4">
        <f>IF(B1302="","",IFERROR(VLOOKUP(B1302, PLANTA_BASE!A:R, 3, FALSE), ""))</f>
        <v/>
      </c>
      <c r="D1302" s="2">
        <f>IF(B1302="","",IFERROR(VLOOKUP(B1302, PLANTA_BASE!A:R, 5, FALSE), "NO ENCONTRADO EN PLANTA"))</f>
        <v/>
      </c>
      <c r="E1302" s="2">
        <f>IF(B1302="","",IFERROR(VLOOKUP(B1302, PLANTA_BASE!A:R, 6, FALSE), "NO ENCONTRADO EN PLANTA"))</f>
        <v/>
      </c>
      <c r="F1302" s="4">
        <f>IF(B1302="","",IFERROR(VLOOKUP(B1302, PLANTA_BASE!A:R, 8, FALSE), "DOCENTE / FACILITADOR"))</f>
        <v/>
      </c>
      <c r="G1302" s="4">
        <f>IF(B1302="","",IFERROR(VLOOKUP(B1302, PLANTA_BASE!A:R, 9, FALSE), "GENERAL"))</f>
        <v/>
      </c>
      <c r="H1302" s="2">
        <f>IF(B1302="","",IFERROR(VLOOKUP(B1302, PLANTA_BASE!A:R, 17, FALSE), "GENERAL"))</f>
        <v/>
      </c>
    </row>
    <row r="1303" ht="20" customHeight="1">
      <c r="A1303" s="5">
        <f>IF(B1303="","",IFERROR(VLOOKUP(B1303, PLANTA_BASE!A:R, 2, FALSE), "NO ENCONTRADO EN PLANTA"))</f>
        <v/>
      </c>
      <c r="B1303" s="6" t="inlineStr"/>
      <c r="C1303" s="7">
        <f>IF(B1303="","",IFERROR(VLOOKUP(B1303, PLANTA_BASE!A:R, 3, FALSE), ""))</f>
        <v/>
      </c>
      <c r="D1303" s="5">
        <f>IF(B1303="","",IFERROR(VLOOKUP(B1303, PLANTA_BASE!A:R, 5, FALSE), "NO ENCONTRADO EN PLANTA"))</f>
        <v/>
      </c>
      <c r="E1303" s="5">
        <f>IF(B1303="","",IFERROR(VLOOKUP(B1303, PLANTA_BASE!A:R, 6, FALSE), "NO ENCONTRADO EN PLANTA"))</f>
        <v/>
      </c>
      <c r="F1303" s="7">
        <f>IF(B1303="","",IFERROR(VLOOKUP(B1303, PLANTA_BASE!A:R, 8, FALSE), "DOCENTE / FACILITADOR"))</f>
        <v/>
      </c>
      <c r="G1303" s="7">
        <f>IF(B1303="","",IFERROR(VLOOKUP(B1303, PLANTA_BASE!A:R, 9, FALSE), "GENERAL"))</f>
        <v/>
      </c>
      <c r="H1303" s="5">
        <f>IF(B1303="","",IFERROR(VLOOKUP(B1303, PLANTA_BASE!A:R, 17, FALSE), "GENERAL"))</f>
        <v/>
      </c>
    </row>
    <row r="1304" ht="20" customHeight="1">
      <c r="A1304" s="2">
        <f>IF(B1304="","",IFERROR(VLOOKUP(B1304, PLANTA_BASE!A:R, 2, FALSE), "NO ENCONTRADO EN PLANTA"))</f>
        <v/>
      </c>
      <c r="B1304" s="3" t="inlineStr"/>
      <c r="C1304" s="4">
        <f>IF(B1304="","",IFERROR(VLOOKUP(B1304, PLANTA_BASE!A:R, 3, FALSE), ""))</f>
        <v/>
      </c>
      <c r="D1304" s="2">
        <f>IF(B1304="","",IFERROR(VLOOKUP(B1304, PLANTA_BASE!A:R, 5, FALSE), "NO ENCONTRADO EN PLANTA"))</f>
        <v/>
      </c>
      <c r="E1304" s="2">
        <f>IF(B1304="","",IFERROR(VLOOKUP(B1304, PLANTA_BASE!A:R, 6, FALSE), "NO ENCONTRADO EN PLANTA"))</f>
        <v/>
      </c>
      <c r="F1304" s="4">
        <f>IF(B1304="","",IFERROR(VLOOKUP(B1304, PLANTA_BASE!A:R, 8, FALSE), "DOCENTE / FACILITADOR"))</f>
        <v/>
      </c>
      <c r="G1304" s="4">
        <f>IF(B1304="","",IFERROR(VLOOKUP(B1304, PLANTA_BASE!A:R, 9, FALSE), "GENERAL"))</f>
        <v/>
      </c>
      <c r="H1304" s="2">
        <f>IF(B1304="","",IFERROR(VLOOKUP(B1304, PLANTA_BASE!A:R, 17, FALSE), "GENERAL"))</f>
        <v/>
      </c>
    </row>
    <row r="1305" ht="20" customHeight="1">
      <c r="A1305" s="5">
        <f>IF(B1305="","",IFERROR(VLOOKUP(B1305, PLANTA_BASE!A:R, 2, FALSE), "NO ENCONTRADO EN PLANTA"))</f>
        <v/>
      </c>
      <c r="B1305" s="6" t="inlineStr"/>
      <c r="C1305" s="7">
        <f>IF(B1305="","",IFERROR(VLOOKUP(B1305, PLANTA_BASE!A:R, 3, FALSE), ""))</f>
        <v/>
      </c>
      <c r="D1305" s="5">
        <f>IF(B1305="","",IFERROR(VLOOKUP(B1305, PLANTA_BASE!A:R, 5, FALSE), "NO ENCONTRADO EN PLANTA"))</f>
        <v/>
      </c>
      <c r="E1305" s="5">
        <f>IF(B1305="","",IFERROR(VLOOKUP(B1305, PLANTA_BASE!A:R, 6, FALSE), "NO ENCONTRADO EN PLANTA"))</f>
        <v/>
      </c>
      <c r="F1305" s="7">
        <f>IF(B1305="","",IFERROR(VLOOKUP(B1305, PLANTA_BASE!A:R, 8, FALSE), "DOCENTE / FACILITADOR"))</f>
        <v/>
      </c>
      <c r="G1305" s="7">
        <f>IF(B1305="","",IFERROR(VLOOKUP(B1305, PLANTA_BASE!A:R, 9, FALSE), "GENERAL"))</f>
        <v/>
      </c>
      <c r="H1305" s="5">
        <f>IF(B1305="","",IFERROR(VLOOKUP(B1305, PLANTA_BASE!A:R, 17, FALSE), "GENERAL"))</f>
        <v/>
      </c>
    </row>
    <row r="1306" ht="20" customHeight="1">
      <c r="A1306" s="2">
        <f>IF(B1306="","",IFERROR(VLOOKUP(B1306, PLANTA_BASE!A:R, 2, FALSE), "NO ENCONTRADO EN PLANTA"))</f>
        <v/>
      </c>
      <c r="B1306" s="3" t="inlineStr"/>
      <c r="C1306" s="4">
        <f>IF(B1306="","",IFERROR(VLOOKUP(B1306, PLANTA_BASE!A:R, 3, FALSE), ""))</f>
        <v/>
      </c>
      <c r="D1306" s="2">
        <f>IF(B1306="","",IFERROR(VLOOKUP(B1306, PLANTA_BASE!A:R, 5, FALSE), "NO ENCONTRADO EN PLANTA"))</f>
        <v/>
      </c>
      <c r="E1306" s="2">
        <f>IF(B1306="","",IFERROR(VLOOKUP(B1306, PLANTA_BASE!A:R, 6, FALSE), "NO ENCONTRADO EN PLANTA"))</f>
        <v/>
      </c>
      <c r="F1306" s="4">
        <f>IF(B1306="","",IFERROR(VLOOKUP(B1306, PLANTA_BASE!A:R, 8, FALSE), "DOCENTE / FACILITADOR"))</f>
        <v/>
      </c>
      <c r="G1306" s="4">
        <f>IF(B1306="","",IFERROR(VLOOKUP(B1306, PLANTA_BASE!A:R, 9, FALSE), "GENERAL"))</f>
        <v/>
      </c>
      <c r="H1306" s="2">
        <f>IF(B1306="","",IFERROR(VLOOKUP(B1306, PLANTA_BASE!A:R, 17, FALSE), "GENERAL"))</f>
        <v/>
      </c>
    </row>
    <row r="1307" ht="20" customHeight="1">
      <c r="A1307" s="5">
        <f>IF(B1307="","",IFERROR(VLOOKUP(B1307, PLANTA_BASE!A:R, 2, FALSE), "NO ENCONTRADO EN PLANTA"))</f>
        <v/>
      </c>
      <c r="B1307" s="6" t="inlineStr"/>
      <c r="C1307" s="7">
        <f>IF(B1307="","",IFERROR(VLOOKUP(B1307, PLANTA_BASE!A:R, 3, FALSE), ""))</f>
        <v/>
      </c>
      <c r="D1307" s="5">
        <f>IF(B1307="","",IFERROR(VLOOKUP(B1307, PLANTA_BASE!A:R, 5, FALSE), "NO ENCONTRADO EN PLANTA"))</f>
        <v/>
      </c>
      <c r="E1307" s="5">
        <f>IF(B1307="","",IFERROR(VLOOKUP(B1307, PLANTA_BASE!A:R, 6, FALSE), "NO ENCONTRADO EN PLANTA"))</f>
        <v/>
      </c>
      <c r="F1307" s="7">
        <f>IF(B1307="","",IFERROR(VLOOKUP(B1307, PLANTA_BASE!A:R, 8, FALSE), "DOCENTE / FACILITADOR"))</f>
        <v/>
      </c>
      <c r="G1307" s="7">
        <f>IF(B1307="","",IFERROR(VLOOKUP(B1307, PLANTA_BASE!A:R, 9, FALSE), "GENERAL"))</f>
        <v/>
      </c>
      <c r="H1307" s="5">
        <f>IF(B1307="","",IFERROR(VLOOKUP(B1307, PLANTA_BASE!A:R, 17, FALSE), "GENERAL"))</f>
        <v/>
      </c>
    </row>
    <row r="1308" ht="20" customHeight="1">
      <c r="A1308" s="2">
        <f>IF(B1308="","",IFERROR(VLOOKUP(B1308, PLANTA_BASE!A:R, 2, FALSE), "NO ENCONTRADO EN PLANTA"))</f>
        <v/>
      </c>
      <c r="B1308" s="3" t="inlineStr"/>
      <c r="C1308" s="4">
        <f>IF(B1308="","",IFERROR(VLOOKUP(B1308, PLANTA_BASE!A:R, 3, FALSE), ""))</f>
        <v/>
      </c>
      <c r="D1308" s="2">
        <f>IF(B1308="","",IFERROR(VLOOKUP(B1308, PLANTA_BASE!A:R, 5, FALSE), "NO ENCONTRADO EN PLANTA"))</f>
        <v/>
      </c>
      <c r="E1308" s="2">
        <f>IF(B1308="","",IFERROR(VLOOKUP(B1308, PLANTA_BASE!A:R, 6, FALSE), "NO ENCONTRADO EN PLANTA"))</f>
        <v/>
      </c>
      <c r="F1308" s="4">
        <f>IF(B1308="","",IFERROR(VLOOKUP(B1308, PLANTA_BASE!A:R, 8, FALSE), "DOCENTE / FACILITADOR"))</f>
        <v/>
      </c>
      <c r="G1308" s="4">
        <f>IF(B1308="","",IFERROR(VLOOKUP(B1308, PLANTA_BASE!A:R, 9, FALSE), "GENERAL"))</f>
        <v/>
      </c>
      <c r="H1308" s="2">
        <f>IF(B1308="","",IFERROR(VLOOKUP(B1308, PLANTA_BASE!A:R, 17, FALSE), "GENERAL"))</f>
        <v/>
      </c>
    </row>
    <row r="1309" ht="20" customHeight="1">
      <c r="A1309" s="5">
        <f>IF(B1309="","",IFERROR(VLOOKUP(B1309, PLANTA_BASE!A:R, 2, FALSE), "NO ENCONTRADO EN PLANTA"))</f>
        <v/>
      </c>
      <c r="B1309" s="6" t="inlineStr"/>
      <c r="C1309" s="7">
        <f>IF(B1309="","",IFERROR(VLOOKUP(B1309, PLANTA_BASE!A:R, 3, FALSE), ""))</f>
        <v/>
      </c>
      <c r="D1309" s="5">
        <f>IF(B1309="","",IFERROR(VLOOKUP(B1309, PLANTA_BASE!A:R, 5, FALSE), "NO ENCONTRADO EN PLANTA"))</f>
        <v/>
      </c>
      <c r="E1309" s="5">
        <f>IF(B1309="","",IFERROR(VLOOKUP(B1309, PLANTA_BASE!A:R, 6, FALSE), "NO ENCONTRADO EN PLANTA"))</f>
        <v/>
      </c>
      <c r="F1309" s="7">
        <f>IF(B1309="","",IFERROR(VLOOKUP(B1309, PLANTA_BASE!A:R, 8, FALSE), "DOCENTE / FACILITADOR"))</f>
        <v/>
      </c>
      <c r="G1309" s="7">
        <f>IF(B1309="","",IFERROR(VLOOKUP(B1309, PLANTA_BASE!A:R, 9, FALSE), "GENERAL"))</f>
        <v/>
      </c>
      <c r="H1309" s="5">
        <f>IF(B1309="","",IFERROR(VLOOKUP(B1309, PLANTA_BASE!A:R, 17, FALSE), "GENERAL"))</f>
        <v/>
      </c>
    </row>
    <row r="1310" ht="20" customHeight="1">
      <c r="A1310" s="2">
        <f>IF(B1310="","",IFERROR(VLOOKUP(B1310, PLANTA_BASE!A:R, 2, FALSE), "NO ENCONTRADO EN PLANTA"))</f>
        <v/>
      </c>
      <c r="B1310" s="3" t="inlineStr"/>
      <c r="C1310" s="4">
        <f>IF(B1310="","",IFERROR(VLOOKUP(B1310, PLANTA_BASE!A:R, 3, FALSE), ""))</f>
        <v/>
      </c>
      <c r="D1310" s="2">
        <f>IF(B1310="","",IFERROR(VLOOKUP(B1310, PLANTA_BASE!A:R, 5, FALSE), "NO ENCONTRADO EN PLANTA"))</f>
        <v/>
      </c>
      <c r="E1310" s="2">
        <f>IF(B1310="","",IFERROR(VLOOKUP(B1310, PLANTA_BASE!A:R, 6, FALSE), "NO ENCONTRADO EN PLANTA"))</f>
        <v/>
      </c>
      <c r="F1310" s="4">
        <f>IF(B1310="","",IFERROR(VLOOKUP(B1310, PLANTA_BASE!A:R, 8, FALSE), "DOCENTE / FACILITADOR"))</f>
        <v/>
      </c>
      <c r="G1310" s="4">
        <f>IF(B1310="","",IFERROR(VLOOKUP(B1310, PLANTA_BASE!A:R, 9, FALSE), "GENERAL"))</f>
        <v/>
      </c>
      <c r="H1310" s="2">
        <f>IF(B1310="","",IFERROR(VLOOKUP(B1310, PLANTA_BASE!A:R, 17, FALSE), "GENERAL"))</f>
        <v/>
      </c>
    </row>
    <row r="1311" ht="20" customHeight="1">
      <c r="A1311" s="5">
        <f>IF(B1311="","",IFERROR(VLOOKUP(B1311, PLANTA_BASE!A:R, 2, FALSE), "NO ENCONTRADO EN PLANTA"))</f>
        <v/>
      </c>
      <c r="B1311" s="6" t="inlineStr"/>
      <c r="C1311" s="7">
        <f>IF(B1311="","",IFERROR(VLOOKUP(B1311, PLANTA_BASE!A:R, 3, FALSE), ""))</f>
        <v/>
      </c>
      <c r="D1311" s="5">
        <f>IF(B1311="","",IFERROR(VLOOKUP(B1311, PLANTA_BASE!A:R, 5, FALSE), "NO ENCONTRADO EN PLANTA"))</f>
        <v/>
      </c>
      <c r="E1311" s="5">
        <f>IF(B1311="","",IFERROR(VLOOKUP(B1311, PLANTA_BASE!A:R, 6, FALSE), "NO ENCONTRADO EN PLANTA"))</f>
        <v/>
      </c>
      <c r="F1311" s="7">
        <f>IF(B1311="","",IFERROR(VLOOKUP(B1311, PLANTA_BASE!A:R, 8, FALSE), "DOCENTE / FACILITADOR"))</f>
        <v/>
      </c>
      <c r="G1311" s="7">
        <f>IF(B1311="","",IFERROR(VLOOKUP(B1311, PLANTA_BASE!A:R, 9, FALSE), "GENERAL"))</f>
        <v/>
      </c>
      <c r="H1311" s="5">
        <f>IF(B1311="","",IFERROR(VLOOKUP(B1311, PLANTA_BASE!A:R, 17, FALSE), "GENERAL"))</f>
        <v/>
      </c>
    </row>
    <row r="1312" ht="20" customHeight="1">
      <c r="A1312" s="2">
        <f>IF(B1312="","",IFERROR(VLOOKUP(B1312, PLANTA_BASE!A:R, 2, FALSE), "NO ENCONTRADO EN PLANTA"))</f>
        <v/>
      </c>
      <c r="B1312" s="3" t="inlineStr"/>
      <c r="C1312" s="4">
        <f>IF(B1312="","",IFERROR(VLOOKUP(B1312, PLANTA_BASE!A:R, 3, FALSE), ""))</f>
        <v/>
      </c>
      <c r="D1312" s="2">
        <f>IF(B1312="","",IFERROR(VLOOKUP(B1312, PLANTA_BASE!A:R, 5, FALSE), "NO ENCONTRADO EN PLANTA"))</f>
        <v/>
      </c>
      <c r="E1312" s="2">
        <f>IF(B1312="","",IFERROR(VLOOKUP(B1312, PLANTA_BASE!A:R, 6, FALSE), "NO ENCONTRADO EN PLANTA"))</f>
        <v/>
      </c>
      <c r="F1312" s="4">
        <f>IF(B1312="","",IFERROR(VLOOKUP(B1312, PLANTA_BASE!A:R, 8, FALSE), "DOCENTE / FACILITADOR"))</f>
        <v/>
      </c>
      <c r="G1312" s="4">
        <f>IF(B1312="","",IFERROR(VLOOKUP(B1312, PLANTA_BASE!A:R, 9, FALSE), "GENERAL"))</f>
        <v/>
      </c>
      <c r="H1312" s="2">
        <f>IF(B1312="","",IFERROR(VLOOKUP(B1312, PLANTA_BASE!A:R, 17, FALSE), "GENERAL"))</f>
        <v/>
      </c>
    </row>
    <row r="1313" ht="20" customHeight="1">
      <c r="A1313" s="5">
        <f>IF(B1313="","",IFERROR(VLOOKUP(B1313, PLANTA_BASE!A:R, 2, FALSE), "NO ENCONTRADO EN PLANTA"))</f>
        <v/>
      </c>
      <c r="B1313" s="6" t="inlineStr"/>
      <c r="C1313" s="7">
        <f>IF(B1313="","",IFERROR(VLOOKUP(B1313, PLANTA_BASE!A:R, 3, FALSE), ""))</f>
        <v/>
      </c>
      <c r="D1313" s="5">
        <f>IF(B1313="","",IFERROR(VLOOKUP(B1313, PLANTA_BASE!A:R, 5, FALSE), "NO ENCONTRADO EN PLANTA"))</f>
        <v/>
      </c>
      <c r="E1313" s="5">
        <f>IF(B1313="","",IFERROR(VLOOKUP(B1313, PLANTA_BASE!A:R, 6, FALSE), "NO ENCONTRADO EN PLANTA"))</f>
        <v/>
      </c>
      <c r="F1313" s="7">
        <f>IF(B1313="","",IFERROR(VLOOKUP(B1313, PLANTA_BASE!A:R, 8, FALSE), "DOCENTE / FACILITADOR"))</f>
        <v/>
      </c>
      <c r="G1313" s="7">
        <f>IF(B1313="","",IFERROR(VLOOKUP(B1313, PLANTA_BASE!A:R, 9, FALSE), "GENERAL"))</f>
        <v/>
      </c>
      <c r="H1313" s="5">
        <f>IF(B1313="","",IFERROR(VLOOKUP(B1313, PLANTA_BASE!A:R, 17, FALSE), "GENERAL"))</f>
        <v/>
      </c>
    </row>
    <row r="1314" ht="20" customHeight="1">
      <c r="A1314" s="2">
        <f>IF(B1314="","",IFERROR(VLOOKUP(B1314, PLANTA_BASE!A:R, 2, FALSE), "NO ENCONTRADO EN PLANTA"))</f>
        <v/>
      </c>
      <c r="B1314" s="3" t="inlineStr"/>
      <c r="C1314" s="4">
        <f>IF(B1314="","",IFERROR(VLOOKUP(B1314, PLANTA_BASE!A:R, 3, FALSE), ""))</f>
        <v/>
      </c>
      <c r="D1314" s="2">
        <f>IF(B1314="","",IFERROR(VLOOKUP(B1314, PLANTA_BASE!A:R, 5, FALSE), "NO ENCONTRADO EN PLANTA"))</f>
        <v/>
      </c>
      <c r="E1314" s="2">
        <f>IF(B1314="","",IFERROR(VLOOKUP(B1314, PLANTA_BASE!A:R, 6, FALSE), "NO ENCONTRADO EN PLANTA"))</f>
        <v/>
      </c>
      <c r="F1314" s="4">
        <f>IF(B1314="","",IFERROR(VLOOKUP(B1314, PLANTA_BASE!A:R, 8, FALSE), "DOCENTE / FACILITADOR"))</f>
        <v/>
      </c>
      <c r="G1314" s="4">
        <f>IF(B1314="","",IFERROR(VLOOKUP(B1314, PLANTA_BASE!A:R, 9, FALSE), "GENERAL"))</f>
        <v/>
      </c>
      <c r="H1314" s="2">
        <f>IF(B1314="","",IFERROR(VLOOKUP(B1314, PLANTA_BASE!A:R, 17, FALSE), "GENERAL"))</f>
        <v/>
      </c>
    </row>
    <row r="1315" ht="20" customHeight="1">
      <c r="A1315" s="5">
        <f>IF(B1315="","",IFERROR(VLOOKUP(B1315, PLANTA_BASE!A:R, 2, FALSE), "NO ENCONTRADO EN PLANTA"))</f>
        <v/>
      </c>
      <c r="B1315" s="6" t="inlineStr"/>
      <c r="C1315" s="7">
        <f>IF(B1315="","",IFERROR(VLOOKUP(B1315, PLANTA_BASE!A:R, 3, FALSE), ""))</f>
        <v/>
      </c>
      <c r="D1315" s="5">
        <f>IF(B1315="","",IFERROR(VLOOKUP(B1315, PLANTA_BASE!A:R, 5, FALSE), "NO ENCONTRADO EN PLANTA"))</f>
        <v/>
      </c>
      <c r="E1315" s="5">
        <f>IF(B1315="","",IFERROR(VLOOKUP(B1315, PLANTA_BASE!A:R, 6, FALSE), "NO ENCONTRADO EN PLANTA"))</f>
        <v/>
      </c>
      <c r="F1315" s="7">
        <f>IF(B1315="","",IFERROR(VLOOKUP(B1315, PLANTA_BASE!A:R, 8, FALSE), "DOCENTE / FACILITADOR"))</f>
        <v/>
      </c>
      <c r="G1315" s="7">
        <f>IF(B1315="","",IFERROR(VLOOKUP(B1315, PLANTA_BASE!A:R, 9, FALSE), "GENERAL"))</f>
        <v/>
      </c>
      <c r="H1315" s="5">
        <f>IF(B1315="","",IFERROR(VLOOKUP(B1315, PLANTA_BASE!A:R, 17, FALSE), "GENERAL"))</f>
        <v/>
      </c>
    </row>
    <row r="1316" ht="20" customHeight="1">
      <c r="A1316" s="2">
        <f>IF(B1316="","",IFERROR(VLOOKUP(B1316, PLANTA_BASE!A:R, 2, FALSE), "NO ENCONTRADO EN PLANTA"))</f>
        <v/>
      </c>
      <c r="B1316" s="3" t="inlineStr"/>
      <c r="C1316" s="4">
        <f>IF(B1316="","",IFERROR(VLOOKUP(B1316, PLANTA_BASE!A:R, 3, FALSE), ""))</f>
        <v/>
      </c>
      <c r="D1316" s="2">
        <f>IF(B1316="","",IFERROR(VLOOKUP(B1316, PLANTA_BASE!A:R, 5, FALSE), "NO ENCONTRADO EN PLANTA"))</f>
        <v/>
      </c>
      <c r="E1316" s="2">
        <f>IF(B1316="","",IFERROR(VLOOKUP(B1316, PLANTA_BASE!A:R, 6, FALSE), "NO ENCONTRADO EN PLANTA"))</f>
        <v/>
      </c>
      <c r="F1316" s="4">
        <f>IF(B1316="","",IFERROR(VLOOKUP(B1316, PLANTA_BASE!A:R, 8, FALSE), "DOCENTE / FACILITADOR"))</f>
        <v/>
      </c>
      <c r="G1316" s="4">
        <f>IF(B1316="","",IFERROR(VLOOKUP(B1316, PLANTA_BASE!A:R, 9, FALSE), "GENERAL"))</f>
        <v/>
      </c>
      <c r="H1316" s="2">
        <f>IF(B1316="","",IFERROR(VLOOKUP(B1316, PLANTA_BASE!A:R, 17, FALSE), "GENERAL"))</f>
        <v/>
      </c>
    </row>
    <row r="1317" ht="20" customHeight="1">
      <c r="A1317" s="5">
        <f>IF(B1317="","",IFERROR(VLOOKUP(B1317, PLANTA_BASE!A:R, 2, FALSE), "NO ENCONTRADO EN PLANTA"))</f>
        <v/>
      </c>
      <c r="B1317" s="6" t="inlineStr"/>
      <c r="C1317" s="7">
        <f>IF(B1317="","",IFERROR(VLOOKUP(B1317, PLANTA_BASE!A:R, 3, FALSE), ""))</f>
        <v/>
      </c>
      <c r="D1317" s="5">
        <f>IF(B1317="","",IFERROR(VLOOKUP(B1317, PLANTA_BASE!A:R, 5, FALSE), "NO ENCONTRADO EN PLANTA"))</f>
        <v/>
      </c>
      <c r="E1317" s="5">
        <f>IF(B1317="","",IFERROR(VLOOKUP(B1317, PLANTA_BASE!A:R, 6, FALSE), "NO ENCONTRADO EN PLANTA"))</f>
        <v/>
      </c>
      <c r="F1317" s="7">
        <f>IF(B1317="","",IFERROR(VLOOKUP(B1317, PLANTA_BASE!A:R, 8, FALSE), "DOCENTE / FACILITADOR"))</f>
        <v/>
      </c>
      <c r="G1317" s="7">
        <f>IF(B1317="","",IFERROR(VLOOKUP(B1317, PLANTA_BASE!A:R, 9, FALSE), "GENERAL"))</f>
        <v/>
      </c>
      <c r="H1317" s="5">
        <f>IF(B1317="","",IFERROR(VLOOKUP(B1317, PLANTA_BASE!A:R, 17, FALSE), "GENERAL"))</f>
        <v/>
      </c>
    </row>
    <row r="1318" ht="20" customHeight="1">
      <c r="A1318" s="2">
        <f>IF(B1318="","",IFERROR(VLOOKUP(B1318, PLANTA_BASE!A:R, 2, FALSE), "NO ENCONTRADO EN PLANTA"))</f>
        <v/>
      </c>
      <c r="B1318" s="3" t="inlineStr"/>
      <c r="C1318" s="4">
        <f>IF(B1318="","",IFERROR(VLOOKUP(B1318, PLANTA_BASE!A:R, 3, FALSE), ""))</f>
        <v/>
      </c>
      <c r="D1318" s="2">
        <f>IF(B1318="","",IFERROR(VLOOKUP(B1318, PLANTA_BASE!A:R, 5, FALSE), "NO ENCONTRADO EN PLANTA"))</f>
        <v/>
      </c>
      <c r="E1318" s="2">
        <f>IF(B1318="","",IFERROR(VLOOKUP(B1318, PLANTA_BASE!A:R, 6, FALSE), "NO ENCONTRADO EN PLANTA"))</f>
        <v/>
      </c>
      <c r="F1318" s="4">
        <f>IF(B1318="","",IFERROR(VLOOKUP(B1318, PLANTA_BASE!A:R, 8, FALSE), "DOCENTE / FACILITADOR"))</f>
        <v/>
      </c>
      <c r="G1318" s="4">
        <f>IF(B1318="","",IFERROR(VLOOKUP(B1318, PLANTA_BASE!A:R, 9, FALSE), "GENERAL"))</f>
        <v/>
      </c>
      <c r="H1318" s="2">
        <f>IF(B1318="","",IFERROR(VLOOKUP(B1318, PLANTA_BASE!A:R, 17, FALSE), "GENERAL"))</f>
        <v/>
      </c>
    </row>
    <row r="1319" ht="20" customHeight="1">
      <c r="A1319" s="5">
        <f>IF(B1319="","",IFERROR(VLOOKUP(B1319, PLANTA_BASE!A:R, 2, FALSE), "NO ENCONTRADO EN PLANTA"))</f>
        <v/>
      </c>
      <c r="B1319" s="6" t="inlineStr"/>
      <c r="C1319" s="7">
        <f>IF(B1319="","",IFERROR(VLOOKUP(B1319, PLANTA_BASE!A:R, 3, FALSE), ""))</f>
        <v/>
      </c>
      <c r="D1319" s="5">
        <f>IF(B1319="","",IFERROR(VLOOKUP(B1319, PLANTA_BASE!A:R, 5, FALSE), "NO ENCONTRADO EN PLANTA"))</f>
        <v/>
      </c>
      <c r="E1319" s="5">
        <f>IF(B1319="","",IFERROR(VLOOKUP(B1319, PLANTA_BASE!A:R, 6, FALSE), "NO ENCONTRADO EN PLANTA"))</f>
        <v/>
      </c>
      <c r="F1319" s="7">
        <f>IF(B1319="","",IFERROR(VLOOKUP(B1319, PLANTA_BASE!A:R, 8, FALSE), "DOCENTE / FACILITADOR"))</f>
        <v/>
      </c>
      <c r="G1319" s="7">
        <f>IF(B1319="","",IFERROR(VLOOKUP(B1319, PLANTA_BASE!A:R, 9, FALSE), "GENERAL"))</f>
        <v/>
      </c>
      <c r="H1319" s="5">
        <f>IF(B1319="","",IFERROR(VLOOKUP(B1319, PLANTA_BASE!A:R, 17, FALSE), "GENERAL"))</f>
        <v/>
      </c>
    </row>
    <row r="1320" ht="20" customHeight="1">
      <c r="A1320" s="2">
        <f>IF(B1320="","",IFERROR(VLOOKUP(B1320, PLANTA_BASE!A:R, 2, FALSE), "NO ENCONTRADO EN PLANTA"))</f>
        <v/>
      </c>
      <c r="B1320" s="3" t="inlineStr"/>
      <c r="C1320" s="4">
        <f>IF(B1320="","",IFERROR(VLOOKUP(B1320, PLANTA_BASE!A:R, 3, FALSE), ""))</f>
        <v/>
      </c>
      <c r="D1320" s="2">
        <f>IF(B1320="","",IFERROR(VLOOKUP(B1320, PLANTA_BASE!A:R, 5, FALSE), "NO ENCONTRADO EN PLANTA"))</f>
        <v/>
      </c>
      <c r="E1320" s="2">
        <f>IF(B1320="","",IFERROR(VLOOKUP(B1320, PLANTA_BASE!A:R, 6, FALSE), "NO ENCONTRADO EN PLANTA"))</f>
        <v/>
      </c>
      <c r="F1320" s="4">
        <f>IF(B1320="","",IFERROR(VLOOKUP(B1320, PLANTA_BASE!A:R, 8, FALSE), "DOCENTE / FACILITADOR"))</f>
        <v/>
      </c>
      <c r="G1320" s="4">
        <f>IF(B1320="","",IFERROR(VLOOKUP(B1320, PLANTA_BASE!A:R, 9, FALSE), "GENERAL"))</f>
        <v/>
      </c>
      <c r="H1320" s="2">
        <f>IF(B1320="","",IFERROR(VLOOKUP(B1320, PLANTA_BASE!A:R, 17, FALSE), "GENERAL"))</f>
        <v/>
      </c>
    </row>
    <row r="1321" ht="20" customHeight="1">
      <c r="A1321" s="5">
        <f>IF(B1321="","",IFERROR(VLOOKUP(B1321, PLANTA_BASE!A:R, 2, FALSE), "NO ENCONTRADO EN PLANTA"))</f>
        <v/>
      </c>
      <c r="B1321" s="6" t="inlineStr"/>
      <c r="C1321" s="7">
        <f>IF(B1321="","",IFERROR(VLOOKUP(B1321, PLANTA_BASE!A:R, 3, FALSE), ""))</f>
        <v/>
      </c>
      <c r="D1321" s="5">
        <f>IF(B1321="","",IFERROR(VLOOKUP(B1321, PLANTA_BASE!A:R, 5, FALSE), "NO ENCONTRADO EN PLANTA"))</f>
        <v/>
      </c>
      <c r="E1321" s="5">
        <f>IF(B1321="","",IFERROR(VLOOKUP(B1321, PLANTA_BASE!A:R, 6, FALSE), "NO ENCONTRADO EN PLANTA"))</f>
        <v/>
      </c>
      <c r="F1321" s="7">
        <f>IF(B1321="","",IFERROR(VLOOKUP(B1321, PLANTA_BASE!A:R, 8, FALSE), "DOCENTE / FACILITADOR"))</f>
        <v/>
      </c>
      <c r="G1321" s="7">
        <f>IF(B1321="","",IFERROR(VLOOKUP(B1321, PLANTA_BASE!A:R, 9, FALSE), "GENERAL"))</f>
        <v/>
      </c>
      <c r="H1321" s="5">
        <f>IF(B1321="","",IFERROR(VLOOKUP(B1321, PLANTA_BASE!A:R, 17, FALSE), "GENERAL"))</f>
        <v/>
      </c>
    </row>
    <row r="1322" ht="20" customHeight="1">
      <c r="A1322" s="2">
        <f>IF(B1322="","",IFERROR(VLOOKUP(B1322, PLANTA_BASE!A:R, 2, FALSE), "NO ENCONTRADO EN PLANTA"))</f>
        <v/>
      </c>
      <c r="B1322" s="3" t="inlineStr"/>
      <c r="C1322" s="4">
        <f>IF(B1322="","",IFERROR(VLOOKUP(B1322, PLANTA_BASE!A:R, 3, FALSE), ""))</f>
        <v/>
      </c>
      <c r="D1322" s="2">
        <f>IF(B1322="","",IFERROR(VLOOKUP(B1322, PLANTA_BASE!A:R, 5, FALSE), "NO ENCONTRADO EN PLANTA"))</f>
        <v/>
      </c>
      <c r="E1322" s="2">
        <f>IF(B1322="","",IFERROR(VLOOKUP(B1322, PLANTA_BASE!A:R, 6, FALSE), "NO ENCONTRADO EN PLANTA"))</f>
        <v/>
      </c>
      <c r="F1322" s="4">
        <f>IF(B1322="","",IFERROR(VLOOKUP(B1322, PLANTA_BASE!A:R, 8, FALSE), "DOCENTE / FACILITADOR"))</f>
        <v/>
      </c>
      <c r="G1322" s="4">
        <f>IF(B1322="","",IFERROR(VLOOKUP(B1322, PLANTA_BASE!A:R, 9, FALSE), "GENERAL"))</f>
        <v/>
      </c>
      <c r="H1322" s="2">
        <f>IF(B1322="","",IFERROR(VLOOKUP(B1322, PLANTA_BASE!A:R, 17, FALSE), "GENERAL"))</f>
        <v/>
      </c>
    </row>
    <row r="1323" ht="20" customHeight="1">
      <c r="A1323" s="5">
        <f>IF(B1323="","",IFERROR(VLOOKUP(B1323, PLANTA_BASE!A:R, 2, FALSE), "NO ENCONTRADO EN PLANTA"))</f>
        <v/>
      </c>
      <c r="B1323" s="6" t="inlineStr"/>
      <c r="C1323" s="7">
        <f>IF(B1323="","",IFERROR(VLOOKUP(B1323, PLANTA_BASE!A:R, 3, FALSE), ""))</f>
        <v/>
      </c>
      <c r="D1323" s="5">
        <f>IF(B1323="","",IFERROR(VLOOKUP(B1323, PLANTA_BASE!A:R, 5, FALSE), "NO ENCONTRADO EN PLANTA"))</f>
        <v/>
      </c>
      <c r="E1323" s="5">
        <f>IF(B1323="","",IFERROR(VLOOKUP(B1323, PLANTA_BASE!A:R, 6, FALSE), "NO ENCONTRADO EN PLANTA"))</f>
        <v/>
      </c>
      <c r="F1323" s="7">
        <f>IF(B1323="","",IFERROR(VLOOKUP(B1323, PLANTA_BASE!A:R, 8, FALSE), "DOCENTE / FACILITADOR"))</f>
        <v/>
      </c>
      <c r="G1323" s="7">
        <f>IF(B1323="","",IFERROR(VLOOKUP(B1323, PLANTA_BASE!A:R, 9, FALSE), "GENERAL"))</f>
        <v/>
      </c>
      <c r="H1323" s="5">
        <f>IF(B1323="","",IFERROR(VLOOKUP(B1323, PLANTA_BASE!A:R, 17, FALSE), "GENERAL"))</f>
        <v/>
      </c>
    </row>
    <row r="1324" ht="20" customHeight="1">
      <c r="A1324" s="2">
        <f>IF(B1324="","",IFERROR(VLOOKUP(B1324, PLANTA_BASE!A:R, 2, FALSE), "NO ENCONTRADO EN PLANTA"))</f>
        <v/>
      </c>
      <c r="B1324" s="3" t="inlineStr"/>
      <c r="C1324" s="4">
        <f>IF(B1324="","",IFERROR(VLOOKUP(B1324, PLANTA_BASE!A:R, 3, FALSE), ""))</f>
        <v/>
      </c>
      <c r="D1324" s="2">
        <f>IF(B1324="","",IFERROR(VLOOKUP(B1324, PLANTA_BASE!A:R, 5, FALSE), "NO ENCONTRADO EN PLANTA"))</f>
        <v/>
      </c>
      <c r="E1324" s="2">
        <f>IF(B1324="","",IFERROR(VLOOKUP(B1324, PLANTA_BASE!A:R, 6, FALSE), "NO ENCONTRADO EN PLANTA"))</f>
        <v/>
      </c>
      <c r="F1324" s="4">
        <f>IF(B1324="","",IFERROR(VLOOKUP(B1324, PLANTA_BASE!A:R, 8, FALSE), "DOCENTE / FACILITADOR"))</f>
        <v/>
      </c>
      <c r="G1324" s="4">
        <f>IF(B1324="","",IFERROR(VLOOKUP(B1324, PLANTA_BASE!A:R, 9, FALSE), "GENERAL"))</f>
        <v/>
      </c>
      <c r="H1324" s="2">
        <f>IF(B1324="","",IFERROR(VLOOKUP(B1324, PLANTA_BASE!A:R, 17, FALSE), "GENERAL"))</f>
        <v/>
      </c>
    </row>
    <row r="1325" ht="20" customHeight="1">
      <c r="A1325" s="5">
        <f>IF(B1325="","",IFERROR(VLOOKUP(B1325, PLANTA_BASE!A:R, 2, FALSE), "NO ENCONTRADO EN PLANTA"))</f>
        <v/>
      </c>
      <c r="B1325" s="6" t="inlineStr"/>
      <c r="C1325" s="7">
        <f>IF(B1325="","",IFERROR(VLOOKUP(B1325, PLANTA_BASE!A:R, 3, FALSE), ""))</f>
        <v/>
      </c>
      <c r="D1325" s="5">
        <f>IF(B1325="","",IFERROR(VLOOKUP(B1325, PLANTA_BASE!A:R, 5, FALSE), "NO ENCONTRADO EN PLANTA"))</f>
        <v/>
      </c>
      <c r="E1325" s="5">
        <f>IF(B1325="","",IFERROR(VLOOKUP(B1325, PLANTA_BASE!A:R, 6, FALSE), "NO ENCONTRADO EN PLANTA"))</f>
        <v/>
      </c>
      <c r="F1325" s="7">
        <f>IF(B1325="","",IFERROR(VLOOKUP(B1325, PLANTA_BASE!A:R, 8, FALSE), "DOCENTE / FACILITADOR"))</f>
        <v/>
      </c>
      <c r="G1325" s="7">
        <f>IF(B1325="","",IFERROR(VLOOKUP(B1325, PLANTA_BASE!A:R, 9, FALSE), "GENERAL"))</f>
        <v/>
      </c>
      <c r="H1325" s="5">
        <f>IF(B1325="","",IFERROR(VLOOKUP(B1325, PLANTA_BASE!A:R, 17, FALSE), "GENERAL"))</f>
        <v/>
      </c>
    </row>
    <row r="1326" ht="20" customHeight="1">
      <c r="A1326" s="2">
        <f>IF(B1326="","",IFERROR(VLOOKUP(B1326, PLANTA_BASE!A:R, 2, FALSE), "NO ENCONTRADO EN PLANTA"))</f>
        <v/>
      </c>
      <c r="B1326" s="3" t="inlineStr"/>
      <c r="C1326" s="4">
        <f>IF(B1326="","",IFERROR(VLOOKUP(B1326, PLANTA_BASE!A:R, 3, FALSE), ""))</f>
        <v/>
      </c>
      <c r="D1326" s="2">
        <f>IF(B1326="","",IFERROR(VLOOKUP(B1326, PLANTA_BASE!A:R, 5, FALSE), "NO ENCONTRADO EN PLANTA"))</f>
        <v/>
      </c>
      <c r="E1326" s="2">
        <f>IF(B1326="","",IFERROR(VLOOKUP(B1326, PLANTA_BASE!A:R, 6, FALSE), "NO ENCONTRADO EN PLANTA"))</f>
        <v/>
      </c>
      <c r="F1326" s="4">
        <f>IF(B1326="","",IFERROR(VLOOKUP(B1326, PLANTA_BASE!A:R, 8, FALSE), "DOCENTE / FACILITADOR"))</f>
        <v/>
      </c>
      <c r="G1326" s="4">
        <f>IF(B1326="","",IFERROR(VLOOKUP(B1326, PLANTA_BASE!A:R, 9, FALSE), "GENERAL"))</f>
        <v/>
      </c>
      <c r="H1326" s="2">
        <f>IF(B1326="","",IFERROR(VLOOKUP(B1326, PLANTA_BASE!A:R, 17, FALSE), "GENERAL"))</f>
        <v/>
      </c>
    </row>
    <row r="1327" ht="20" customHeight="1">
      <c r="A1327" s="5">
        <f>IF(B1327="","",IFERROR(VLOOKUP(B1327, PLANTA_BASE!A:R, 2, FALSE), "NO ENCONTRADO EN PLANTA"))</f>
        <v/>
      </c>
      <c r="B1327" s="6" t="inlineStr"/>
      <c r="C1327" s="7">
        <f>IF(B1327="","",IFERROR(VLOOKUP(B1327, PLANTA_BASE!A:R, 3, FALSE), ""))</f>
        <v/>
      </c>
      <c r="D1327" s="5">
        <f>IF(B1327="","",IFERROR(VLOOKUP(B1327, PLANTA_BASE!A:R, 5, FALSE), "NO ENCONTRADO EN PLANTA"))</f>
        <v/>
      </c>
      <c r="E1327" s="5">
        <f>IF(B1327="","",IFERROR(VLOOKUP(B1327, PLANTA_BASE!A:R, 6, FALSE), "NO ENCONTRADO EN PLANTA"))</f>
        <v/>
      </c>
      <c r="F1327" s="7">
        <f>IF(B1327="","",IFERROR(VLOOKUP(B1327, PLANTA_BASE!A:R, 8, FALSE), "DOCENTE / FACILITADOR"))</f>
        <v/>
      </c>
      <c r="G1327" s="7">
        <f>IF(B1327="","",IFERROR(VLOOKUP(B1327, PLANTA_BASE!A:R, 9, FALSE), "GENERAL"))</f>
        <v/>
      </c>
      <c r="H1327" s="5">
        <f>IF(B1327="","",IFERROR(VLOOKUP(B1327, PLANTA_BASE!A:R, 17, FALSE), "GENERAL"))</f>
        <v/>
      </c>
    </row>
    <row r="1328" ht="20" customHeight="1">
      <c r="A1328" s="2">
        <f>IF(B1328="","",IFERROR(VLOOKUP(B1328, PLANTA_BASE!A:R, 2, FALSE), "NO ENCONTRADO EN PLANTA"))</f>
        <v/>
      </c>
      <c r="B1328" s="3" t="inlineStr"/>
      <c r="C1328" s="4">
        <f>IF(B1328="","",IFERROR(VLOOKUP(B1328, PLANTA_BASE!A:R, 3, FALSE), ""))</f>
        <v/>
      </c>
      <c r="D1328" s="2">
        <f>IF(B1328="","",IFERROR(VLOOKUP(B1328, PLANTA_BASE!A:R, 5, FALSE), "NO ENCONTRADO EN PLANTA"))</f>
        <v/>
      </c>
      <c r="E1328" s="2">
        <f>IF(B1328="","",IFERROR(VLOOKUP(B1328, PLANTA_BASE!A:R, 6, FALSE), "NO ENCONTRADO EN PLANTA"))</f>
        <v/>
      </c>
      <c r="F1328" s="4">
        <f>IF(B1328="","",IFERROR(VLOOKUP(B1328, PLANTA_BASE!A:R, 8, FALSE), "DOCENTE / FACILITADOR"))</f>
        <v/>
      </c>
      <c r="G1328" s="4">
        <f>IF(B1328="","",IFERROR(VLOOKUP(B1328, PLANTA_BASE!A:R, 9, FALSE), "GENERAL"))</f>
        <v/>
      </c>
      <c r="H1328" s="2">
        <f>IF(B1328="","",IFERROR(VLOOKUP(B1328, PLANTA_BASE!A:R, 17, FALSE), "GENERAL"))</f>
        <v/>
      </c>
    </row>
    <row r="1329" ht="20" customHeight="1">
      <c r="A1329" s="5">
        <f>IF(B1329="","",IFERROR(VLOOKUP(B1329, PLANTA_BASE!A:R, 2, FALSE), "NO ENCONTRADO EN PLANTA"))</f>
        <v/>
      </c>
      <c r="B1329" s="6" t="inlineStr"/>
      <c r="C1329" s="7">
        <f>IF(B1329="","",IFERROR(VLOOKUP(B1329, PLANTA_BASE!A:R, 3, FALSE), ""))</f>
        <v/>
      </c>
      <c r="D1329" s="5">
        <f>IF(B1329="","",IFERROR(VLOOKUP(B1329, PLANTA_BASE!A:R, 5, FALSE), "NO ENCONTRADO EN PLANTA"))</f>
        <v/>
      </c>
      <c r="E1329" s="5">
        <f>IF(B1329="","",IFERROR(VLOOKUP(B1329, PLANTA_BASE!A:R, 6, FALSE), "NO ENCONTRADO EN PLANTA"))</f>
        <v/>
      </c>
      <c r="F1329" s="7">
        <f>IF(B1329="","",IFERROR(VLOOKUP(B1329, PLANTA_BASE!A:R, 8, FALSE), "DOCENTE / FACILITADOR"))</f>
        <v/>
      </c>
      <c r="G1329" s="7">
        <f>IF(B1329="","",IFERROR(VLOOKUP(B1329, PLANTA_BASE!A:R, 9, FALSE), "GENERAL"))</f>
        <v/>
      </c>
      <c r="H1329" s="5">
        <f>IF(B1329="","",IFERROR(VLOOKUP(B1329, PLANTA_BASE!A:R, 17, FALSE), "GENERAL"))</f>
        <v/>
      </c>
    </row>
    <row r="1330" ht="20" customHeight="1">
      <c r="A1330" s="2">
        <f>IF(B1330="","",IFERROR(VLOOKUP(B1330, PLANTA_BASE!A:R, 2, FALSE), "NO ENCONTRADO EN PLANTA"))</f>
        <v/>
      </c>
      <c r="B1330" s="3" t="inlineStr"/>
      <c r="C1330" s="4">
        <f>IF(B1330="","",IFERROR(VLOOKUP(B1330, PLANTA_BASE!A:R, 3, FALSE), ""))</f>
        <v/>
      </c>
      <c r="D1330" s="2">
        <f>IF(B1330="","",IFERROR(VLOOKUP(B1330, PLANTA_BASE!A:R, 5, FALSE), "NO ENCONTRADO EN PLANTA"))</f>
        <v/>
      </c>
      <c r="E1330" s="2">
        <f>IF(B1330="","",IFERROR(VLOOKUP(B1330, PLANTA_BASE!A:R, 6, FALSE), "NO ENCONTRADO EN PLANTA"))</f>
        <v/>
      </c>
      <c r="F1330" s="4">
        <f>IF(B1330="","",IFERROR(VLOOKUP(B1330, PLANTA_BASE!A:R, 8, FALSE), "DOCENTE / FACILITADOR"))</f>
        <v/>
      </c>
      <c r="G1330" s="4">
        <f>IF(B1330="","",IFERROR(VLOOKUP(B1330, PLANTA_BASE!A:R, 9, FALSE), "GENERAL"))</f>
        <v/>
      </c>
      <c r="H1330" s="2">
        <f>IF(B1330="","",IFERROR(VLOOKUP(B1330, PLANTA_BASE!A:R, 17, FALSE), "GENERAL"))</f>
        <v/>
      </c>
    </row>
    <row r="1331" ht="20" customHeight="1">
      <c r="A1331" s="5">
        <f>IF(B1331="","",IFERROR(VLOOKUP(B1331, PLANTA_BASE!A:R, 2, FALSE), "NO ENCONTRADO EN PLANTA"))</f>
        <v/>
      </c>
      <c r="B1331" s="6" t="inlineStr"/>
      <c r="C1331" s="7">
        <f>IF(B1331="","",IFERROR(VLOOKUP(B1331, PLANTA_BASE!A:R, 3, FALSE), ""))</f>
        <v/>
      </c>
      <c r="D1331" s="5">
        <f>IF(B1331="","",IFERROR(VLOOKUP(B1331, PLANTA_BASE!A:R, 5, FALSE), "NO ENCONTRADO EN PLANTA"))</f>
        <v/>
      </c>
      <c r="E1331" s="5">
        <f>IF(B1331="","",IFERROR(VLOOKUP(B1331, PLANTA_BASE!A:R, 6, FALSE), "NO ENCONTRADO EN PLANTA"))</f>
        <v/>
      </c>
      <c r="F1331" s="7">
        <f>IF(B1331="","",IFERROR(VLOOKUP(B1331, PLANTA_BASE!A:R, 8, FALSE), "DOCENTE / FACILITADOR"))</f>
        <v/>
      </c>
      <c r="G1331" s="7">
        <f>IF(B1331="","",IFERROR(VLOOKUP(B1331, PLANTA_BASE!A:R, 9, FALSE), "GENERAL"))</f>
        <v/>
      </c>
      <c r="H1331" s="5">
        <f>IF(B1331="","",IFERROR(VLOOKUP(B1331, PLANTA_BASE!A:R, 17, FALSE), "GENERAL"))</f>
        <v/>
      </c>
    </row>
    <row r="1332" ht="20" customHeight="1">
      <c r="A1332" s="2">
        <f>IF(B1332="","",IFERROR(VLOOKUP(B1332, PLANTA_BASE!A:R, 2, FALSE), "NO ENCONTRADO EN PLANTA"))</f>
        <v/>
      </c>
      <c r="B1332" s="3" t="inlineStr"/>
      <c r="C1332" s="4">
        <f>IF(B1332="","",IFERROR(VLOOKUP(B1332, PLANTA_BASE!A:R, 3, FALSE), ""))</f>
        <v/>
      </c>
      <c r="D1332" s="2">
        <f>IF(B1332="","",IFERROR(VLOOKUP(B1332, PLANTA_BASE!A:R, 5, FALSE), "NO ENCONTRADO EN PLANTA"))</f>
        <v/>
      </c>
      <c r="E1332" s="2">
        <f>IF(B1332="","",IFERROR(VLOOKUP(B1332, PLANTA_BASE!A:R, 6, FALSE), "NO ENCONTRADO EN PLANTA"))</f>
        <v/>
      </c>
      <c r="F1332" s="4">
        <f>IF(B1332="","",IFERROR(VLOOKUP(B1332, PLANTA_BASE!A:R, 8, FALSE), "DOCENTE / FACILITADOR"))</f>
        <v/>
      </c>
      <c r="G1332" s="4">
        <f>IF(B1332="","",IFERROR(VLOOKUP(B1332, PLANTA_BASE!A:R, 9, FALSE), "GENERAL"))</f>
        <v/>
      </c>
      <c r="H1332" s="2">
        <f>IF(B1332="","",IFERROR(VLOOKUP(B1332, PLANTA_BASE!A:R, 17, FALSE), "GENERAL"))</f>
        <v/>
      </c>
    </row>
    <row r="1333" ht="20" customHeight="1">
      <c r="A1333" s="5">
        <f>IF(B1333="","",IFERROR(VLOOKUP(B1333, PLANTA_BASE!A:R, 2, FALSE), "NO ENCONTRADO EN PLANTA"))</f>
        <v/>
      </c>
      <c r="B1333" s="6" t="inlineStr"/>
      <c r="C1333" s="7">
        <f>IF(B1333="","",IFERROR(VLOOKUP(B1333, PLANTA_BASE!A:R, 3, FALSE), ""))</f>
        <v/>
      </c>
      <c r="D1333" s="5">
        <f>IF(B1333="","",IFERROR(VLOOKUP(B1333, PLANTA_BASE!A:R, 5, FALSE), "NO ENCONTRADO EN PLANTA"))</f>
        <v/>
      </c>
      <c r="E1333" s="5">
        <f>IF(B1333="","",IFERROR(VLOOKUP(B1333, PLANTA_BASE!A:R, 6, FALSE), "NO ENCONTRADO EN PLANTA"))</f>
        <v/>
      </c>
      <c r="F1333" s="7">
        <f>IF(B1333="","",IFERROR(VLOOKUP(B1333, PLANTA_BASE!A:R, 8, FALSE), "DOCENTE / FACILITADOR"))</f>
        <v/>
      </c>
      <c r="G1333" s="7">
        <f>IF(B1333="","",IFERROR(VLOOKUP(B1333, PLANTA_BASE!A:R, 9, FALSE), "GENERAL"))</f>
        <v/>
      </c>
      <c r="H1333" s="5">
        <f>IF(B1333="","",IFERROR(VLOOKUP(B1333, PLANTA_BASE!A:R, 17, FALSE), "GENERAL"))</f>
        <v/>
      </c>
    </row>
    <row r="1334" ht="20" customHeight="1">
      <c r="A1334" s="2">
        <f>IF(B1334="","",IFERROR(VLOOKUP(B1334, PLANTA_BASE!A:R, 2, FALSE), "NO ENCONTRADO EN PLANTA"))</f>
        <v/>
      </c>
      <c r="B1334" s="3" t="inlineStr"/>
      <c r="C1334" s="4">
        <f>IF(B1334="","",IFERROR(VLOOKUP(B1334, PLANTA_BASE!A:R, 3, FALSE), ""))</f>
        <v/>
      </c>
      <c r="D1334" s="2">
        <f>IF(B1334="","",IFERROR(VLOOKUP(B1334, PLANTA_BASE!A:R, 5, FALSE), "NO ENCONTRADO EN PLANTA"))</f>
        <v/>
      </c>
      <c r="E1334" s="2">
        <f>IF(B1334="","",IFERROR(VLOOKUP(B1334, PLANTA_BASE!A:R, 6, FALSE), "NO ENCONTRADO EN PLANTA"))</f>
        <v/>
      </c>
      <c r="F1334" s="4">
        <f>IF(B1334="","",IFERROR(VLOOKUP(B1334, PLANTA_BASE!A:R, 8, FALSE), "DOCENTE / FACILITADOR"))</f>
        <v/>
      </c>
      <c r="G1334" s="4">
        <f>IF(B1334="","",IFERROR(VLOOKUP(B1334, PLANTA_BASE!A:R, 9, FALSE), "GENERAL"))</f>
        <v/>
      </c>
      <c r="H1334" s="2">
        <f>IF(B1334="","",IFERROR(VLOOKUP(B1334, PLANTA_BASE!A:R, 17, FALSE), "GENERAL"))</f>
        <v/>
      </c>
    </row>
    <row r="1335" ht="20" customHeight="1">
      <c r="A1335" s="5">
        <f>IF(B1335="","",IFERROR(VLOOKUP(B1335, PLANTA_BASE!A:R, 2, FALSE), "NO ENCONTRADO EN PLANTA"))</f>
        <v/>
      </c>
      <c r="B1335" s="6" t="inlineStr"/>
      <c r="C1335" s="7">
        <f>IF(B1335="","",IFERROR(VLOOKUP(B1335, PLANTA_BASE!A:R, 3, FALSE), ""))</f>
        <v/>
      </c>
      <c r="D1335" s="5">
        <f>IF(B1335="","",IFERROR(VLOOKUP(B1335, PLANTA_BASE!A:R, 5, FALSE), "NO ENCONTRADO EN PLANTA"))</f>
        <v/>
      </c>
      <c r="E1335" s="5">
        <f>IF(B1335="","",IFERROR(VLOOKUP(B1335, PLANTA_BASE!A:R, 6, FALSE), "NO ENCONTRADO EN PLANTA"))</f>
        <v/>
      </c>
      <c r="F1335" s="7">
        <f>IF(B1335="","",IFERROR(VLOOKUP(B1335, PLANTA_BASE!A:R, 8, FALSE), "DOCENTE / FACILITADOR"))</f>
        <v/>
      </c>
      <c r="G1335" s="7">
        <f>IF(B1335="","",IFERROR(VLOOKUP(B1335, PLANTA_BASE!A:R, 9, FALSE), "GENERAL"))</f>
        <v/>
      </c>
      <c r="H1335" s="5">
        <f>IF(B1335="","",IFERROR(VLOOKUP(B1335, PLANTA_BASE!A:R, 17, FALSE), "GENERAL"))</f>
        <v/>
      </c>
    </row>
    <row r="1336" ht="20" customHeight="1">
      <c r="A1336" s="2">
        <f>IF(B1336="","",IFERROR(VLOOKUP(B1336, PLANTA_BASE!A:R, 2, FALSE), "NO ENCONTRADO EN PLANTA"))</f>
        <v/>
      </c>
      <c r="B1336" s="3" t="inlineStr"/>
      <c r="C1336" s="4">
        <f>IF(B1336="","",IFERROR(VLOOKUP(B1336, PLANTA_BASE!A:R, 3, FALSE), ""))</f>
        <v/>
      </c>
      <c r="D1336" s="2">
        <f>IF(B1336="","",IFERROR(VLOOKUP(B1336, PLANTA_BASE!A:R, 5, FALSE), "NO ENCONTRADO EN PLANTA"))</f>
        <v/>
      </c>
      <c r="E1336" s="2">
        <f>IF(B1336="","",IFERROR(VLOOKUP(B1336, PLANTA_BASE!A:R, 6, FALSE), "NO ENCONTRADO EN PLANTA"))</f>
        <v/>
      </c>
      <c r="F1336" s="4">
        <f>IF(B1336="","",IFERROR(VLOOKUP(B1336, PLANTA_BASE!A:R, 8, FALSE), "DOCENTE / FACILITADOR"))</f>
        <v/>
      </c>
      <c r="G1336" s="4">
        <f>IF(B1336="","",IFERROR(VLOOKUP(B1336, PLANTA_BASE!A:R, 9, FALSE), "GENERAL"))</f>
        <v/>
      </c>
      <c r="H1336" s="2">
        <f>IF(B1336="","",IFERROR(VLOOKUP(B1336, PLANTA_BASE!A:R, 17, FALSE), "GENERAL"))</f>
        <v/>
      </c>
    </row>
    <row r="1337" ht="20" customHeight="1">
      <c r="A1337" s="5">
        <f>IF(B1337="","",IFERROR(VLOOKUP(B1337, PLANTA_BASE!A:R, 2, FALSE), "NO ENCONTRADO EN PLANTA"))</f>
        <v/>
      </c>
      <c r="B1337" s="6" t="inlineStr"/>
      <c r="C1337" s="7">
        <f>IF(B1337="","",IFERROR(VLOOKUP(B1337, PLANTA_BASE!A:R, 3, FALSE), ""))</f>
        <v/>
      </c>
      <c r="D1337" s="5">
        <f>IF(B1337="","",IFERROR(VLOOKUP(B1337, PLANTA_BASE!A:R, 5, FALSE), "NO ENCONTRADO EN PLANTA"))</f>
        <v/>
      </c>
      <c r="E1337" s="5">
        <f>IF(B1337="","",IFERROR(VLOOKUP(B1337, PLANTA_BASE!A:R, 6, FALSE), "NO ENCONTRADO EN PLANTA"))</f>
        <v/>
      </c>
      <c r="F1337" s="7">
        <f>IF(B1337="","",IFERROR(VLOOKUP(B1337, PLANTA_BASE!A:R, 8, FALSE), "DOCENTE / FACILITADOR"))</f>
        <v/>
      </c>
      <c r="G1337" s="7">
        <f>IF(B1337="","",IFERROR(VLOOKUP(B1337, PLANTA_BASE!A:R, 9, FALSE), "GENERAL"))</f>
        <v/>
      </c>
      <c r="H1337" s="5">
        <f>IF(B1337="","",IFERROR(VLOOKUP(B1337, PLANTA_BASE!A:R, 17, FALSE), "GENERAL"))</f>
        <v/>
      </c>
    </row>
    <row r="1338" ht="20" customHeight="1">
      <c r="A1338" s="2">
        <f>IF(B1338="","",IFERROR(VLOOKUP(B1338, PLANTA_BASE!A:R, 2, FALSE), "NO ENCONTRADO EN PLANTA"))</f>
        <v/>
      </c>
      <c r="B1338" s="3" t="inlineStr"/>
      <c r="C1338" s="4">
        <f>IF(B1338="","",IFERROR(VLOOKUP(B1338, PLANTA_BASE!A:R, 3, FALSE), ""))</f>
        <v/>
      </c>
      <c r="D1338" s="2">
        <f>IF(B1338="","",IFERROR(VLOOKUP(B1338, PLANTA_BASE!A:R, 5, FALSE), "NO ENCONTRADO EN PLANTA"))</f>
        <v/>
      </c>
      <c r="E1338" s="2">
        <f>IF(B1338="","",IFERROR(VLOOKUP(B1338, PLANTA_BASE!A:R, 6, FALSE), "NO ENCONTRADO EN PLANTA"))</f>
        <v/>
      </c>
      <c r="F1338" s="4">
        <f>IF(B1338="","",IFERROR(VLOOKUP(B1338, PLANTA_BASE!A:R, 8, FALSE), "DOCENTE / FACILITADOR"))</f>
        <v/>
      </c>
      <c r="G1338" s="4">
        <f>IF(B1338="","",IFERROR(VLOOKUP(B1338, PLANTA_BASE!A:R, 9, FALSE), "GENERAL"))</f>
        <v/>
      </c>
      <c r="H1338" s="2">
        <f>IF(B1338="","",IFERROR(VLOOKUP(B1338, PLANTA_BASE!A:R, 17, FALSE), "GENERAL"))</f>
        <v/>
      </c>
    </row>
    <row r="1339" ht="20" customHeight="1">
      <c r="A1339" s="5">
        <f>IF(B1339="","",IFERROR(VLOOKUP(B1339, PLANTA_BASE!A:R, 2, FALSE), "NO ENCONTRADO EN PLANTA"))</f>
        <v/>
      </c>
      <c r="B1339" s="6" t="inlineStr"/>
      <c r="C1339" s="7">
        <f>IF(B1339="","",IFERROR(VLOOKUP(B1339, PLANTA_BASE!A:R, 3, FALSE), ""))</f>
        <v/>
      </c>
      <c r="D1339" s="5">
        <f>IF(B1339="","",IFERROR(VLOOKUP(B1339, PLANTA_BASE!A:R, 5, FALSE), "NO ENCONTRADO EN PLANTA"))</f>
        <v/>
      </c>
      <c r="E1339" s="5">
        <f>IF(B1339="","",IFERROR(VLOOKUP(B1339, PLANTA_BASE!A:R, 6, FALSE), "NO ENCONTRADO EN PLANTA"))</f>
        <v/>
      </c>
      <c r="F1339" s="7">
        <f>IF(B1339="","",IFERROR(VLOOKUP(B1339, PLANTA_BASE!A:R, 8, FALSE), "DOCENTE / FACILITADOR"))</f>
        <v/>
      </c>
      <c r="G1339" s="7">
        <f>IF(B1339="","",IFERROR(VLOOKUP(B1339, PLANTA_BASE!A:R, 9, FALSE), "GENERAL"))</f>
        <v/>
      </c>
      <c r="H1339" s="5">
        <f>IF(B1339="","",IFERROR(VLOOKUP(B1339, PLANTA_BASE!A:R, 17, FALSE), "GENERAL"))</f>
        <v/>
      </c>
    </row>
    <row r="1340" ht="20" customHeight="1">
      <c r="A1340" s="2">
        <f>IF(B1340="","",IFERROR(VLOOKUP(B1340, PLANTA_BASE!A:R, 2, FALSE), "NO ENCONTRADO EN PLANTA"))</f>
        <v/>
      </c>
      <c r="B1340" s="3" t="inlineStr"/>
      <c r="C1340" s="4">
        <f>IF(B1340="","",IFERROR(VLOOKUP(B1340, PLANTA_BASE!A:R, 3, FALSE), ""))</f>
        <v/>
      </c>
      <c r="D1340" s="2">
        <f>IF(B1340="","",IFERROR(VLOOKUP(B1340, PLANTA_BASE!A:R, 5, FALSE), "NO ENCONTRADO EN PLANTA"))</f>
        <v/>
      </c>
      <c r="E1340" s="2">
        <f>IF(B1340="","",IFERROR(VLOOKUP(B1340, PLANTA_BASE!A:R, 6, FALSE), "NO ENCONTRADO EN PLANTA"))</f>
        <v/>
      </c>
      <c r="F1340" s="4">
        <f>IF(B1340="","",IFERROR(VLOOKUP(B1340, PLANTA_BASE!A:R, 8, FALSE), "DOCENTE / FACILITADOR"))</f>
        <v/>
      </c>
      <c r="G1340" s="4">
        <f>IF(B1340="","",IFERROR(VLOOKUP(B1340, PLANTA_BASE!A:R, 9, FALSE), "GENERAL"))</f>
        <v/>
      </c>
      <c r="H1340" s="2">
        <f>IF(B1340="","",IFERROR(VLOOKUP(B1340, PLANTA_BASE!A:R, 17, FALSE), "GENERAL"))</f>
        <v/>
      </c>
    </row>
    <row r="1341" ht="20" customHeight="1">
      <c r="A1341" s="5">
        <f>IF(B1341="","",IFERROR(VLOOKUP(B1341, PLANTA_BASE!A:R, 2, FALSE), "NO ENCONTRADO EN PLANTA"))</f>
        <v/>
      </c>
      <c r="B1341" s="6" t="inlineStr"/>
      <c r="C1341" s="7">
        <f>IF(B1341="","",IFERROR(VLOOKUP(B1341, PLANTA_BASE!A:R, 3, FALSE), ""))</f>
        <v/>
      </c>
      <c r="D1341" s="5">
        <f>IF(B1341="","",IFERROR(VLOOKUP(B1341, PLANTA_BASE!A:R, 5, FALSE), "NO ENCONTRADO EN PLANTA"))</f>
        <v/>
      </c>
      <c r="E1341" s="5">
        <f>IF(B1341="","",IFERROR(VLOOKUP(B1341, PLANTA_BASE!A:R, 6, FALSE), "NO ENCONTRADO EN PLANTA"))</f>
        <v/>
      </c>
      <c r="F1341" s="7">
        <f>IF(B1341="","",IFERROR(VLOOKUP(B1341, PLANTA_BASE!A:R, 8, FALSE), "DOCENTE / FACILITADOR"))</f>
        <v/>
      </c>
      <c r="G1341" s="7">
        <f>IF(B1341="","",IFERROR(VLOOKUP(B1341, PLANTA_BASE!A:R, 9, FALSE), "GENERAL"))</f>
        <v/>
      </c>
      <c r="H1341" s="5">
        <f>IF(B1341="","",IFERROR(VLOOKUP(B1341, PLANTA_BASE!A:R, 17, FALSE), "GENERAL"))</f>
        <v/>
      </c>
    </row>
    <row r="1342" ht="20" customHeight="1">
      <c r="A1342" s="2">
        <f>IF(B1342="","",IFERROR(VLOOKUP(B1342, PLANTA_BASE!A:R, 2, FALSE), "NO ENCONTRADO EN PLANTA"))</f>
        <v/>
      </c>
      <c r="B1342" s="3" t="inlineStr"/>
      <c r="C1342" s="4">
        <f>IF(B1342="","",IFERROR(VLOOKUP(B1342, PLANTA_BASE!A:R, 3, FALSE), ""))</f>
        <v/>
      </c>
      <c r="D1342" s="2">
        <f>IF(B1342="","",IFERROR(VLOOKUP(B1342, PLANTA_BASE!A:R, 5, FALSE), "NO ENCONTRADO EN PLANTA"))</f>
        <v/>
      </c>
      <c r="E1342" s="2">
        <f>IF(B1342="","",IFERROR(VLOOKUP(B1342, PLANTA_BASE!A:R, 6, FALSE), "NO ENCONTRADO EN PLANTA"))</f>
        <v/>
      </c>
      <c r="F1342" s="4">
        <f>IF(B1342="","",IFERROR(VLOOKUP(B1342, PLANTA_BASE!A:R, 8, FALSE), "DOCENTE / FACILITADOR"))</f>
        <v/>
      </c>
      <c r="G1342" s="4">
        <f>IF(B1342="","",IFERROR(VLOOKUP(B1342, PLANTA_BASE!A:R, 9, FALSE), "GENERAL"))</f>
        <v/>
      </c>
      <c r="H1342" s="2">
        <f>IF(B1342="","",IFERROR(VLOOKUP(B1342, PLANTA_BASE!A:R, 17, FALSE), "GENERAL"))</f>
        <v/>
      </c>
    </row>
    <row r="1343" ht="20" customHeight="1">
      <c r="A1343" s="5">
        <f>IF(B1343="","",IFERROR(VLOOKUP(B1343, PLANTA_BASE!A:R, 2, FALSE), "NO ENCONTRADO EN PLANTA"))</f>
        <v/>
      </c>
      <c r="B1343" s="6" t="inlineStr"/>
      <c r="C1343" s="7">
        <f>IF(B1343="","",IFERROR(VLOOKUP(B1343, PLANTA_BASE!A:R, 3, FALSE), ""))</f>
        <v/>
      </c>
      <c r="D1343" s="5">
        <f>IF(B1343="","",IFERROR(VLOOKUP(B1343, PLANTA_BASE!A:R, 5, FALSE), "NO ENCONTRADO EN PLANTA"))</f>
        <v/>
      </c>
      <c r="E1343" s="5">
        <f>IF(B1343="","",IFERROR(VLOOKUP(B1343, PLANTA_BASE!A:R, 6, FALSE), "NO ENCONTRADO EN PLANTA"))</f>
        <v/>
      </c>
      <c r="F1343" s="7">
        <f>IF(B1343="","",IFERROR(VLOOKUP(B1343, PLANTA_BASE!A:R, 8, FALSE), "DOCENTE / FACILITADOR"))</f>
        <v/>
      </c>
      <c r="G1343" s="7">
        <f>IF(B1343="","",IFERROR(VLOOKUP(B1343, PLANTA_BASE!A:R, 9, FALSE), "GENERAL"))</f>
        <v/>
      </c>
      <c r="H1343" s="5">
        <f>IF(B1343="","",IFERROR(VLOOKUP(B1343, PLANTA_BASE!A:R, 17, FALSE), "GENERAL"))</f>
        <v/>
      </c>
    </row>
    <row r="1344" ht="20" customHeight="1">
      <c r="A1344" s="2">
        <f>IF(B1344="","",IFERROR(VLOOKUP(B1344, PLANTA_BASE!A:R, 2, FALSE), "NO ENCONTRADO EN PLANTA"))</f>
        <v/>
      </c>
      <c r="B1344" s="3" t="inlineStr"/>
      <c r="C1344" s="4">
        <f>IF(B1344="","",IFERROR(VLOOKUP(B1344, PLANTA_BASE!A:R, 3, FALSE), ""))</f>
        <v/>
      </c>
      <c r="D1344" s="2">
        <f>IF(B1344="","",IFERROR(VLOOKUP(B1344, PLANTA_BASE!A:R, 5, FALSE), "NO ENCONTRADO EN PLANTA"))</f>
        <v/>
      </c>
      <c r="E1344" s="2">
        <f>IF(B1344="","",IFERROR(VLOOKUP(B1344, PLANTA_BASE!A:R, 6, FALSE), "NO ENCONTRADO EN PLANTA"))</f>
        <v/>
      </c>
      <c r="F1344" s="4">
        <f>IF(B1344="","",IFERROR(VLOOKUP(B1344, PLANTA_BASE!A:R, 8, FALSE), "DOCENTE / FACILITADOR"))</f>
        <v/>
      </c>
      <c r="G1344" s="4">
        <f>IF(B1344="","",IFERROR(VLOOKUP(B1344, PLANTA_BASE!A:R, 9, FALSE), "GENERAL"))</f>
        <v/>
      </c>
      <c r="H1344" s="2">
        <f>IF(B1344="","",IFERROR(VLOOKUP(B1344, PLANTA_BASE!A:R, 17, FALSE), "GENERAL"))</f>
        <v/>
      </c>
    </row>
    <row r="1345" ht="20" customHeight="1">
      <c r="A1345" s="5">
        <f>IF(B1345="","",IFERROR(VLOOKUP(B1345, PLANTA_BASE!A:R, 2, FALSE), "NO ENCONTRADO EN PLANTA"))</f>
        <v/>
      </c>
      <c r="B1345" s="6" t="inlineStr"/>
      <c r="C1345" s="7">
        <f>IF(B1345="","",IFERROR(VLOOKUP(B1345, PLANTA_BASE!A:R, 3, FALSE), ""))</f>
        <v/>
      </c>
      <c r="D1345" s="5">
        <f>IF(B1345="","",IFERROR(VLOOKUP(B1345, PLANTA_BASE!A:R, 5, FALSE), "NO ENCONTRADO EN PLANTA"))</f>
        <v/>
      </c>
      <c r="E1345" s="5">
        <f>IF(B1345="","",IFERROR(VLOOKUP(B1345, PLANTA_BASE!A:R, 6, FALSE), "NO ENCONTRADO EN PLANTA"))</f>
        <v/>
      </c>
      <c r="F1345" s="7">
        <f>IF(B1345="","",IFERROR(VLOOKUP(B1345, PLANTA_BASE!A:R, 8, FALSE), "DOCENTE / FACILITADOR"))</f>
        <v/>
      </c>
      <c r="G1345" s="7">
        <f>IF(B1345="","",IFERROR(VLOOKUP(B1345, PLANTA_BASE!A:R, 9, FALSE), "GENERAL"))</f>
        <v/>
      </c>
      <c r="H1345" s="5">
        <f>IF(B1345="","",IFERROR(VLOOKUP(B1345, PLANTA_BASE!A:R, 17, FALSE), "GENERAL"))</f>
        <v/>
      </c>
    </row>
    <row r="1346" ht="20" customHeight="1">
      <c r="A1346" s="2">
        <f>IF(B1346="","",IFERROR(VLOOKUP(B1346, PLANTA_BASE!A:R, 2, FALSE), "NO ENCONTRADO EN PLANTA"))</f>
        <v/>
      </c>
      <c r="B1346" s="3" t="inlineStr"/>
      <c r="C1346" s="4">
        <f>IF(B1346="","",IFERROR(VLOOKUP(B1346, PLANTA_BASE!A:R, 3, FALSE), ""))</f>
        <v/>
      </c>
      <c r="D1346" s="2">
        <f>IF(B1346="","",IFERROR(VLOOKUP(B1346, PLANTA_BASE!A:R, 5, FALSE), "NO ENCONTRADO EN PLANTA"))</f>
        <v/>
      </c>
      <c r="E1346" s="2">
        <f>IF(B1346="","",IFERROR(VLOOKUP(B1346, PLANTA_BASE!A:R, 6, FALSE), "NO ENCONTRADO EN PLANTA"))</f>
        <v/>
      </c>
      <c r="F1346" s="4">
        <f>IF(B1346="","",IFERROR(VLOOKUP(B1346, PLANTA_BASE!A:R, 8, FALSE), "DOCENTE / FACILITADOR"))</f>
        <v/>
      </c>
      <c r="G1346" s="4">
        <f>IF(B1346="","",IFERROR(VLOOKUP(B1346, PLANTA_BASE!A:R, 9, FALSE), "GENERAL"))</f>
        <v/>
      </c>
      <c r="H1346" s="2">
        <f>IF(B1346="","",IFERROR(VLOOKUP(B1346, PLANTA_BASE!A:R, 17, FALSE), "GENERAL"))</f>
        <v/>
      </c>
    </row>
    <row r="1347" ht="20" customHeight="1">
      <c r="A1347" s="5">
        <f>IF(B1347="","",IFERROR(VLOOKUP(B1347, PLANTA_BASE!A:R, 2, FALSE), "NO ENCONTRADO EN PLANTA"))</f>
        <v/>
      </c>
      <c r="B1347" s="6" t="inlineStr"/>
      <c r="C1347" s="7">
        <f>IF(B1347="","",IFERROR(VLOOKUP(B1347, PLANTA_BASE!A:R, 3, FALSE), ""))</f>
        <v/>
      </c>
      <c r="D1347" s="5">
        <f>IF(B1347="","",IFERROR(VLOOKUP(B1347, PLANTA_BASE!A:R, 5, FALSE), "NO ENCONTRADO EN PLANTA"))</f>
        <v/>
      </c>
      <c r="E1347" s="5">
        <f>IF(B1347="","",IFERROR(VLOOKUP(B1347, PLANTA_BASE!A:R, 6, FALSE), "NO ENCONTRADO EN PLANTA"))</f>
        <v/>
      </c>
      <c r="F1347" s="7">
        <f>IF(B1347="","",IFERROR(VLOOKUP(B1347, PLANTA_BASE!A:R, 8, FALSE), "DOCENTE / FACILITADOR"))</f>
        <v/>
      </c>
      <c r="G1347" s="7">
        <f>IF(B1347="","",IFERROR(VLOOKUP(B1347, PLANTA_BASE!A:R, 9, FALSE), "GENERAL"))</f>
        <v/>
      </c>
      <c r="H1347" s="5">
        <f>IF(B1347="","",IFERROR(VLOOKUP(B1347, PLANTA_BASE!A:R, 17, FALSE), "GENERAL"))</f>
        <v/>
      </c>
    </row>
    <row r="1348" ht="20" customHeight="1">
      <c r="A1348" s="2">
        <f>IF(B1348="","",IFERROR(VLOOKUP(B1348, PLANTA_BASE!A:R, 2, FALSE), "NO ENCONTRADO EN PLANTA"))</f>
        <v/>
      </c>
      <c r="B1348" s="3" t="inlineStr"/>
      <c r="C1348" s="4">
        <f>IF(B1348="","",IFERROR(VLOOKUP(B1348, PLANTA_BASE!A:R, 3, FALSE), ""))</f>
        <v/>
      </c>
      <c r="D1348" s="2">
        <f>IF(B1348="","",IFERROR(VLOOKUP(B1348, PLANTA_BASE!A:R, 5, FALSE), "NO ENCONTRADO EN PLANTA"))</f>
        <v/>
      </c>
      <c r="E1348" s="2">
        <f>IF(B1348="","",IFERROR(VLOOKUP(B1348, PLANTA_BASE!A:R, 6, FALSE), "NO ENCONTRADO EN PLANTA"))</f>
        <v/>
      </c>
      <c r="F1348" s="4">
        <f>IF(B1348="","",IFERROR(VLOOKUP(B1348, PLANTA_BASE!A:R, 8, FALSE), "DOCENTE / FACILITADOR"))</f>
        <v/>
      </c>
      <c r="G1348" s="4">
        <f>IF(B1348="","",IFERROR(VLOOKUP(B1348, PLANTA_BASE!A:R, 9, FALSE), "GENERAL"))</f>
        <v/>
      </c>
      <c r="H1348" s="2">
        <f>IF(B1348="","",IFERROR(VLOOKUP(B1348, PLANTA_BASE!A:R, 17, FALSE), "GENERAL"))</f>
        <v/>
      </c>
    </row>
    <row r="1349" ht="20" customHeight="1">
      <c r="A1349" s="5">
        <f>IF(B1349="","",IFERROR(VLOOKUP(B1349, PLANTA_BASE!A:R, 2, FALSE), "NO ENCONTRADO EN PLANTA"))</f>
        <v/>
      </c>
      <c r="B1349" s="6" t="inlineStr"/>
      <c r="C1349" s="7">
        <f>IF(B1349="","",IFERROR(VLOOKUP(B1349, PLANTA_BASE!A:R, 3, FALSE), ""))</f>
        <v/>
      </c>
      <c r="D1349" s="5">
        <f>IF(B1349="","",IFERROR(VLOOKUP(B1349, PLANTA_BASE!A:R, 5, FALSE), "NO ENCONTRADO EN PLANTA"))</f>
        <v/>
      </c>
      <c r="E1349" s="5">
        <f>IF(B1349="","",IFERROR(VLOOKUP(B1349, PLANTA_BASE!A:R, 6, FALSE), "NO ENCONTRADO EN PLANTA"))</f>
        <v/>
      </c>
      <c r="F1349" s="7">
        <f>IF(B1349="","",IFERROR(VLOOKUP(B1349, PLANTA_BASE!A:R, 8, FALSE), "DOCENTE / FACILITADOR"))</f>
        <v/>
      </c>
      <c r="G1349" s="7">
        <f>IF(B1349="","",IFERROR(VLOOKUP(B1349, PLANTA_BASE!A:R, 9, FALSE), "GENERAL"))</f>
        <v/>
      </c>
      <c r="H1349" s="5">
        <f>IF(B1349="","",IFERROR(VLOOKUP(B1349, PLANTA_BASE!A:R, 17, FALSE), "GENERAL"))</f>
        <v/>
      </c>
    </row>
    <row r="1350" ht="20" customHeight="1">
      <c r="A1350" s="2">
        <f>IF(B1350="","",IFERROR(VLOOKUP(B1350, PLANTA_BASE!A:R, 2, FALSE), "NO ENCONTRADO EN PLANTA"))</f>
        <v/>
      </c>
      <c r="B1350" s="3" t="inlineStr"/>
      <c r="C1350" s="4">
        <f>IF(B1350="","",IFERROR(VLOOKUP(B1350, PLANTA_BASE!A:R, 3, FALSE), ""))</f>
        <v/>
      </c>
      <c r="D1350" s="2">
        <f>IF(B1350="","",IFERROR(VLOOKUP(B1350, PLANTA_BASE!A:R, 5, FALSE), "NO ENCONTRADO EN PLANTA"))</f>
        <v/>
      </c>
      <c r="E1350" s="2">
        <f>IF(B1350="","",IFERROR(VLOOKUP(B1350, PLANTA_BASE!A:R, 6, FALSE), "NO ENCONTRADO EN PLANTA"))</f>
        <v/>
      </c>
      <c r="F1350" s="4">
        <f>IF(B1350="","",IFERROR(VLOOKUP(B1350, PLANTA_BASE!A:R, 8, FALSE), "DOCENTE / FACILITADOR"))</f>
        <v/>
      </c>
      <c r="G1350" s="4">
        <f>IF(B1350="","",IFERROR(VLOOKUP(B1350, PLANTA_BASE!A:R, 9, FALSE), "GENERAL"))</f>
        <v/>
      </c>
      <c r="H1350" s="2">
        <f>IF(B1350="","",IFERROR(VLOOKUP(B1350, PLANTA_BASE!A:R, 17, FALSE), "GENERAL"))</f>
        <v/>
      </c>
    </row>
    <row r="1351" ht="20" customHeight="1">
      <c r="A1351" s="5">
        <f>IF(B1351="","",IFERROR(VLOOKUP(B1351, PLANTA_BASE!A:R, 2, FALSE), "NO ENCONTRADO EN PLANTA"))</f>
        <v/>
      </c>
      <c r="B1351" s="6" t="inlineStr"/>
      <c r="C1351" s="7">
        <f>IF(B1351="","",IFERROR(VLOOKUP(B1351, PLANTA_BASE!A:R, 3, FALSE), ""))</f>
        <v/>
      </c>
      <c r="D1351" s="5">
        <f>IF(B1351="","",IFERROR(VLOOKUP(B1351, PLANTA_BASE!A:R, 5, FALSE), "NO ENCONTRADO EN PLANTA"))</f>
        <v/>
      </c>
      <c r="E1351" s="5">
        <f>IF(B1351="","",IFERROR(VLOOKUP(B1351, PLANTA_BASE!A:R, 6, FALSE), "NO ENCONTRADO EN PLANTA"))</f>
        <v/>
      </c>
      <c r="F1351" s="7">
        <f>IF(B1351="","",IFERROR(VLOOKUP(B1351, PLANTA_BASE!A:R, 8, FALSE), "DOCENTE / FACILITADOR"))</f>
        <v/>
      </c>
      <c r="G1351" s="7">
        <f>IF(B1351="","",IFERROR(VLOOKUP(B1351, PLANTA_BASE!A:R, 9, FALSE), "GENERAL"))</f>
        <v/>
      </c>
      <c r="H1351" s="5">
        <f>IF(B1351="","",IFERROR(VLOOKUP(B1351, PLANTA_BASE!A:R, 17, FALSE), "GENERAL"))</f>
        <v/>
      </c>
    </row>
    <row r="1352" ht="20" customHeight="1">
      <c r="A1352" s="2">
        <f>IF(B1352="","",IFERROR(VLOOKUP(B1352, PLANTA_BASE!A:R, 2, FALSE), "NO ENCONTRADO EN PLANTA"))</f>
        <v/>
      </c>
      <c r="B1352" s="3" t="inlineStr"/>
      <c r="C1352" s="4">
        <f>IF(B1352="","",IFERROR(VLOOKUP(B1352, PLANTA_BASE!A:R, 3, FALSE), ""))</f>
        <v/>
      </c>
      <c r="D1352" s="2">
        <f>IF(B1352="","",IFERROR(VLOOKUP(B1352, PLANTA_BASE!A:R, 5, FALSE), "NO ENCONTRADO EN PLANTA"))</f>
        <v/>
      </c>
      <c r="E1352" s="2">
        <f>IF(B1352="","",IFERROR(VLOOKUP(B1352, PLANTA_BASE!A:R, 6, FALSE), "NO ENCONTRADO EN PLANTA"))</f>
        <v/>
      </c>
      <c r="F1352" s="4">
        <f>IF(B1352="","",IFERROR(VLOOKUP(B1352, PLANTA_BASE!A:R, 8, FALSE), "DOCENTE / FACILITADOR"))</f>
        <v/>
      </c>
      <c r="G1352" s="4">
        <f>IF(B1352="","",IFERROR(VLOOKUP(B1352, PLANTA_BASE!A:R, 9, FALSE), "GENERAL"))</f>
        <v/>
      </c>
      <c r="H1352" s="2">
        <f>IF(B1352="","",IFERROR(VLOOKUP(B1352, PLANTA_BASE!A:R, 17, FALSE), "GENERAL"))</f>
        <v/>
      </c>
    </row>
    <row r="1353" ht="20" customHeight="1">
      <c r="A1353" s="5">
        <f>IF(B1353="","",IFERROR(VLOOKUP(B1353, PLANTA_BASE!A:R, 2, FALSE), "NO ENCONTRADO EN PLANTA"))</f>
        <v/>
      </c>
      <c r="B1353" s="6" t="inlineStr"/>
      <c r="C1353" s="7">
        <f>IF(B1353="","",IFERROR(VLOOKUP(B1353, PLANTA_BASE!A:R, 3, FALSE), ""))</f>
        <v/>
      </c>
      <c r="D1353" s="5">
        <f>IF(B1353="","",IFERROR(VLOOKUP(B1353, PLANTA_BASE!A:R, 5, FALSE), "NO ENCONTRADO EN PLANTA"))</f>
        <v/>
      </c>
      <c r="E1353" s="5">
        <f>IF(B1353="","",IFERROR(VLOOKUP(B1353, PLANTA_BASE!A:R, 6, FALSE), "NO ENCONTRADO EN PLANTA"))</f>
        <v/>
      </c>
      <c r="F1353" s="7">
        <f>IF(B1353="","",IFERROR(VLOOKUP(B1353, PLANTA_BASE!A:R, 8, FALSE), "DOCENTE / FACILITADOR"))</f>
        <v/>
      </c>
      <c r="G1353" s="7">
        <f>IF(B1353="","",IFERROR(VLOOKUP(B1353, PLANTA_BASE!A:R, 9, FALSE), "GENERAL"))</f>
        <v/>
      </c>
      <c r="H1353" s="5">
        <f>IF(B1353="","",IFERROR(VLOOKUP(B1353, PLANTA_BASE!A:R, 17, FALSE), "GENERAL"))</f>
        <v/>
      </c>
    </row>
    <row r="1354" ht="20" customHeight="1">
      <c r="A1354" s="2">
        <f>IF(B1354="","",IFERROR(VLOOKUP(B1354, PLANTA_BASE!A:R, 2, FALSE), "NO ENCONTRADO EN PLANTA"))</f>
        <v/>
      </c>
      <c r="B1354" s="3" t="inlineStr"/>
      <c r="C1354" s="4">
        <f>IF(B1354="","",IFERROR(VLOOKUP(B1354, PLANTA_BASE!A:R, 3, FALSE), ""))</f>
        <v/>
      </c>
      <c r="D1354" s="2">
        <f>IF(B1354="","",IFERROR(VLOOKUP(B1354, PLANTA_BASE!A:R, 5, FALSE), "NO ENCONTRADO EN PLANTA"))</f>
        <v/>
      </c>
      <c r="E1354" s="2">
        <f>IF(B1354="","",IFERROR(VLOOKUP(B1354, PLANTA_BASE!A:R, 6, FALSE), "NO ENCONTRADO EN PLANTA"))</f>
        <v/>
      </c>
      <c r="F1354" s="4">
        <f>IF(B1354="","",IFERROR(VLOOKUP(B1354, PLANTA_BASE!A:R, 8, FALSE), "DOCENTE / FACILITADOR"))</f>
        <v/>
      </c>
      <c r="G1354" s="4">
        <f>IF(B1354="","",IFERROR(VLOOKUP(B1354, PLANTA_BASE!A:R, 9, FALSE), "GENERAL"))</f>
        <v/>
      </c>
      <c r="H1354" s="2">
        <f>IF(B1354="","",IFERROR(VLOOKUP(B1354, PLANTA_BASE!A:R, 17, FALSE), "GENERAL"))</f>
        <v/>
      </c>
    </row>
    <row r="1355" ht="20" customHeight="1">
      <c r="A1355" s="5">
        <f>IF(B1355="","",IFERROR(VLOOKUP(B1355, PLANTA_BASE!A:R, 2, FALSE), "NO ENCONTRADO EN PLANTA"))</f>
        <v/>
      </c>
      <c r="B1355" s="6" t="inlineStr"/>
      <c r="C1355" s="7">
        <f>IF(B1355="","",IFERROR(VLOOKUP(B1355, PLANTA_BASE!A:R, 3, FALSE), ""))</f>
        <v/>
      </c>
      <c r="D1355" s="5">
        <f>IF(B1355="","",IFERROR(VLOOKUP(B1355, PLANTA_BASE!A:R, 5, FALSE), "NO ENCONTRADO EN PLANTA"))</f>
        <v/>
      </c>
      <c r="E1355" s="5">
        <f>IF(B1355="","",IFERROR(VLOOKUP(B1355, PLANTA_BASE!A:R, 6, FALSE), "NO ENCONTRADO EN PLANTA"))</f>
        <v/>
      </c>
      <c r="F1355" s="7">
        <f>IF(B1355="","",IFERROR(VLOOKUP(B1355, PLANTA_BASE!A:R, 8, FALSE), "DOCENTE / FACILITADOR"))</f>
        <v/>
      </c>
      <c r="G1355" s="7">
        <f>IF(B1355="","",IFERROR(VLOOKUP(B1355, PLANTA_BASE!A:R, 9, FALSE), "GENERAL"))</f>
        <v/>
      </c>
      <c r="H1355" s="5">
        <f>IF(B1355="","",IFERROR(VLOOKUP(B1355, PLANTA_BASE!A:R, 17, FALSE), "GENERAL"))</f>
        <v/>
      </c>
    </row>
    <row r="1356" ht="20" customHeight="1">
      <c r="A1356" s="2">
        <f>IF(B1356="","",IFERROR(VLOOKUP(B1356, PLANTA_BASE!A:R, 2, FALSE), "NO ENCONTRADO EN PLANTA"))</f>
        <v/>
      </c>
      <c r="B1356" s="3" t="inlineStr"/>
      <c r="C1356" s="4">
        <f>IF(B1356="","",IFERROR(VLOOKUP(B1356, PLANTA_BASE!A:R, 3, FALSE), ""))</f>
        <v/>
      </c>
      <c r="D1356" s="2">
        <f>IF(B1356="","",IFERROR(VLOOKUP(B1356, PLANTA_BASE!A:R, 5, FALSE), "NO ENCONTRADO EN PLANTA"))</f>
        <v/>
      </c>
      <c r="E1356" s="2">
        <f>IF(B1356="","",IFERROR(VLOOKUP(B1356, PLANTA_BASE!A:R, 6, FALSE), "NO ENCONTRADO EN PLANTA"))</f>
        <v/>
      </c>
      <c r="F1356" s="4">
        <f>IF(B1356="","",IFERROR(VLOOKUP(B1356, PLANTA_BASE!A:R, 8, FALSE), "DOCENTE / FACILITADOR"))</f>
        <v/>
      </c>
      <c r="G1356" s="4">
        <f>IF(B1356="","",IFERROR(VLOOKUP(B1356, PLANTA_BASE!A:R, 9, FALSE), "GENERAL"))</f>
        <v/>
      </c>
      <c r="H1356" s="2">
        <f>IF(B1356="","",IFERROR(VLOOKUP(B1356, PLANTA_BASE!A:R, 17, FALSE), "GENERAL"))</f>
        <v/>
      </c>
    </row>
    <row r="1357" ht="20" customHeight="1">
      <c r="A1357" s="5">
        <f>IF(B1357="","",IFERROR(VLOOKUP(B1357, PLANTA_BASE!A:R, 2, FALSE), "NO ENCONTRADO EN PLANTA"))</f>
        <v/>
      </c>
      <c r="B1357" s="6" t="inlineStr"/>
      <c r="C1357" s="7">
        <f>IF(B1357="","",IFERROR(VLOOKUP(B1357, PLANTA_BASE!A:R, 3, FALSE), ""))</f>
        <v/>
      </c>
      <c r="D1357" s="5">
        <f>IF(B1357="","",IFERROR(VLOOKUP(B1357, PLANTA_BASE!A:R, 5, FALSE), "NO ENCONTRADO EN PLANTA"))</f>
        <v/>
      </c>
      <c r="E1357" s="5">
        <f>IF(B1357="","",IFERROR(VLOOKUP(B1357, PLANTA_BASE!A:R, 6, FALSE), "NO ENCONTRADO EN PLANTA"))</f>
        <v/>
      </c>
      <c r="F1357" s="7">
        <f>IF(B1357="","",IFERROR(VLOOKUP(B1357, PLANTA_BASE!A:R, 8, FALSE), "DOCENTE / FACILITADOR"))</f>
        <v/>
      </c>
      <c r="G1357" s="7">
        <f>IF(B1357="","",IFERROR(VLOOKUP(B1357, PLANTA_BASE!A:R, 9, FALSE), "GENERAL"))</f>
        <v/>
      </c>
      <c r="H1357" s="5">
        <f>IF(B1357="","",IFERROR(VLOOKUP(B1357, PLANTA_BASE!A:R, 17, FALSE), "GENERAL"))</f>
        <v/>
      </c>
    </row>
    <row r="1358" ht="20" customHeight="1">
      <c r="A1358" s="2">
        <f>IF(B1358="","",IFERROR(VLOOKUP(B1358, PLANTA_BASE!A:R, 2, FALSE), "NO ENCONTRADO EN PLANTA"))</f>
        <v/>
      </c>
      <c r="B1358" s="3" t="inlineStr"/>
      <c r="C1358" s="4">
        <f>IF(B1358="","",IFERROR(VLOOKUP(B1358, PLANTA_BASE!A:R, 3, FALSE), ""))</f>
        <v/>
      </c>
      <c r="D1358" s="2">
        <f>IF(B1358="","",IFERROR(VLOOKUP(B1358, PLANTA_BASE!A:R, 5, FALSE), "NO ENCONTRADO EN PLANTA"))</f>
        <v/>
      </c>
      <c r="E1358" s="2">
        <f>IF(B1358="","",IFERROR(VLOOKUP(B1358, PLANTA_BASE!A:R, 6, FALSE), "NO ENCONTRADO EN PLANTA"))</f>
        <v/>
      </c>
      <c r="F1358" s="4">
        <f>IF(B1358="","",IFERROR(VLOOKUP(B1358, PLANTA_BASE!A:R, 8, FALSE), "DOCENTE / FACILITADOR"))</f>
        <v/>
      </c>
      <c r="G1358" s="4">
        <f>IF(B1358="","",IFERROR(VLOOKUP(B1358, PLANTA_BASE!A:R, 9, FALSE), "GENERAL"))</f>
        <v/>
      </c>
      <c r="H1358" s="2">
        <f>IF(B1358="","",IFERROR(VLOOKUP(B1358, PLANTA_BASE!A:R, 17, FALSE), "GENERAL"))</f>
        <v/>
      </c>
    </row>
    <row r="1359" ht="20" customHeight="1">
      <c r="A1359" s="5">
        <f>IF(B1359="","",IFERROR(VLOOKUP(B1359, PLANTA_BASE!A:R, 2, FALSE), "NO ENCONTRADO EN PLANTA"))</f>
        <v/>
      </c>
      <c r="B1359" s="6" t="inlineStr"/>
      <c r="C1359" s="7">
        <f>IF(B1359="","",IFERROR(VLOOKUP(B1359, PLANTA_BASE!A:R, 3, FALSE), ""))</f>
        <v/>
      </c>
      <c r="D1359" s="5">
        <f>IF(B1359="","",IFERROR(VLOOKUP(B1359, PLANTA_BASE!A:R, 5, FALSE), "NO ENCONTRADO EN PLANTA"))</f>
        <v/>
      </c>
      <c r="E1359" s="5">
        <f>IF(B1359="","",IFERROR(VLOOKUP(B1359, PLANTA_BASE!A:R, 6, FALSE), "NO ENCONTRADO EN PLANTA"))</f>
        <v/>
      </c>
      <c r="F1359" s="7">
        <f>IF(B1359="","",IFERROR(VLOOKUP(B1359, PLANTA_BASE!A:R, 8, FALSE), "DOCENTE / FACILITADOR"))</f>
        <v/>
      </c>
      <c r="G1359" s="7">
        <f>IF(B1359="","",IFERROR(VLOOKUP(B1359, PLANTA_BASE!A:R, 9, FALSE), "GENERAL"))</f>
        <v/>
      </c>
      <c r="H1359" s="5">
        <f>IF(B1359="","",IFERROR(VLOOKUP(B1359, PLANTA_BASE!A:R, 17, FALSE), "GENERAL"))</f>
        <v/>
      </c>
    </row>
    <row r="1360" ht="20" customHeight="1">
      <c r="A1360" s="2">
        <f>IF(B1360="","",IFERROR(VLOOKUP(B1360, PLANTA_BASE!A:R, 2, FALSE), "NO ENCONTRADO EN PLANTA"))</f>
        <v/>
      </c>
      <c r="B1360" s="3" t="inlineStr"/>
      <c r="C1360" s="4">
        <f>IF(B1360="","",IFERROR(VLOOKUP(B1360, PLANTA_BASE!A:R, 3, FALSE), ""))</f>
        <v/>
      </c>
      <c r="D1360" s="2">
        <f>IF(B1360="","",IFERROR(VLOOKUP(B1360, PLANTA_BASE!A:R, 5, FALSE), "NO ENCONTRADO EN PLANTA"))</f>
        <v/>
      </c>
      <c r="E1360" s="2">
        <f>IF(B1360="","",IFERROR(VLOOKUP(B1360, PLANTA_BASE!A:R, 6, FALSE), "NO ENCONTRADO EN PLANTA"))</f>
        <v/>
      </c>
      <c r="F1360" s="4">
        <f>IF(B1360="","",IFERROR(VLOOKUP(B1360, PLANTA_BASE!A:R, 8, FALSE), "DOCENTE / FACILITADOR"))</f>
        <v/>
      </c>
      <c r="G1360" s="4">
        <f>IF(B1360="","",IFERROR(VLOOKUP(B1360, PLANTA_BASE!A:R, 9, FALSE), "GENERAL"))</f>
        <v/>
      </c>
      <c r="H1360" s="2">
        <f>IF(B1360="","",IFERROR(VLOOKUP(B1360, PLANTA_BASE!A:R, 17, FALSE), "GENERAL"))</f>
        <v/>
      </c>
    </row>
    <row r="1361" ht="20" customHeight="1">
      <c r="A1361" s="5">
        <f>IF(B1361="","",IFERROR(VLOOKUP(B1361, PLANTA_BASE!A:R, 2, FALSE), "NO ENCONTRADO EN PLANTA"))</f>
        <v/>
      </c>
      <c r="B1361" s="6" t="inlineStr"/>
      <c r="C1361" s="7">
        <f>IF(B1361="","",IFERROR(VLOOKUP(B1361, PLANTA_BASE!A:R, 3, FALSE), ""))</f>
        <v/>
      </c>
      <c r="D1361" s="5">
        <f>IF(B1361="","",IFERROR(VLOOKUP(B1361, PLANTA_BASE!A:R, 5, FALSE), "NO ENCONTRADO EN PLANTA"))</f>
        <v/>
      </c>
      <c r="E1361" s="5">
        <f>IF(B1361="","",IFERROR(VLOOKUP(B1361, PLANTA_BASE!A:R, 6, FALSE), "NO ENCONTRADO EN PLANTA"))</f>
        <v/>
      </c>
      <c r="F1361" s="7">
        <f>IF(B1361="","",IFERROR(VLOOKUP(B1361, PLANTA_BASE!A:R, 8, FALSE), "DOCENTE / FACILITADOR"))</f>
        <v/>
      </c>
      <c r="G1361" s="7">
        <f>IF(B1361="","",IFERROR(VLOOKUP(B1361, PLANTA_BASE!A:R, 9, FALSE), "GENERAL"))</f>
        <v/>
      </c>
      <c r="H1361" s="5">
        <f>IF(B1361="","",IFERROR(VLOOKUP(B1361, PLANTA_BASE!A:R, 17, FALSE), "GENERAL"))</f>
        <v/>
      </c>
    </row>
    <row r="1362" ht="20" customHeight="1">
      <c r="A1362" s="2">
        <f>IF(B1362="","",IFERROR(VLOOKUP(B1362, PLANTA_BASE!A:R, 2, FALSE), "NO ENCONTRADO EN PLANTA"))</f>
        <v/>
      </c>
      <c r="B1362" s="3" t="inlineStr"/>
      <c r="C1362" s="4">
        <f>IF(B1362="","",IFERROR(VLOOKUP(B1362, PLANTA_BASE!A:R, 3, FALSE), ""))</f>
        <v/>
      </c>
      <c r="D1362" s="2">
        <f>IF(B1362="","",IFERROR(VLOOKUP(B1362, PLANTA_BASE!A:R, 5, FALSE), "NO ENCONTRADO EN PLANTA"))</f>
        <v/>
      </c>
      <c r="E1362" s="2">
        <f>IF(B1362="","",IFERROR(VLOOKUP(B1362, PLANTA_BASE!A:R, 6, FALSE), "NO ENCONTRADO EN PLANTA"))</f>
        <v/>
      </c>
      <c r="F1362" s="4">
        <f>IF(B1362="","",IFERROR(VLOOKUP(B1362, PLANTA_BASE!A:R, 8, FALSE), "DOCENTE / FACILITADOR"))</f>
        <v/>
      </c>
      <c r="G1362" s="4">
        <f>IF(B1362="","",IFERROR(VLOOKUP(B1362, PLANTA_BASE!A:R, 9, FALSE), "GENERAL"))</f>
        <v/>
      </c>
      <c r="H1362" s="2">
        <f>IF(B1362="","",IFERROR(VLOOKUP(B1362, PLANTA_BASE!A:R, 17, FALSE), "GENERAL"))</f>
        <v/>
      </c>
    </row>
    <row r="1363" ht="20" customHeight="1">
      <c r="A1363" s="5">
        <f>IF(B1363="","",IFERROR(VLOOKUP(B1363, PLANTA_BASE!A:R, 2, FALSE), "NO ENCONTRADO EN PLANTA"))</f>
        <v/>
      </c>
      <c r="B1363" s="6" t="inlineStr"/>
      <c r="C1363" s="7">
        <f>IF(B1363="","",IFERROR(VLOOKUP(B1363, PLANTA_BASE!A:R, 3, FALSE), ""))</f>
        <v/>
      </c>
      <c r="D1363" s="5">
        <f>IF(B1363="","",IFERROR(VLOOKUP(B1363, PLANTA_BASE!A:R, 5, FALSE), "NO ENCONTRADO EN PLANTA"))</f>
        <v/>
      </c>
      <c r="E1363" s="5">
        <f>IF(B1363="","",IFERROR(VLOOKUP(B1363, PLANTA_BASE!A:R, 6, FALSE), "NO ENCONTRADO EN PLANTA"))</f>
        <v/>
      </c>
      <c r="F1363" s="7">
        <f>IF(B1363="","",IFERROR(VLOOKUP(B1363, PLANTA_BASE!A:R, 8, FALSE), "DOCENTE / FACILITADOR"))</f>
        <v/>
      </c>
      <c r="G1363" s="7">
        <f>IF(B1363="","",IFERROR(VLOOKUP(B1363, PLANTA_BASE!A:R, 9, FALSE), "GENERAL"))</f>
        <v/>
      </c>
      <c r="H1363" s="5">
        <f>IF(B1363="","",IFERROR(VLOOKUP(B1363, PLANTA_BASE!A:R, 17, FALSE), "GENERAL"))</f>
        <v/>
      </c>
    </row>
    <row r="1364" ht="20" customHeight="1">
      <c r="A1364" s="2">
        <f>IF(B1364="","",IFERROR(VLOOKUP(B1364, PLANTA_BASE!A:R, 2, FALSE), "NO ENCONTRADO EN PLANTA"))</f>
        <v/>
      </c>
      <c r="B1364" s="3" t="inlineStr"/>
      <c r="C1364" s="4">
        <f>IF(B1364="","",IFERROR(VLOOKUP(B1364, PLANTA_BASE!A:R, 3, FALSE), ""))</f>
        <v/>
      </c>
      <c r="D1364" s="2">
        <f>IF(B1364="","",IFERROR(VLOOKUP(B1364, PLANTA_BASE!A:R, 5, FALSE), "NO ENCONTRADO EN PLANTA"))</f>
        <v/>
      </c>
      <c r="E1364" s="2">
        <f>IF(B1364="","",IFERROR(VLOOKUP(B1364, PLANTA_BASE!A:R, 6, FALSE), "NO ENCONTRADO EN PLANTA"))</f>
        <v/>
      </c>
      <c r="F1364" s="4">
        <f>IF(B1364="","",IFERROR(VLOOKUP(B1364, PLANTA_BASE!A:R, 8, FALSE), "DOCENTE / FACILITADOR"))</f>
        <v/>
      </c>
      <c r="G1364" s="4">
        <f>IF(B1364="","",IFERROR(VLOOKUP(B1364, PLANTA_BASE!A:R, 9, FALSE), "GENERAL"))</f>
        <v/>
      </c>
      <c r="H1364" s="2">
        <f>IF(B1364="","",IFERROR(VLOOKUP(B1364, PLANTA_BASE!A:R, 17, FALSE), "GENERAL"))</f>
        <v/>
      </c>
    </row>
    <row r="1365" ht="20" customHeight="1">
      <c r="A1365" s="5">
        <f>IF(B1365="","",IFERROR(VLOOKUP(B1365, PLANTA_BASE!A:R, 2, FALSE), "NO ENCONTRADO EN PLANTA"))</f>
        <v/>
      </c>
      <c r="B1365" s="6" t="inlineStr"/>
      <c r="C1365" s="7">
        <f>IF(B1365="","",IFERROR(VLOOKUP(B1365, PLANTA_BASE!A:R, 3, FALSE), ""))</f>
        <v/>
      </c>
      <c r="D1365" s="5">
        <f>IF(B1365="","",IFERROR(VLOOKUP(B1365, PLANTA_BASE!A:R, 5, FALSE), "NO ENCONTRADO EN PLANTA"))</f>
        <v/>
      </c>
      <c r="E1365" s="5">
        <f>IF(B1365="","",IFERROR(VLOOKUP(B1365, PLANTA_BASE!A:R, 6, FALSE), "NO ENCONTRADO EN PLANTA"))</f>
        <v/>
      </c>
      <c r="F1365" s="7">
        <f>IF(B1365="","",IFERROR(VLOOKUP(B1365, PLANTA_BASE!A:R, 8, FALSE), "DOCENTE / FACILITADOR"))</f>
        <v/>
      </c>
      <c r="G1365" s="7">
        <f>IF(B1365="","",IFERROR(VLOOKUP(B1365, PLANTA_BASE!A:R, 9, FALSE), "GENERAL"))</f>
        <v/>
      </c>
      <c r="H1365" s="5">
        <f>IF(B1365="","",IFERROR(VLOOKUP(B1365, PLANTA_BASE!A:R, 17, FALSE), "GENERAL"))</f>
        <v/>
      </c>
    </row>
    <row r="1366" ht="20" customHeight="1">
      <c r="A1366" s="2">
        <f>IF(B1366="","",IFERROR(VLOOKUP(B1366, PLANTA_BASE!A:R, 2, FALSE), "NO ENCONTRADO EN PLANTA"))</f>
        <v/>
      </c>
      <c r="B1366" s="3" t="inlineStr"/>
      <c r="C1366" s="4">
        <f>IF(B1366="","",IFERROR(VLOOKUP(B1366, PLANTA_BASE!A:R, 3, FALSE), ""))</f>
        <v/>
      </c>
      <c r="D1366" s="2">
        <f>IF(B1366="","",IFERROR(VLOOKUP(B1366, PLANTA_BASE!A:R, 5, FALSE), "NO ENCONTRADO EN PLANTA"))</f>
        <v/>
      </c>
      <c r="E1366" s="2">
        <f>IF(B1366="","",IFERROR(VLOOKUP(B1366, PLANTA_BASE!A:R, 6, FALSE), "NO ENCONTRADO EN PLANTA"))</f>
        <v/>
      </c>
      <c r="F1366" s="4">
        <f>IF(B1366="","",IFERROR(VLOOKUP(B1366, PLANTA_BASE!A:R, 8, FALSE), "DOCENTE / FACILITADOR"))</f>
        <v/>
      </c>
      <c r="G1366" s="4">
        <f>IF(B1366="","",IFERROR(VLOOKUP(B1366, PLANTA_BASE!A:R, 9, FALSE), "GENERAL"))</f>
        <v/>
      </c>
      <c r="H1366" s="2">
        <f>IF(B1366="","",IFERROR(VLOOKUP(B1366, PLANTA_BASE!A:R, 17, FALSE), "GENERAL"))</f>
        <v/>
      </c>
    </row>
    <row r="1367" ht="20" customHeight="1">
      <c r="A1367" s="5">
        <f>IF(B1367="","",IFERROR(VLOOKUP(B1367, PLANTA_BASE!A:R, 2, FALSE), "NO ENCONTRADO EN PLANTA"))</f>
        <v/>
      </c>
      <c r="B1367" s="6" t="inlineStr"/>
      <c r="C1367" s="7">
        <f>IF(B1367="","",IFERROR(VLOOKUP(B1367, PLANTA_BASE!A:R, 3, FALSE), ""))</f>
        <v/>
      </c>
      <c r="D1367" s="5">
        <f>IF(B1367="","",IFERROR(VLOOKUP(B1367, PLANTA_BASE!A:R, 5, FALSE), "NO ENCONTRADO EN PLANTA"))</f>
        <v/>
      </c>
      <c r="E1367" s="5">
        <f>IF(B1367="","",IFERROR(VLOOKUP(B1367, PLANTA_BASE!A:R, 6, FALSE), "NO ENCONTRADO EN PLANTA"))</f>
        <v/>
      </c>
      <c r="F1367" s="7">
        <f>IF(B1367="","",IFERROR(VLOOKUP(B1367, PLANTA_BASE!A:R, 8, FALSE), "DOCENTE / FACILITADOR"))</f>
        <v/>
      </c>
      <c r="G1367" s="7">
        <f>IF(B1367="","",IFERROR(VLOOKUP(B1367, PLANTA_BASE!A:R, 9, FALSE), "GENERAL"))</f>
        <v/>
      </c>
      <c r="H1367" s="5">
        <f>IF(B1367="","",IFERROR(VLOOKUP(B1367, PLANTA_BASE!A:R, 17, FALSE), "GENERAL"))</f>
        <v/>
      </c>
    </row>
    <row r="1368" ht="20" customHeight="1">
      <c r="A1368" s="2">
        <f>IF(B1368="","",IFERROR(VLOOKUP(B1368, PLANTA_BASE!A:R, 2, FALSE), "NO ENCONTRADO EN PLANTA"))</f>
        <v/>
      </c>
      <c r="B1368" s="3" t="inlineStr"/>
      <c r="C1368" s="4">
        <f>IF(B1368="","",IFERROR(VLOOKUP(B1368, PLANTA_BASE!A:R, 3, FALSE), ""))</f>
        <v/>
      </c>
      <c r="D1368" s="2">
        <f>IF(B1368="","",IFERROR(VLOOKUP(B1368, PLANTA_BASE!A:R, 5, FALSE), "NO ENCONTRADO EN PLANTA"))</f>
        <v/>
      </c>
      <c r="E1368" s="2">
        <f>IF(B1368="","",IFERROR(VLOOKUP(B1368, PLANTA_BASE!A:R, 6, FALSE), "NO ENCONTRADO EN PLANTA"))</f>
        <v/>
      </c>
      <c r="F1368" s="4">
        <f>IF(B1368="","",IFERROR(VLOOKUP(B1368, PLANTA_BASE!A:R, 8, FALSE), "DOCENTE / FACILITADOR"))</f>
        <v/>
      </c>
      <c r="G1368" s="4">
        <f>IF(B1368="","",IFERROR(VLOOKUP(B1368, PLANTA_BASE!A:R, 9, FALSE), "GENERAL"))</f>
        <v/>
      </c>
      <c r="H1368" s="2">
        <f>IF(B1368="","",IFERROR(VLOOKUP(B1368, PLANTA_BASE!A:R, 17, FALSE), "GENERAL"))</f>
        <v/>
      </c>
    </row>
    <row r="1369" ht="20" customHeight="1">
      <c r="A1369" s="5">
        <f>IF(B1369="","",IFERROR(VLOOKUP(B1369, PLANTA_BASE!A:R, 2, FALSE), "NO ENCONTRADO EN PLANTA"))</f>
        <v/>
      </c>
      <c r="B1369" s="6" t="inlineStr"/>
      <c r="C1369" s="7">
        <f>IF(B1369="","",IFERROR(VLOOKUP(B1369, PLANTA_BASE!A:R, 3, FALSE), ""))</f>
        <v/>
      </c>
      <c r="D1369" s="5">
        <f>IF(B1369="","",IFERROR(VLOOKUP(B1369, PLANTA_BASE!A:R, 5, FALSE), "NO ENCONTRADO EN PLANTA"))</f>
        <v/>
      </c>
      <c r="E1369" s="5">
        <f>IF(B1369="","",IFERROR(VLOOKUP(B1369, PLANTA_BASE!A:R, 6, FALSE), "NO ENCONTRADO EN PLANTA"))</f>
        <v/>
      </c>
      <c r="F1369" s="7">
        <f>IF(B1369="","",IFERROR(VLOOKUP(B1369, PLANTA_BASE!A:R, 8, FALSE), "DOCENTE / FACILITADOR"))</f>
        <v/>
      </c>
      <c r="G1369" s="7">
        <f>IF(B1369="","",IFERROR(VLOOKUP(B1369, PLANTA_BASE!A:R, 9, FALSE), "GENERAL"))</f>
        <v/>
      </c>
      <c r="H1369" s="5">
        <f>IF(B1369="","",IFERROR(VLOOKUP(B1369, PLANTA_BASE!A:R, 17, FALSE), "GENERAL"))</f>
        <v/>
      </c>
    </row>
    <row r="1370" ht="20" customHeight="1">
      <c r="A1370" s="2">
        <f>IF(B1370="","",IFERROR(VLOOKUP(B1370, PLANTA_BASE!A:R, 2, FALSE), "NO ENCONTRADO EN PLANTA"))</f>
        <v/>
      </c>
      <c r="B1370" s="3" t="inlineStr"/>
      <c r="C1370" s="4">
        <f>IF(B1370="","",IFERROR(VLOOKUP(B1370, PLANTA_BASE!A:R, 3, FALSE), ""))</f>
        <v/>
      </c>
      <c r="D1370" s="2">
        <f>IF(B1370="","",IFERROR(VLOOKUP(B1370, PLANTA_BASE!A:R, 5, FALSE), "NO ENCONTRADO EN PLANTA"))</f>
        <v/>
      </c>
      <c r="E1370" s="2">
        <f>IF(B1370="","",IFERROR(VLOOKUP(B1370, PLANTA_BASE!A:R, 6, FALSE), "NO ENCONTRADO EN PLANTA"))</f>
        <v/>
      </c>
      <c r="F1370" s="4">
        <f>IF(B1370="","",IFERROR(VLOOKUP(B1370, PLANTA_BASE!A:R, 8, FALSE), "DOCENTE / FACILITADOR"))</f>
        <v/>
      </c>
      <c r="G1370" s="4">
        <f>IF(B1370="","",IFERROR(VLOOKUP(B1370, PLANTA_BASE!A:R, 9, FALSE), "GENERAL"))</f>
        <v/>
      </c>
      <c r="H1370" s="2">
        <f>IF(B1370="","",IFERROR(VLOOKUP(B1370, PLANTA_BASE!A:R, 17, FALSE), "GENERAL"))</f>
        <v/>
      </c>
    </row>
    <row r="1371" ht="20" customHeight="1">
      <c r="A1371" s="5">
        <f>IF(B1371="","",IFERROR(VLOOKUP(B1371, PLANTA_BASE!A:R, 2, FALSE), "NO ENCONTRADO EN PLANTA"))</f>
        <v/>
      </c>
      <c r="B1371" s="6" t="inlineStr"/>
      <c r="C1371" s="7">
        <f>IF(B1371="","",IFERROR(VLOOKUP(B1371, PLANTA_BASE!A:R, 3, FALSE), ""))</f>
        <v/>
      </c>
      <c r="D1371" s="5">
        <f>IF(B1371="","",IFERROR(VLOOKUP(B1371, PLANTA_BASE!A:R, 5, FALSE), "NO ENCONTRADO EN PLANTA"))</f>
        <v/>
      </c>
      <c r="E1371" s="5">
        <f>IF(B1371="","",IFERROR(VLOOKUP(B1371, PLANTA_BASE!A:R, 6, FALSE), "NO ENCONTRADO EN PLANTA"))</f>
        <v/>
      </c>
      <c r="F1371" s="7">
        <f>IF(B1371="","",IFERROR(VLOOKUP(B1371, PLANTA_BASE!A:R, 8, FALSE), "DOCENTE / FACILITADOR"))</f>
        <v/>
      </c>
      <c r="G1371" s="7">
        <f>IF(B1371="","",IFERROR(VLOOKUP(B1371, PLANTA_BASE!A:R, 9, FALSE), "GENERAL"))</f>
        <v/>
      </c>
      <c r="H1371" s="5">
        <f>IF(B1371="","",IFERROR(VLOOKUP(B1371, PLANTA_BASE!A:R, 17, FALSE), "GENERAL"))</f>
        <v/>
      </c>
    </row>
    <row r="1372" ht="20" customHeight="1">
      <c r="A1372" s="2">
        <f>IF(B1372="","",IFERROR(VLOOKUP(B1372, PLANTA_BASE!A:R, 2, FALSE), "NO ENCONTRADO EN PLANTA"))</f>
        <v/>
      </c>
      <c r="B1372" s="3" t="inlineStr"/>
      <c r="C1372" s="4">
        <f>IF(B1372="","",IFERROR(VLOOKUP(B1372, PLANTA_BASE!A:R, 3, FALSE), ""))</f>
        <v/>
      </c>
      <c r="D1372" s="2">
        <f>IF(B1372="","",IFERROR(VLOOKUP(B1372, PLANTA_BASE!A:R, 5, FALSE), "NO ENCONTRADO EN PLANTA"))</f>
        <v/>
      </c>
      <c r="E1372" s="2">
        <f>IF(B1372="","",IFERROR(VLOOKUP(B1372, PLANTA_BASE!A:R, 6, FALSE), "NO ENCONTRADO EN PLANTA"))</f>
        <v/>
      </c>
      <c r="F1372" s="4">
        <f>IF(B1372="","",IFERROR(VLOOKUP(B1372, PLANTA_BASE!A:R, 8, FALSE), "DOCENTE / FACILITADOR"))</f>
        <v/>
      </c>
      <c r="G1372" s="4">
        <f>IF(B1372="","",IFERROR(VLOOKUP(B1372, PLANTA_BASE!A:R, 9, FALSE), "GENERAL"))</f>
        <v/>
      </c>
      <c r="H1372" s="2">
        <f>IF(B1372="","",IFERROR(VLOOKUP(B1372, PLANTA_BASE!A:R, 17, FALSE), "GENERAL"))</f>
        <v/>
      </c>
    </row>
    <row r="1373" ht="20" customHeight="1">
      <c r="A1373" s="5">
        <f>IF(B1373="","",IFERROR(VLOOKUP(B1373, PLANTA_BASE!A:R, 2, FALSE), "NO ENCONTRADO EN PLANTA"))</f>
        <v/>
      </c>
      <c r="B1373" s="6" t="inlineStr"/>
      <c r="C1373" s="7">
        <f>IF(B1373="","",IFERROR(VLOOKUP(B1373, PLANTA_BASE!A:R, 3, FALSE), ""))</f>
        <v/>
      </c>
      <c r="D1373" s="5">
        <f>IF(B1373="","",IFERROR(VLOOKUP(B1373, PLANTA_BASE!A:R, 5, FALSE), "NO ENCONTRADO EN PLANTA"))</f>
        <v/>
      </c>
      <c r="E1373" s="5">
        <f>IF(B1373="","",IFERROR(VLOOKUP(B1373, PLANTA_BASE!A:R, 6, FALSE), "NO ENCONTRADO EN PLANTA"))</f>
        <v/>
      </c>
      <c r="F1373" s="7">
        <f>IF(B1373="","",IFERROR(VLOOKUP(B1373, PLANTA_BASE!A:R, 8, FALSE), "DOCENTE / FACILITADOR"))</f>
        <v/>
      </c>
      <c r="G1373" s="7">
        <f>IF(B1373="","",IFERROR(VLOOKUP(B1373, PLANTA_BASE!A:R, 9, FALSE), "GENERAL"))</f>
        <v/>
      </c>
      <c r="H1373" s="5">
        <f>IF(B1373="","",IFERROR(VLOOKUP(B1373, PLANTA_BASE!A:R, 17, FALSE), "GENERAL"))</f>
        <v/>
      </c>
    </row>
    <row r="1374" ht="20" customHeight="1">
      <c r="A1374" s="2">
        <f>IF(B1374="","",IFERROR(VLOOKUP(B1374, PLANTA_BASE!A:R, 2, FALSE), "NO ENCONTRADO EN PLANTA"))</f>
        <v/>
      </c>
      <c r="B1374" s="3" t="inlineStr"/>
      <c r="C1374" s="4">
        <f>IF(B1374="","",IFERROR(VLOOKUP(B1374, PLANTA_BASE!A:R, 3, FALSE), ""))</f>
        <v/>
      </c>
      <c r="D1374" s="2">
        <f>IF(B1374="","",IFERROR(VLOOKUP(B1374, PLANTA_BASE!A:R, 5, FALSE), "NO ENCONTRADO EN PLANTA"))</f>
        <v/>
      </c>
      <c r="E1374" s="2">
        <f>IF(B1374="","",IFERROR(VLOOKUP(B1374, PLANTA_BASE!A:R, 6, FALSE), "NO ENCONTRADO EN PLANTA"))</f>
        <v/>
      </c>
      <c r="F1374" s="4">
        <f>IF(B1374="","",IFERROR(VLOOKUP(B1374, PLANTA_BASE!A:R, 8, FALSE), "DOCENTE / FACILITADOR"))</f>
        <v/>
      </c>
      <c r="G1374" s="4">
        <f>IF(B1374="","",IFERROR(VLOOKUP(B1374, PLANTA_BASE!A:R, 9, FALSE), "GENERAL"))</f>
        <v/>
      </c>
      <c r="H1374" s="2">
        <f>IF(B1374="","",IFERROR(VLOOKUP(B1374, PLANTA_BASE!A:R, 17, FALSE), "GENERAL"))</f>
        <v/>
      </c>
    </row>
    <row r="1375" ht="20" customHeight="1">
      <c r="A1375" s="5">
        <f>IF(B1375="","",IFERROR(VLOOKUP(B1375, PLANTA_BASE!A:R, 2, FALSE), "NO ENCONTRADO EN PLANTA"))</f>
        <v/>
      </c>
      <c r="B1375" s="6" t="inlineStr"/>
      <c r="C1375" s="7">
        <f>IF(B1375="","",IFERROR(VLOOKUP(B1375, PLANTA_BASE!A:R, 3, FALSE), ""))</f>
        <v/>
      </c>
      <c r="D1375" s="5">
        <f>IF(B1375="","",IFERROR(VLOOKUP(B1375, PLANTA_BASE!A:R, 5, FALSE), "NO ENCONTRADO EN PLANTA"))</f>
        <v/>
      </c>
      <c r="E1375" s="5">
        <f>IF(B1375="","",IFERROR(VLOOKUP(B1375, PLANTA_BASE!A:R, 6, FALSE), "NO ENCONTRADO EN PLANTA"))</f>
        <v/>
      </c>
      <c r="F1375" s="7">
        <f>IF(B1375="","",IFERROR(VLOOKUP(B1375, PLANTA_BASE!A:R, 8, FALSE), "DOCENTE / FACILITADOR"))</f>
        <v/>
      </c>
      <c r="G1375" s="7">
        <f>IF(B1375="","",IFERROR(VLOOKUP(B1375, PLANTA_BASE!A:R, 9, FALSE), "GENERAL"))</f>
        <v/>
      </c>
      <c r="H1375" s="5">
        <f>IF(B1375="","",IFERROR(VLOOKUP(B1375, PLANTA_BASE!A:R, 17, FALSE), "GENERAL"))</f>
        <v/>
      </c>
    </row>
    <row r="1376" ht="20" customHeight="1">
      <c r="A1376" s="2">
        <f>IF(B1376="","",IFERROR(VLOOKUP(B1376, PLANTA_BASE!A:R, 2, FALSE), "NO ENCONTRADO EN PLANTA"))</f>
        <v/>
      </c>
      <c r="B1376" s="3" t="inlineStr"/>
      <c r="C1376" s="4">
        <f>IF(B1376="","",IFERROR(VLOOKUP(B1376, PLANTA_BASE!A:R, 3, FALSE), ""))</f>
        <v/>
      </c>
      <c r="D1376" s="2">
        <f>IF(B1376="","",IFERROR(VLOOKUP(B1376, PLANTA_BASE!A:R, 5, FALSE), "NO ENCONTRADO EN PLANTA"))</f>
        <v/>
      </c>
      <c r="E1376" s="2">
        <f>IF(B1376="","",IFERROR(VLOOKUP(B1376, PLANTA_BASE!A:R, 6, FALSE), "NO ENCONTRADO EN PLANTA"))</f>
        <v/>
      </c>
      <c r="F1376" s="4">
        <f>IF(B1376="","",IFERROR(VLOOKUP(B1376, PLANTA_BASE!A:R, 8, FALSE), "DOCENTE / FACILITADOR"))</f>
        <v/>
      </c>
      <c r="G1376" s="4">
        <f>IF(B1376="","",IFERROR(VLOOKUP(B1376, PLANTA_BASE!A:R, 9, FALSE), "GENERAL"))</f>
        <v/>
      </c>
      <c r="H1376" s="2">
        <f>IF(B1376="","",IFERROR(VLOOKUP(B1376, PLANTA_BASE!A:R, 17, FALSE), "GENERAL"))</f>
        <v/>
      </c>
    </row>
    <row r="1377" ht="20" customHeight="1">
      <c r="A1377" s="5">
        <f>IF(B1377="","",IFERROR(VLOOKUP(B1377, PLANTA_BASE!A:R, 2, FALSE), "NO ENCONTRADO EN PLANTA"))</f>
        <v/>
      </c>
      <c r="B1377" s="6" t="inlineStr"/>
      <c r="C1377" s="7">
        <f>IF(B1377="","",IFERROR(VLOOKUP(B1377, PLANTA_BASE!A:R, 3, FALSE), ""))</f>
        <v/>
      </c>
      <c r="D1377" s="5">
        <f>IF(B1377="","",IFERROR(VLOOKUP(B1377, PLANTA_BASE!A:R, 5, FALSE), "NO ENCONTRADO EN PLANTA"))</f>
        <v/>
      </c>
      <c r="E1377" s="5">
        <f>IF(B1377="","",IFERROR(VLOOKUP(B1377, PLANTA_BASE!A:R, 6, FALSE), "NO ENCONTRADO EN PLANTA"))</f>
        <v/>
      </c>
      <c r="F1377" s="7">
        <f>IF(B1377="","",IFERROR(VLOOKUP(B1377, PLANTA_BASE!A:R, 8, FALSE), "DOCENTE / FACILITADOR"))</f>
        <v/>
      </c>
      <c r="G1377" s="7">
        <f>IF(B1377="","",IFERROR(VLOOKUP(B1377, PLANTA_BASE!A:R, 9, FALSE), "GENERAL"))</f>
        <v/>
      </c>
      <c r="H1377" s="5">
        <f>IF(B1377="","",IFERROR(VLOOKUP(B1377, PLANTA_BASE!A:R, 17, FALSE), "GENERAL"))</f>
        <v/>
      </c>
    </row>
    <row r="1378" ht="20" customHeight="1">
      <c r="A1378" s="2">
        <f>IF(B1378="","",IFERROR(VLOOKUP(B1378, PLANTA_BASE!A:R, 2, FALSE), "NO ENCONTRADO EN PLANTA"))</f>
        <v/>
      </c>
      <c r="B1378" s="3" t="inlineStr"/>
      <c r="C1378" s="4">
        <f>IF(B1378="","",IFERROR(VLOOKUP(B1378, PLANTA_BASE!A:R, 3, FALSE), ""))</f>
        <v/>
      </c>
      <c r="D1378" s="2">
        <f>IF(B1378="","",IFERROR(VLOOKUP(B1378, PLANTA_BASE!A:R, 5, FALSE), "NO ENCONTRADO EN PLANTA"))</f>
        <v/>
      </c>
      <c r="E1378" s="2">
        <f>IF(B1378="","",IFERROR(VLOOKUP(B1378, PLANTA_BASE!A:R, 6, FALSE), "NO ENCONTRADO EN PLANTA"))</f>
        <v/>
      </c>
      <c r="F1378" s="4">
        <f>IF(B1378="","",IFERROR(VLOOKUP(B1378, PLANTA_BASE!A:R, 8, FALSE), "DOCENTE / FACILITADOR"))</f>
        <v/>
      </c>
      <c r="G1378" s="4">
        <f>IF(B1378="","",IFERROR(VLOOKUP(B1378, PLANTA_BASE!A:R, 9, FALSE), "GENERAL"))</f>
        <v/>
      </c>
      <c r="H1378" s="2">
        <f>IF(B1378="","",IFERROR(VLOOKUP(B1378, PLANTA_BASE!A:R, 17, FALSE), "GENERAL"))</f>
        <v/>
      </c>
    </row>
    <row r="1379" ht="20" customHeight="1">
      <c r="A1379" s="5">
        <f>IF(B1379="","",IFERROR(VLOOKUP(B1379, PLANTA_BASE!A:R, 2, FALSE), "NO ENCONTRADO EN PLANTA"))</f>
        <v/>
      </c>
      <c r="B1379" s="6" t="inlineStr"/>
      <c r="C1379" s="7">
        <f>IF(B1379="","",IFERROR(VLOOKUP(B1379, PLANTA_BASE!A:R, 3, FALSE), ""))</f>
        <v/>
      </c>
      <c r="D1379" s="5">
        <f>IF(B1379="","",IFERROR(VLOOKUP(B1379, PLANTA_BASE!A:R, 5, FALSE), "NO ENCONTRADO EN PLANTA"))</f>
        <v/>
      </c>
      <c r="E1379" s="5">
        <f>IF(B1379="","",IFERROR(VLOOKUP(B1379, PLANTA_BASE!A:R, 6, FALSE), "NO ENCONTRADO EN PLANTA"))</f>
        <v/>
      </c>
      <c r="F1379" s="7">
        <f>IF(B1379="","",IFERROR(VLOOKUP(B1379, PLANTA_BASE!A:R, 8, FALSE), "DOCENTE / FACILITADOR"))</f>
        <v/>
      </c>
      <c r="G1379" s="7">
        <f>IF(B1379="","",IFERROR(VLOOKUP(B1379, PLANTA_BASE!A:R, 9, FALSE), "GENERAL"))</f>
        <v/>
      </c>
      <c r="H1379" s="5">
        <f>IF(B1379="","",IFERROR(VLOOKUP(B1379, PLANTA_BASE!A:R, 17, FALSE), "GENERAL"))</f>
        <v/>
      </c>
    </row>
    <row r="1380" ht="20" customHeight="1">
      <c r="A1380" s="2">
        <f>IF(B1380="","",IFERROR(VLOOKUP(B1380, PLANTA_BASE!A:R, 2, FALSE), "NO ENCONTRADO EN PLANTA"))</f>
        <v/>
      </c>
      <c r="B1380" s="3" t="inlineStr"/>
      <c r="C1380" s="4">
        <f>IF(B1380="","",IFERROR(VLOOKUP(B1380, PLANTA_BASE!A:R, 3, FALSE), ""))</f>
        <v/>
      </c>
      <c r="D1380" s="2">
        <f>IF(B1380="","",IFERROR(VLOOKUP(B1380, PLANTA_BASE!A:R, 5, FALSE), "NO ENCONTRADO EN PLANTA"))</f>
        <v/>
      </c>
      <c r="E1380" s="2">
        <f>IF(B1380="","",IFERROR(VLOOKUP(B1380, PLANTA_BASE!A:R, 6, FALSE), "NO ENCONTRADO EN PLANTA"))</f>
        <v/>
      </c>
      <c r="F1380" s="4">
        <f>IF(B1380="","",IFERROR(VLOOKUP(B1380, PLANTA_BASE!A:R, 8, FALSE), "DOCENTE / FACILITADOR"))</f>
        <v/>
      </c>
      <c r="G1380" s="4">
        <f>IF(B1380="","",IFERROR(VLOOKUP(B1380, PLANTA_BASE!A:R, 9, FALSE), "GENERAL"))</f>
        <v/>
      </c>
      <c r="H1380" s="2">
        <f>IF(B1380="","",IFERROR(VLOOKUP(B1380, PLANTA_BASE!A:R, 17, FALSE), "GENERAL"))</f>
        <v/>
      </c>
    </row>
    <row r="1381" ht="20" customHeight="1">
      <c r="A1381" s="5">
        <f>IF(B1381="","",IFERROR(VLOOKUP(B1381, PLANTA_BASE!A:R, 2, FALSE), "NO ENCONTRADO EN PLANTA"))</f>
        <v/>
      </c>
      <c r="B1381" s="6" t="inlineStr"/>
      <c r="C1381" s="7">
        <f>IF(B1381="","",IFERROR(VLOOKUP(B1381, PLANTA_BASE!A:R, 3, FALSE), ""))</f>
        <v/>
      </c>
      <c r="D1381" s="5">
        <f>IF(B1381="","",IFERROR(VLOOKUP(B1381, PLANTA_BASE!A:R, 5, FALSE), "NO ENCONTRADO EN PLANTA"))</f>
        <v/>
      </c>
      <c r="E1381" s="5">
        <f>IF(B1381="","",IFERROR(VLOOKUP(B1381, PLANTA_BASE!A:R, 6, FALSE), "NO ENCONTRADO EN PLANTA"))</f>
        <v/>
      </c>
      <c r="F1381" s="7">
        <f>IF(B1381="","",IFERROR(VLOOKUP(B1381, PLANTA_BASE!A:R, 8, FALSE), "DOCENTE / FACILITADOR"))</f>
        <v/>
      </c>
      <c r="G1381" s="7">
        <f>IF(B1381="","",IFERROR(VLOOKUP(B1381, PLANTA_BASE!A:R, 9, FALSE), "GENERAL"))</f>
        <v/>
      </c>
      <c r="H1381" s="5">
        <f>IF(B1381="","",IFERROR(VLOOKUP(B1381, PLANTA_BASE!A:R, 17, FALSE), "GENERAL"))</f>
        <v/>
      </c>
    </row>
    <row r="1382" ht="20" customHeight="1">
      <c r="A1382" s="2">
        <f>IF(B1382="","",IFERROR(VLOOKUP(B1382, PLANTA_BASE!A:R, 2, FALSE), "NO ENCONTRADO EN PLANTA"))</f>
        <v/>
      </c>
      <c r="B1382" s="3" t="inlineStr"/>
      <c r="C1382" s="4">
        <f>IF(B1382="","",IFERROR(VLOOKUP(B1382, PLANTA_BASE!A:R, 3, FALSE), ""))</f>
        <v/>
      </c>
      <c r="D1382" s="2">
        <f>IF(B1382="","",IFERROR(VLOOKUP(B1382, PLANTA_BASE!A:R, 5, FALSE), "NO ENCONTRADO EN PLANTA"))</f>
        <v/>
      </c>
      <c r="E1382" s="2">
        <f>IF(B1382="","",IFERROR(VLOOKUP(B1382, PLANTA_BASE!A:R, 6, FALSE), "NO ENCONTRADO EN PLANTA"))</f>
        <v/>
      </c>
      <c r="F1382" s="4">
        <f>IF(B1382="","",IFERROR(VLOOKUP(B1382, PLANTA_BASE!A:R, 8, FALSE), "DOCENTE / FACILITADOR"))</f>
        <v/>
      </c>
      <c r="G1382" s="4">
        <f>IF(B1382="","",IFERROR(VLOOKUP(B1382, PLANTA_BASE!A:R, 9, FALSE), "GENERAL"))</f>
        <v/>
      </c>
      <c r="H1382" s="2">
        <f>IF(B1382="","",IFERROR(VLOOKUP(B1382, PLANTA_BASE!A:R, 17, FALSE), "GENERAL"))</f>
        <v/>
      </c>
    </row>
    <row r="1383" ht="20" customHeight="1">
      <c r="A1383" s="5">
        <f>IF(B1383="","",IFERROR(VLOOKUP(B1383, PLANTA_BASE!A:R, 2, FALSE), "NO ENCONTRADO EN PLANTA"))</f>
        <v/>
      </c>
      <c r="B1383" s="6" t="inlineStr"/>
      <c r="C1383" s="7">
        <f>IF(B1383="","",IFERROR(VLOOKUP(B1383, PLANTA_BASE!A:R, 3, FALSE), ""))</f>
        <v/>
      </c>
      <c r="D1383" s="5">
        <f>IF(B1383="","",IFERROR(VLOOKUP(B1383, PLANTA_BASE!A:R, 5, FALSE), "NO ENCONTRADO EN PLANTA"))</f>
        <v/>
      </c>
      <c r="E1383" s="5">
        <f>IF(B1383="","",IFERROR(VLOOKUP(B1383, PLANTA_BASE!A:R, 6, FALSE), "NO ENCONTRADO EN PLANTA"))</f>
        <v/>
      </c>
      <c r="F1383" s="7">
        <f>IF(B1383="","",IFERROR(VLOOKUP(B1383, PLANTA_BASE!A:R, 8, FALSE), "DOCENTE / FACILITADOR"))</f>
        <v/>
      </c>
      <c r="G1383" s="7">
        <f>IF(B1383="","",IFERROR(VLOOKUP(B1383, PLANTA_BASE!A:R, 9, FALSE), "GENERAL"))</f>
        <v/>
      </c>
      <c r="H1383" s="5">
        <f>IF(B1383="","",IFERROR(VLOOKUP(B1383, PLANTA_BASE!A:R, 17, FALSE), "GENERAL"))</f>
        <v/>
      </c>
    </row>
    <row r="1384" ht="20" customHeight="1">
      <c r="A1384" s="2">
        <f>IF(B1384="","",IFERROR(VLOOKUP(B1384, PLANTA_BASE!A:R, 2, FALSE), "NO ENCONTRADO EN PLANTA"))</f>
        <v/>
      </c>
      <c r="B1384" s="3" t="inlineStr"/>
      <c r="C1384" s="4">
        <f>IF(B1384="","",IFERROR(VLOOKUP(B1384, PLANTA_BASE!A:R, 3, FALSE), ""))</f>
        <v/>
      </c>
      <c r="D1384" s="2">
        <f>IF(B1384="","",IFERROR(VLOOKUP(B1384, PLANTA_BASE!A:R, 5, FALSE), "NO ENCONTRADO EN PLANTA"))</f>
        <v/>
      </c>
      <c r="E1384" s="2">
        <f>IF(B1384="","",IFERROR(VLOOKUP(B1384, PLANTA_BASE!A:R, 6, FALSE), "NO ENCONTRADO EN PLANTA"))</f>
        <v/>
      </c>
      <c r="F1384" s="4">
        <f>IF(B1384="","",IFERROR(VLOOKUP(B1384, PLANTA_BASE!A:R, 8, FALSE), "DOCENTE / FACILITADOR"))</f>
        <v/>
      </c>
      <c r="G1384" s="4">
        <f>IF(B1384="","",IFERROR(VLOOKUP(B1384, PLANTA_BASE!A:R, 9, FALSE), "GENERAL"))</f>
        <v/>
      </c>
      <c r="H1384" s="2">
        <f>IF(B1384="","",IFERROR(VLOOKUP(B1384, PLANTA_BASE!A:R, 17, FALSE), "GENERAL"))</f>
        <v/>
      </c>
    </row>
    <row r="1385" ht="20" customHeight="1">
      <c r="A1385" s="5">
        <f>IF(B1385="","",IFERROR(VLOOKUP(B1385, PLANTA_BASE!A:R, 2, FALSE), "NO ENCONTRADO EN PLANTA"))</f>
        <v/>
      </c>
      <c r="B1385" s="6" t="inlineStr"/>
      <c r="C1385" s="7">
        <f>IF(B1385="","",IFERROR(VLOOKUP(B1385, PLANTA_BASE!A:R, 3, FALSE), ""))</f>
        <v/>
      </c>
      <c r="D1385" s="5">
        <f>IF(B1385="","",IFERROR(VLOOKUP(B1385, PLANTA_BASE!A:R, 5, FALSE), "NO ENCONTRADO EN PLANTA"))</f>
        <v/>
      </c>
      <c r="E1385" s="5">
        <f>IF(B1385="","",IFERROR(VLOOKUP(B1385, PLANTA_BASE!A:R, 6, FALSE), "NO ENCONTRADO EN PLANTA"))</f>
        <v/>
      </c>
      <c r="F1385" s="7">
        <f>IF(B1385="","",IFERROR(VLOOKUP(B1385, PLANTA_BASE!A:R, 8, FALSE), "DOCENTE / FACILITADOR"))</f>
        <v/>
      </c>
      <c r="G1385" s="7">
        <f>IF(B1385="","",IFERROR(VLOOKUP(B1385, PLANTA_BASE!A:R, 9, FALSE), "GENERAL"))</f>
        <v/>
      </c>
      <c r="H1385" s="5">
        <f>IF(B1385="","",IFERROR(VLOOKUP(B1385, PLANTA_BASE!A:R, 17, FALSE), "GENERAL"))</f>
        <v/>
      </c>
    </row>
    <row r="1386" ht="20" customHeight="1">
      <c r="A1386" s="2">
        <f>IF(B1386="","",IFERROR(VLOOKUP(B1386, PLANTA_BASE!A:R, 2, FALSE), "NO ENCONTRADO EN PLANTA"))</f>
        <v/>
      </c>
      <c r="B1386" s="3" t="inlineStr"/>
      <c r="C1386" s="4">
        <f>IF(B1386="","",IFERROR(VLOOKUP(B1386, PLANTA_BASE!A:R, 3, FALSE), ""))</f>
        <v/>
      </c>
      <c r="D1386" s="2">
        <f>IF(B1386="","",IFERROR(VLOOKUP(B1386, PLANTA_BASE!A:R, 5, FALSE), "NO ENCONTRADO EN PLANTA"))</f>
        <v/>
      </c>
      <c r="E1386" s="2">
        <f>IF(B1386="","",IFERROR(VLOOKUP(B1386, PLANTA_BASE!A:R, 6, FALSE), "NO ENCONTRADO EN PLANTA"))</f>
        <v/>
      </c>
      <c r="F1386" s="4">
        <f>IF(B1386="","",IFERROR(VLOOKUP(B1386, PLANTA_BASE!A:R, 8, FALSE), "DOCENTE / FACILITADOR"))</f>
        <v/>
      </c>
      <c r="G1386" s="4">
        <f>IF(B1386="","",IFERROR(VLOOKUP(B1386, PLANTA_BASE!A:R, 9, FALSE), "GENERAL"))</f>
        <v/>
      </c>
      <c r="H1386" s="2">
        <f>IF(B1386="","",IFERROR(VLOOKUP(B1386, PLANTA_BASE!A:R, 17, FALSE), "GENERAL"))</f>
        <v/>
      </c>
    </row>
    <row r="1387" ht="20" customHeight="1">
      <c r="A1387" s="5">
        <f>IF(B1387="","",IFERROR(VLOOKUP(B1387, PLANTA_BASE!A:R, 2, FALSE), "NO ENCONTRADO EN PLANTA"))</f>
        <v/>
      </c>
      <c r="B1387" s="6" t="inlineStr"/>
      <c r="C1387" s="7">
        <f>IF(B1387="","",IFERROR(VLOOKUP(B1387, PLANTA_BASE!A:R, 3, FALSE), ""))</f>
        <v/>
      </c>
      <c r="D1387" s="5">
        <f>IF(B1387="","",IFERROR(VLOOKUP(B1387, PLANTA_BASE!A:R, 5, FALSE), "NO ENCONTRADO EN PLANTA"))</f>
        <v/>
      </c>
      <c r="E1387" s="5">
        <f>IF(B1387="","",IFERROR(VLOOKUP(B1387, PLANTA_BASE!A:R, 6, FALSE), "NO ENCONTRADO EN PLANTA"))</f>
        <v/>
      </c>
      <c r="F1387" s="7">
        <f>IF(B1387="","",IFERROR(VLOOKUP(B1387, PLANTA_BASE!A:R, 8, FALSE), "DOCENTE / FACILITADOR"))</f>
        <v/>
      </c>
      <c r="G1387" s="7">
        <f>IF(B1387="","",IFERROR(VLOOKUP(B1387, PLANTA_BASE!A:R, 9, FALSE), "GENERAL"))</f>
        <v/>
      </c>
      <c r="H1387" s="5">
        <f>IF(B1387="","",IFERROR(VLOOKUP(B1387, PLANTA_BASE!A:R, 17, FALSE), "GENERAL"))</f>
        <v/>
      </c>
    </row>
    <row r="1388" ht="20" customHeight="1">
      <c r="A1388" s="2">
        <f>IF(B1388="","",IFERROR(VLOOKUP(B1388, PLANTA_BASE!A:R, 2, FALSE), "NO ENCONTRADO EN PLANTA"))</f>
        <v/>
      </c>
      <c r="B1388" s="3" t="inlineStr"/>
      <c r="C1388" s="4">
        <f>IF(B1388="","",IFERROR(VLOOKUP(B1388, PLANTA_BASE!A:R, 3, FALSE), ""))</f>
        <v/>
      </c>
      <c r="D1388" s="2">
        <f>IF(B1388="","",IFERROR(VLOOKUP(B1388, PLANTA_BASE!A:R, 5, FALSE), "NO ENCONTRADO EN PLANTA"))</f>
        <v/>
      </c>
      <c r="E1388" s="2">
        <f>IF(B1388="","",IFERROR(VLOOKUP(B1388, PLANTA_BASE!A:R, 6, FALSE), "NO ENCONTRADO EN PLANTA"))</f>
        <v/>
      </c>
      <c r="F1388" s="4">
        <f>IF(B1388="","",IFERROR(VLOOKUP(B1388, PLANTA_BASE!A:R, 8, FALSE), "DOCENTE / FACILITADOR"))</f>
        <v/>
      </c>
      <c r="G1388" s="4">
        <f>IF(B1388="","",IFERROR(VLOOKUP(B1388, PLANTA_BASE!A:R, 9, FALSE), "GENERAL"))</f>
        <v/>
      </c>
      <c r="H1388" s="2">
        <f>IF(B1388="","",IFERROR(VLOOKUP(B1388, PLANTA_BASE!A:R, 17, FALSE), "GENERAL"))</f>
        <v/>
      </c>
    </row>
    <row r="1389" ht="20" customHeight="1">
      <c r="A1389" s="5">
        <f>IF(B1389="","",IFERROR(VLOOKUP(B1389, PLANTA_BASE!A:R, 2, FALSE), "NO ENCONTRADO EN PLANTA"))</f>
        <v/>
      </c>
      <c r="B1389" s="6" t="inlineStr"/>
      <c r="C1389" s="7">
        <f>IF(B1389="","",IFERROR(VLOOKUP(B1389, PLANTA_BASE!A:R, 3, FALSE), ""))</f>
        <v/>
      </c>
      <c r="D1389" s="5">
        <f>IF(B1389="","",IFERROR(VLOOKUP(B1389, PLANTA_BASE!A:R, 5, FALSE), "NO ENCONTRADO EN PLANTA"))</f>
        <v/>
      </c>
      <c r="E1389" s="5">
        <f>IF(B1389="","",IFERROR(VLOOKUP(B1389, PLANTA_BASE!A:R, 6, FALSE), "NO ENCONTRADO EN PLANTA"))</f>
        <v/>
      </c>
      <c r="F1389" s="7">
        <f>IF(B1389="","",IFERROR(VLOOKUP(B1389, PLANTA_BASE!A:R, 8, FALSE), "DOCENTE / FACILITADOR"))</f>
        <v/>
      </c>
      <c r="G1389" s="7">
        <f>IF(B1389="","",IFERROR(VLOOKUP(B1389, PLANTA_BASE!A:R, 9, FALSE), "GENERAL"))</f>
        <v/>
      </c>
      <c r="H1389" s="5">
        <f>IF(B1389="","",IFERROR(VLOOKUP(B1389, PLANTA_BASE!A:R, 17, FALSE), "GENERAL"))</f>
        <v/>
      </c>
    </row>
    <row r="1390" ht="20" customHeight="1">
      <c r="A1390" s="2">
        <f>IF(B1390="","",IFERROR(VLOOKUP(B1390, PLANTA_BASE!A:R, 2, FALSE), "NO ENCONTRADO EN PLANTA"))</f>
        <v/>
      </c>
      <c r="B1390" s="3" t="inlineStr"/>
      <c r="C1390" s="4">
        <f>IF(B1390="","",IFERROR(VLOOKUP(B1390, PLANTA_BASE!A:R, 3, FALSE), ""))</f>
        <v/>
      </c>
      <c r="D1390" s="2">
        <f>IF(B1390="","",IFERROR(VLOOKUP(B1390, PLANTA_BASE!A:R, 5, FALSE), "NO ENCONTRADO EN PLANTA"))</f>
        <v/>
      </c>
      <c r="E1390" s="2">
        <f>IF(B1390="","",IFERROR(VLOOKUP(B1390, PLANTA_BASE!A:R, 6, FALSE), "NO ENCONTRADO EN PLANTA"))</f>
        <v/>
      </c>
      <c r="F1390" s="4">
        <f>IF(B1390="","",IFERROR(VLOOKUP(B1390, PLANTA_BASE!A:R, 8, FALSE), "DOCENTE / FACILITADOR"))</f>
        <v/>
      </c>
      <c r="G1390" s="4">
        <f>IF(B1390="","",IFERROR(VLOOKUP(B1390, PLANTA_BASE!A:R, 9, FALSE), "GENERAL"))</f>
        <v/>
      </c>
      <c r="H1390" s="2">
        <f>IF(B1390="","",IFERROR(VLOOKUP(B1390, PLANTA_BASE!A:R, 17, FALSE), "GENERAL"))</f>
        <v/>
      </c>
    </row>
    <row r="1391" ht="20" customHeight="1">
      <c r="A1391" s="5">
        <f>IF(B1391="","",IFERROR(VLOOKUP(B1391, PLANTA_BASE!A:R, 2, FALSE), "NO ENCONTRADO EN PLANTA"))</f>
        <v/>
      </c>
      <c r="B1391" s="6" t="inlineStr"/>
      <c r="C1391" s="7">
        <f>IF(B1391="","",IFERROR(VLOOKUP(B1391, PLANTA_BASE!A:R, 3, FALSE), ""))</f>
        <v/>
      </c>
      <c r="D1391" s="5">
        <f>IF(B1391="","",IFERROR(VLOOKUP(B1391, PLANTA_BASE!A:R, 5, FALSE), "NO ENCONTRADO EN PLANTA"))</f>
        <v/>
      </c>
      <c r="E1391" s="5">
        <f>IF(B1391="","",IFERROR(VLOOKUP(B1391, PLANTA_BASE!A:R, 6, FALSE), "NO ENCONTRADO EN PLANTA"))</f>
        <v/>
      </c>
      <c r="F1391" s="7">
        <f>IF(B1391="","",IFERROR(VLOOKUP(B1391, PLANTA_BASE!A:R, 8, FALSE), "DOCENTE / FACILITADOR"))</f>
        <v/>
      </c>
      <c r="G1391" s="7">
        <f>IF(B1391="","",IFERROR(VLOOKUP(B1391, PLANTA_BASE!A:R, 9, FALSE), "GENERAL"))</f>
        <v/>
      </c>
      <c r="H1391" s="5">
        <f>IF(B1391="","",IFERROR(VLOOKUP(B1391, PLANTA_BASE!A:R, 17, FALSE), "GENERAL"))</f>
        <v/>
      </c>
    </row>
    <row r="1392" ht="20" customHeight="1">
      <c r="A1392" s="2">
        <f>IF(B1392="","",IFERROR(VLOOKUP(B1392, PLANTA_BASE!A:R, 2, FALSE), "NO ENCONTRADO EN PLANTA"))</f>
        <v/>
      </c>
      <c r="B1392" s="3" t="inlineStr"/>
      <c r="C1392" s="4">
        <f>IF(B1392="","",IFERROR(VLOOKUP(B1392, PLANTA_BASE!A:R, 3, FALSE), ""))</f>
        <v/>
      </c>
      <c r="D1392" s="2">
        <f>IF(B1392="","",IFERROR(VLOOKUP(B1392, PLANTA_BASE!A:R, 5, FALSE), "NO ENCONTRADO EN PLANTA"))</f>
        <v/>
      </c>
      <c r="E1392" s="2">
        <f>IF(B1392="","",IFERROR(VLOOKUP(B1392, PLANTA_BASE!A:R, 6, FALSE), "NO ENCONTRADO EN PLANTA"))</f>
        <v/>
      </c>
      <c r="F1392" s="4">
        <f>IF(B1392="","",IFERROR(VLOOKUP(B1392, PLANTA_BASE!A:R, 8, FALSE), "DOCENTE / FACILITADOR"))</f>
        <v/>
      </c>
      <c r="G1392" s="4">
        <f>IF(B1392="","",IFERROR(VLOOKUP(B1392, PLANTA_BASE!A:R, 9, FALSE), "GENERAL"))</f>
        <v/>
      </c>
      <c r="H1392" s="2">
        <f>IF(B1392="","",IFERROR(VLOOKUP(B1392, PLANTA_BASE!A:R, 17, FALSE), "GENERAL"))</f>
        <v/>
      </c>
    </row>
    <row r="1393" ht="20" customHeight="1">
      <c r="A1393" s="5">
        <f>IF(B1393="","",IFERROR(VLOOKUP(B1393, PLANTA_BASE!A:R, 2, FALSE), "NO ENCONTRADO EN PLANTA"))</f>
        <v/>
      </c>
      <c r="B1393" s="6" t="inlineStr"/>
      <c r="C1393" s="7">
        <f>IF(B1393="","",IFERROR(VLOOKUP(B1393, PLANTA_BASE!A:R, 3, FALSE), ""))</f>
        <v/>
      </c>
      <c r="D1393" s="5">
        <f>IF(B1393="","",IFERROR(VLOOKUP(B1393, PLANTA_BASE!A:R, 5, FALSE), "NO ENCONTRADO EN PLANTA"))</f>
        <v/>
      </c>
      <c r="E1393" s="5">
        <f>IF(B1393="","",IFERROR(VLOOKUP(B1393, PLANTA_BASE!A:R, 6, FALSE), "NO ENCONTRADO EN PLANTA"))</f>
        <v/>
      </c>
      <c r="F1393" s="7">
        <f>IF(B1393="","",IFERROR(VLOOKUP(B1393, PLANTA_BASE!A:R, 8, FALSE), "DOCENTE / FACILITADOR"))</f>
        <v/>
      </c>
      <c r="G1393" s="7">
        <f>IF(B1393="","",IFERROR(VLOOKUP(B1393, PLANTA_BASE!A:R, 9, FALSE), "GENERAL"))</f>
        <v/>
      </c>
      <c r="H1393" s="5">
        <f>IF(B1393="","",IFERROR(VLOOKUP(B1393, PLANTA_BASE!A:R, 17, FALSE), "GENERAL"))</f>
        <v/>
      </c>
    </row>
    <row r="1394" ht="20" customHeight="1">
      <c r="A1394" s="2">
        <f>IF(B1394="","",IFERROR(VLOOKUP(B1394, PLANTA_BASE!A:R, 2, FALSE), "NO ENCONTRADO EN PLANTA"))</f>
        <v/>
      </c>
      <c r="B1394" s="3" t="inlineStr"/>
      <c r="C1394" s="4">
        <f>IF(B1394="","",IFERROR(VLOOKUP(B1394, PLANTA_BASE!A:R, 3, FALSE), ""))</f>
        <v/>
      </c>
      <c r="D1394" s="2">
        <f>IF(B1394="","",IFERROR(VLOOKUP(B1394, PLANTA_BASE!A:R, 5, FALSE), "NO ENCONTRADO EN PLANTA"))</f>
        <v/>
      </c>
      <c r="E1394" s="2">
        <f>IF(B1394="","",IFERROR(VLOOKUP(B1394, PLANTA_BASE!A:R, 6, FALSE), "NO ENCONTRADO EN PLANTA"))</f>
        <v/>
      </c>
      <c r="F1394" s="4">
        <f>IF(B1394="","",IFERROR(VLOOKUP(B1394, PLANTA_BASE!A:R, 8, FALSE), "DOCENTE / FACILITADOR"))</f>
        <v/>
      </c>
      <c r="G1394" s="4">
        <f>IF(B1394="","",IFERROR(VLOOKUP(B1394, PLANTA_BASE!A:R, 9, FALSE), "GENERAL"))</f>
        <v/>
      </c>
      <c r="H1394" s="2">
        <f>IF(B1394="","",IFERROR(VLOOKUP(B1394, PLANTA_BASE!A:R, 17, FALSE), "GENERAL"))</f>
        <v/>
      </c>
    </row>
    <row r="1395" ht="20" customHeight="1">
      <c r="A1395" s="5">
        <f>IF(B1395="","",IFERROR(VLOOKUP(B1395, PLANTA_BASE!A:R, 2, FALSE), "NO ENCONTRADO EN PLANTA"))</f>
        <v/>
      </c>
      <c r="B1395" s="6" t="inlineStr"/>
      <c r="C1395" s="7">
        <f>IF(B1395="","",IFERROR(VLOOKUP(B1395, PLANTA_BASE!A:R, 3, FALSE), ""))</f>
        <v/>
      </c>
      <c r="D1395" s="5">
        <f>IF(B1395="","",IFERROR(VLOOKUP(B1395, PLANTA_BASE!A:R, 5, FALSE), "NO ENCONTRADO EN PLANTA"))</f>
        <v/>
      </c>
      <c r="E1395" s="5">
        <f>IF(B1395="","",IFERROR(VLOOKUP(B1395, PLANTA_BASE!A:R, 6, FALSE), "NO ENCONTRADO EN PLANTA"))</f>
        <v/>
      </c>
      <c r="F1395" s="7">
        <f>IF(B1395="","",IFERROR(VLOOKUP(B1395, PLANTA_BASE!A:R, 8, FALSE), "DOCENTE / FACILITADOR"))</f>
        <v/>
      </c>
      <c r="G1395" s="7">
        <f>IF(B1395="","",IFERROR(VLOOKUP(B1395, PLANTA_BASE!A:R, 9, FALSE), "GENERAL"))</f>
        <v/>
      </c>
      <c r="H1395" s="5">
        <f>IF(B1395="","",IFERROR(VLOOKUP(B1395, PLANTA_BASE!A:R, 17, FALSE), "GENERAL"))</f>
        <v/>
      </c>
    </row>
    <row r="1396" ht="20" customHeight="1">
      <c r="A1396" s="2">
        <f>IF(B1396="","",IFERROR(VLOOKUP(B1396, PLANTA_BASE!A:R, 2, FALSE), "NO ENCONTRADO EN PLANTA"))</f>
        <v/>
      </c>
      <c r="B1396" s="3" t="inlineStr"/>
      <c r="C1396" s="4">
        <f>IF(B1396="","",IFERROR(VLOOKUP(B1396, PLANTA_BASE!A:R, 3, FALSE), ""))</f>
        <v/>
      </c>
      <c r="D1396" s="2">
        <f>IF(B1396="","",IFERROR(VLOOKUP(B1396, PLANTA_BASE!A:R, 5, FALSE), "NO ENCONTRADO EN PLANTA"))</f>
        <v/>
      </c>
      <c r="E1396" s="2">
        <f>IF(B1396="","",IFERROR(VLOOKUP(B1396, PLANTA_BASE!A:R, 6, FALSE), "NO ENCONTRADO EN PLANTA"))</f>
        <v/>
      </c>
      <c r="F1396" s="4">
        <f>IF(B1396="","",IFERROR(VLOOKUP(B1396, PLANTA_BASE!A:R, 8, FALSE), "DOCENTE / FACILITADOR"))</f>
        <v/>
      </c>
      <c r="G1396" s="4">
        <f>IF(B1396="","",IFERROR(VLOOKUP(B1396, PLANTA_BASE!A:R, 9, FALSE), "GENERAL"))</f>
        <v/>
      </c>
      <c r="H1396" s="2">
        <f>IF(B1396="","",IFERROR(VLOOKUP(B1396, PLANTA_BASE!A:R, 17, FALSE), "GENERAL"))</f>
        <v/>
      </c>
    </row>
    <row r="1397" ht="20" customHeight="1">
      <c r="A1397" s="5">
        <f>IF(B1397="","",IFERROR(VLOOKUP(B1397, PLANTA_BASE!A:R, 2, FALSE), "NO ENCONTRADO EN PLANTA"))</f>
        <v/>
      </c>
      <c r="B1397" s="6" t="inlineStr"/>
      <c r="C1397" s="7">
        <f>IF(B1397="","",IFERROR(VLOOKUP(B1397, PLANTA_BASE!A:R, 3, FALSE), ""))</f>
        <v/>
      </c>
      <c r="D1397" s="5">
        <f>IF(B1397="","",IFERROR(VLOOKUP(B1397, PLANTA_BASE!A:R, 5, FALSE), "NO ENCONTRADO EN PLANTA"))</f>
        <v/>
      </c>
      <c r="E1397" s="5">
        <f>IF(B1397="","",IFERROR(VLOOKUP(B1397, PLANTA_BASE!A:R, 6, FALSE), "NO ENCONTRADO EN PLANTA"))</f>
        <v/>
      </c>
      <c r="F1397" s="7">
        <f>IF(B1397="","",IFERROR(VLOOKUP(B1397, PLANTA_BASE!A:R, 8, FALSE), "DOCENTE / FACILITADOR"))</f>
        <v/>
      </c>
      <c r="G1397" s="7">
        <f>IF(B1397="","",IFERROR(VLOOKUP(B1397, PLANTA_BASE!A:R, 9, FALSE), "GENERAL"))</f>
        <v/>
      </c>
      <c r="H1397" s="5">
        <f>IF(B1397="","",IFERROR(VLOOKUP(B1397, PLANTA_BASE!A:R, 17, FALSE), "GENERAL"))</f>
        <v/>
      </c>
    </row>
    <row r="1398" ht="20" customHeight="1">
      <c r="A1398" s="2">
        <f>IF(B1398="","",IFERROR(VLOOKUP(B1398, PLANTA_BASE!A:R, 2, FALSE), "NO ENCONTRADO EN PLANTA"))</f>
        <v/>
      </c>
      <c r="B1398" s="3" t="inlineStr"/>
      <c r="C1398" s="4">
        <f>IF(B1398="","",IFERROR(VLOOKUP(B1398, PLANTA_BASE!A:R, 3, FALSE), ""))</f>
        <v/>
      </c>
      <c r="D1398" s="2">
        <f>IF(B1398="","",IFERROR(VLOOKUP(B1398, PLANTA_BASE!A:R, 5, FALSE), "NO ENCONTRADO EN PLANTA"))</f>
        <v/>
      </c>
      <c r="E1398" s="2">
        <f>IF(B1398="","",IFERROR(VLOOKUP(B1398, PLANTA_BASE!A:R, 6, FALSE), "NO ENCONTRADO EN PLANTA"))</f>
        <v/>
      </c>
      <c r="F1398" s="4">
        <f>IF(B1398="","",IFERROR(VLOOKUP(B1398, PLANTA_BASE!A:R, 8, FALSE), "DOCENTE / FACILITADOR"))</f>
        <v/>
      </c>
      <c r="G1398" s="4">
        <f>IF(B1398="","",IFERROR(VLOOKUP(B1398, PLANTA_BASE!A:R, 9, FALSE), "GENERAL"))</f>
        <v/>
      </c>
      <c r="H1398" s="2">
        <f>IF(B1398="","",IFERROR(VLOOKUP(B1398, PLANTA_BASE!A:R, 17, FALSE), "GENERAL"))</f>
        <v/>
      </c>
    </row>
    <row r="1399" ht="20" customHeight="1">
      <c r="A1399" s="5">
        <f>IF(B1399="","",IFERROR(VLOOKUP(B1399, PLANTA_BASE!A:R, 2, FALSE), "NO ENCONTRADO EN PLANTA"))</f>
        <v/>
      </c>
      <c r="B1399" s="6" t="inlineStr"/>
      <c r="C1399" s="7">
        <f>IF(B1399="","",IFERROR(VLOOKUP(B1399, PLANTA_BASE!A:R, 3, FALSE), ""))</f>
        <v/>
      </c>
      <c r="D1399" s="5">
        <f>IF(B1399="","",IFERROR(VLOOKUP(B1399, PLANTA_BASE!A:R, 5, FALSE), "NO ENCONTRADO EN PLANTA"))</f>
        <v/>
      </c>
      <c r="E1399" s="5">
        <f>IF(B1399="","",IFERROR(VLOOKUP(B1399, PLANTA_BASE!A:R, 6, FALSE), "NO ENCONTRADO EN PLANTA"))</f>
        <v/>
      </c>
      <c r="F1399" s="7">
        <f>IF(B1399="","",IFERROR(VLOOKUP(B1399, PLANTA_BASE!A:R, 8, FALSE), "DOCENTE / FACILITADOR"))</f>
        <v/>
      </c>
      <c r="G1399" s="7">
        <f>IF(B1399="","",IFERROR(VLOOKUP(B1399, PLANTA_BASE!A:R, 9, FALSE), "GENERAL"))</f>
        <v/>
      </c>
      <c r="H1399" s="5">
        <f>IF(B1399="","",IFERROR(VLOOKUP(B1399, PLANTA_BASE!A:R, 17, FALSE), "GENERAL"))</f>
        <v/>
      </c>
    </row>
    <row r="1400" ht="20" customHeight="1">
      <c r="A1400" s="2">
        <f>IF(B1400="","",IFERROR(VLOOKUP(B1400, PLANTA_BASE!A:R, 2, FALSE), "NO ENCONTRADO EN PLANTA"))</f>
        <v/>
      </c>
      <c r="B1400" s="3" t="inlineStr"/>
      <c r="C1400" s="4">
        <f>IF(B1400="","",IFERROR(VLOOKUP(B1400, PLANTA_BASE!A:R, 3, FALSE), ""))</f>
        <v/>
      </c>
      <c r="D1400" s="2">
        <f>IF(B1400="","",IFERROR(VLOOKUP(B1400, PLANTA_BASE!A:R, 5, FALSE), "NO ENCONTRADO EN PLANTA"))</f>
        <v/>
      </c>
      <c r="E1400" s="2">
        <f>IF(B1400="","",IFERROR(VLOOKUP(B1400, PLANTA_BASE!A:R, 6, FALSE), "NO ENCONTRADO EN PLANTA"))</f>
        <v/>
      </c>
      <c r="F1400" s="4">
        <f>IF(B1400="","",IFERROR(VLOOKUP(B1400, PLANTA_BASE!A:R, 8, FALSE), "DOCENTE / FACILITADOR"))</f>
        <v/>
      </c>
      <c r="G1400" s="4">
        <f>IF(B1400="","",IFERROR(VLOOKUP(B1400, PLANTA_BASE!A:R, 9, FALSE), "GENERAL"))</f>
        <v/>
      </c>
      <c r="H1400" s="2">
        <f>IF(B1400="","",IFERROR(VLOOKUP(B1400, PLANTA_BASE!A:R, 17, FALSE), "GENERAL"))</f>
        <v/>
      </c>
    </row>
    <row r="1401" ht="20" customHeight="1">
      <c r="A1401" s="5">
        <f>IF(B1401="","",IFERROR(VLOOKUP(B1401, PLANTA_BASE!A:R, 2, FALSE), "NO ENCONTRADO EN PLANTA"))</f>
        <v/>
      </c>
      <c r="B1401" s="6" t="inlineStr"/>
      <c r="C1401" s="7">
        <f>IF(B1401="","",IFERROR(VLOOKUP(B1401, PLANTA_BASE!A:R, 3, FALSE), ""))</f>
        <v/>
      </c>
      <c r="D1401" s="5">
        <f>IF(B1401="","",IFERROR(VLOOKUP(B1401, PLANTA_BASE!A:R, 5, FALSE), "NO ENCONTRADO EN PLANTA"))</f>
        <v/>
      </c>
      <c r="E1401" s="5">
        <f>IF(B1401="","",IFERROR(VLOOKUP(B1401, PLANTA_BASE!A:R, 6, FALSE), "NO ENCONTRADO EN PLANTA"))</f>
        <v/>
      </c>
      <c r="F1401" s="7">
        <f>IF(B1401="","",IFERROR(VLOOKUP(B1401, PLANTA_BASE!A:R, 8, FALSE), "DOCENTE / FACILITADOR"))</f>
        <v/>
      </c>
      <c r="G1401" s="7">
        <f>IF(B1401="","",IFERROR(VLOOKUP(B1401, PLANTA_BASE!A:R, 9, FALSE), "GENERAL"))</f>
        <v/>
      </c>
      <c r="H1401" s="5">
        <f>IF(B1401="","",IFERROR(VLOOKUP(B1401, PLANTA_BASE!A:R, 17, FALSE), "GENERAL"))</f>
        <v/>
      </c>
    </row>
    <row r="1402" ht="20" customHeight="1">
      <c r="A1402" s="2">
        <f>IF(B1402="","",IFERROR(VLOOKUP(B1402, PLANTA_BASE!A:R, 2, FALSE), "NO ENCONTRADO EN PLANTA"))</f>
        <v/>
      </c>
      <c r="B1402" s="3" t="inlineStr"/>
      <c r="C1402" s="4">
        <f>IF(B1402="","",IFERROR(VLOOKUP(B1402, PLANTA_BASE!A:R, 3, FALSE), ""))</f>
        <v/>
      </c>
      <c r="D1402" s="2">
        <f>IF(B1402="","",IFERROR(VLOOKUP(B1402, PLANTA_BASE!A:R, 5, FALSE), "NO ENCONTRADO EN PLANTA"))</f>
        <v/>
      </c>
      <c r="E1402" s="2">
        <f>IF(B1402="","",IFERROR(VLOOKUP(B1402, PLANTA_BASE!A:R, 6, FALSE), "NO ENCONTRADO EN PLANTA"))</f>
        <v/>
      </c>
      <c r="F1402" s="4">
        <f>IF(B1402="","",IFERROR(VLOOKUP(B1402, PLANTA_BASE!A:R, 8, FALSE), "DOCENTE / FACILITADOR"))</f>
        <v/>
      </c>
      <c r="G1402" s="4">
        <f>IF(B1402="","",IFERROR(VLOOKUP(B1402, PLANTA_BASE!A:R, 9, FALSE), "GENERAL"))</f>
        <v/>
      </c>
      <c r="H1402" s="2">
        <f>IF(B1402="","",IFERROR(VLOOKUP(B1402, PLANTA_BASE!A:R, 17, FALSE), "GENERAL"))</f>
        <v/>
      </c>
    </row>
    <row r="1403" ht="20" customHeight="1">
      <c r="A1403" s="5">
        <f>IF(B1403="","",IFERROR(VLOOKUP(B1403, PLANTA_BASE!A:R, 2, FALSE), "NO ENCONTRADO EN PLANTA"))</f>
        <v/>
      </c>
      <c r="B1403" s="6" t="inlineStr"/>
      <c r="C1403" s="7">
        <f>IF(B1403="","",IFERROR(VLOOKUP(B1403, PLANTA_BASE!A:R, 3, FALSE), ""))</f>
        <v/>
      </c>
      <c r="D1403" s="5">
        <f>IF(B1403="","",IFERROR(VLOOKUP(B1403, PLANTA_BASE!A:R, 5, FALSE), "NO ENCONTRADO EN PLANTA"))</f>
        <v/>
      </c>
      <c r="E1403" s="5">
        <f>IF(B1403="","",IFERROR(VLOOKUP(B1403, PLANTA_BASE!A:R, 6, FALSE), "NO ENCONTRADO EN PLANTA"))</f>
        <v/>
      </c>
      <c r="F1403" s="7">
        <f>IF(B1403="","",IFERROR(VLOOKUP(B1403, PLANTA_BASE!A:R, 8, FALSE), "DOCENTE / FACILITADOR"))</f>
        <v/>
      </c>
      <c r="G1403" s="7">
        <f>IF(B1403="","",IFERROR(VLOOKUP(B1403, PLANTA_BASE!A:R, 9, FALSE), "GENERAL"))</f>
        <v/>
      </c>
      <c r="H1403" s="5">
        <f>IF(B1403="","",IFERROR(VLOOKUP(B1403, PLANTA_BASE!A:R, 17, FALSE), "GENERAL"))</f>
        <v/>
      </c>
    </row>
    <row r="1404" ht="20" customHeight="1">
      <c r="A1404" s="2">
        <f>IF(B1404="","",IFERROR(VLOOKUP(B1404, PLANTA_BASE!A:R, 2, FALSE), "NO ENCONTRADO EN PLANTA"))</f>
        <v/>
      </c>
      <c r="B1404" s="3" t="inlineStr"/>
      <c r="C1404" s="4">
        <f>IF(B1404="","",IFERROR(VLOOKUP(B1404, PLANTA_BASE!A:R, 3, FALSE), ""))</f>
        <v/>
      </c>
      <c r="D1404" s="2">
        <f>IF(B1404="","",IFERROR(VLOOKUP(B1404, PLANTA_BASE!A:R, 5, FALSE), "NO ENCONTRADO EN PLANTA"))</f>
        <v/>
      </c>
      <c r="E1404" s="2">
        <f>IF(B1404="","",IFERROR(VLOOKUP(B1404, PLANTA_BASE!A:R, 6, FALSE), "NO ENCONTRADO EN PLANTA"))</f>
        <v/>
      </c>
      <c r="F1404" s="4">
        <f>IF(B1404="","",IFERROR(VLOOKUP(B1404, PLANTA_BASE!A:R, 8, FALSE), "DOCENTE / FACILITADOR"))</f>
        <v/>
      </c>
      <c r="G1404" s="4">
        <f>IF(B1404="","",IFERROR(VLOOKUP(B1404, PLANTA_BASE!A:R, 9, FALSE), "GENERAL"))</f>
        <v/>
      </c>
      <c r="H1404" s="2">
        <f>IF(B1404="","",IFERROR(VLOOKUP(B1404, PLANTA_BASE!A:R, 17, FALSE), "GENERAL"))</f>
        <v/>
      </c>
    </row>
    <row r="1405" ht="20" customHeight="1">
      <c r="A1405" s="5">
        <f>IF(B1405="","",IFERROR(VLOOKUP(B1405, PLANTA_BASE!A:R, 2, FALSE), "NO ENCONTRADO EN PLANTA"))</f>
        <v/>
      </c>
      <c r="B1405" s="6" t="inlineStr"/>
      <c r="C1405" s="7">
        <f>IF(B1405="","",IFERROR(VLOOKUP(B1405, PLANTA_BASE!A:R, 3, FALSE), ""))</f>
        <v/>
      </c>
      <c r="D1405" s="5">
        <f>IF(B1405="","",IFERROR(VLOOKUP(B1405, PLANTA_BASE!A:R, 5, FALSE), "NO ENCONTRADO EN PLANTA"))</f>
        <v/>
      </c>
      <c r="E1405" s="5">
        <f>IF(B1405="","",IFERROR(VLOOKUP(B1405, PLANTA_BASE!A:R, 6, FALSE), "NO ENCONTRADO EN PLANTA"))</f>
        <v/>
      </c>
      <c r="F1405" s="7">
        <f>IF(B1405="","",IFERROR(VLOOKUP(B1405, PLANTA_BASE!A:R, 8, FALSE), "DOCENTE / FACILITADOR"))</f>
        <v/>
      </c>
      <c r="G1405" s="7">
        <f>IF(B1405="","",IFERROR(VLOOKUP(B1405, PLANTA_BASE!A:R, 9, FALSE), "GENERAL"))</f>
        <v/>
      </c>
      <c r="H1405" s="5">
        <f>IF(B1405="","",IFERROR(VLOOKUP(B1405, PLANTA_BASE!A:R, 17, FALSE), "GENERAL"))</f>
        <v/>
      </c>
    </row>
    <row r="1406" ht="20" customHeight="1">
      <c r="A1406" s="2">
        <f>IF(B1406="","",IFERROR(VLOOKUP(B1406, PLANTA_BASE!A:R, 2, FALSE), "NO ENCONTRADO EN PLANTA"))</f>
        <v/>
      </c>
      <c r="B1406" s="3" t="inlineStr"/>
      <c r="C1406" s="4">
        <f>IF(B1406="","",IFERROR(VLOOKUP(B1406, PLANTA_BASE!A:R, 3, FALSE), ""))</f>
        <v/>
      </c>
      <c r="D1406" s="2">
        <f>IF(B1406="","",IFERROR(VLOOKUP(B1406, PLANTA_BASE!A:R, 5, FALSE), "NO ENCONTRADO EN PLANTA"))</f>
        <v/>
      </c>
      <c r="E1406" s="2">
        <f>IF(B1406="","",IFERROR(VLOOKUP(B1406, PLANTA_BASE!A:R, 6, FALSE), "NO ENCONTRADO EN PLANTA"))</f>
        <v/>
      </c>
      <c r="F1406" s="4">
        <f>IF(B1406="","",IFERROR(VLOOKUP(B1406, PLANTA_BASE!A:R, 8, FALSE), "DOCENTE / FACILITADOR"))</f>
        <v/>
      </c>
      <c r="G1406" s="4">
        <f>IF(B1406="","",IFERROR(VLOOKUP(B1406, PLANTA_BASE!A:R, 9, FALSE), "GENERAL"))</f>
        <v/>
      </c>
      <c r="H1406" s="2">
        <f>IF(B1406="","",IFERROR(VLOOKUP(B1406, PLANTA_BASE!A:R, 17, FALSE), "GENERAL"))</f>
        <v/>
      </c>
    </row>
    <row r="1407" ht="20" customHeight="1">
      <c r="A1407" s="5">
        <f>IF(B1407="","",IFERROR(VLOOKUP(B1407, PLANTA_BASE!A:R, 2, FALSE), "NO ENCONTRADO EN PLANTA"))</f>
        <v/>
      </c>
      <c r="B1407" s="6" t="inlineStr"/>
      <c r="C1407" s="7">
        <f>IF(B1407="","",IFERROR(VLOOKUP(B1407, PLANTA_BASE!A:R, 3, FALSE), ""))</f>
        <v/>
      </c>
      <c r="D1407" s="5">
        <f>IF(B1407="","",IFERROR(VLOOKUP(B1407, PLANTA_BASE!A:R, 5, FALSE), "NO ENCONTRADO EN PLANTA"))</f>
        <v/>
      </c>
      <c r="E1407" s="5">
        <f>IF(B1407="","",IFERROR(VLOOKUP(B1407, PLANTA_BASE!A:R, 6, FALSE), "NO ENCONTRADO EN PLANTA"))</f>
        <v/>
      </c>
      <c r="F1407" s="7">
        <f>IF(B1407="","",IFERROR(VLOOKUP(B1407, PLANTA_BASE!A:R, 8, FALSE), "DOCENTE / FACILITADOR"))</f>
        <v/>
      </c>
      <c r="G1407" s="7">
        <f>IF(B1407="","",IFERROR(VLOOKUP(B1407, PLANTA_BASE!A:R, 9, FALSE), "GENERAL"))</f>
        <v/>
      </c>
      <c r="H1407" s="5">
        <f>IF(B1407="","",IFERROR(VLOOKUP(B1407, PLANTA_BASE!A:R, 17, FALSE), "GENERAL"))</f>
        <v/>
      </c>
    </row>
    <row r="1408" ht="20" customHeight="1">
      <c r="A1408" s="2">
        <f>IF(B1408="","",IFERROR(VLOOKUP(B1408, PLANTA_BASE!A:R, 2, FALSE), "NO ENCONTRADO EN PLANTA"))</f>
        <v/>
      </c>
      <c r="B1408" s="3" t="inlineStr"/>
      <c r="C1408" s="4">
        <f>IF(B1408="","",IFERROR(VLOOKUP(B1408, PLANTA_BASE!A:R, 3, FALSE), ""))</f>
        <v/>
      </c>
      <c r="D1408" s="2">
        <f>IF(B1408="","",IFERROR(VLOOKUP(B1408, PLANTA_BASE!A:R, 5, FALSE), "NO ENCONTRADO EN PLANTA"))</f>
        <v/>
      </c>
      <c r="E1408" s="2">
        <f>IF(B1408="","",IFERROR(VLOOKUP(B1408, PLANTA_BASE!A:R, 6, FALSE), "NO ENCONTRADO EN PLANTA"))</f>
        <v/>
      </c>
      <c r="F1408" s="4">
        <f>IF(B1408="","",IFERROR(VLOOKUP(B1408, PLANTA_BASE!A:R, 8, FALSE), "DOCENTE / FACILITADOR"))</f>
        <v/>
      </c>
      <c r="G1408" s="4">
        <f>IF(B1408="","",IFERROR(VLOOKUP(B1408, PLANTA_BASE!A:R, 9, FALSE), "GENERAL"))</f>
        <v/>
      </c>
      <c r="H1408" s="2">
        <f>IF(B1408="","",IFERROR(VLOOKUP(B1408, PLANTA_BASE!A:R, 17, FALSE), "GENERAL"))</f>
        <v/>
      </c>
    </row>
    <row r="1409" ht="20" customHeight="1">
      <c r="A1409" s="5">
        <f>IF(B1409="","",IFERROR(VLOOKUP(B1409, PLANTA_BASE!A:R, 2, FALSE), "NO ENCONTRADO EN PLANTA"))</f>
        <v/>
      </c>
      <c r="B1409" s="6" t="inlineStr"/>
      <c r="C1409" s="7">
        <f>IF(B1409="","",IFERROR(VLOOKUP(B1409, PLANTA_BASE!A:R, 3, FALSE), ""))</f>
        <v/>
      </c>
      <c r="D1409" s="5">
        <f>IF(B1409="","",IFERROR(VLOOKUP(B1409, PLANTA_BASE!A:R, 5, FALSE), "NO ENCONTRADO EN PLANTA"))</f>
        <v/>
      </c>
      <c r="E1409" s="5">
        <f>IF(B1409="","",IFERROR(VLOOKUP(B1409, PLANTA_BASE!A:R, 6, FALSE), "NO ENCONTRADO EN PLANTA"))</f>
        <v/>
      </c>
      <c r="F1409" s="7">
        <f>IF(B1409="","",IFERROR(VLOOKUP(B1409, PLANTA_BASE!A:R, 8, FALSE), "DOCENTE / FACILITADOR"))</f>
        <v/>
      </c>
      <c r="G1409" s="7">
        <f>IF(B1409="","",IFERROR(VLOOKUP(B1409, PLANTA_BASE!A:R, 9, FALSE), "GENERAL"))</f>
        <v/>
      </c>
      <c r="H1409" s="5">
        <f>IF(B1409="","",IFERROR(VLOOKUP(B1409, PLANTA_BASE!A:R, 17, FALSE), "GENERAL"))</f>
        <v/>
      </c>
    </row>
    <row r="1410" ht="20" customHeight="1">
      <c r="A1410" s="2">
        <f>IF(B1410="","",IFERROR(VLOOKUP(B1410, PLANTA_BASE!A:R, 2, FALSE), "NO ENCONTRADO EN PLANTA"))</f>
        <v/>
      </c>
      <c r="B1410" s="3" t="inlineStr"/>
      <c r="C1410" s="4">
        <f>IF(B1410="","",IFERROR(VLOOKUP(B1410, PLANTA_BASE!A:R, 3, FALSE), ""))</f>
        <v/>
      </c>
      <c r="D1410" s="2">
        <f>IF(B1410="","",IFERROR(VLOOKUP(B1410, PLANTA_BASE!A:R, 5, FALSE), "NO ENCONTRADO EN PLANTA"))</f>
        <v/>
      </c>
      <c r="E1410" s="2">
        <f>IF(B1410="","",IFERROR(VLOOKUP(B1410, PLANTA_BASE!A:R, 6, FALSE), "NO ENCONTRADO EN PLANTA"))</f>
        <v/>
      </c>
      <c r="F1410" s="4">
        <f>IF(B1410="","",IFERROR(VLOOKUP(B1410, PLANTA_BASE!A:R, 8, FALSE), "DOCENTE / FACILITADOR"))</f>
        <v/>
      </c>
      <c r="G1410" s="4">
        <f>IF(B1410="","",IFERROR(VLOOKUP(B1410, PLANTA_BASE!A:R, 9, FALSE), "GENERAL"))</f>
        <v/>
      </c>
      <c r="H1410" s="2">
        <f>IF(B1410="","",IFERROR(VLOOKUP(B1410, PLANTA_BASE!A:R, 17, FALSE), "GENERAL"))</f>
        <v/>
      </c>
    </row>
    <row r="1411" ht="20" customHeight="1">
      <c r="A1411" s="5">
        <f>IF(B1411="","",IFERROR(VLOOKUP(B1411, PLANTA_BASE!A:R, 2, FALSE), "NO ENCONTRADO EN PLANTA"))</f>
        <v/>
      </c>
      <c r="B1411" s="6" t="inlineStr"/>
      <c r="C1411" s="7">
        <f>IF(B1411="","",IFERROR(VLOOKUP(B1411, PLANTA_BASE!A:R, 3, FALSE), ""))</f>
        <v/>
      </c>
      <c r="D1411" s="5">
        <f>IF(B1411="","",IFERROR(VLOOKUP(B1411, PLANTA_BASE!A:R, 5, FALSE), "NO ENCONTRADO EN PLANTA"))</f>
        <v/>
      </c>
      <c r="E1411" s="5">
        <f>IF(B1411="","",IFERROR(VLOOKUP(B1411, PLANTA_BASE!A:R, 6, FALSE), "NO ENCONTRADO EN PLANTA"))</f>
        <v/>
      </c>
      <c r="F1411" s="7">
        <f>IF(B1411="","",IFERROR(VLOOKUP(B1411, PLANTA_BASE!A:R, 8, FALSE), "DOCENTE / FACILITADOR"))</f>
        <v/>
      </c>
      <c r="G1411" s="7">
        <f>IF(B1411="","",IFERROR(VLOOKUP(B1411, PLANTA_BASE!A:R, 9, FALSE), "GENERAL"))</f>
        <v/>
      </c>
      <c r="H1411" s="5">
        <f>IF(B1411="","",IFERROR(VLOOKUP(B1411, PLANTA_BASE!A:R, 17, FALSE), "GENERAL"))</f>
        <v/>
      </c>
    </row>
    <row r="1412" ht="20" customHeight="1">
      <c r="A1412" s="2">
        <f>IF(B1412="","",IFERROR(VLOOKUP(B1412, PLANTA_BASE!A:R, 2, FALSE), "NO ENCONTRADO EN PLANTA"))</f>
        <v/>
      </c>
      <c r="B1412" s="3" t="inlineStr"/>
      <c r="C1412" s="4">
        <f>IF(B1412="","",IFERROR(VLOOKUP(B1412, PLANTA_BASE!A:R, 3, FALSE), ""))</f>
        <v/>
      </c>
      <c r="D1412" s="2">
        <f>IF(B1412="","",IFERROR(VLOOKUP(B1412, PLANTA_BASE!A:R, 5, FALSE), "NO ENCONTRADO EN PLANTA"))</f>
        <v/>
      </c>
      <c r="E1412" s="2">
        <f>IF(B1412="","",IFERROR(VLOOKUP(B1412, PLANTA_BASE!A:R, 6, FALSE), "NO ENCONTRADO EN PLANTA"))</f>
        <v/>
      </c>
      <c r="F1412" s="4">
        <f>IF(B1412="","",IFERROR(VLOOKUP(B1412, PLANTA_BASE!A:R, 8, FALSE), "DOCENTE / FACILITADOR"))</f>
        <v/>
      </c>
      <c r="G1412" s="4">
        <f>IF(B1412="","",IFERROR(VLOOKUP(B1412, PLANTA_BASE!A:R, 9, FALSE), "GENERAL"))</f>
        <v/>
      </c>
      <c r="H1412" s="2">
        <f>IF(B1412="","",IFERROR(VLOOKUP(B1412, PLANTA_BASE!A:R, 17, FALSE), "GENERAL"))</f>
        <v/>
      </c>
    </row>
    <row r="1413" ht="20" customHeight="1">
      <c r="A1413" s="5">
        <f>IF(B1413="","",IFERROR(VLOOKUP(B1413, PLANTA_BASE!A:R, 2, FALSE), "NO ENCONTRADO EN PLANTA"))</f>
        <v/>
      </c>
      <c r="B1413" s="6" t="inlineStr"/>
      <c r="C1413" s="7">
        <f>IF(B1413="","",IFERROR(VLOOKUP(B1413, PLANTA_BASE!A:R, 3, FALSE), ""))</f>
        <v/>
      </c>
      <c r="D1413" s="5">
        <f>IF(B1413="","",IFERROR(VLOOKUP(B1413, PLANTA_BASE!A:R, 5, FALSE), "NO ENCONTRADO EN PLANTA"))</f>
        <v/>
      </c>
      <c r="E1413" s="5">
        <f>IF(B1413="","",IFERROR(VLOOKUP(B1413, PLANTA_BASE!A:R, 6, FALSE), "NO ENCONTRADO EN PLANTA"))</f>
        <v/>
      </c>
      <c r="F1413" s="7">
        <f>IF(B1413="","",IFERROR(VLOOKUP(B1413, PLANTA_BASE!A:R, 8, FALSE), "DOCENTE / FACILITADOR"))</f>
        <v/>
      </c>
      <c r="G1413" s="7">
        <f>IF(B1413="","",IFERROR(VLOOKUP(B1413, PLANTA_BASE!A:R, 9, FALSE), "GENERAL"))</f>
        <v/>
      </c>
      <c r="H1413" s="5">
        <f>IF(B1413="","",IFERROR(VLOOKUP(B1413, PLANTA_BASE!A:R, 17, FALSE), "GENERAL"))</f>
        <v/>
      </c>
    </row>
    <row r="1414" ht="20" customHeight="1">
      <c r="A1414" s="2">
        <f>IF(B1414="","",IFERROR(VLOOKUP(B1414, PLANTA_BASE!A:R, 2, FALSE), "NO ENCONTRADO EN PLANTA"))</f>
        <v/>
      </c>
      <c r="B1414" s="3" t="inlineStr"/>
      <c r="C1414" s="4">
        <f>IF(B1414="","",IFERROR(VLOOKUP(B1414, PLANTA_BASE!A:R, 3, FALSE), ""))</f>
        <v/>
      </c>
      <c r="D1414" s="2">
        <f>IF(B1414="","",IFERROR(VLOOKUP(B1414, PLANTA_BASE!A:R, 5, FALSE), "NO ENCONTRADO EN PLANTA"))</f>
        <v/>
      </c>
      <c r="E1414" s="2">
        <f>IF(B1414="","",IFERROR(VLOOKUP(B1414, PLANTA_BASE!A:R, 6, FALSE), "NO ENCONTRADO EN PLANTA"))</f>
        <v/>
      </c>
      <c r="F1414" s="4">
        <f>IF(B1414="","",IFERROR(VLOOKUP(B1414, PLANTA_BASE!A:R, 8, FALSE), "DOCENTE / FACILITADOR"))</f>
        <v/>
      </c>
      <c r="G1414" s="4">
        <f>IF(B1414="","",IFERROR(VLOOKUP(B1414, PLANTA_BASE!A:R, 9, FALSE), "GENERAL"))</f>
        <v/>
      </c>
      <c r="H1414" s="2">
        <f>IF(B1414="","",IFERROR(VLOOKUP(B1414, PLANTA_BASE!A:R, 17, FALSE), "GENERAL"))</f>
        <v/>
      </c>
    </row>
    <row r="1415" ht="20" customHeight="1">
      <c r="A1415" s="5">
        <f>IF(B1415="","",IFERROR(VLOOKUP(B1415, PLANTA_BASE!A:R, 2, FALSE), "NO ENCONTRADO EN PLANTA"))</f>
        <v/>
      </c>
      <c r="B1415" s="6" t="inlineStr"/>
      <c r="C1415" s="7">
        <f>IF(B1415="","",IFERROR(VLOOKUP(B1415, PLANTA_BASE!A:R, 3, FALSE), ""))</f>
        <v/>
      </c>
      <c r="D1415" s="5">
        <f>IF(B1415="","",IFERROR(VLOOKUP(B1415, PLANTA_BASE!A:R, 5, FALSE), "NO ENCONTRADO EN PLANTA"))</f>
        <v/>
      </c>
      <c r="E1415" s="5">
        <f>IF(B1415="","",IFERROR(VLOOKUP(B1415, PLANTA_BASE!A:R, 6, FALSE), "NO ENCONTRADO EN PLANTA"))</f>
        <v/>
      </c>
      <c r="F1415" s="7">
        <f>IF(B1415="","",IFERROR(VLOOKUP(B1415, PLANTA_BASE!A:R, 8, FALSE), "DOCENTE / FACILITADOR"))</f>
        <v/>
      </c>
      <c r="G1415" s="7">
        <f>IF(B1415="","",IFERROR(VLOOKUP(B1415, PLANTA_BASE!A:R, 9, FALSE), "GENERAL"))</f>
        <v/>
      </c>
      <c r="H1415" s="5">
        <f>IF(B1415="","",IFERROR(VLOOKUP(B1415, PLANTA_BASE!A:R, 17, FALSE), "GENERAL"))</f>
        <v/>
      </c>
    </row>
    <row r="1416" ht="20" customHeight="1">
      <c r="A1416" s="2">
        <f>IF(B1416="","",IFERROR(VLOOKUP(B1416, PLANTA_BASE!A:R, 2, FALSE), "NO ENCONTRADO EN PLANTA"))</f>
        <v/>
      </c>
      <c r="B1416" s="3" t="inlineStr"/>
      <c r="C1416" s="4">
        <f>IF(B1416="","",IFERROR(VLOOKUP(B1416, PLANTA_BASE!A:R, 3, FALSE), ""))</f>
        <v/>
      </c>
      <c r="D1416" s="2">
        <f>IF(B1416="","",IFERROR(VLOOKUP(B1416, PLANTA_BASE!A:R, 5, FALSE), "NO ENCONTRADO EN PLANTA"))</f>
        <v/>
      </c>
      <c r="E1416" s="2">
        <f>IF(B1416="","",IFERROR(VLOOKUP(B1416, PLANTA_BASE!A:R, 6, FALSE), "NO ENCONTRADO EN PLANTA"))</f>
        <v/>
      </c>
      <c r="F1416" s="4">
        <f>IF(B1416="","",IFERROR(VLOOKUP(B1416, PLANTA_BASE!A:R, 8, FALSE), "DOCENTE / FACILITADOR"))</f>
        <v/>
      </c>
      <c r="G1416" s="4">
        <f>IF(B1416="","",IFERROR(VLOOKUP(B1416, PLANTA_BASE!A:R, 9, FALSE), "GENERAL"))</f>
        <v/>
      </c>
      <c r="H1416" s="2">
        <f>IF(B1416="","",IFERROR(VLOOKUP(B1416, PLANTA_BASE!A:R, 17, FALSE), "GENERAL"))</f>
        <v/>
      </c>
    </row>
    <row r="1417" ht="20" customHeight="1">
      <c r="A1417" s="5">
        <f>IF(B1417="","",IFERROR(VLOOKUP(B1417, PLANTA_BASE!A:R, 2, FALSE), "NO ENCONTRADO EN PLANTA"))</f>
        <v/>
      </c>
      <c r="B1417" s="6" t="inlineStr"/>
      <c r="C1417" s="7">
        <f>IF(B1417="","",IFERROR(VLOOKUP(B1417, PLANTA_BASE!A:R, 3, FALSE), ""))</f>
        <v/>
      </c>
      <c r="D1417" s="5">
        <f>IF(B1417="","",IFERROR(VLOOKUP(B1417, PLANTA_BASE!A:R, 5, FALSE), "NO ENCONTRADO EN PLANTA"))</f>
        <v/>
      </c>
      <c r="E1417" s="5">
        <f>IF(B1417="","",IFERROR(VLOOKUP(B1417, PLANTA_BASE!A:R, 6, FALSE), "NO ENCONTRADO EN PLANTA"))</f>
        <v/>
      </c>
      <c r="F1417" s="7">
        <f>IF(B1417="","",IFERROR(VLOOKUP(B1417, PLANTA_BASE!A:R, 8, FALSE), "DOCENTE / FACILITADOR"))</f>
        <v/>
      </c>
      <c r="G1417" s="7">
        <f>IF(B1417="","",IFERROR(VLOOKUP(B1417, PLANTA_BASE!A:R, 9, FALSE), "GENERAL"))</f>
        <v/>
      </c>
      <c r="H1417" s="5">
        <f>IF(B1417="","",IFERROR(VLOOKUP(B1417, PLANTA_BASE!A:R, 17, FALSE), "GENERAL"))</f>
        <v/>
      </c>
    </row>
    <row r="1418" ht="20" customHeight="1">
      <c r="A1418" s="2">
        <f>IF(B1418="","",IFERROR(VLOOKUP(B1418, PLANTA_BASE!A:R, 2, FALSE), "NO ENCONTRADO EN PLANTA"))</f>
        <v/>
      </c>
      <c r="B1418" s="3" t="inlineStr"/>
      <c r="C1418" s="4">
        <f>IF(B1418="","",IFERROR(VLOOKUP(B1418, PLANTA_BASE!A:R, 3, FALSE), ""))</f>
        <v/>
      </c>
      <c r="D1418" s="2">
        <f>IF(B1418="","",IFERROR(VLOOKUP(B1418, PLANTA_BASE!A:R, 5, FALSE), "NO ENCONTRADO EN PLANTA"))</f>
        <v/>
      </c>
      <c r="E1418" s="2">
        <f>IF(B1418="","",IFERROR(VLOOKUP(B1418, PLANTA_BASE!A:R, 6, FALSE), "NO ENCONTRADO EN PLANTA"))</f>
        <v/>
      </c>
      <c r="F1418" s="4">
        <f>IF(B1418="","",IFERROR(VLOOKUP(B1418, PLANTA_BASE!A:R, 8, FALSE), "DOCENTE / FACILITADOR"))</f>
        <v/>
      </c>
      <c r="G1418" s="4">
        <f>IF(B1418="","",IFERROR(VLOOKUP(B1418, PLANTA_BASE!A:R, 9, FALSE), "GENERAL"))</f>
        <v/>
      </c>
      <c r="H1418" s="2">
        <f>IF(B1418="","",IFERROR(VLOOKUP(B1418, PLANTA_BASE!A:R, 17, FALSE), "GENERAL"))</f>
        <v/>
      </c>
    </row>
    <row r="1419" ht="20" customHeight="1">
      <c r="A1419" s="5">
        <f>IF(B1419="","",IFERROR(VLOOKUP(B1419, PLANTA_BASE!A:R, 2, FALSE), "NO ENCONTRADO EN PLANTA"))</f>
        <v/>
      </c>
      <c r="B1419" s="6" t="inlineStr"/>
      <c r="C1419" s="7">
        <f>IF(B1419="","",IFERROR(VLOOKUP(B1419, PLANTA_BASE!A:R, 3, FALSE), ""))</f>
        <v/>
      </c>
      <c r="D1419" s="5">
        <f>IF(B1419="","",IFERROR(VLOOKUP(B1419, PLANTA_BASE!A:R, 5, FALSE), "NO ENCONTRADO EN PLANTA"))</f>
        <v/>
      </c>
      <c r="E1419" s="5">
        <f>IF(B1419="","",IFERROR(VLOOKUP(B1419, PLANTA_BASE!A:R, 6, FALSE), "NO ENCONTRADO EN PLANTA"))</f>
        <v/>
      </c>
      <c r="F1419" s="7">
        <f>IF(B1419="","",IFERROR(VLOOKUP(B1419, PLANTA_BASE!A:R, 8, FALSE), "DOCENTE / FACILITADOR"))</f>
        <v/>
      </c>
      <c r="G1419" s="7">
        <f>IF(B1419="","",IFERROR(VLOOKUP(B1419, PLANTA_BASE!A:R, 9, FALSE), "GENERAL"))</f>
        <v/>
      </c>
      <c r="H1419" s="5">
        <f>IF(B1419="","",IFERROR(VLOOKUP(B1419, PLANTA_BASE!A:R, 17, FALSE), "GENERAL"))</f>
        <v/>
      </c>
    </row>
    <row r="1420" ht="20" customHeight="1">
      <c r="A1420" s="2">
        <f>IF(B1420="","",IFERROR(VLOOKUP(B1420, PLANTA_BASE!A:R, 2, FALSE), "NO ENCONTRADO EN PLANTA"))</f>
        <v/>
      </c>
      <c r="B1420" s="3" t="inlineStr"/>
      <c r="C1420" s="4">
        <f>IF(B1420="","",IFERROR(VLOOKUP(B1420, PLANTA_BASE!A:R, 3, FALSE), ""))</f>
        <v/>
      </c>
      <c r="D1420" s="2">
        <f>IF(B1420="","",IFERROR(VLOOKUP(B1420, PLANTA_BASE!A:R, 5, FALSE), "NO ENCONTRADO EN PLANTA"))</f>
        <v/>
      </c>
      <c r="E1420" s="2">
        <f>IF(B1420="","",IFERROR(VLOOKUP(B1420, PLANTA_BASE!A:R, 6, FALSE), "NO ENCONTRADO EN PLANTA"))</f>
        <v/>
      </c>
      <c r="F1420" s="4">
        <f>IF(B1420="","",IFERROR(VLOOKUP(B1420, PLANTA_BASE!A:R, 8, FALSE), "DOCENTE / FACILITADOR"))</f>
        <v/>
      </c>
      <c r="G1420" s="4">
        <f>IF(B1420="","",IFERROR(VLOOKUP(B1420, PLANTA_BASE!A:R, 9, FALSE), "GENERAL"))</f>
        <v/>
      </c>
      <c r="H1420" s="2">
        <f>IF(B1420="","",IFERROR(VLOOKUP(B1420, PLANTA_BASE!A:R, 17, FALSE), "GENERAL"))</f>
        <v/>
      </c>
    </row>
    <row r="1421" ht="20" customHeight="1">
      <c r="A1421" s="5">
        <f>IF(B1421="","",IFERROR(VLOOKUP(B1421, PLANTA_BASE!A:R, 2, FALSE), "NO ENCONTRADO EN PLANTA"))</f>
        <v/>
      </c>
      <c r="B1421" s="6" t="inlineStr"/>
      <c r="C1421" s="7">
        <f>IF(B1421="","",IFERROR(VLOOKUP(B1421, PLANTA_BASE!A:R, 3, FALSE), ""))</f>
        <v/>
      </c>
      <c r="D1421" s="5">
        <f>IF(B1421="","",IFERROR(VLOOKUP(B1421, PLANTA_BASE!A:R, 5, FALSE), "NO ENCONTRADO EN PLANTA"))</f>
        <v/>
      </c>
      <c r="E1421" s="5">
        <f>IF(B1421="","",IFERROR(VLOOKUP(B1421, PLANTA_BASE!A:R, 6, FALSE), "NO ENCONTRADO EN PLANTA"))</f>
        <v/>
      </c>
      <c r="F1421" s="7">
        <f>IF(B1421="","",IFERROR(VLOOKUP(B1421, PLANTA_BASE!A:R, 8, FALSE), "DOCENTE / FACILITADOR"))</f>
        <v/>
      </c>
      <c r="G1421" s="7">
        <f>IF(B1421="","",IFERROR(VLOOKUP(B1421, PLANTA_BASE!A:R, 9, FALSE), "GENERAL"))</f>
        <v/>
      </c>
      <c r="H1421" s="5">
        <f>IF(B1421="","",IFERROR(VLOOKUP(B1421, PLANTA_BASE!A:R, 17, FALSE), "GENERAL"))</f>
        <v/>
      </c>
    </row>
    <row r="1422" ht="20" customHeight="1">
      <c r="A1422" s="2">
        <f>IF(B1422="","",IFERROR(VLOOKUP(B1422, PLANTA_BASE!A:R, 2, FALSE), "NO ENCONTRADO EN PLANTA"))</f>
        <v/>
      </c>
      <c r="B1422" s="3" t="inlineStr"/>
      <c r="C1422" s="4">
        <f>IF(B1422="","",IFERROR(VLOOKUP(B1422, PLANTA_BASE!A:R, 3, FALSE), ""))</f>
        <v/>
      </c>
      <c r="D1422" s="2">
        <f>IF(B1422="","",IFERROR(VLOOKUP(B1422, PLANTA_BASE!A:R, 5, FALSE), "NO ENCONTRADO EN PLANTA"))</f>
        <v/>
      </c>
      <c r="E1422" s="2">
        <f>IF(B1422="","",IFERROR(VLOOKUP(B1422, PLANTA_BASE!A:R, 6, FALSE), "NO ENCONTRADO EN PLANTA"))</f>
        <v/>
      </c>
      <c r="F1422" s="4">
        <f>IF(B1422="","",IFERROR(VLOOKUP(B1422, PLANTA_BASE!A:R, 8, FALSE), "DOCENTE / FACILITADOR"))</f>
        <v/>
      </c>
      <c r="G1422" s="4">
        <f>IF(B1422="","",IFERROR(VLOOKUP(B1422, PLANTA_BASE!A:R, 9, FALSE), "GENERAL"))</f>
        <v/>
      </c>
      <c r="H1422" s="2">
        <f>IF(B1422="","",IFERROR(VLOOKUP(B1422, PLANTA_BASE!A:R, 17, FALSE), "GENERAL"))</f>
        <v/>
      </c>
    </row>
    <row r="1423" ht="20" customHeight="1">
      <c r="A1423" s="5">
        <f>IF(B1423="","",IFERROR(VLOOKUP(B1423, PLANTA_BASE!A:R, 2, FALSE), "NO ENCONTRADO EN PLANTA"))</f>
        <v/>
      </c>
      <c r="B1423" s="6" t="inlineStr"/>
      <c r="C1423" s="7">
        <f>IF(B1423="","",IFERROR(VLOOKUP(B1423, PLANTA_BASE!A:R, 3, FALSE), ""))</f>
        <v/>
      </c>
      <c r="D1423" s="5">
        <f>IF(B1423="","",IFERROR(VLOOKUP(B1423, PLANTA_BASE!A:R, 5, FALSE), "NO ENCONTRADO EN PLANTA"))</f>
        <v/>
      </c>
      <c r="E1423" s="5">
        <f>IF(B1423="","",IFERROR(VLOOKUP(B1423, PLANTA_BASE!A:R, 6, FALSE), "NO ENCONTRADO EN PLANTA"))</f>
        <v/>
      </c>
      <c r="F1423" s="7">
        <f>IF(B1423="","",IFERROR(VLOOKUP(B1423, PLANTA_BASE!A:R, 8, FALSE), "DOCENTE / FACILITADOR"))</f>
        <v/>
      </c>
      <c r="G1423" s="7">
        <f>IF(B1423="","",IFERROR(VLOOKUP(B1423, PLANTA_BASE!A:R, 9, FALSE), "GENERAL"))</f>
        <v/>
      </c>
      <c r="H1423" s="5">
        <f>IF(B1423="","",IFERROR(VLOOKUP(B1423, PLANTA_BASE!A:R, 17, FALSE), "GENERAL"))</f>
        <v/>
      </c>
    </row>
    <row r="1424" ht="20" customHeight="1">
      <c r="A1424" s="2">
        <f>IF(B1424="","",IFERROR(VLOOKUP(B1424, PLANTA_BASE!A:R, 2, FALSE), "NO ENCONTRADO EN PLANTA"))</f>
        <v/>
      </c>
      <c r="B1424" s="3" t="inlineStr"/>
      <c r="C1424" s="4">
        <f>IF(B1424="","",IFERROR(VLOOKUP(B1424, PLANTA_BASE!A:R, 3, FALSE), ""))</f>
        <v/>
      </c>
      <c r="D1424" s="2">
        <f>IF(B1424="","",IFERROR(VLOOKUP(B1424, PLANTA_BASE!A:R, 5, FALSE), "NO ENCONTRADO EN PLANTA"))</f>
        <v/>
      </c>
      <c r="E1424" s="2">
        <f>IF(B1424="","",IFERROR(VLOOKUP(B1424, PLANTA_BASE!A:R, 6, FALSE), "NO ENCONTRADO EN PLANTA"))</f>
        <v/>
      </c>
      <c r="F1424" s="4">
        <f>IF(B1424="","",IFERROR(VLOOKUP(B1424, PLANTA_BASE!A:R, 8, FALSE), "DOCENTE / FACILITADOR"))</f>
        <v/>
      </c>
      <c r="G1424" s="4">
        <f>IF(B1424="","",IFERROR(VLOOKUP(B1424, PLANTA_BASE!A:R, 9, FALSE), "GENERAL"))</f>
        <v/>
      </c>
      <c r="H1424" s="2">
        <f>IF(B1424="","",IFERROR(VLOOKUP(B1424, PLANTA_BASE!A:R, 17, FALSE), "GENERAL"))</f>
        <v/>
      </c>
    </row>
    <row r="1425" ht="20" customHeight="1">
      <c r="A1425" s="5">
        <f>IF(B1425="","",IFERROR(VLOOKUP(B1425, PLANTA_BASE!A:R, 2, FALSE), "NO ENCONTRADO EN PLANTA"))</f>
        <v/>
      </c>
      <c r="B1425" s="6" t="inlineStr"/>
      <c r="C1425" s="7">
        <f>IF(B1425="","",IFERROR(VLOOKUP(B1425, PLANTA_BASE!A:R, 3, FALSE), ""))</f>
        <v/>
      </c>
      <c r="D1425" s="5">
        <f>IF(B1425="","",IFERROR(VLOOKUP(B1425, PLANTA_BASE!A:R, 5, FALSE), "NO ENCONTRADO EN PLANTA"))</f>
        <v/>
      </c>
      <c r="E1425" s="5">
        <f>IF(B1425="","",IFERROR(VLOOKUP(B1425, PLANTA_BASE!A:R, 6, FALSE), "NO ENCONTRADO EN PLANTA"))</f>
        <v/>
      </c>
      <c r="F1425" s="7">
        <f>IF(B1425="","",IFERROR(VLOOKUP(B1425, PLANTA_BASE!A:R, 8, FALSE), "DOCENTE / FACILITADOR"))</f>
        <v/>
      </c>
      <c r="G1425" s="7">
        <f>IF(B1425="","",IFERROR(VLOOKUP(B1425, PLANTA_BASE!A:R, 9, FALSE), "GENERAL"))</f>
        <v/>
      </c>
      <c r="H1425" s="5">
        <f>IF(B1425="","",IFERROR(VLOOKUP(B1425, PLANTA_BASE!A:R, 17, FALSE), "GENERAL"))</f>
        <v/>
      </c>
    </row>
    <row r="1426" ht="20" customHeight="1">
      <c r="A1426" s="2">
        <f>IF(B1426="","",IFERROR(VLOOKUP(B1426, PLANTA_BASE!A:R, 2, FALSE), "NO ENCONTRADO EN PLANTA"))</f>
        <v/>
      </c>
      <c r="B1426" s="3" t="inlineStr"/>
      <c r="C1426" s="4">
        <f>IF(B1426="","",IFERROR(VLOOKUP(B1426, PLANTA_BASE!A:R, 3, FALSE), ""))</f>
        <v/>
      </c>
      <c r="D1426" s="2">
        <f>IF(B1426="","",IFERROR(VLOOKUP(B1426, PLANTA_BASE!A:R, 5, FALSE), "NO ENCONTRADO EN PLANTA"))</f>
        <v/>
      </c>
      <c r="E1426" s="2">
        <f>IF(B1426="","",IFERROR(VLOOKUP(B1426, PLANTA_BASE!A:R, 6, FALSE), "NO ENCONTRADO EN PLANTA"))</f>
        <v/>
      </c>
      <c r="F1426" s="4">
        <f>IF(B1426="","",IFERROR(VLOOKUP(B1426, PLANTA_BASE!A:R, 8, FALSE), "DOCENTE / FACILITADOR"))</f>
        <v/>
      </c>
      <c r="G1426" s="4">
        <f>IF(B1426="","",IFERROR(VLOOKUP(B1426, PLANTA_BASE!A:R, 9, FALSE), "GENERAL"))</f>
        <v/>
      </c>
      <c r="H1426" s="2">
        <f>IF(B1426="","",IFERROR(VLOOKUP(B1426, PLANTA_BASE!A:R, 17, FALSE), "GENERAL"))</f>
        <v/>
      </c>
    </row>
    <row r="1427" ht="20" customHeight="1">
      <c r="A1427" s="5">
        <f>IF(B1427="","",IFERROR(VLOOKUP(B1427, PLANTA_BASE!A:R, 2, FALSE), "NO ENCONTRADO EN PLANTA"))</f>
        <v/>
      </c>
      <c r="B1427" s="6" t="inlineStr"/>
      <c r="C1427" s="7">
        <f>IF(B1427="","",IFERROR(VLOOKUP(B1427, PLANTA_BASE!A:R, 3, FALSE), ""))</f>
        <v/>
      </c>
      <c r="D1427" s="5">
        <f>IF(B1427="","",IFERROR(VLOOKUP(B1427, PLANTA_BASE!A:R, 5, FALSE), "NO ENCONTRADO EN PLANTA"))</f>
        <v/>
      </c>
      <c r="E1427" s="5">
        <f>IF(B1427="","",IFERROR(VLOOKUP(B1427, PLANTA_BASE!A:R, 6, FALSE), "NO ENCONTRADO EN PLANTA"))</f>
        <v/>
      </c>
      <c r="F1427" s="7">
        <f>IF(B1427="","",IFERROR(VLOOKUP(B1427, PLANTA_BASE!A:R, 8, FALSE), "DOCENTE / FACILITADOR"))</f>
        <v/>
      </c>
      <c r="G1427" s="7">
        <f>IF(B1427="","",IFERROR(VLOOKUP(B1427, PLANTA_BASE!A:R, 9, FALSE), "GENERAL"))</f>
        <v/>
      </c>
      <c r="H1427" s="5">
        <f>IF(B1427="","",IFERROR(VLOOKUP(B1427, PLANTA_BASE!A:R, 17, FALSE), "GENERAL"))</f>
        <v/>
      </c>
    </row>
    <row r="1428" ht="20" customHeight="1">
      <c r="A1428" s="2">
        <f>IF(B1428="","",IFERROR(VLOOKUP(B1428, PLANTA_BASE!A:R, 2, FALSE), "NO ENCONTRADO EN PLANTA"))</f>
        <v/>
      </c>
      <c r="B1428" s="3" t="inlineStr"/>
      <c r="C1428" s="4">
        <f>IF(B1428="","",IFERROR(VLOOKUP(B1428, PLANTA_BASE!A:R, 3, FALSE), ""))</f>
        <v/>
      </c>
      <c r="D1428" s="2">
        <f>IF(B1428="","",IFERROR(VLOOKUP(B1428, PLANTA_BASE!A:R, 5, FALSE), "NO ENCONTRADO EN PLANTA"))</f>
        <v/>
      </c>
      <c r="E1428" s="2">
        <f>IF(B1428="","",IFERROR(VLOOKUP(B1428, PLANTA_BASE!A:R, 6, FALSE), "NO ENCONTRADO EN PLANTA"))</f>
        <v/>
      </c>
      <c r="F1428" s="4">
        <f>IF(B1428="","",IFERROR(VLOOKUP(B1428, PLANTA_BASE!A:R, 8, FALSE), "DOCENTE / FACILITADOR"))</f>
        <v/>
      </c>
      <c r="G1428" s="4">
        <f>IF(B1428="","",IFERROR(VLOOKUP(B1428, PLANTA_BASE!A:R, 9, FALSE), "GENERAL"))</f>
        <v/>
      </c>
      <c r="H1428" s="2">
        <f>IF(B1428="","",IFERROR(VLOOKUP(B1428, PLANTA_BASE!A:R, 17, FALSE), "GENERAL"))</f>
        <v/>
      </c>
    </row>
    <row r="1429" ht="20" customHeight="1">
      <c r="A1429" s="5">
        <f>IF(B1429="","",IFERROR(VLOOKUP(B1429, PLANTA_BASE!A:R, 2, FALSE), "NO ENCONTRADO EN PLANTA"))</f>
        <v/>
      </c>
      <c r="B1429" s="6" t="inlineStr"/>
      <c r="C1429" s="7">
        <f>IF(B1429="","",IFERROR(VLOOKUP(B1429, PLANTA_BASE!A:R, 3, FALSE), ""))</f>
        <v/>
      </c>
      <c r="D1429" s="5">
        <f>IF(B1429="","",IFERROR(VLOOKUP(B1429, PLANTA_BASE!A:R, 5, FALSE), "NO ENCONTRADO EN PLANTA"))</f>
        <v/>
      </c>
      <c r="E1429" s="5">
        <f>IF(B1429="","",IFERROR(VLOOKUP(B1429, PLANTA_BASE!A:R, 6, FALSE), "NO ENCONTRADO EN PLANTA"))</f>
        <v/>
      </c>
      <c r="F1429" s="7">
        <f>IF(B1429="","",IFERROR(VLOOKUP(B1429, PLANTA_BASE!A:R, 8, FALSE), "DOCENTE / FACILITADOR"))</f>
        <v/>
      </c>
      <c r="G1429" s="7">
        <f>IF(B1429="","",IFERROR(VLOOKUP(B1429, PLANTA_BASE!A:R, 9, FALSE), "GENERAL"))</f>
        <v/>
      </c>
      <c r="H1429" s="5">
        <f>IF(B1429="","",IFERROR(VLOOKUP(B1429, PLANTA_BASE!A:R, 17, FALSE), "GENERAL"))</f>
        <v/>
      </c>
    </row>
    <row r="1430" ht="20" customHeight="1">
      <c r="A1430" s="2">
        <f>IF(B1430="","",IFERROR(VLOOKUP(B1430, PLANTA_BASE!A:R, 2, FALSE), "NO ENCONTRADO EN PLANTA"))</f>
        <v/>
      </c>
      <c r="B1430" s="3" t="inlineStr"/>
      <c r="C1430" s="4">
        <f>IF(B1430="","",IFERROR(VLOOKUP(B1430, PLANTA_BASE!A:R, 3, FALSE), ""))</f>
        <v/>
      </c>
      <c r="D1430" s="2">
        <f>IF(B1430="","",IFERROR(VLOOKUP(B1430, PLANTA_BASE!A:R, 5, FALSE), "NO ENCONTRADO EN PLANTA"))</f>
        <v/>
      </c>
      <c r="E1430" s="2">
        <f>IF(B1430="","",IFERROR(VLOOKUP(B1430, PLANTA_BASE!A:R, 6, FALSE), "NO ENCONTRADO EN PLANTA"))</f>
        <v/>
      </c>
      <c r="F1430" s="4">
        <f>IF(B1430="","",IFERROR(VLOOKUP(B1430, PLANTA_BASE!A:R, 8, FALSE), "DOCENTE / FACILITADOR"))</f>
        <v/>
      </c>
      <c r="G1430" s="4">
        <f>IF(B1430="","",IFERROR(VLOOKUP(B1430, PLANTA_BASE!A:R, 9, FALSE), "GENERAL"))</f>
        <v/>
      </c>
      <c r="H1430" s="2">
        <f>IF(B1430="","",IFERROR(VLOOKUP(B1430, PLANTA_BASE!A:R, 17, FALSE), "GENERAL"))</f>
        <v/>
      </c>
    </row>
    <row r="1431" ht="20" customHeight="1">
      <c r="A1431" s="5">
        <f>IF(B1431="","",IFERROR(VLOOKUP(B1431, PLANTA_BASE!A:R, 2, FALSE), "NO ENCONTRADO EN PLANTA"))</f>
        <v/>
      </c>
      <c r="B1431" s="6" t="inlineStr"/>
      <c r="C1431" s="7">
        <f>IF(B1431="","",IFERROR(VLOOKUP(B1431, PLANTA_BASE!A:R, 3, FALSE), ""))</f>
        <v/>
      </c>
      <c r="D1431" s="5">
        <f>IF(B1431="","",IFERROR(VLOOKUP(B1431, PLANTA_BASE!A:R, 5, FALSE), "NO ENCONTRADO EN PLANTA"))</f>
        <v/>
      </c>
      <c r="E1431" s="5">
        <f>IF(B1431="","",IFERROR(VLOOKUP(B1431, PLANTA_BASE!A:R, 6, FALSE), "NO ENCONTRADO EN PLANTA"))</f>
        <v/>
      </c>
      <c r="F1431" s="7">
        <f>IF(B1431="","",IFERROR(VLOOKUP(B1431, PLANTA_BASE!A:R, 8, FALSE), "DOCENTE / FACILITADOR"))</f>
        <v/>
      </c>
      <c r="G1431" s="7">
        <f>IF(B1431="","",IFERROR(VLOOKUP(B1431, PLANTA_BASE!A:R, 9, FALSE), "GENERAL"))</f>
        <v/>
      </c>
      <c r="H1431" s="5">
        <f>IF(B1431="","",IFERROR(VLOOKUP(B1431, PLANTA_BASE!A:R, 17, FALSE), "GENERAL"))</f>
        <v/>
      </c>
    </row>
    <row r="1432" ht="20" customHeight="1">
      <c r="A1432" s="2">
        <f>IF(B1432="","",IFERROR(VLOOKUP(B1432, PLANTA_BASE!A:R, 2, FALSE), "NO ENCONTRADO EN PLANTA"))</f>
        <v/>
      </c>
      <c r="B1432" s="3" t="inlineStr"/>
      <c r="C1432" s="4">
        <f>IF(B1432="","",IFERROR(VLOOKUP(B1432, PLANTA_BASE!A:R, 3, FALSE), ""))</f>
        <v/>
      </c>
      <c r="D1432" s="2">
        <f>IF(B1432="","",IFERROR(VLOOKUP(B1432, PLANTA_BASE!A:R, 5, FALSE), "NO ENCONTRADO EN PLANTA"))</f>
        <v/>
      </c>
      <c r="E1432" s="2">
        <f>IF(B1432="","",IFERROR(VLOOKUP(B1432, PLANTA_BASE!A:R, 6, FALSE), "NO ENCONTRADO EN PLANTA"))</f>
        <v/>
      </c>
      <c r="F1432" s="4">
        <f>IF(B1432="","",IFERROR(VLOOKUP(B1432, PLANTA_BASE!A:R, 8, FALSE), "DOCENTE / FACILITADOR"))</f>
        <v/>
      </c>
      <c r="G1432" s="4">
        <f>IF(B1432="","",IFERROR(VLOOKUP(B1432, PLANTA_BASE!A:R, 9, FALSE), "GENERAL"))</f>
        <v/>
      </c>
      <c r="H1432" s="2">
        <f>IF(B1432="","",IFERROR(VLOOKUP(B1432, PLANTA_BASE!A:R, 17, FALSE), "GENERAL"))</f>
        <v/>
      </c>
    </row>
    <row r="1433" ht="20" customHeight="1">
      <c r="A1433" s="5">
        <f>IF(B1433="","",IFERROR(VLOOKUP(B1433, PLANTA_BASE!A:R, 2, FALSE), "NO ENCONTRADO EN PLANTA"))</f>
        <v/>
      </c>
      <c r="B1433" s="6" t="inlineStr"/>
      <c r="C1433" s="7">
        <f>IF(B1433="","",IFERROR(VLOOKUP(B1433, PLANTA_BASE!A:R, 3, FALSE), ""))</f>
        <v/>
      </c>
      <c r="D1433" s="5">
        <f>IF(B1433="","",IFERROR(VLOOKUP(B1433, PLANTA_BASE!A:R, 5, FALSE), "NO ENCONTRADO EN PLANTA"))</f>
        <v/>
      </c>
      <c r="E1433" s="5">
        <f>IF(B1433="","",IFERROR(VLOOKUP(B1433, PLANTA_BASE!A:R, 6, FALSE), "NO ENCONTRADO EN PLANTA"))</f>
        <v/>
      </c>
      <c r="F1433" s="7">
        <f>IF(B1433="","",IFERROR(VLOOKUP(B1433, PLANTA_BASE!A:R, 8, FALSE), "DOCENTE / FACILITADOR"))</f>
        <v/>
      </c>
      <c r="G1433" s="7">
        <f>IF(B1433="","",IFERROR(VLOOKUP(B1433, PLANTA_BASE!A:R, 9, FALSE), "GENERAL"))</f>
        <v/>
      </c>
      <c r="H1433" s="5">
        <f>IF(B1433="","",IFERROR(VLOOKUP(B1433, PLANTA_BASE!A:R, 17, FALSE), "GENERAL"))</f>
        <v/>
      </c>
    </row>
    <row r="1434" ht="20" customHeight="1">
      <c r="A1434" s="2">
        <f>IF(B1434="","",IFERROR(VLOOKUP(B1434, PLANTA_BASE!A:R, 2, FALSE), "NO ENCONTRADO EN PLANTA"))</f>
        <v/>
      </c>
      <c r="B1434" s="3" t="inlineStr"/>
      <c r="C1434" s="4">
        <f>IF(B1434="","",IFERROR(VLOOKUP(B1434, PLANTA_BASE!A:R, 3, FALSE), ""))</f>
        <v/>
      </c>
      <c r="D1434" s="2">
        <f>IF(B1434="","",IFERROR(VLOOKUP(B1434, PLANTA_BASE!A:R, 5, FALSE), "NO ENCONTRADO EN PLANTA"))</f>
        <v/>
      </c>
      <c r="E1434" s="2">
        <f>IF(B1434="","",IFERROR(VLOOKUP(B1434, PLANTA_BASE!A:R, 6, FALSE), "NO ENCONTRADO EN PLANTA"))</f>
        <v/>
      </c>
      <c r="F1434" s="4">
        <f>IF(B1434="","",IFERROR(VLOOKUP(B1434, PLANTA_BASE!A:R, 8, FALSE), "DOCENTE / FACILITADOR"))</f>
        <v/>
      </c>
      <c r="G1434" s="4">
        <f>IF(B1434="","",IFERROR(VLOOKUP(B1434, PLANTA_BASE!A:R, 9, FALSE), "GENERAL"))</f>
        <v/>
      </c>
      <c r="H1434" s="2">
        <f>IF(B1434="","",IFERROR(VLOOKUP(B1434, PLANTA_BASE!A:R, 17, FALSE), "GENERAL"))</f>
        <v/>
      </c>
    </row>
    <row r="1435" ht="20" customHeight="1">
      <c r="A1435" s="5">
        <f>IF(B1435="","",IFERROR(VLOOKUP(B1435, PLANTA_BASE!A:R, 2, FALSE), "NO ENCONTRADO EN PLANTA"))</f>
        <v/>
      </c>
      <c r="B1435" s="6" t="inlineStr"/>
      <c r="C1435" s="7">
        <f>IF(B1435="","",IFERROR(VLOOKUP(B1435, PLANTA_BASE!A:R, 3, FALSE), ""))</f>
        <v/>
      </c>
      <c r="D1435" s="5">
        <f>IF(B1435="","",IFERROR(VLOOKUP(B1435, PLANTA_BASE!A:R, 5, FALSE), "NO ENCONTRADO EN PLANTA"))</f>
        <v/>
      </c>
      <c r="E1435" s="5">
        <f>IF(B1435="","",IFERROR(VLOOKUP(B1435, PLANTA_BASE!A:R, 6, FALSE), "NO ENCONTRADO EN PLANTA"))</f>
        <v/>
      </c>
      <c r="F1435" s="7">
        <f>IF(B1435="","",IFERROR(VLOOKUP(B1435, PLANTA_BASE!A:R, 8, FALSE), "DOCENTE / FACILITADOR"))</f>
        <v/>
      </c>
      <c r="G1435" s="7">
        <f>IF(B1435="","",IFERROR(VLOOKUP(B1435, PLANTA_BASE!A:R, 9, FALSE), "GENERAL"))</f>
        <v/>
      </c>
      <c r="H1435" s="5">
        <f>IF(B1435="","",IFERROR(VLOOKUP(B1435, PLANTA_BASE!A:R, 17, FALSE), "GENERAL"))</f>
        <v/>
      </c>
    </row>
    <row r="1436" ht="20" customHeight="1">
      <c r="A1436" s="2">
        <f>IF(B1436="","",IFERROR(VLOOKUP(B1436, PLANTA_BASE!A:R, 2, FALSE), "NO ENCONTRADO EN PLANTA"))</f>
        <v/>
      </c>
      <c r="B1436" s="3" t="inlineStr"/>
      <c r="C1436" s="4">
        <f>IF(B1436="","",IFERROR(VLOOKUP(B1436, PLANTA_BASE!A:R, 3, FALSE), ""))</f>
        <v/>
      </c>
      <c r="D1436" s="2">
        <f>IF(B1436="","",IFERROR(VLOOKUP(B1436, PLANTA_BASE!A:R, 5, FALSE), "NO ENCONTRADO EN PLANTA"))</f>
        <v/>
      </c>
      <c r="E1436" s="2">
        <f>IF(B1436="","",IFERROR(VLOOKUP(B1436, PLANTA_BASE!A:R, 6, FALSE), "NO ENCONTRADO EN PLANTA"))</f>
        <v/>
      </c>
      <c r="F1436" s="4">
        <f>IF(B1436="","",IFERROR(VLOOKUP(B1436, PLANTA_BASE!A:R, 8, FALSE), "DOCENTE / FACILITADOR"))</f>
        <v/>
      </c>
      <c r="G1436" s="4">
        <f>IF(B1436="","",IFERROR(VLOOKUP(B1436, PLANTA_BASE!A:R, 9, FALSE), "GENERAL"))</f>
        <v/>
      </c>
      <c r="H1436" s="2">
        <f>IF(B1436="","",IFERROR(VLOOKUP(B1436, PLANTA_BASE!A:R, 17, FALSE), "GENERAL"))</f>
        <v/>
      </c>
    </row>
    <row r="1437" ht="20" customHeight="1">
      <c r="A1437" s="5">
        <f>IF(B1437="","",IFERROR(VLOOKUP(B1437, PLANTA_BASE!A:R, 2, FALSE), "NO ENCONTRADO EN PLANTA"))</f>
        <v/>
      </c>
      <c r="B1437" s="6" t="inlineStr"/>
      <c r="C1437" s="7">
        <f>IF(B1437="","",IFERROR(VLOOKUP(B1437, PLANTA_BASE!A:R, 3, FALSE), ""))</f>
        <v/>
      </c>
      <c r="D1437" s="5">
        <f>IF(B1437="","",IFERROR(VLOOKUP(B1437, PLANTA_BASE!A:R, 5, FALSE), "NO ENCONTRADO EN PLANTA"))</f>
        <v/>
      </c>
      <c r="E1437" s="5">
        <f>IF(B1437="","",IFERROR(VLOOKUP(B1437, PLANTA_BASE!A:R, 6, FALSE), "NO ENCONTRADO EN PLANTA"))</f>
        <v/>
      </c>
      <c r="F1437" s="7">
        <f>IF(B1437="","",IFERROR(VLOOKUP(B1437, PLANTA_BASE!A:R, 8, FALSE), "DOCENTE / FACILITADOR"))</f>
        <v/>
      </c>
      <c r="G1437" s="7">
        <f>IF(B1437="","",IFERROR(VLOOKUP(B1437, PLANTA_BASE!A:R, 9, FALSE), "GENERAL"))</f>
        <v/>
      </c>
      <c r="H1437" s="5">
        <f>IF(B1437="","",IFERROR(VLOOKUP(B1437, PLANTA_BASE!A:R, 17, FALSE), "GENERAL"))</f>
        <v/>
      </c>
    </row>
    <row r="1438" ht="20" customHeight="1">
      <c r="A1438" s="2">
        <f>IF(B1438="","",IFERROR(VLOOKUP(B1438, PLANTA_BASE!A:R, 2, FALSE), "NO ENCONTRADO EN PLANTA"))</f>
        <v/>
      </c>
      <c r="B1438" s="3" t="inlineStr"/>
      <c r="C1438" s="4">
        <f>IF(B1438="","",IFERROR(VLOOKUP(B1438, PLANTA_BASE!A:R, 3, FALSE), ""))</f>
        <v/>
      </c>
      <c r="D1438" s="2">
        <f>IF(B1438="","",IFERROR(VLOOKUP(B1438, PLANTA_BASE!A:R, 5, FALSE), "NO ENCONTRADO EN PLANTA"))</f>
        <v/>
      </c>
      <c r="E1438" s="2">
        <f>IF(B1438="","",IFERROR(VLOOKUP(B1438, PLANTA_BASE!A:R, 6, FALSE), "NO ENCONTRADO EN PLANTA"))</f>
        <v/>
      </c>
      <c r="F1438" s="4">
        <f>IF(B1438="","",IFERROR(VLOOKUP(B1438, PLANTA_BASE!A:R, 8, FALSE), "DOCENTE / FACILITADOR"))</f>
        <v/>
      </c>
      <c r="G1438" s="4">
        <f>IF(B1438="","",IFERROR(VLOOKUP(B1438, PLANTA_BASE!A:R, 9, FALSE), "GENERAL"))</f>
        <v/>
      </c>
      <c r="H1438" s="2">
        <f>IF(B1438="","",IFERROR(VLOOKUP(B1438, PLANTA_BASE!A:R, 17, FALSE), "GENERAL"))</f>
        <v/>
      </c>
    </row>
    <row r="1439" ht="20" customHeight="1">
      <c r="A1439" s="5">
        <f>IF(B1439="","",IFERROR(VLOOKUP(B1439, PLANTA_BASE!A:R, 2, FALSE), "NO ENCONTRADO EN PLANTA"))</f>
        <v/>
      </c>
      <c r="B1439" s="6" t="inlineStr"/>
      <c r="C1439" s="7">
        <f>IF(B1439="","",IFERROR(VLOOKUP(B1439, PLANTA_BASE!A:R, 3, FALSE), ""))</f>
        <v/>
      </c>
      <c r="D1439" s="5">
        <f>IF(B1439="","",IFERROR(VLOOKUP(B1439, PLANTA_BASE!A:R, 5, FALSE), "NO ENCONTRADO EN PLANTA"))</f>
        <v/>
      </c>
      <c r="E1439" s="5">
        <f>IF(B1439="","",IFERROR(VLOOKUP(B1439, PLANTA_BASE!A:R, 6, FALSE), "NO ENCONTRADO EN PLANTA"))</f>
        <v/>
      </c>
      <c r="F1439" s="7">
        <f>IF(B1439="","",IFERROR(VLOOKUP(B1439, PLANTA_BASE!A:R, 8, FALSE), "DOCENTE / FACILITADOR"))</f>
        <v/>
      </c>
      <c r="G1439" s="7">
        <f>IF(B1439="","",IFERROR(VLOOKUP(B1439, PLANTA_BASE!A:R, 9, FALSE), "GENERAL"))</f>
        <v/>
      </c>
      <c r="H1439" s="5">
        <f>IF(B1439="","",IFERROR(VLOOKUP(B1439, PLANTA_BASE!A:R, 17, FALSE), "GENERAL"))</f>
        <v/>
      </c>
    </row>
    <row r="1440" ht="20" customHeight="1">
      <c r="A1440" s="2">
        <f>IF(B1440="","",IFERROR(VLOOKUP(B1440, PLANTA_BASE!A:R, 2, FALSE), "NO ENCONTRADO EN PLANTA"))</f>
        <v/>
      </c>
      <c r="B1440" s="3" t="inlineStr"/>
      <c r="C1440" s="4">
        <f>IF(B1440="","",IFERROR(VLOOKUP(B1440, PLANTA_BASE!A:R, 3, FALSE), ""))</f>
        <v/>
      </c>
      <c r="D1440" s="2">
        <f>IF(B1440="","",IFERROR(VLOOKUP(B1440, PLANTA_BASE!A:R, 5, FALSE), "NO ENCONTRADO EN PLANTA"))</f>
        <v/>
      </c>
      <c r="E1440" s="2">
        <f>IF(B1440="","",IFERROR(VLOOKUP(B1440, PLANTA_BASE!A:R, 6, FALSE), "NO ENCONTRADO EN PLANTA"))</f>
        <v/>
      </c>
      <c r="F1440" s="4">
        <f>IF(B1440="","",IFERROR(VLOOKUP(B1440, PLANTA_BASE!A:R, 8, FALSE), "DOCENTE / FACILITADOR"))</f>
        <v/>
      </c>
      <c r="G1440" s="4">
        <f>IF(B1440="","",IFERROR(VLOOKUP(B1440, PLANTA_BASE!A:R, 9, FALSE), "GENERAL"))</f>
        <v/>
      </c>
      <c r="H1440" s="2">
        <f>IF(B1440="","",IFERROR(VLOOKUP(B1440, PLANTA_BASE!A:R, 17, FALSE), "GENERAL"))</f>
        <v/>
      </c>
    </row>
    <row r="1441" ht="20" customHeight="1">
      <c r="A1441" s="5">
        <f>IF(B1441="","",IFERROR(VLOOKUP(B1441, PLANTA_BASE!A:R, 2, FALSE), "NO ENCONTRADO EN PLANTA"))</f>
        <v/>
      </c>
      <c r="B1441" s="6" t="inlineStr"/>
      <c r="C1441" s="7">
        <f>IF(B1441="","",IFERROR(VLOOKUP(B1441, PLANTA_BASE!A:R, 3, FALSE), ""))</f>
        <v/>
      </c>
      <c r="D1441" s="5">
        <f>IF(B1441="","",IFERROR(VLOOKUP(B1441, PLANTA_BASE!A:R, 5, FALSE), "NO ENCONTRADO EN PLANTA"))</f>
        <v/>
      </c>
      <c r="E1441" s="5">
        <f>IF(B1441="","",IFERROR(VLOOKUP(B1441, PLANTA_BASE!A:R, 6, FALSE), "NO ENCONTRADO EN PLANTA"))</f>
        <v/>
      </c>
      <c r="F1441" s="7">
        <f>IF(B1441="","",IFERROR(VLOOKUP(B1441, PLANTA_BASE!A:R, 8, FALSE), "DOCENTE / FACILITADOR"))</f>
        <v/>
      </c>
      <c r="G1441" s="7">
        <f>IF(B1441="","",IFERROR(VLOOKUP(B1441, PLANTA_BASE!A:R, 9, FALSE), "GENERAL"))</f>
        <v/>
      </c>
      <c r="H1441" s="5">
        <f>IF(B1441="","",IFERROR(VLOOKUP(B1441, PLANTA_BASE!A:R, 17, FALSE), "GENERAL"))</f>
        <v/>
      </c>
    </row>
    <row r="1442" ht="20" customHeight="1">
      <c r="A1442" s="2">
        <f>IF(B1442="","",IFERROR(VLOOKUP(B1442, PLANTA_BASE!A:R, 2, FALSE), "NO ENCONTRADO EN PLANTA"))</f>
        <v/>
      </c>
      <c r="B1442" s="3" t="inlineStr"/>
      <c r="C1442" s="4">
        <f>IF(B1442="","",IFERROR(VLOOKUP(B1442, PLANTA_BASE!A:R, 3, FALSE), ""))</f>
        <v/>
      </c>
      <c r="D1442" s="2">
        <f>IF(B1442="","",IFERROR(VLOOKUP(B1442, PLANTA_BASE!A:R, 5, FALSE), "NO ENCONTRADO EN PLANTA"))</f>
        <v/>
      </c>
      <c r="E1442" s="2">
        <f>IF(B1442="","",IFERROR(VLOOKUP(B1442, PLANTA_BASE!A:R, 6, FALSE), "NO ENCONTRADO EN PLANTA"))</f>
        <v/>
      </c>
      <c r="F1442" s="4">
        <f>IF(B1442="","",IFERROR(VLOOKUP(B1442, PLANTA_BASE!A:R, 8, FALSE), "DOCENTE / FACILITADOR"))</f>
        <v/>
      </c>
      <c r="G1442" s="4">
        <f>IF(B1442="","",IFERROR(VLOOKUP(B1442, PLANTA_BASE!A:R, 9, FALSE), "GENERAL"))</f>
        <v/>
      </c>
      <c r="H1442" s="2">
        <f>IF(B1442="","",IFERROR(VLOOKUP(B1442, PLANTA_BASE!A:R, 17, FALSE), "GENERAL"))</f>
        <v/>
      </c>
    </row>
    <row r="1443" ht="20" customHeight="1">
      <c r="A1443" s="5">
        <f>IF(B1443="","",IFERROR(VLOOKUP(B1443, PLANTA_BASE!A:R, 2, FALSE), "NO ENCONTRADO EN PLANTA"))</f>
        <v/>
      </c>
      <c r="B1443" s="6" t="inlineStr"/>
      <c r="C1443" s="7">
        <f>IF(B1443="","",IFERROR(VLOOKUP(B1443, PLANTA_BASE!A:R, 3, FALSE), ""))</f>
        <v/>
      </c>
      <c r="D1443" s="5">
        <f>IF(B1443="","",IFERROR(VLOOKUP(B1443, PLANTA_BASE!A:R, 5, FALSE), "NO ENCONTRADO EN PLANTA"))</f>
        <v/>
      </c>
      <c r="E1443" s="5">
        <f>IF(B1443="","",IFERROR(VLOOKUP(B1443, PLANTA_BASE!A:R, 6, FALSE), "NO ENCONTRADO EN PLANTA"))</f>
        <v/>
      </c>
      <c r="F1443" s="7">
        <f>IF(B1443="","",IFERROR(VLOOKUP(B1443, PLANTA_BASE!A:R, 8, FALSE), "DOCENTE / FACILITADOR"))</f>
        <v/>
      </c>
      <c r="G1443" s="7">
        <f>IF(B1443="","",IFERROR(VLOOKUP(B1443, PLANTA_BASE!A:R, 9, FALSE), "GENERAL"))</f>
        <v/>
      </c>
      <c r="H1443" s="5">
        <f>IF(B1443="","",IFERROR(VLOOKUP(B1443, PLANTA_BASE!A:R, 17, FALSE), "GENERAL"))</f>
        <v/>
      </c>
    </row>
    <row r="1444" ht="20" customHeight="1">
      <c r="A1444" s="2">
        <f>IF(B1444="","",IFERROR(VLOOKUP(B1444, PLANTA_BASE!A:R, 2, FALSE), "NO ENCONTRADO EN PLANTA"))</f>
        <v/>
      </c>
      <c r="B1444" s="3" t="inlineStr"/>
      <c r="C1444" s="4">
        <f>IF(B1444="","",IFERROR(VLOOKUP(B1444, PLANTA_BASE!A:R, 3, FALSE), ""))</f>
        <v/>
      </c>
      <c r="D1444" s="2">
        <f>IF(B1444="","",IFERROR(VLOOKUP(B1444, PLANTA_BASE!A:R, 5, FALSE), "NO ENCONTRADO EN PLANTA"))</f>
        <v/>
      </c>
      <c r="E1444" s="2">
        <f>IF(B1444="","",IFERROR(VLOOKUP(B1444, PLANTA_BASE!A:R, 6, FALSE), "NO ENCONTRADO EN PLANTA"))</f>
        <v/>
      </c>
      <c r="F1444" s="4">
        <f>IF(B1444="","",IFERROR(VLOOKUP(B1444, PLANTA_BASE!A:R, 8, FALSE), "DOCENTE / FACILITADOR"))</f>
        <v/>
      </c>
      <c r="G1444" s="4">
        <f>IF(B1444="","",IFERROR(VLOOKUP(B1444, PLANTA_BASE!A:R, 9, FALSE), "GENERAL"))</f>
        <v/>
      </c>
      <c r="H1444" s="2">
        <f>IF(B1444="","",IFERROR(VLOOKUP(B1444, PLANTA_BASE!A:R, 17, FALSE), "GENERAL"))</f>
        <v/>
      </c>
    </row>
    <row r="1445" ht="20" customHeight="1">
      <c r="A1445" s="5">
        <f>IF(B1445="","",IFERROR(VLOOKUP(B1445, PLANTA_BASE!A:R, 2, FALSE), "NO ENCONTRADO EN PLANTA"))</f>
        <v/>
      </c>
      <c r="B1445" s="6" t="inlineStr"/>
      <c r="C1445" s="7">
        <f>IF(B1445="","",IFERROR(VLOOKUP(B1445, PLANTA_BASE!A:R, 3, FALSE), ""))</f>
        <v/>
      </c>
      <c r="D1445" s="5">
        <f>IF(B1445="","",IFERROR(VLOOKUP(B1445, PLANTA_BASE!A:R, 5, FALSE), "NO ENCONTRADO EN PLANTA"))</f>
        <v/>
      </c>
      <c r="E1445" s="5">
        <f>IF(B1445="","",IFERROR(VLOOKUP(B1445, PLANTA_BASE!A:R, 6, FALSE), "NO ENCONTRADO EN PLANTA"))</f>
        <v/>
      </c>
      <c r="F1445" s="7">
        <f>IF(B1445="","",IFERROR(VLOOKUP(B1445, PLANTA_BASE!A:R, 8, FALSE), "DOCENTE / FACILITADOR"))</f>
        <v/>
      </c>
      <c r="G1445" s="7">
        <f>IF(B1445="","",IFERROR(VLOOKUP(B1445, PLANTA_BASE!A:R, 9, FALSE), "GENERAL"))</f>
        <v/>
      </c>
      <c r="H1445" s="5">
        <f>IF(B1445="","",IFERROR(VLOOKUP(B1445, PLANTA_BASE!A:R, 17, FALSE), "GENERAL"))</f>
        <v/>
      </c>
    </row>
    <row r="1446" ht="20" customHeight="1">
      <c r="A1446" s="2">
        <f>IF(B1446="","",IFERROR(VLOOKUP(B1446, PLANTA_BASE!A:R, 2, FALSE), "NO ENCONTRADO EN PLANTA"))</f>
        <v/>
      </c>
      <c r="B1446" s="3" t="inlineStr"/>
      <c r="C1446" s="4">
        <f>IF(B1446="","",IFERROR(VLOOKUP(B1446, PLANTA_BASE!A:R, 3, FALSE), ""))</f>
        <v/>
      </c>
      <c r="D1446" s="2">
        <f>IF(B1446="","",IFERROR(VLOOKUP(B1446, PLANTA_BASE!A:R, 5, FALSE), "NO ENCONTRADO EN PLANTA"))</f>
        <v/>
      </c>
      <c r="E1446" s="2">
        <f>IF(B1446="","",IFERROR(VLOOKUP(B1446, PLANTA_BASE!A:R, 6, FALSE), "NO ENCONTRADO EN PLANTA"))</f>
        <v/>
      </c>
      <c r="F1446" s="4">
        <f>IF(B1446="","",IFERROR(VLOOKUP(B1446, PLANTA_BASE!A:R, 8, FALSE), "DOCENTE / FACILITADOR"))</f>
        <v/>
      </c>
      <c r="G1446" s="4">
        <f>IF(B1446="","",IFERROR(VLOOKUP(B1446, PLANTA_BASE!A:R, 9, FALSE), "GENERAL"))</f>
        <v/>
      </c>
      <c r="H1446" s="2">
        <f>IF(B1446="","",IFERROR(VLOOKUP(B1446, PLANTA_BASE!A:R, 17, FALSE), "GENERAL"))</f>
        <v/>
      </c>
    </row>
    <row r="1447" ht="20" customHeight="1">
      <c r="A1447" s="5">
        <f>IF(B1447="","",IFERROR(VLOOKUP(B1447, PLANTA_BASE!A:R, 2, FALSE), "NO ENCONTRADO EN PLANTA"))</f>
        <v/>
      </c>
      <c r="B1447" s="6" t="inlineStr"/>
      <c r="C1447" s="7">
        <f>IF(B1447="","",IFERROR(VLOOKUP(B1447, PLANTA_BASE!A:R, 3, FALSE), ""))</f>
        <v/>
      </c>
      <c r="D1447" s="5">
        <f>IF(B1447="","",IFERROR(VLOOKUP(B1447, PLANTA_BASE!A:R, 5, FALSE), "NO ENCONTRADO EN PLANTA"))</f>
        <v/>
      </c>
      <c r="E1447" s="5">
        <f>IF(B1447="","",IFERROR(VLOOKUP(B1447, PLANTA_BASE!A:R, 6, FALSE), "NO ENCONTRADO EN PLANTA"))</f>
        <v/>
      </c>
      <c r="F1447" s="7">
        <f>IF(B1447="","",IFERROR(VLOOKUP(B1447, PLANTA_BASE!A:R, 8, FALSE), "DOCENTE / FACILITADOR"))</f>
        <v/>
      </c>
      <c r="G1447" s="7">
        <f>IF(B1447="","",IFERROR(VLOOKUP(B1447, PLANTA_BASE!A:R, 9, FALSE), "GENERAL"))</f>
        <v/>
      </c>
      <c r="H1447" s="5">
        <f>IF(B1447="","",IFERROR(VLOOKUP(B1447, PLANTA_BASE!A:R, 17, FALSE), "GENERAL"))</f>
        <v/>
      </c>
    </row>
    <row r="1448" ht="20" customHeight="1">
      <c r="A1448" s="2">
        <f>IF(B1448="","",IFERROR(VLOOKUP(B1448, PLANTA_BASE!A:R, 2, FALSE), "NO ENCONTRADO EN PLANTA"))</f>
        <v/>
      </c>
      <c r="B1448" s="3" t="inlineStr"/>
      <c r="C1448" s="4">
        <f>IF(B1448="","",IFERROR(VLOOKUP(B1448, PLANTA_BASE!A:R, 3, FALSE), ""))</f>
        <v/>
      </c>
      <c r="D1448" s="2">
        <f>IF(B1448="","",IFERROR(VLOOKUP(B1448, PLANTA_BASE!A:R, 5, FALSE), "NO ENCONTRADO EN PLANTA"))</f>
        <v/>
      </c>
      <c r="E1448" s="2">
        <f>IF(B1448="","",IFERROR(VLOOKUP(B1448, PLANTA_BASE!A:R, 6, FALSE), "NO ENCONTRADO EN PLANTA"))</f>
        <v/>
      </c>
      <c r="F1448" s="4">
        <f>IF(B1448="","",IFERROR(VLOOKUP(B1448, PLANTA_BASE!A:R, 8, FALSE), "DOCENTE / FACILITADOR"))</f>
        <v/>
      </c>
      <c r="G1448" s="4">
        <f>IF(B1448="","",IFERROR(VLOOKUP(B1448, PLANTA_BASE!A:R, 9, FALSE), "GENERAL"))</f>
        <v/>
      </c>
      <c r="H1448" s="2">
        <f>IF(B1448="","",IFERROR(VLOOKUP(B1448, PLANTA_BASE!A:R, 17, FALSE), "GENERAL"))</f>
        <v/>
      </c>
    </row>
    <row r="1449" ht="20" customHeight="1">
      <c r="A1449" s="5">
        <f>IF(B1449="","",IFERROR(VLOOKUP(B1449, PLANTA_BASE!A:R, 2, FALSE), "NO ENCONTRADO EN PLANTA"))</f>
        <v/>
      </c>
      <c r="B1449" s="6" t="inlineStr"/>
      <c r="C1449" s="7">
        <f>IF(B1449="","",IFERROR(VLOOKUP(B1449, PLANTA_BASE!A:R, 3, FALSE), ""))</f>
        <v/>
      </c>
      <c r="D1449" s="5">
        <f>IF(B1449="","",IFERROR(VLOOKUP(B1449, PLANTA_BASE!A:R, 5, FALSE), "NO ENCONTRADO EN PLANTA"))</f>
        <v/>
      </c>
      <c r="E1449" s="5">
        <f>IF(B1449="","",IFERROR(VLOOKUP(B1449, PLANTA_BASE!A:R, 6, FALSE), "NO ENCONTRADO EN PLANTA"))</f>
        <v/>
      </c>
      <c r="F1449" s="7">
        <f>IF(B1449="","",IFERROR(VLOOKUP(B1449, PLANTA_BASE!A:R, 8, FALSE), "DOCENTE / FACILITADOR"))</f>
        <v/>
      </c>
      <c r="G1449" s="7">
        <f>IF(B1449="","",IFERROR(VLOOKUP(B1449, PLANTA_BASE!A:R, 9, FALSE), "GENERAL"))</f>
        <v/>
      </c>
      <c r="H1449" s="5">
        <f>IF(B1449="","",IFERROR(VLOOKUP(B1449, PLANTA_BASE!A:R, 17, FALSE), "GENERAL"))</f>
        <v/>
      </c>
    </row>
    <row r="1450" ht="20" customHeight="1">
      <c r="A1450" s="2">
        <f>IF(B1450="","",IFERROR(VLOOKUP(B1450, PLANTA_BASE!A:R, 2, FALSE), "NO ENCONTRADO EN PLANTA"))</f>
        <v/>
      </c>
      <c r="B1450" s="3" t="inlineStr"/>
      <c r="C1450" s="4">
        <f>IF(B1450="","",IFERROR(VLOOKUP(B1450, PLANTA_BASE!A:R, 3, FALSE), ""))</f>
        <v/>
      </c>
      <c r="D1450" s="2">
        <f>IF(B1450="","",IFERROR(VLOOKUP(B1450, PLANTA_BASE!A:R, 5, FALSE), "NO ENCONTRADO EN PLANTA"))</f>
        <v/>
      </c>
      <c r="E1450" s="2">
        <f>IF(B1450="","",IFERROR(VLOOKUP(B1450, PLANTA_BASE!A:R, 6, FALSE), "NO ENCONTRADO EN PLANTA"))</f>
        <v/>
      </c>
      <c r="F1450" s="4">
        <f>IF(B1450="","",IFERROR(VLOOKUP(B1450, PLANTA_BASE!A:R, 8, FALSE), "DOCENTE / FACILITADOR"))</f>
        <v/>
      </c>
      <c r="G1450" s="4">
        <f>IF(B1450="","",IFERROR(VLOOKUP(B1450, PLANTA_BASE!A:R, 9, FALSE), "GENERAL"))</f>
        <v/>
      </c>
      <c r="H1450" s="2">
        <f>IF(B1450="","",IFERROR(VLOOKUP(B1450, PLANTA_BASE!A:R, 17, FALSE), "GENERAL"))</f>
        <v/>
      </c>
    </row>
    <row r="1451" ht="20" customHeight="1">
      <c r="A1451" s="5">
        <f>IF(B1451="","",IFERROR(VLOOKUP(B1451, PLANTA_BASE!A:R, 2, FALSE), "NO ENCONTRADO EN PLANTA"))</f>
        <v/>
      </c>
      <c r="B1451" s="6" t="inlineStr"/>
      <c r="C1451" s="7">
        <f>IF(B1451="","",IFERROR(VLOOKUP(B1451, PLANTA_BASE!A:R, 3, FALSE), ""))</f>
        <v/>
      </c>
      <c r="D1451" s="5">
        <f>IF(B1451="","",IFERROR(VLOOKUP(B1451, PLANTA_BASE!A:R, 5, FALSE), "NO ENCONTRADO EN PLANTA"))</f>
        <v/>
      </c>
      <c r="E1451" s="5">
        <f>IF(B1451="","",IFERROR(VLOOKUP(B1451, PLANTA_BASE!A:R, 6, FALSE), "NO ENCONTRADO EN PLANTA"))</f>
        <v/>
      </c>
      <c r="F1451" s="7">
        <f>IF(B1451="","",IFERROR(VLOOKUP(B1451, PLANTA_BASE!A:R, 8, FALSE), "DOCENTE / FACILITADOR"))</f>
        <v/>
      </c>
      <c r="G1451" s="7">
        <f>IF(B1451="","",IFERROR(VLOOKUP(B1451, PLANTA_BASE!A:R, 9, FALSE), "GENERAL"))</f>
        <v/>
      </c>
      <c r="H1451" s="5">
        <f>IF(B1451="","",IFERROR(VLOOKUP(B1451, PLANTA_BASE!A:R, 17, FALSE), "GENERAL"))</f>
        <v/>
      </c>
    </row>
    <row r="1452" ht="20" customHeight="1">
      <c r="A1452" s="2">
        <f>IF(B1452="","",IFERROR(VLOOKUP(B1452, PLANTA_BASE!A:R, 2, FALSE), "NO ENCONTRADO EN PLANTA"))</f>
        <v/>
      </c>
      <c r="B1452" s="3" t="inlineStr"/>
      <c r="C1452" s="4">
        <f>IF(B1452="","",IFERROR(VLOOKUP(B1452, PLANTA_BASE!A:R, 3, FALSE), ""))</f>
        <v/>
      </c>
      <c r="D1452" s="2">
        <f>IF(B1452="","",IFERROR(VLOOKUP(B1452, PLANTA_BASE!A:R, 5, FALSE), "NO ENCONTRADO EN PLANTA"))</f>
        <v/>
      </c>
      <c r="E1452" s="2">
        <f>IF(B1452="","",IFERROR(VLOOKUP(B1452, PLANTA_BASE!A:R, 6, FALSE), "NO ENCONTRADO EN PLANTA"))</f>
        <v/>
      </c>
      <c r="F1452" s="4">
        <f>IF(B1452="","",IFERROR(VLOOKUP(B1452, PLANTA_BASE!A:R, 8, FALSE), "DOCENTE / FACILITADOR"))</f>
        <v/>
      </c>
      <c r="G1452" s="4">
        <f>IF(B1452="","",IFERROR(VLOOKUP(B1452, PLANTA_BASE!A:R, 9, FALSE), "GENERAL"))</f>
        <v/>
      </c>
      <c r="H1452" s="2">
        <f>IF(B1452="","",IFERROR(VLOOKUP(B1452, PLANTA_BASE!A:R, 17, FALSE), "GENERAL"))</f>
        <v/>
      </c>
    </row>
    <row r="1453" ht="20" customHeight="1">
      <c r="A1453" s="5">
        <f>IF(B1453="","",IFERROR(VLOOKUP(B1453, PLANTA_BASE!A:R, 2, FALSE), "NO ENCONTRADO EN PLANTA"))</f>
        <v/>
      </c>
      <c r="B1453" s="6" t="inlineStr"/>
      <c r="C1453" s="7">
        <f>IF(B1453="","",IFERROR(VLOOKUP(B1453, PLANTA_BASE!A:R, 3, FALSE), ""))</f>
        <v/>
      </c>
      <c r="D1453" s="5">
        <f>IF(B1453="","",IFERROR(VLOOKUP(B1453, PLANTA_BASE!A:R, 5, FALSE), "NO ENCONTRADO EN PLANTA"))</f>
        <v/>
      </c>
      <c r="E1453" s="5">
        <f>IF(B1453="","",IFERROR(VLOOKUP(B1453, PLANTA_BASE!A:R, 6, FALSE), "NO ENCONTRADO EN PLANTA"))</f>
        <v/>
      </c>
      <c r="F1453" s="7">
        <f>IF(B1453="","",IFERROR(VLOOKUP(B1453, PLANTA_BASE!A:R, 8, FALSE), "DOCENTE / FACILITADOR"))</f>
        <v/>
      </c>
      <c r="G1453" s="7">
        <f>IF(B1453="","",IFERROR(VLOOKUP(B1453, PLANTA_BASE!A:R, 9, FALSE), "GENERAL"))</f>
        <v/>
      </c>
      <c r="H1453" s="5">
        <f>IF(B1453="","",IFERROR(VLOOKUP(B1453, PLANTA_BASE!A:R, 17, FALSE), "GENERAL"))</f>
        <v/>
      </c>
    </row>
    <row r="1454" ht="20" customHeight="1">
      <c r="A1454" s="2">
        <f>IF(B1454="","",IFERROR(VLOOKUP(B1454, PLANTA_BASE!A:R, 2, FALSE), "NO ENCONTRADO EN PLANTA"))</f>
        <v/>
      </c>
      <c r="B1454" s="3" t="inlineStr"/>
      <c r="C1454" s="4">
        <f>IF(B1454="","",IFERROR(VLOOKUP(B1454, PLANTA_BASE!A:R, 3, FALSE), ""))</f>
        <v/>
      </c>
      <c r="D1454" s="2">
        <f>IF(B1454="","",IFERROR(VLOOKUP(B1454, PLANTA_BASE!A:R, 5, FALSE), "NO ENCONTRADO EN PLANTA"))</f>
        <v/>
      </c>
      <c r="E1454" s="2">
        <f>IF(B1454="","",IFERROR(VLOOKUP(B1454, PLANTA_BASE!A:R, 6, FALSE), "NO ENCONTRADO EN PLANTA"))</f>
        <v/>
      </c>
      <c r="F1454" s="4">
        <f>IF(B1454="","",IFERROR(VLOOKUP(B1454, PLANTA_BASE!A:R, 8, FALSE), "DOCENTE / FACILITADOR"))</f>
        <v/>
      </c>
      <c r="G1454" s="4">
        <f>IF(B1454="","",IFERROR(VLOOKUP(B1454, PLANTA_BASE!A:R, 9, FALSE), "GENERAL"))</f>
        <v/>
      </c>
      <c r="H1454" s="2">
        <f>IF(B1454="","",IFERROR(VLOOKUP(B1454, PLANTA_BASE!A:R, 17, FALSE), "GENERAL"))</f>
        <v/>
      </c>
    </row>
    <row r="1455" ht="20" customHeight="1">
      <c r="A1455" s="5">
        <f>IF(B1455="","",IFERROR(VLOOKUP(B1455, PLANTA_BASE!A:R, 2, FALSE), "NO ENCONTRADO EN PLANTA"))</f>
        <v/>
      </c>
      <c r="B1455" s="6" t="inlineStr"/>
      <c r="C1455" s="7">
        <f>IF(B1455="","",IFERROR(VLOOKUP(B1455, PLANTA_BASE!A:R, 3, FALSE), ""))</f>
        <v/>
      </c>
      <c r="D1455" s="5">
        <f>IF(B1455="","",IFERROR(VLOOKUP(B1455, PLANTA_BASE!A:R, 5, FALSE), "NO ENCONTRADO EN PLANTA"))</f>
        <v/>
      </c>
      <c r="E1455" s="5">
        <f>IF(B1455="","",IFERROR(VLOOKUP(B1455, PLANTA_BASE!A:R, 6, FALSE), "NO ENCONTRADO EN PLANTA"))</f>
        <v/>
      </c>
      <c r="F1455" s="7">
        <f>IF(B1455="","",IFERROR(VLOOKUP(B1455, PLANTA_BASE!A:R, 8, FALSE), "DOCENTE / FACILITADOR"))</f>
        <v/>
      </c>
      <c r="G1455" s="7">
        <f>IF(B1455="","",IFERROR(VLOOKUP(B1455, PLANTA_BASE!A:R, 9, FALSE), "GENERAL"))</f>
        <v/>
      </c>
      <c r="H1455" s="5">
        <f>IF(B1455="","",IFERROR(VLOOKUP(B1455, PLANTA_BASE!A:R, 17, FALSE), "GENERAL"))</f>
        <v/>
      </c>
    </row>
    <row r="1456" ht="20" customHeight="1">
      <c r="A1456" s="2">
        <f>IF(B1456="","",IFERROR(VLOOKUP(B1456, PLANTA_BASE!A:R, 2, FALSE), "NO ENCONTRADO EN PLANTA"))</f>
        <v/>
      </c>
      <c r="B1456" s="3" t="inlineStr"/>
      <c r="C1456" s="4">
        <f>IF(B1456="","",IFERROR(VLOOKUP(B1456, PLANTA_BASE!A:R, 3, FALSE), ""))</f>
        <v/>
      </c>
      <c r="D1456" s="2">
        <f>IF(B1456="","",IFERROR(VLOOKUP(B1456, PLANTA_BASE!A:R, 5, FALSE), "NO ENCONTRADO EN PLANTA"))</f>
        <v/>
      </c>
      <c r="E1456" s="2">
        <f>IF(B1456="","",IFERROR(VLOOKUP(B1456, PLANTA_BASE!A:R, 6, FALSE), "NO ENCONTRADO EN PLANTA"))</f>
        <v/>
      </c>
      <c r="F1456" s="4">
        <f>IF(B1456="","",IFERROR(VLOOKUP(B1456, PLANTA_BASE!A:R, 8, FALSE), "DOCENTE / FACILITADOR"))</f>
        <v/>
      </c>
      <c r="G1456" s="4">
        <f>IF(B1456="","",IFERROR(VLOOKUP(B1456, PLANTA_BASE!A:R, 9, FALSE), "GENERAL"))</f>
        <v/>
      </c>
      <c r="H1456" s="2">
        <f>IF(B1456="","",IFERROR(VLOOKUP(B1456, PLANTA_BASE!A:R, 17, FALSE), "GENERAL"))</f>
        <v/>
      </c>
    </row>
    <row r="1457" ht="20" customHeight="1">
      <c r="A1457" s="5">
        <f>IF(B1457="","",IFERROR(VLOOKUP(B1457, PLANTA_BASE!A:R, 2, FALSE), "NO ENCONTRADO EN PLANTA"))</f>
        <v/>
      </c>
      <c r="B1457" s="6" t="inlineStr"/>
      <c r="C1457" s="7">
        <f>IF(B1457="","",IFERROR(VLOOKUP(B1457, PLANTA_BASE!A:R, 3, FALSE), ""))</f>
        <v/>
      </c>
      <c r="D1457" s="5">
        <f>IF(B1457="","",IFERROR(VLOOKUP(B1457, PLANTA_BASE!A:R, 5, FALSE), "NO ENCONTRADO EN PLANTA"))</f>
        <v/>
      </c>
      <c r="E1457" s="5">
        <f>IF(B1457="","",IFERROR(VLOOKUP(B1457, PLANTA_BASE!A:R, 6, FALSE), "NO ENCONTRADO EN PLANTA"))</f>
        <v/>
      </c>
      <c r="F1457" s="7">
        <f>IF(B1457="","",IFERROR(VLOOKUP(B1457, PLANTA_BASE!A:R, 8, FALSE), "DOCENTE / FACILITADOR"))</f>
        <v/>
      </c>
      <c r="G1457" s="7">
        <f>IF(B1457="","",IFERROR(VLOOKUP(B1457, PLANTA_BASE!A:R, 9, FALSE), "GENERAL"))</f>
        <v/>
      </c>
      <c r="H1457" s="5">
        <f>IF(B1457="","",IFERROR(VLOOKUP(B1457, PLANTA_BASE!A:R, 17, FALSE), "GENERAL"))</f>
        <v/>
      </c>
    </row>
    <row r="1458" ht="20" customHeight="1">
      <c r="A1458" s="2">
        <f>IF(B1458="","",IFERROR(VLOOKUP(B1458, PLANTA_BASE!A:R, 2, FALSE), "NO ENCONTRADO EN PLANTA"))</f>
        <v/>
      </c>
      <c r="B1458" s="3" t="inlineStr"/>
      <c r="C1458" s="4">
        <f>IF(B1458="","",IFERROR(VLOOKUP(B1458, PLANTA_BASE!A:R, 3, FALSE), ""))</f>
        <v/>
      </c>
      <c r="D1458" s="2">
        <f>IF(B1458="","",IFERROR(VLOOKUP(B1458, PLANTA_BASE!A:R, 5, FALSE), "NO ENCONTRADO EN PLANTA"))</f>
        <v/>
      </c>
      <c r="E1458" s="2">
        <f>IF(B1458="","",IFERROR(VLOOKUP(B1458, PLANTA_BASE!A:R, 6, FALSE), "NO ENCONTRADO EN PLANTA"))</f>
        <v/>
      </c>
      <c r="F1458" s="4">
        <f>IF(B1458="","",IFERROR(VLOOKUP(B1458, PLANTA_BASE!A:R, 8, FALSE), "DOCENTE / FACILITADOR"))</f>
        <v/>
      </c>
      <c r="G1458" s="4">
        <f>IF(B1458="","",IFERROR(VLOOKUP(B1458, PLANTA_BASE!A:R, 9, FALSE), "GENERAL"))</f>
        <v/>
      </c>
      <c r="H1458" s="2">
        <f>IF(B1458="","",IFERROR(VLOOKUP(B1458, PLANTA_BASE!A:R, 17, FALSE), "GENERAL"))</f>
        <v/>
      </c>
    </row>
    <row r="1459" ht="20" customHeight="1">
      <c r="A1459" s="5">
        <f>IF(B1459="","",IFERROR(VLOOKUP(B1459, PLANTA_BASE!A:R, 2, FALSE), "NO ENCONTRADO EN PLANTA"))</f>
        <v/>
      </c>
      <c r="B1459" s="6" t="inlineStr"/>
      <c r="C1459" s="7">
        <f>IF(B1459="","",IFERROR(VLOOKUP(B1459, PLANTA_BASE!A:R, 3, FALSE), ""))</f>
        <v/>
      </c>
      <c r="D1459" s="5">
        <f>IF(B1459="","",IFERROR(VLOOKUP(B1459, PLANTA_BASE!A:R, 5, FALSE), "NO ENCONTRADO EN PLANTA"))</f>
        <v/>
      </c>
      <c r="E1459" s="5">
        <f>IF(B1459="","",IFERROR(VLOOKUP(B1459, PLANTA_BASE!A:R, 6, FALSE), "NO ENCONTRADO EN PLANTA"))</f>
        <v/>
      </c>
      <c r="F1459" s="7">
        <f>IF(B1459="","",IFERROR(VLOOKUP(B1459, PLANTA_BASE!A:R, 8, FALSE), "DOCENTE / FACILITADOR"))</f>
        <v/>
      </c>
      <c r="G1459" s="7">
        <f>IF(B1459="","",IFERROR(VLOOKUP(B1459, PLANTA_BASE!A:R, 9, FALSE), "GENERAL"))</f>
        <v/>
      </c>
      <c r="H1459" s="5">
        <f>IF(B1459="","",IFERROR(VLOOKUP(B1459, PLANTA_BASE!A:R, 17, FALSE), "GENERAL"))</f>
        <v/>
      </c>
    </row>
    <row r="1460" ht="20" customHeight="1">
      <c r="A1460" s="2">
        <f>IF(B1460="","",IFERROR(VLOOKUP(B1460, PLANTA_BASE!A:R, 2, FALSE), "NO ENCONTRADO EN PLANTA"))</f>
        <v/>
      </c>
      <c r="B1460" s="3" t="inlineStr"/>
      <c r="C1460" s="4">
        <f>IF(B1460="","",IFERROR(VLOOKUP(B1460, PLANTA_BASE!A:R, 3, FALSE), ""))</f>
        <v/>
      </c>
      <c r="D1460" s="2">
        <f>IF(B1460="","",IFERROR(VLOOKUP(B1460, PLANTA_BASE!A:R, 5, FALSE), "NO ENCONTRADO EN PLANTA"))</f>
        <v/>
      </c>
      <c r="E1460" s="2">
        <f>IF(B1460="","",IFERROR(VLOOKUP(B1460, PLANTA_BASE!A:R, 6, FALSE), "NO ENCONTRADO EN PLANTA"))</f>
        <v/>
      </c>
      <c r="F1460" s="4">
        <f>IF(B1460="","",IFERROR(VLOOKUP(B1460, PLANTA_BASE!A:R, 8, FALSE), "DOCENTE / FACILITADOR"))</f>
        <v/>
      </c>
      <c r="G1460" s="4">
        <f>IF(B1460="","",IFERROR(VLOOKUP(B1460, PLANTA_BASE!A:R, 9, FALSE), "GENERAL"))</f>
        <v/>
      </c>
      <c r="H1460" s="2">
        <f>IF(B1460="","",IFERROR(VLOOKUP(B1460, PLANTA_BASE!A:R, 17, FALSE), "GENERAL"))</f>
        <v/>
      </c>
    </row>
    <row r="1461" ht="20" customHeight="1">
      <c r="A1461" s="5">
        <f>IF(B1461="","",IFERROR(VLOOKUP(B1461, PLANTA_BASE!A:R, 2, FALSE), "NO ENCONTRADO EN PLANTA"))</f>
        <v/>
      </c>
      <c r="B1461" s="6" t="inlineStr"/>
      <c r="C1461" s="7">
        <f>IF(B1461="","",IFERROR(VLOOKUP(B1461, PLANTA_BASE!A:R, 3, FALSE), ""))</f>
        <v/>
      </c>
      <c r="D1461" s="5">
        <f>IF(B1461="","",IFERROR(VLOOKUP(B1461, PLANTA_BASE!A:R, 5, FALSE), "NO ENCONTRADO EN PLANTA"))</f>
        <v/>
      </c>
      <c r="E1461" s="5">
        <f>IF(B1461="","",IFERROR(VLOOKUP(B1461, PLANTA_BASE!A:R, 6, FALSE), "NO ENCONTRADO EN PLANTA"))</f>
        <v/>
      </c>
      <c r="F1461" s="7">
        <f>IF(B1461="","",IFERROR(VLOOKUP(B1461, PLANTA_BASE!A:R, 8, FALSE), "DOCENTE / FACILITADOR"))</f>
        <v/>
      </c>
      <c r="G1461" s="7">
        <f>IF(B1461="","",IFERROR(VLOOKUP(B1461, PLANTA_BASE!A:R, 9, FALSE), "GENERAL"))</f>
        <v/>
      </c>
      <c r="H1461" s="5">
        <f>IF(B1461="","",IFERROR(VLOOKUP(B1461, PLANTA_BASE!A:R, 17, FALSE), "GENERAL"))</f>
        <v/>
      </c>
    </row>
    <row r="1462" ht="20" customHeight="1">
      <c r="A1462" s="2">
        <f>IF(B1462="","",IFERROR(VLOOKUP(B1462, PLANTA_BASE!A:R, 2, FALSE), "NO ENCONTRADO EN PLANTA"))</f>
        <v/>
      </c>
      <c r="B1462" s="3" t="inlineStr"/>
      <c r="C1462" s="4">
        <f>IF(B1462="","",IFERROR(VLOOKUP(B1462, PLANTA_BASE!A:R, 3, FALSE), ""))</f>
        <v/>
      </c>
      <c r="D1462" s="2">
        <f>IF(B1462="","",IFERROR(VLOOKUP(B1462, PLANTA_BASE!A:R, 5, FALSE), "NO ENCONTRADO EN PLANTA"))</f>
        <v/>
      </c>
      <c r="E1462" s="2">
        <f>IF(B1462="","",IFERROR(VLOOKUP(B1462, PLANTA_BASE!A:R, 6, FALSE), "NO ENCONTRADO EN PLANTA"))</f>
        <v/>
      </c>
      <c r="F1462" s="4">
        <f>IF(B1462="","",IFERROR(VLOOKUP(B1462, PLANTA_BASE!A:R, 8, FALSE), "DOCENTE / FACILITADOR"))</f>
        <v/>
      </c>
      <c r="G1462" s="4">
        <f>IF(B1462="","",IFERROR(VLOOKUP(B1462, PLANTA_BASE!A:R, 9, FALSE), "GENERAL"))</f>
        <v/>
      </c>
      <c r="H1462" s="2">
        <f>IF(B1462="","",IFERROR(VLOOKUP(B1462, PLANTA_BASE!A:R, 17, FALSE), "GENERAL"))</f>
        <v/>
      </c>
    </row>
    <row r="1463" ht="20" customHeight="1">
      <c r="A1463" s="5">
        <f>IF(B1463="","",IFERROR(VLOOKUP(B1463, PLANTA_BASE!A:R, 2, FALSE), "NO ENCONTRADO EN PLANTA"))</f>
        <v/>
      </c>
      <c r="B1463" s="6" t="inlineStr"/>
      <c r="C1463" s="7">
        <f>IF(B1463="","",IFERROR(VLOOKUP(B1463, PLANTA_BASE!A:R, 3, FALSE), ""))</f>
        <v/>
      </c>
      <c r="D1463" s="5">
        <f>IF(B1463="","",IFERROR(VLOOKUP(B1463, PLANTA_BASE!A:R, 5, FALSE), "NO ENCONTRADO EN PLANTA"))</f>
        <v/>
      </c>
      <c r="E1463" s="5">
        <f>IF(B1463="","",IFERROR(VLOOKUP(B1463, PLANTA_BASE!A:R, 6, FALSE), "NO ENCONTRADO EN PLANTA"))</f>
        <v/>
      </c>
      <c r="F1463" s="7">
        <f>IF(B1463="","",IFERROR(VLOOKUP(B1463, PLANTA_BASE!A:R, 8, FALSE), "DOCENTE / FACILITADOR"))</f>
        <v/>
      </c>
      <c r="G1463" s="7">
        <f>IF(B1463="","",IFERROR(VLOOKUP(B1463, PLANTA_BASE!A:R, 9, FALSE), "GENERAL"))</f>
        <v/>
      </c>
      <c r="H1463" s="5">
        <f>IF(B1463="","",IFERROR(VLOOKUP(B1463, PLANTA_BASE!A:R, 17, FALSE), "GENERAL"))</f>
        <v/>
      </c>
    </row>
    <row r="1464" ht="20" customHeight="1">
      <c r="A1464" s="2">
        <f>IF(B1464="","",IFERROR(VLOOKUP(B1464, PLANTA_BASE!A:R, 2, FALSE), "NO ENCONTRADO EN PLANTA"))</f>
        <v/>
      </c>
      <c r="B1464" s="3" t="inlineStr"/>
      <c r="C1464" s="4">
        <f>IF(B1464="","",IFERROR(VLOOKUP(B1464, PLANTA_BASE!A:R, 3, FALSE), ""))</f>
        <v/>
      </c>
      <c r="D1464" s="2">
        <f>IF(B1464="","",IFERROR(VLOOKUP(B1464, PLANTA_BASE!A:R, 5, FALSE), "NO ENCONTRADO EN PLANTA"))</f>
        <v/>
      </c>
      <c r="E1464" s="2">
        <f>IF(B1464="","",IFERROR(VLOOKUP(B1464, PLANTA_BASE!A:R, 6, FALSE), "NO ENCONTRADO EN PLANTA"))</f>
        <v/>
      </c>
      <c r="F1464" s="4">
        <f>IF(B1464="","",IFERROR(VLOOKUP(B1464, PLANTA_BASE!A:R, 8, FALSE), "DOCENTE / FACILITADOR"))</f>
        <v/>
      </c>
      <c r="G1464" s="4">
        <f>IF(B1464="","",IFERROR(VLOOKUP(B1464, PLANTA_BASE!A:R, 9, FALSE), "GENERAL"))</f>
        <v/>
      </c>
      <c r="H1464" s="2">
        <f>IF(B1464="","",IFERROR(VLOOKUP(B1464, PLANTA_BASE!A:R, 17, FALSE), "GENERAL"))</f>
        <v/>
      </c>
    </row>
    <row r="1465" ht="20" customHeight="1">
      <c r="A1465" s="5">
        <f>IF(B1465="","",IFERROR(VLOOKUP(B1465, PLANTA_BASE!A:R, 2, FALSE), "NO ENCONTRADO EN PLANTA"))</f>
        <v/>
      </c>
      <c r="B1465" s="6" t="inlineStr"/>
      <c r="C1465" s="7">
        <f>IF(B1465="","",IFERROR(VLOOKUP(B1465, PLANTA_BASE!A:R, 3, FALSE), ""))</f>
        <v/>
      </c>
      <c r="D1465" s="5">
        <f>IF(B1465="","",IFERROR(VLOOKUP(B1465, PLANTA_BASE!A:R, 5, FALSE), "NO ENCONTRADO EN PLANTA"))</f>
        <v/>
      </c>
      <c r="E1465" s="5">
        <f>IF(B1465="","",IFERROR(VLOOKUP(B1465, PLANTA_BASE!A:R, 6, FALSE), "NO ENCONTRADO EN PLANTA"))</f>
        <v/>
      </c>
      <c r="F1465" s="7">
        <f>IF(B1465="","",IFERROR(VLOOKUP(B1465, PLANTA_BASE!A:R, 8, FALSE), "DOCENTE / FACILITADOR"))</f>
        <v/>
      </c>
      <c r="G1465" s="7">
        <f>IF(B1465="","",IFERROR(VLOOKUP(B1465, PLANTA_BASE!A:R, 9, FALSE), "GENERAL"))</f>
        <v/>
      </c>
      <c r="H1465" s="5">
        <f>IF(B1465="","",IFERROR(VLOOKUP(B1465, PLANTA_BASE!A:R, 17, FALSE), "GENERAL"))</f>
        <v/>
      </c>
    </row>
    <row r="1466" ht="20" customHeight="1">
      <c r="A1466" s="2">
        <f>IF(B1466="","",IFERROR(VLOOKUP(B1466, PLANTA_BASE!A:R, 2, FALSE), "NO ENCONTRADO EN PLANTA"))</f>
        <v/>
      </c>
      <c r="B1466" s="3" t="inlineStr"/>
      <c r="C1466" s="4">
        <f>IF(B1466="","",IFERROR(VLOOKUP(B1466, PLANTA_BASE!A:R, 3, FALSE), ""))</f>
        <v/>
      </c>
      <c r="D1466" s="2">
        <f>IF(B1466="","",IFERROR(VLOOKUP(B1466, PLANTA_BASE!A:R, 5, FALSE), "NO ENCONTRADO EN PLANTA"))</f>
        <v/>
      </c>
      <c r="E1466" s="2">
        <f>IF(B1466="","",IFERROR(VLOOKUP(B1466, PLANTA_BASE!A:R, 6, FALSE), "NO ENCONTRADO EN PLANTA"))</f>
        <v/>
      </c>
      <c r="F1466" s="4">
        <f>IF(B1466="","",IFERROR(VLOOKUP(B1466, PLANTA_BASE!A:R, 8, FALSE), "DOCENTE / FACILITADOR"))</f>
        <v/>
      </c>
      <c r="G1466" s="4">
        <f>IF(B1466="","",IFERROR(VLOOKUP(B1466, PLANTA_BASE!A:R, 9, FALSE), "GENERAL"))</f>
        <v/>
      </c>
      <c r="H1466" s="2">
        <f>IF(B1466="","",IFERROR(VLOOKUP(B1466, PLANTA_BASE!A:R, 17, FALSE), "GENERAL"))</f>
        <v/>
      </c>
    </row>
    <row r="1467" ht="20" customHeight="1">
      <c r="A1467" s="5">
        <f>IF(B1467="","",IFERROR(VLOOKUP(B1467, PLANTA_BASE!A:R, 2, FALSE), "NO ENCONTRADO EN PLANTA"))</f>
        <v/>
      </c>
      <c r="B1467" s="6" t="inlineStr"/>
      <c r="C1467" s="7">
        <f>IF(B1467="","",IFERROR(VLOOKUP(B1467, PLANTA_BASE!A:R, 3, FALSE), ""))</f>
        <v/>
      </c>
      <c r="D1467" s="5">
        <f>IF(B1467="","",IFERROR(VLOOKUP(B1467, PLANTA_BASE!A:R, 5, FALSE), "NO ENCONTRADO EN PLANTA"))</f>
        <v/>
      </c>
      <c r="E1467" s="5">
        <f>IF(B1467="","",IFERROR(VLOOKUP(B1467, PLANTA_BASE!A:R, 6, FALSE), "NO ENCONTRADO EN PLANTA"))</f>
        <v/>
      </c>
      <c r="F1467" s="7">
        <f>IF(B1467="","",IFERROR(VLOOKUP(B1467, PLANTA_BASE!A:R, 8, FALSE), "DOCENTE / FACILITADOR"))</f>
        <v/>
      </c>
      <c r="G1467" s="7">
        <f>IF(B1467="","",IFERROR(VLOOKUP(B1467, PLANTA_BASE!A:R, 9, FALSE), "GENERAL"))</f>
        <v/>
      </c>
      <c r="H1467" s="5">
        <f>IF(B1467="","",IFERROR(VLOOKUP(B1467, PLANTA_BASE!A:R, 17, FALSE), "GENERAL"))</f>
        <v/>
      </c>
    </row>
    <row r="1468" ht="20" customHeight="1">
      <c r="A1468" s="2">
        <f>IF(B1468="","",IFERROR(VLOOKUP(B1468, PLANTA_BASE!A:R, 2, FALSE), "NO ENCONTRADO EN PLANTA"))</f>
        <v/>
      </c>
      <c r="B1468" s="3" t="inlineStr"/>
      <c r="C1468" s="4">
        <f>IF(B1468="","",IFERROR(VLOOKUP(B1468, PLANTA_BASE!A:R, 3, FALSE), ""))</f>
        <v/>
      </c>
      <c r="D1468" s="2">
        <f>IF(B1468="","",IFERROR(VLOOKUP(B1468, PLANTA_BASE!A:R, 5, FALSE), "NO ENCONTRADO EN PLANTA"))</f>
        <v/>
      </c>
      <c r="E1468" s="2">
        <f>IF(B1468="","",IFERROR(VLOOKUP(B1468, PLANTA_BASE!A:R, 6, FALSE), "NO ENCONTRADO EN PLANTA"))</f>
        <v/>
      </c>
      <c r="F1468" s="4">
        <f>IF(B1468="","",IFERROR(VLOOKUP(B1468, PLANTA_BASE!A:R, 8, FALSE), "DOCENTE / FACILITADOR"))</f>
        <v/>
      </c>
      <c r="G1468" s="4">
        <f>IF(B1468="","",IFERROR(VLOOKUP(B1468, PLANTA_BASE!A:R, 9, FALSE), "GENERAL"))</f>
        <v/>
      </c>
      <c r="H1468" s="2">
        <f>IF(B1468="","",IFERROR(VLOOKUP(B1468, PLANTA_BASE!A:R, 17, FALSE), "GENERAL"))</f>
        <v/>
      </c>
    </row>
    <row r="1469" ht="20" customHeight="1">
      <c r="A1469" s="5">
        <f>IF(B1469="","",IFERROR(VLOOKUP(B1469, PLANTA_BASE!A:R, 2, FALSE), "NO ENCONTRADO EN PLANTA"))</f>
        <v/>
      </c>
      <c r="B1469" s="6" t="inlineStr"/>
      <c r="C1469" s="7">
        <f>IF(B1469="","",IFERROR(VLOOKUP(B1469, PLANTA_BASE!A:R, 3, FALSE), ""))</f>
        <v/>
      </c>
      <c r="D1469" s="5">
        <f>IF(B1469="","",IFERROR(VLOOKUP(B1469, PLANTA_BASE!A:R, 5, FALSE), "NO ENCONTRADO EN PLANTA"))</f>
        <v/>
      </c>
      <c r="E1469" s="5">
        <f>IF(B1469="","",IFERROR(VLOOKUP(B1469, PLANTA_BASE!A:R, 6, FALSE), "NO ENCONTRADO EN PLANTA"))</f>
        <v/>
      </c>
      <c r="F1469" s="7">
        <f>IF(B1469="","",IFERROR(VLOOKUP(B1469, PLANTA_BASE!A:R, 8, FALSE), "DOCENTE / FACILITADOR"))</f>
        <v/>
      </c>
      <c r="G1469" s="7">
        <f>IF(B1469="","",IFERROR(VLOOKUP(B1469, PLANTA_BASE!A:R, 9, FALSE), "GENERAL"))</f>
        <v/>
      </c>
      <c r="H1469" s="5">
        <f>IF(B1469="","",IFERROR(VLOOKUP(B1469, PLANTA_BASE!A:R, 17, FALSE), "GENERAL"))</f>
        <v/>
      </c>
    </row>
    <row r="1470" ht="20" customHeight="1">
      <c r="A1470" s="2">
        <f>IF(B1470="","",IFERROR(VLOOKUP(B1470, PLANTA_BASE!A:R, 2, FALSE), "NO ENCONTRADO EN PLANTA"))</f>
        <v/>
      </c>
      <c r="B1470" s="3" t="inlineStr"/>
      <c r="C1470" s="4">
        <f>IF(B1470="","",IFERROR(VLOOKUP(B1470, PLANTA_BASE!A:R, 3, FALSE), ""))</f>
        <v/>
      </c>
      <c r="D1470" s="2">
        <f>IF(B1470="","",IFERROR(VLOOKUP(B1470, PLANTA_BASE!A:R, 5, FALSE), "NO ENCONTRADO EN PLANTA"))</f>
        <v/>
      </c>
      <c r="E1470" s="2">
        <f>IF(B1470="","",IFERROR(VLOOKUP(B1470, PLANTA_BASE!A:R, 6, FALSE), "NO ENCONTRADO EN PLANTA"))</f>
        <v/>
      </c>
      <c r="F1470" s="4">
        <f>IF(B1470="","",IFERROR(VLOOKUP(B1470, PLANTA_BASE!A:R, 8, FALSE), "DOCENTE / FACILITADOR"))</f>
        <v/>
      </c>
      <c r="G1470" s="4">
        <f>IF(B1470="","",IFERROR(VLOOKUP(B1470, PLANTA_BASE!A:R, 9, FALSE), "GENERAL"))</f>
        <v/>
      </c>
      <c r="H1470" s="2">
        <f>IF(B1470="","",IFERROR(VLOOKUP(B1470, PLANTA_BASE!A:R, 17, FALSE), "GENERAL"))</f>
        <v/>
      </c>
    </row>
    <row r="1471" ht="20" customHeight="1">
      <c r="A1471" s="5">
        <f>IF(B1471="","",IFERROR(VLOOKUP(B1471, PLANTA_BASE!A:R, 2, FALSE), "NO ENCONTRADO EN PLANTA"))</f>
        <v/>
      </c>
      <c r="B1471" s="6" t="inlineStr"/>
      <c r="C1471" s="7">
        <f>IF(B1471="","",IFERROR(VLOOKUP(B1471, PLANTA_BASE!A:R, 3, FALSE), ""))</f>
        <v/>
      </c>
      <c r="D1471" s="5">
        <f>IF(B1471="","",IFERROR(VLOOKUP(B1471, PLANTA_BASE!A:R, 5, FALSE), "NO ENCONTRADO EN PLANTA"))</f>
        <v/>
      </c>
      <c r="E1471" s="5">
        <f>IF(B1471="","",IFERROR(VLOOKUP(B1471, PLANTA_BASE!A:R, 6, FALSE), "NO ENCONTRADO EN PLANTA"))</f>
        <v/>
      </c>
      <c r="F1471" s="7">
        <f>IF(B1471="","",IFERROR(VLOOKUP(B1471, PLANTA_BASE!A:R, 8, FALSE), "DOCENTE / FACILITADOR"))</f>
        <v/>
      </c>
      <c r="G1471" s="7">
        <f>IF(B1471="","",IFERROR(VLOOKUP(B1471, PLANTA_BASE!A:R, 9, FALSE), "GENERAL"))</f>
        <v/>
      </c>
      <c r="H1471" s="5">
        <f>IF(B1471="","",IFERROR(VLOOKUP(B1471, PLANTA_BASE!A:R, 17, FALSE), "GENERAL"))</f>
        <v/>
      </c>
    </row>
    <row r="1472" ht="20" customHeight="1">
      <c r="A1472" s="2">
        <f>IF(B1472="","",IFERROR(VLOOKUP(B1472, PLANTA_BASE!A:R, 2, FALSE), "NO ENCONTRADO EN PLANTA"))</f>
        <v/>
      </c>
      <c r="B1472" s="3" t="inlineStr"/>
      <c r="C1472" s="4">
        <f>IF(B1472="","",IFERROR(VLOOKUP(B1472, PLANTA_BASE!A:R, 3, FALSE), ""))</f>
        <v/>
      </c>
      <c r="D1472" s="2">
        <f>IF(B1472="","",IFERROR(VLOOKUP(B1472, PLANTA_BASE!A:R, 5, FALSE), "NO ENCONTRADO EN PLANTA"))</f>
        <v/>
      </c>
      <c r="E1472" s="2">
        <f>IF(B1472="","",IFERROR(VLOOKUP(B1472, PLANTA_BASE!A:R, 6, FALSE), "NO ENCONTRADO EN PLANTA"))</f>
        <v/>
      </c>
      <c r="F1472" s="4">
        <f>IF(B1472="","",IFERROR(VLOOKUP(B1472, PLANTA_BASE!A:R, 8, FALSE), "DOCENTE / FACILITADOR"))</f>
        <v/>
      </c>
      <c r="G1472" s="4">
        <f>IF(B1472="","",IFERROR(VLOOKUP(B1472, PLANTA_BASE!A:R, 9, FALSE), "GENERAL"))</f>
        <v/>
      </c>
      <c r="H1472" s="2">
        <f>IF(B1472="","",IFERROR(VLOOKUP(B1472, PLANTA_BASE!A:R, 17, FALSE), "GENERAL"))</f>
        <v/>
      </c>
    </row>
    <row r="1473" ht="20" customHeight="1">
      <c r="A1473" s="5">
        <f>IF(B1473="","",IFERROR(VLOOKUP(B1473, PLANTA_BASE!A:R, 2, FALSE), "NO ENCONTRADO EN PLANTA"))</f>
        <v/>
      </c>
      <c r="B1473" s="6" t="inlineStr"/>
      <c r="C1473" s="7">
        <f>IF(B1473="","",IFERROR(VLOOKUP(B1473, PLANTA_BASE!A:R, 3, FALSE), ""))</f>
        <v/>
      </c>
      <c r="D1473" s="5">
        <f>IF(B1473="","",IFERROR(VLOOKUP(B1473, PLANTA_BASE!A:R, 5, FALSE), "NO ENCONTRADO EN PLANTA"))</f>
        <v/>
      </c>
      <c r="E1473" s="5">
        <f>IF(B1473="","",IFERROR(VLOOKUP(B1473, PLANTA_BASE!A:R, 6, FALSE), "NO ENCONTRADO EN PLANTA"))</f>
        <v/>
      </c>
      <c r="F1473" s="7">
        <f>IF(B1473="","",IFERROR(VLOOKUP(B1473, PLANTA_BASE!A:R, 8, FALSE), "DOCENTE / FACILITADOR"))</f>
        <v/>
      </c>
      <c r="G1473" s="7">
        <f>IF(B1473="","",IFERROR(VLOOKUP(B1473, PLANTA_BASE!A:R, 9, FALSE), "GENERAL"))</f>
        <v/>
      </c>
      <c r="H1473" s="5">
        <f>IF(B1473="","",IFERROR(VLOOKUP(B1473, PLANTA_BASE!A:R, 17, FALSE), "GENERAL"))</f>
        <v/>
      </c>
    </row>
    <row r="1474" ht="20" customHeight="1">
      <c r="A1474" s="2">
        <f>IF(B1474="","",IFERROR(VLOOKUP(B1474, PLANTA_BASE!A:R, 2, FALSE), "NO ENCONTRADO EN PLANTA"))</f>
        <v/>
      </c>
      <c r="B1474" s="3" t="inlineStr"/>
      <c r="C1474" s="4">
        <f>IF(B1474="","",IFERROR(VLOOKUP(B1474, PLANTA_BASE!A:R, 3, FALSE), ""))</f>
        <v/>
      </c>
      <c r="D1474" s="2">
        <f>IF(B1474="","",IFERROR(VLOOKUP(B1474, PLANTA_BASE!A:R, 5, FALSE), "NO ENCONTRADO EN PLANTA"))</f>
        <v/>
      </c>
      <c r="E1474" s="2">
        <f>IF(B1474="","",IFERROR(VLOOKUP(B1474, PLANTA_BASE!A:R, 6, FALSE), "NO ENCONTRADO EN PLANTA"))</f>
        <v/>
      </c>
      <c r="F1474" s="4">
        <f>IF(B1474="","",IFERROR(VLOOKUP(B1474, PLANTA_BASE!A:R, 8, FALSE), "DOCENTE / FACILITADOR"))</f>
        <v/>
      </c>
      <c r="G1474" s="4">
        <f>IF(B1474="","",IFERROR(VLOOKUP(B1474, PLANTA_BASE!A:R, 9, FALSE), "GENERAL"))</f>
        <v/>
      </c>
      <c r="H1474" s="2">
        <f>IF(B1474="","",IFERROR(VLOOKUP(B1474, PLANTA_BASE!A:R, 17, FALSE), "GENERAL"))</f>
        <v/>
      </c>
    </row>
    <row r="1475" ht="20" customHeight="1">
      <c r="A1475" s="5">
        <f>IF(B1475="","",IFERROR(VLOOKUP(B1475, PLANTA_BASE!A:R, 2, FALSE), "NO ENCONTRADO EN PLANTA"))</f>
        <v/>
      </c>
      <c r="B1475" s="6" t="inlineStr"/>
      <c r="C1475" s="7">
        <f>IF(B1475="","",IFERROR(VLOOKUP(B1475, PLANTA_BASE!A:R, 3, FALSE), ""))</f>
        <v/>
      </c>
      <c r="D1475" s="5">
        <f>IF(B1475="","",IFERROR(VLOOKUP(B1475, PLANTA_BASE!A:R, 5, FALSE), "NO ENCONTRADO EN PLANTA"))</f>
        <v/>
      </c>
      <c r="E1475" s="5">
        <f>IF(B1475="","",IFERROR(VLOOKUP(B1475, PLANTA_BASE!A:R, 6, FALSE), "NO ENCONTRADO EN PLANTA"))</f>
        <v/>
      </c>
      <c r="F1475" s="7">
        <f>IF(B1475="","",IFERROR(VLOOKUP(B1475, PLANTA_BASE!A:R, 8, FALSE), "DOCENTE / FACILITADOR"))</f>
        <v/>
      </c>
      <c r="G1475" s="7">
        <f>IF(B1475="","",IFERROR(VLOOKUP(B1475, PLANTA_BASE!A:R, 9, FALSE), "GENERAL"))</f>
        <v/>
      </c>
      <c r="H1475" s="5">
        <f>IF(B1475="","",IFERROR(VLOOKUP(B1475, PLANTA_BASE!A:R, 17, FALSE), "GENERAL"))</f>
        <v/>
      </c>
    </row>
    <row r="1476" ht="20" customHeight="1">
      <c r="A1476" s="2">
        <f>IF(B1476="","",IFERROR(VLOOKUP(B1476, PLANTA_BASE!A:R, 2, FALSE), "NO ENCONTRADO EN PLANTA"))</f>
        <v/>
      </c>
      <c r="B1476" s="3" t="inlineStr"/>
      <c r="C1476" s="4">
        <f>IF(B1476="","",IFERROR(VLOOKUP(B1476, PLANTA_BASE!A:R, 3, FALSE), ""))</f>
        <v/>
      </c>
      <c r="D1476" s="2">
        <f>IF(B1476="","",IFERROR(VLOOKUP(B1476, PLANTA_BASE!A:R, 5, FALSE), "NO ENCONTRADO EN PLANTA"))</f>
        <v/>
      </c>
      <c r="E1476" s="2">
        <f>IF(B1476="","",IFERROR(VLOOKUP(B1476, PLANTA_BASE!A:R, 6, FALSE), "NO ENCONTRADO EN PLANTA"))</f>
        <v/>
      </c>
      <c r="F1476" s="4">
        <f>IF(B1476="","",IFERROR(VLOOKUP(B1476, PLANTA_BASE!A:R, 8, FALSE), "DOCENTE / FACILITADOR"))</f>
        <v/>
      </c>
      <c r="G1476" s="4">
        <f>IF(B1476="","",IFERROR(VLOOKUP(B1476, PLANTA_BASE!A:R, 9, FALSE), "GENERAL"))</f>
        <v/>
      </c>
      <c r="H1476" s="2">
        <f>IF(B1476="","",IFERROR(VLOOKUP(B1476, PLANTA_BASE!A:R, 17, FALSE), "GENERAL"))</f>
        <v/>
      </c>
    </row>
    <row r="1477" ht="20" customHeight="1">
      <c r="A1477" s="5">
        <f>IF(B1477="","",IFERROR(VLOOKUP(B1477, PLANTA_BASE!A:R, 2, FALSE), "NO ENCONTRADO EN PLANTA"))</f>
        <v/>
      </c>
      <c r="B1477" s="6" t="inlineStr"/>
      <c r="C1477" s="7">
        <f>IF(B1477="","",IFERROR(VLOOKUP(B1477, PLANTA_BASE!A:R, 3, FALSE), ""))</f>
        <v/>
      </c>
      <c r="D1477" s="5">
        <f>IF(B1477="","",IFERROR(VLOOKUP(B1477, PLANTA_BASE!A:R, 5, FALSE), "NO ENCONTRADO EN PLANTA"))</f>
        <v/>
      </c>
      <c r="E1477" s="5">
        <f>IF(B1477="","",IFERROR(VLOOKUP(B1477, PLANTA_BASE!A:R, 6, FALSE), "NO ENCONTRADO EN PLANTA"))</f>
        <v/>
      </c>
      <c r="F1477" s="7">
        <f>IF(B1477="","",IFERROR(VLOOKUP(B1477, PLANTA_BASE!A:R, 8, FALSE), "DOCENTE / FACILITADOR"))</f>
        <v/>
      </c>
      <c r="G1477" s="7">
        <f>IF(B1477="","",IFERROR(VLOOKUP(B1477, PLANTA_BASE!A:R, 9, FALSE), "GENERAL"))</f>
        <v/>
      </c>
      <c r="H1477" s="5">
        <f>IF(B1477="","",IFERROR(VLOOKUP(B1477, PLANTA_BASE!A:R, 17, FALSE), "GENERAL"))</f>
        <v/>
      </c>
    </row>
    <row r="1478" ht="20" customHeight="1">
      <c r="A1478" s="2">
        <f>IF(B1478="","",IFERROR(VLOOKUP(B1478, PLANTA_BASE!A:R, 2, FALSE), "NO ENCONTRADO EN PLANTA"))</f>
        <v/>
      </c>
      <c r="B1478" s="3" t="inlineStr"/>
      <c r="C1478" s="4">
        <f>IF(B1478="","",IFERROR(VLOOKUP(B1478, PLANTA_BASE!A:R, 3, FALSE), ""))</f>
        <v/>
      </c>
      <c r="D1478" s="2">
        <f>IF(B1478="","",IFERROR(VLOOKUP(B1478, PLANTA_BASE!A:R, 5, FALSE), "NO ENCONTRADO EN PLANTA"))</f>
        <v/>
      </c>
      <c r="E1478" s="2">
        <f>IF(B1478="","",IFERROR(VLOOKUP(B1478, PLANTA_BASE!A:R, 6, FALSE), "NO ENCONTRADO EN PLANTA"))</f>
        <v/>
      </c>
      <c r="F1478" s="4">
        <f>IF(B1478="","",IFERROR(VLOOKUP(B1478, PLANTA_BASE!A:R, 8, FALSE), "DOCENTE / FACILITADOR"))</f>
        <v/>
      </c>
      <c r="G1478" s="4">
        <f>IF(B1478="","",IFERROR(VLOOKUP(B1478, PLANTA_BASE!A:R, 9, FALSE), "GENERAL"))</f>
        <v/>
      </c>
      <c r="H1478" s="2">
        <f>IF(B1478="","",IFERROR(VLOOKUP(B1478, PLANTA_BASE!A:R, 17, FALSE), "GENERAL"))</f>
        <v/>
      </c>
    </row>
    <row r="1479" ht="20" customHeight="1">
      <c r="A1479" s="5">
        <f>IF(B1479="","",IFERROR(VLOOKUP(B1479, PLANTA_BASE!A:R, 2, FALSE), "NO ENCONTRADO EN PLANTA"))</f>
        <v/>
      </c>
      <c r="B1479" s="6" t="inlineStr"/>
      <c r="C1479" s="7">
        <f>IF(B1479="","",IFERROR(VLOOKUP(B1479, PLANTA_BASE!A:R, 3, FALSE), ""))</f>
        <v/>
      </c>
      <c r="D1479" s="5">
        <f>IF(B1479="","",IFERROR(VLOOKUP(B1479, PLANTA_BASE!A:R, 5, FALSE), "NO ENCONTRADO EN PLANTA"))</f>
        <v/>
      </c>
      <c r="E1479" s="5">
        <f>IF(B1479="","",IFERROR(VLOOKUP(B1479, PLANTA_BASE!A:R, 6, FALSE), "NO ENCONTRADO EN PLANTA"))</f>
        <v/>
      </c>
      <c r="F1479" s="7">
        <f>IF(B1479="","",IFERROR(VLOOKUP(B1479, PLANTA_BASE!A:R, 8, FALSE), "DOCENTE / FACILITADOR"))</f>
        <v/>
      </c>
      <c r="G1479" s="7">
        <f>IF(B1479="","",IFERROR(VLOOKUP(B1479, PLANTA_BASE!A:R, 9, FALSE), "GENERAL"))</f>
        <v/>
      </c>
      <c r="H1479" s="5">
        <f>IF(B1479="","",IFERROR(VLOOKUP(B1479, PLANTA_BASE!A:R, 17, FALSE), "GENERAL"))</f>
        <v/>
      </c>
    </row>
    <row r="1480" ht="20" customHeight="1">
      <c r="A1480" s="2">
        <f>IF(B1480="","",IFERROR(VLOOKUP(B1480, PLANTA_BASE!A:R, 2, FALSE), "NO ENCONTRADO EN PLANTA"))</f>
        <v/>
      </c>
      <c r="B1480" s="3" t="inlineStr"/>
      <c r="C1480" s="4">
        <f>IF(B1480="","",IFERROR(VLOOKUP(B1480, PLANTA_BASE!A:R, 3, FALSE), ""))</f>
        <v/>
      </c>
      <c r="D1480" s="2">
        <f>IF(B1480="","",IFERROR(VLOOKUP(B1480, PLANTA_BASE!A:R, 5, FALSE), "NO ENCONTRADO EN PLANTA"))</f>
        <v/>
      </c>
      <c r="E1480" s="2">
        <f>IF(B1480="","",IFERROR(VLOOKUP(B1480, PLANTA_BASE!A:R, 6, FALSE), "NO ENCONTRADO EN PLANTA"))</f>
        <v/>
      </c>
      <c r="F1480" s="4">
        <f>IF(B1480="","",IFERROR(VLOOKUP(B1480, PLANTA_BASE!A:R, 8, FALSE), "DOCENTE / FACILITADOR"))</f>
        <v/>
      </c>
      <c r="G1480" s="4">
        <f>IF(B1480="","",IFERROR(VLOOKUP(B1480, PLANTA_BASE!A:R, 9, FALSE), "GENERAL"))</f>
        <v/>
      </c>
      <c r="H1480" s="2">
        <f>IF(B1480="","",IFERROR(VLOOKUP(B1480, PLANTA_BASE!A:R, 17, FALSE), "GENERAL"))</f>
        <v/>
      </c>
    </row>
    <row r="1481" ht="20" customHeight="1">
      <c r="A1481" s="5">
        <f>IF(B1481="","",IFERROR(VLOOKUP(B1481, PLANTA_BASE!A:R, 2, FALSE), "NO ENCONTRADO EN PLANTA"))</f>
        <v/>
      </c>
      <c r="B1481" s="6" t="inlineStr"/>
      <c r="C1481" s="7">
        <f>IF(B1481="","",IFERROR(VLOOKUP(B1481, PLANTA_BASE!A:R, 3, FALSE), ""))</f>
        <v/>
      </c>
      <c r="D1481" s="5">
        <f>IF(B1481="","",IFERROR(VLOOKUP(B1481, PLANTA_BASE!A:R, 5, FALSE), "NO ENCONTRADO EN PLANTA"))</f>
        <v/>
      </c>
      <c r="E1481" s="5">
        <f>IF(B1481="","",IFERROR(VLOOKUP(B1481, PLANTA_BASE!A:R, 6, FALSE), "NO ENCONTRADO EN PLANTA"))</f>
        <v/>
      </c>
      <c r="F1481" s="7">
        <f>IF(B1481="","",IFERROR(VLOOKUP(B1481, PLANTA_BASE!A:R, 8, FALSE), "DOCENTE / FACILITADOR"))</f>
        <v/>
      </c>
      <c r="G1481" s="7">
        <f>IF(B1481="","",IFERROR(VLOOKUP(B1481, PLANTA_BASE!A:R, 9, FALSE), "GENERAL"))</f>
        <v/>
      </c>
      <c r="H1481" s="5">
        <f>IF(B1481="","",IFERROR(VLOOKUP(B1481, PLANTA_BASE!A:R, 17, FALSE), "GENERAL"))</f>
        <v/>
      </c>
    </row>
    <row r="1482" ht="20" customHeight="1">
      <c r="A1482" s="2">
        <f>IF(B1482="","",IFERROR(VLOOKUP(B1482, PLANTA_BASE!A:R, 2, FALSE), "NO ENCONTRADO EN PLANTA"))</f>
        <v/>
      </c>
      <c r="B1482" s="3" t="inlineStr"/>
      <c r="C1482" s="4">
        <f>IF(B1482="","",IFERROR(VLOOKUP(B1482, PLANTA_BASE!A:R, 3, FALSE), ""))</f>
        <v/>
      </c>
      <c r="D1482" s="2">
        <f>IF(B1482="","",IFERROR(VLOOKUP(B1482, PLANTA_BASE!A:R, 5, FALSE), "NO ENCONTRADO EN PLANTA"))</f>
        <v/>
      </c>
      <c r="E1482" s="2">
        <f>IF(B1482="","",IFERROR(VLOOKUP(B1482, PLANTA_BASE!A:R, 6, FALSE), "NO ENCONTRADO EN PLANTA"))</f>
        <v/>
      </c>
      <c r="F1482" s="4">
        <f>IF(B1482="","",IFERROR(VLOOKUP(B1482, PLANTA_BASE!A:R, 8, FALSE), "DOCENTE / FACILITADOR"))</f>
        <v/>
      </c>
      <c r="G1482" s="4">
        <f>IF(B1482="","",IFERROR(VLOOKUP(B1482, PLANTA_BASE!A:R, 9, FALSE), "GENERAL"))</f>
        <v/>
      </c>
      <c r="H1482" s="2">
        <f>IF(B1482="","",IFERROR(VLOOKUP(B1482, PLANTA_BASE!A:R, 17, FALSE), "GENERAL"))</f>
        <v/>
      </c>
    </row>
    <row r="1483" ht="20" customHeight="1">
      <c r="A1483" s="5">
        <f>IF(B1483="","",IFERROR(VLOOKUP(B1483, PLANTA_BASE!A:R, 2, FALSE), "NO ENCONTRADO EN PLANTA"))</f>
        <v/>
      </c>
      <c r="B1483" s="6" t="inlineStr"/>
      <c r="C1483" s="7">
        <f>IF(B1483="","",IFERROR(VLOOKUP(B1483, PLANTA_BASE!A:R, 3, FALSE), ""))</f>
        <v/>
      </c>
      <c r="D1483" s="5">
        <f>IF(B1483="","",IFERROR(VLOOKUP(B1483, PLANTA_BASE!A:R, 5, FALSE), "NO ENCONTRADO EN PLANTA"))</f>
        <v/>
      </c>
      <c r="E1483" s="5">
        <f>IF(B1483="","",IFERROR(VLOOKUP(B1483, PLANTA_BASE!A:R, 6, FALSE), "NO ENCONTRADO EN PLANTA"))</f>
        <v/>
      </c>
      <c r="F1483" s="7">
        <f>IF(B1483="","",IFERROR(VLOOKUP(B1483, PLANTA_BASE!A:R, 8, FALSE), "DOCENTE / FACILITADOR"))</f>
        <v/>
      </c>
      <c r="G1483" s="7">
        <f>IF(B1483="","",IFERROR(VLOOKUP(B1483, PLANTA_BASE!A:R, 9, FALSE), "GENERAL"))</f>
        <v/>
      </c>
      <c r="H1483" s="5">
        <f>IF(B1483="","",IFERROR(VLOOKUP(B1483, PLANTA_BASE!A:R, 17, FALSE), "GENERAL"))</f>
        <v/>
      </c>
    </row>
    <row r="1484" ht="20" customHeight="1">
      <c r="A1484" s="2">
        <f>IF(B1484="","",IFERROR(VLOOKUP(B1484, PLANTA_BASE!A:R, 2, FALSE), "NO ENCONTRADO EN PLANTA"))</f>
        <v/>
      </c>
      <c r="B1484" s="3" t="inlineStr"/>
      <c r="C1484" s="4">
        <f>IF(B1484="","",IFERROR(VLOOKUP(B1484, PLANTA_BASE!A:R, 3, FALSE), ""))</f>
        <v/>
      </c>
      <c r="D1484" s="2">
        <f>IF(B1484="","",IFERROR(VLOOKUP(B1484, PLANTA_BASE!A:R, 5, FALSE), "NO ENCONTRADO EN PLANTA"))</f>
        <v/>
      </c>
      <c r="E1484" s="2">
        <f>IF(B1484="","",IFERROR(VLOOKUP(B1484, PLANTA_BASE!A:R, 6, FALSE), "NO ENCONTRADO EN PLANTA"))</f>
        <v/>
      </c>
      <c r="F1484" s="4">
        <f>IF(B1484="","",IFERROR(VLOOKUP(B1484, PLANTA_BASE!A:R, 8, FALSE), "DOCENTE / FACILITADOR"))</f>
        <v/>
      </c>
      <c r="G1484" s="4">
        <f>IF(B1484="","",IFERROR(VLOOKUP(B1484, PLANTA_BASE!A:R, 9, FALSE), "GENERAL"))</f>
        <v/>
      </c>
      <c r="H1484" s="2">
        <f>IF(B1484="","",IFERROR(VLOOKUP(B1484, PLANTA_BASE!A:R, 17, FALSE), "GENERAL"))</f>
        <v/>
      </c>
    </row>
    <row r="1485" ht="20" customHeight="1">
      <c r="A1485" s="5">
        <f>IF(B1485="","",IFERROR(VLOOKUP(B1485, PLANTA_BASE!A:R, 2, FALSE), "NO ENCONTRADO EN PLANTA"))</f>
        <v/>
      </c>
      <c r="B1485" s="6" t="inlineStr"/>
      <c r="C1485" s="7">
        <f>IF(B1485="","",IFERROR(VLOOKUP(B1485, PLANTA_BASE!A:R, 3, FALSE), ""))</f>
        <v/>
      </c>
      <c r="D1485" s="5">
        <f>IF(B1485="","",IFERROR(VLOOKUP(B1485, PLANTA_BASE!A:R, 5, FALSE), "NO ENCONTRADO EN PLANTA"))</f>
        <v/>
      </c>
      <c r="E1485" s="5">
        <f>IF(B1485="","",IFERROR(VLOOKUP(B1485, PLANTA_BASE!A:R, 6, FALSE), "NO ENCONTRADO EN PLANTA"))</f>
        <v/>
      </c>
      <c r="F1485" s="7">
        <f>IF(B1485="","",IFERROR(VLOOKUP(B1485, PLANTA_BASE!A:R, 8, FALSE), "DOCENTE / FACILITADOR"))</f>
        <v/>
      </c>
      <c r="G1485" s="7">
        <f>IF(B1485="","",IFERROR(VLOOKUP(B1485, PLANTA_BASE!A:R, 9, FALSE), "GENERAL"))</f>
        <v/>
      </c>
      <c r="H1485" s="5">
        <f>IF(B1485="","",IFERROR(VLOOKUP(B1485, PLANTA_BASE!A:R, 17, FALSE), "GENERAL"))</f>
        <v/>
      </c>
    </row>
    <row r="1486" ht="20" customHeight="1">
      <c r="A1486" s="2">
        <f>IF(B1486="","",IFERROR(VLOOKUP(B1486, PLANTA_BASE!A:R, 2, FALSE), "NO ENCONTRADO EN PLANTA"))</f>
        <v/>
      </c>
      <c r="B1486" s="3" t="inlineStr"/>
      <c r="C1486" s="4">
        <f>IF(B1486="","",IFERROR(VLOOKUP(B1486, PLANTA_BASE!A:R, 3, FALSE), ""))</f>
        <v/>
      </c>
      <c r="D1486" s="2">
        <f>IF(B1486="","",IFERROR(VLOOKUP(B1486, PLANTA_BASE!A:R, 5, FALSE), "NO ENCONTRADO EN PLANTA"))</f>
        <v/>
      </c>
      <c r="E1486" s="2">
        <f>IF(B1486="","",IFERROR(VLOOKUP(B1486, PLANTA_BASE!A:R, 6, FALSE), "NO ENCONTRADO EN PLANTA"))</f>
        <v/>
      </c>
      <c r="F1486" s="4">
        <f>IF(B1486="","",IFERROR(VLOOKUP(B1486, PLANTA_BASE!A:R, 8, FALSE), "DOCENTE / FACILITADOR"))</f>
        <v/>
      </c>
      <c r="G1486" s="4">
        <f>IF(B1486="","",IFERROR(VLOOKUP(B1486, PLANTA_BASE!A:R, 9, FALSE), "GENERAL"))</f>
        <v/>
      </c>
      <c r="H1486" s="2">
        <f>IF(B1486="","",IFERROR(VLOOKUP(B1486, PLANTA_BASE!A:R, 17, FALSE), "GENERAL"))</f>
        <v/>
      </c>
    </row>
    <row r="1487" ht="20" customHeight="1">
      <c r="A1487" s="5">
        <f>IF(B1487="","",IFERROR(VLOOKUP(B1487, PLANTA_BASE!A:R, 2, FALSE), "NO ENCONTRADO EN PLANTA"))</f>
        <v/>
      </c>
      <c r="B1487" s="6" t="inlineStr"/>
      <c r="C1487" s="7">
        <f>IF(B1487="","",IFERROR(VLOOKUP(B1487, PLANTA_BASE!A:R, 3, FALSE), ""))</f>
        <v/>
      </c>
      <c r="D1487" s="5">
        <f>IF(B1487="","",IFERROR(VLOOKUP(B1487, PLANTA_BASE!A:R, 5, FALSE), "NO ENCONTRADO EN PLANTA"))</f>
        <v/>
      </c>
      <c r="E1487" s="5">
        <f>IF(B1487="","",IFERROR(VLOOKUP(B1487, PLANTA_BASE!A:R, 6, FALSE), "NO ENCONTRADO EN PLANTA"))</f>
        <v/>
      </c>
      <c r="F1487" s="7">
        <f>IF(B1487="","",IFERROR(VLOOKUP(B1487, PLANTA_BASE!A:R, 8, FALSE), "DOCENTE / FACILITADOR"))</f>
        <v/>
      </c>
      <c r="G1487" s="7">
        <f>IF(B1487="","",IFERROR(VLOOKUP(B1487, PLANTA_BASE!A:R, 9, FALSE), "GENERAL"))</f>
        <v/>
      </c>
      <c r="H1487" s="5">
        <f>IF(B1487="","",IFERROR(VLOOKUP(B1487, PLANTA_BASE!A:R, 17, FALSE), "GENERAL"))</f>
        <v/>
      </c>
    </row>
    <row r="1488" ht="20" customHeight="1">
      <c r="A1488" s="2">
        <f>IF(B1488="","",IFERROR(VLOOKUP(B1488, PLANTA_BASE!A:R, 2, FALSE), "NO ENCONTRADO EN PLANTA"))</f>
        <v/>
      </c>
      <c r="B1488" s="3" t="inlineStr"/>
      <c r="C1488" s="4">
        <f>IF(B1488="","",IFERROR(VLOOKUP(B1488, PLANTA_BASE!A:R, 3, FALSE), ""))</f>
        <v/>
      </c>
      <c r="D1488" s="2">
        <f>IF(B1488="","",IFERROR(VLOOKUP(B1488, PLANTA_BASE!A:R, 5, FALSE), "NO ENCONTRADO EN PLANTA"))</f>
        <v/>
      </c>
      <c r="E1488" s="2">
        <f>IF(B1488="","",IFERROR(VLOOKUP(B1488, PLANTA_BASE!A:R, 6, FALSE), "NO ENCONTRADO EN PLANTA"))</f>
        <v/>
      </c>
      <c r="F1488" s="4">
        <f>IF(B1488="","",IFERROR(VLOOKUP(B1488, PLANTA_BASE!A:R, 8, FALSE), "DOCENTE / FACILITADOR"))</f>
        <v/>
      </c>
      <c r="G1488" s="4">
        <f>IF(B1488="","",IFERROR(VLOOKUP(B1488, PLANTA_BASE!A:R, 9, FALSE), "GENERAL"))</f>
        <v/>
      </c>
      <c r="H1488" s="2">
        <f>IF(B1488="","",IFERROR(VLOOKUP(B1488, PLANTA_BASE!A:R, 17, FALSE), "GENERAL"))</f>
        <v/>
      </c>
    </row>
    <row r="1489" ht="20" customHeight="1">
      <c r="A1489" s="5">
        <f>IF(B1489="","",IFERROR(VLOOKUP(B1489, PLANTA_BASE!A:R, 2, FALSE), "NO ENCONTRADO EN PLANTA"))</f>
        <v/>
      </c>
      <c r="B1489" s="6" t="inlineStr"/>
      <c r="C1489" s="7">
        <f>IF(B1489="","",IFERROR(VLOOKUP(B1489, PLANTA_BASE!A:R, 3, FALSE), ""))</f>
        <v/>
      </c>
      <c r="D1489" s="5">
        <f>IF(B1489="","",IFERROR(VLOOKUP(B1489, PLANTA_BASE!A:R, 5, FALSE), "NO ENCONTRADO EN PLANTA"))</f>
        <v/>
      </c>
      <c r="E1489" s="5">
        <f>IF(B1489="","",IFERROR(VLOOKUP(B1489, PLANTA_BASE!A:R, 6, FALSE), "NO ENCONTRADO EN PLANTA"))</f>
        <v/>
      </c>
      <c r="F1489" s="7">
        <f>IF(B1489="","",IFERROR(VLOOKUP(B1489, PLANTA_BASE!A:R, 8, FALSE), "DOCENTE / FACILITADOR"))</f>
        <v/>
      </c>
      <c r="G1489" s="7">
        <f>IF(B1489="","",IFERROR(VLOOKUP(B1489, PLANTA_BASE!A:R, 9, FALSE), "GENERAL"))</f>
        <v/>
      </c>
      <c r="H1489" s="5">
        <f>IF(B1489="","",IFERROR(VLOOKUP(B1489, PLANTA_BASE!A:R, 17, FALSE), "GENERAL"))</f>
        <v/>
      </c>
    </row>
    <row r="1490" ht="20" customHeight="1">
      <c r="A1490" s="2">
        <f>IF(B1490="","",IFERROR(VLOOKUP(B1490, PLANTA_BASE!A:R, 2, FALSE), "NO ENCONTRADO EN PLANTA"))</f>
        <v/>
      </c>
      <c r="B1490" s="3" t="inlineStr"/>
      <c r="C1490" s="4">
        <f>IF(B1490="","",IFERROR(VLOOKUP(B1490, PLANTA_BASE!A:R, 3, FALSE), ""))</f>
        <v/>
      </c>
      <c r="D1490" s="2">
        <f>IF(B1490="","",IFERROR(VLOOKUP(B1490, PLANTA_BASE!A:R, 5, FALSE), "NO ENCONTRADO EN PLANTA"))</f>
        <v/>
      </c>
      <c r="E1490" s="2">
        <f>IF(B1490="","",IFERROR(VLOOKUP(B1490, PLANTA_BASE!A:R, 6, FALSE), "NO ENCONTRADO EN PLANTA"))</f>
        <v/>
      </c>
      <c r="F1490" s="4">
        <f>IF(B1490="","",IFERROR(VLOOKUP(B1490, PLANTA_BASE!A:R, 8, FALSE), "DOCENTE / FACILITADOR"))</f>
        <v/>
      </c>
      <c r="G1490" s="4">
        <f>IF(B1490="","",IFERROR(VLOOKUP(B1490, PLANTA_BASE!A:R, 9, FALSE), "GENERAL"))</f>
        <v/>
      </c>
      <c r="H1490" s="2">
        <f>IF(B1490="","",IFERROR(VLOOKUP(B1490, PLANTA_BASE!A:R, 17, FALSE), "GENERAL"))</f>
        <v/>
      </c>
    </row>
    <row r="1491" ht="20" customHeight="1">
      <c r="A1491" s="5">
        <f>IF(B1491="","",IFERROR(VLOOKUP(B1491, PLANTA_BASE!A:R, 2, FALSE), "NO ENCONTRADO EN PLANTA"))</f>
        <v/>
      </c>
      <c r="B1491" s="6" t="inlineStr"/>
      <c r="C1491" s="7">
        <f>IF(B1491="","",IFERROR(VLOOKUP(B1491, PLANTA_BASE!A:R, 3, FALSE), ""))</f>
        <v/>
      </c>
      <c r="D1491" s="5">
        <f>IF(B1491="","",IFERROR(VLOOKUP(B1491, PLANTA_BASE!A:R, 5, FALSE), "NO ENCONTRADO EN PLANTA"))</f>
        <v/>
      </c>
      <c r="E1491" s="5">
        <f>IF(B1491="","",IFERROR(VLOOKUP(B1491, PLANTA_BASE!A:R, 6, FALSE), "NO ENCONTRADO EN PLANTA"))</f>
        <v/>
      </c>
      <c r="F1491" s="7">
        <f>IF(B1491="","",IFERROR(VLOOKUP(B1491, PLANTA_BASE!A:R, 8, FALSE), "DOCENTE / FACILITADOR"))</f>
        <v/>
      </c>
      <c r="G1491" s="7">
        <f>IF(B1491="","",IFERROR(VLOOKUP(B1491, PLANTA_BASE!A:R, 9, FALSE), "GENERAL"))</f>
        <v/>
      </c>
      <c r="H1491" s="5">
        <f>IF(B1491="","",IFERROR(VLOOKUP(B1491, PLANTA_BASE!A:R, 17, FALSE), "GENERAL"))</f>
        <v/>
      </c>
    </row>
    <row r="1492" ht="20" customHeight="1">
      <c r="A1492" s="2">
        <f>IF(B1492="","",IFERROR(VLOOKUP(B1492, PLANTA_BASE!A:R, 2, FALSE), "NO ENCONTRADO EN PLANTA"))</f>
        <v/>
      </c>
      <c r="B1492" s="3" t="inlineStr"/>
      <c r="C1492" s="4">
        <f>IF(B1492="","",IFERROR(VLOOKUP(B1492, PLANTA_BASE!A:R, 3, FALSE), ""))</f>
        <v/>
      </c>
      <c r="D1492" s="2">
        <f>IF(B1492="","",IFERROR(VLOOKUP(B1492, PLANTA_BASE!A:R, 5, FALSE), "NO ENCONTRADO EN PLANTA"))</f>
        <v/>
      </c>
      <c r="E1492" s="2">
        <f>IF(B1492="","",IFERROR(VLOOKUP(B1492, PLANTA_BASE!A:R, 6, FALSE), "NO ENCONTRADO EN PLANTA"))</f>
        <v/>
      </c>
      <c r="F1492" s="4">
        <f>IF(B1492="","",IFERROR(VLOOKUP(B1492, PLANTA_BASE!A:R, 8, FALSE), "DOCENTE / FACILITADOR"))</f>
        <v/>
      </c>
      <c r="G1492" s="4">
        <f>IF(B1492="","",IFERROR(VLOOKUP(B1492, PLANTA_BASE!A:R, 9, FALSE), "GENERAL"))</f>
        <v/>
      </c>
      <c r="H1492" s="2">
        <f>IF(B1492="","",IFERROR(VLOOKUP(B1492, PLANTA_BASE!A:R, 17, FALSE), "GENERAL"))</f>
        <v/>
      </c>
    </row>
    <row r="1493" ht="20" customHeight="1">
      <c r="A1493" s="5">
        <f>IF(B1493="","",IFERROR(VLOOKUP(B1493, PLANTA_BASE!A:R, 2, FALSE), "NO ENCONTRADO EN PLANTA"))</f>
        <v/>
      </c>
      <c r="B1493" s="6" t="inlineStr"/>
      <c r="C1493" s="7">
        <f>IF(B1493="","",IFERROR(VLOOKUP(B1493, PLANTA_BASE!A:R, 3, FALSE), ""))</f>
        <v/>
      </c>
      <c r="D1493" s="5">
        <f>IF(B1493="","",IFERROR(VLOOKUP(B1493, PLANTA_BASE!A:R, 5, FALSE), "NO ENCONTRADO EN PLANTA"))</f>
        <v/>
      </c>
      <c r="E1493" s="5">
        <f>IF(B1493="","",IFERROR(VLOOKUP(B1493, PLANTA_BASE!A:R, 6, FALSE), "NO ENCONTRADO EN PLANTA"))</f>
        <v/>
      </c>
      <c r="F1493" s="7">
        <f>IF(B1493="","",IFERROR(VLOOKUP(B1493, PLANTA_BASE!A:R, 8, FALSE), "DOCENTE / FACILITADOR"))</f>
        <v/>
      </c>
      <c r="G1493" s="7">
        <f>IF(B1493="","",IFERROR(VLOOKUP(B1493, PLANTA_BASE!A:R, 9, FALSE), "GENERAL"))</f>
        <v/>
      </c>
      <c r="H1493" s="5">
        <f>IF(B1493="","",IFERROR(VLOOKUP(B1493, PLANTA_BASE!A:R, 17, FALSE), "GENERAL"))</f>
        <v/>
      </c>
    </row>
    <row r="1494" ht="20" customHeight="1">
      <c r="A1494" s="2">
        <f>IF(B1494="","",IFERROR(VLOOKUP(B1494, PLANTA_BASE!A:R, 2, FALSE), "NO ENCONTRADO EN PLANTA"))</f>
        <v/>
      </c>
      <c r="B1494" s="3" t="inlineStr"/>
      <c r="C1494" s="4">
        <f>IF(B1494="","",IFERROR(VLOOKUP(B1494, PLANTA_BASE!A:R, 3, FALSE), ""))</f>
        <v/>
      </c>
      <c r="D1494" s="2">
        <f>IF(B1494="","",IFERROR(VLOOKUP(B1494, PLANTA_BASE!A:R, 5, FALSE), "NO ENCONTRADO EN PLANTA"))</f>
        <v/>
      </c>
      <c r="E1494" s="2">
        <f>IF(B1494="","",IFERROR(VLOOKUP(B1494, PLANTA_BASE!A:R, 6, FALSE), "NO ENCONTRADO EN PLANTA"))</f>
        <v/>
      </c>
      <c r="F1494" s="4">
        <f>IF(B1494="","",IFERROR(VLOOKUP(B1494, PLANTA_BASE!A:R, 8, FALSE), "DOCENTE / FACILITADOR"))</f>
        <v/>
      </c>
      <c r="G1494" s="4">
        <f>IF(B1494="","",IFERROR(VLOOKUP(B1494, PLANTA_BASE!A:R, 9, FALSE), "GENERAL"))</f>
        <v/>
      </c>
      <c r="H1494" s="2">
        <f>IF(B1494="","",IFERROR(VLOOKUP(B1494, PLANTA_BASE!A:R, 17, FALSE), "GENERAL"))</f>
        <v/>
      </c>
    </row>
    <row r="1495" ht="20" customHeight="1">
      <c r="A1495" s="5">
        <f>IF(B1495="","",IFERROR(VLOOKUP(B1495, PLANTA_BASE!A:R, 2, FALSE), "NO ENCONTRADO EN PLANTA"))</f>
        <v/>
      </c>
      <c r="B1495" s="6" t="inlineStr"/>
      <c r="C1495" s="7">
        <f>IF(B1495="","",IFERROR(VLOOKUP(B1495, PLANTA_BASE!A:R, 3, FALSE), ""))</f>
        <v/>
      </c>
      <c r="D1495" s="5">
        <f>IF(B1495="","",IFERROR(VLOOKUP(B1495, PLANTA_BASE!A:R, 5, FALSE), "NO ENCONTRADO EN PLANTA"))</f>
        <v/>
      </c>
      <c r="E1495" s="5">
        <f>IF(B1495="","",IFERROR(VLOOKUP(B1495, PLANTA_BASE!A:R, 6, FALSE), "NO ENCONTRADO EN PLANTA"))</f>
        <v/>
      </c>
      <c r="F1495" s="7">
        <f>IF(B1495="","",IFERROR(VLOOKUP(B1495, PLANTA_BASE!A:R, 8, FALSE), "DOCENTE / FACILITADOR"))</f>
        <v/>
      </c>
      <c r="G1495" s="7">
        <f>IF(B1495="","",IFERROR(VLOOKUP(B1495, PLANTA_BASE!A:R, 9, FALSE), "GENERAL"))</f>
        <v/>
      </c>
      <c r="H1495" s="5">
        <f>IF(B1495="","",IFERROR(VLOOKUP(B1495, PLANTA_BASE!A:R, 17, FALSE), "GENERAL"))</f>
        <v/>
      </c>
    </row>
    <row r="1496" ht="20" customHeight="1">
      <c r="A1496" s="2">
        <f>IF(B1496="","",IFERROR(VLOOKUP(B1496, PLANTA_BASE!A:R, 2, FALSE), "NO ENCONTRADO EN PLANTA"))</f>
        <v/>
      </c>
      <c r="B1496" s="3" t="inlineStr"/>
      <c r="C1496" s="4">
        <f>IF(B1496="","",IFERROR(VLOOKUP(B1496, PLANTA_BASE!A:R, 3, FALSE), ""))</f>
        <v/>
      </c>
      <c r="D1496" s="2">
        <f>IF(B1496="","",IFERROR(VLOOKUP(B1496, PLANTA_BASE!A:R, 5, FALSE), "NO ENCONTRADO EN PLANTA"))</f>
        <v/>
      </c>
      <c r="E1496" s="2">
        <f>IF(B1496="","",IFERROR(VLOOKUP(B1496, PLANTA_BASE!A:R, 6, FALSE), "NO ENCONTRADO EN PLANTA"))</f>
        <v/>
      </c>
      <c r="F1496" s="4">
        <f>IF(B1496="","",IFERROR(VLOOKUP(B1496, PLANTA_BASE!A:R, 8, FALSE), "DOCENTE / FACILITADOR"))</f>
        <v/>
      </c>
      <c r="G1496" s="4">
        <f>IF(B1496="","",IFERROR(VLOOKUP(B1496, PLANTA_BASE!A:R, 9, FALSE), "GENERAL"))</f>
        <v/>
      </c>
      <c r="H1496" s="2">
        <f>IF(B1496="","",IFERROR(VLOOKUP(B1496, PLANTA_BASE!A:R, 17, FALSE), "GENERAL"))</f>
        <v/>
      </c>
    </row>
    <row r="1497" ht="20" customHeight="1">
      <c r="A1497" s="5">
        <f>IF(B1497="","",IFERROR(VLOOKUP(B1497, PLANTA_BASE!A:R, 2, FALSE), "NO ENCONTRADO EN PLANTA"))</f>
        <v/>
      </c>
      <c r="B1497" s="6" t="inlineStr"/>
      <c r="C1497" s="7">
        <f>IF(B1497="","",IFERROR(VLOOKUP(B1497, PLANTA_BASE!A:R, 3, FALSE), ""))</f>
        <v/>
      </c>
      <c r="D1497" s="5">
        <f>IF(B1497="","",IFERROR(VLOOKUP(B1497, PLANTA_BASE!A:R, 5, FALSE), "NO ENCONTRADO EN PLANTA"))</f>
        <v/>
      </c>
      <c r="E1497" s="5">
        <f>IF(B1497="","",IFERROR(VLOOKUP(B1497, PLANTA_BASE!A:R, 6, FALSE), "NO ENCONTRADO EN PLANTA"))</f>
        <v/>
      </c>
      <c r="F1497" s="7">
        <f>IF(B1497="","",IFERROR(VLOOKUP(B1497, PLANTA_BASE!A:R, 8, FALSE), "DOCENTE / FACILITADOR"))</f>
        <v/>
      </c>
      <c r="G1497" s="7">
        <f>IF(B1497="","",IFERROR(VLOOKUP(B1497, PLANTA_BASE!A:R, 9, FALSE), "GENERAL"))</f>
        <v/>
      </c>
      <c r="H1497" s="5">
        <f>IF(B1497="","",IFERROR(VLOOKUP(B1497, PLANTA_BASE!A:R, 17, FALSE), "GENERAL"))</f>
        <v/>
      </c>
    </row>
    <row r="1498" ht="20" customHeight="1">
      <c r="A1498" s="2">
        <f>IF(B1498="","",IFERROR(VLOOKUP(B1498, PLANTA_BASE!A:R, 2, FALSE), "NO ENCONTRADO EN PLANTA"))</f>
        <v/>
      </c>
      <c r="B1498" s="3" t="inlineStr"/>
      <c r="C1498" s="4">
        <f>IF(B1498="","",IFERROR(VLOOKUP(B1498, PLANTA_BASE!A:R, 3, FALSE), ""))</f>
        <v/>
      </c>
      <c r="D1498" s="2">
        <f>IF(B1498="","",IFERROR(VLOOKUP(B1498, PLANTA_BASE!A:R, 5, FALSE), "NO ENCONTRADO EN PLANTA"))</f>
        <v/>
      </c>
      <c r="E1498" s="2">
        <f>IF(B1498="","",IFERROR(VLOOKUP(B1498, PLANTA_BASE!A:R, 6, FALSE), "NO ENCONTRADO EN PLANTA"))</f>
        <v/>
      </c>
      <c r="F1498" s="4">
        <f>IF(B1498="","",IFERROR(VLOOKUP(B1498, PLANTA_BASE!A:R, 8, FALSE), "DOCENTE / FACILITADOR"))</f>
        <v/>
      </c>
      <c r="G1498" s="4">
        <f>IF(B1498="","",IFERROR(VLOOKUP(B1498, PLANTA_BASE!A:R, 9, FALSE), "GENERAL"))</f>
        <v/>
      </c>
      <c r="H1498" s="2">
        <f>IF(B1498="","",IFERROR(VLOOKUP(B1498, PLANTA_BASE!A:R, 17, FALSE), "GENERAL"))</f>
        <v/>
      </c>
    </row>
    <row r="1499" ht="20" customHeight="1">
      <c r="A1499" s="5">
        <f>IF(B1499="","",IFERROR(VLOOKUP(B1499, PLANTA_BASE!A:R, 2, FALSE), "NO ENCONTRADO EN PLANTA"))</f>
        <v/>
      </c>
      <c r="B1499" s="6" t="inlineStr"/>
      <c r="C1499" s="7">
        <f>IF(B1499="","",IFERROR(VLOOKUP(B1499, PLANTA_BASE!A:R, 3, FALSE), ""))</f>
        <v/>
      </c>
      <c r="D1499" s="5">
        <f>IF(B1499="","",IFERROR(VLOOKUP(B1499, PLANTA_BASE!A:R, 5, FALSE), "NO ENCONTRADO EN PLANTA"))</f>
        <v/>
      </c>
      <c r="E1499" s="5">
        <f>IF(B1499="","",IFERROR(VLOOKUP(B1499, PLANTA_BASE!A:R, 6, FALSE), "NO ENCONTRADO EN PLANTA"))</f>
        <v/>
      </c>
      <c r="F1499" s="7">
        <f>IF(B1499="","",IFERROR(VLOOKUP(B1499, PLANTA_BASE!A:R, 8, FALSE), "DOCENTE / FACILITADOR"))</f>
        <v/>
      </c>
      <c r="G1499" s="7">
        <f>IF(B1499="","",IFERROR(VLOOKUP(B1499, PLANTA_BASE!A:R, 9, FALSE), "GENERAL"))</f>
        <v/>
      </c>
      <c r="H1499" s="5">
        <f>IF(B1499="","",IFERROR(VLOOKUP(B1499, PLANTA_BASE!A:R, 17, FALSE), "GENERAL"))</f>
        <v/>
      </c>
    </row>
    <row r="1500" ht="20" customHeight="1">
      <c r="A1500" s="2">
        <f>IF(B1500="","",IFERROR(VLOOKUP(B1500, PLANTA_BASE!A:R, 2, FALSE), "NO ENCONTRADO EN PLANTA"))</f>
        <v/>
      </c>
      <c r="B1500" s="3" t="inlineStr"/>
      <c r="C1500" s="4">
        <f>IF(B1500="","",IFERROR(VLOOKUP(B1500, PLANTA_BASE!A:R, 3, FALSE), ""))</f>
        <v/>
      </c>
      <c r="D1500" s="2">
        <f>IF(B1500="","",IFERROR(VLOOKUP(B1500, PLANTA_BASE!A:R, 5, FALSE), "NO ENCONTRADO EN PLANTA"))</f>
        <v/>
      </c>
      <c r="E1500" s="2">
        <f>IF(B1500="","",IFERROR(VLOOKUP(B1500, PLANTA_BASE!A:R, 6, FALSE), "NO ENCONTRADO EN PLANTA"))</f>
        <v/>
      </c>
      <c r="F1500" s="4">
        <f>IF(B1500="","",IFERROR(VLOOKUP(B1500, PLANTA_BASE!A:R, 8, FALSE), "DOCENTE / FACILITADOR"))</f>
        <v/>
      </c>
      <c r="G1500" s="4">
        <f>IF(B1500="","",IFERROR(VLOOKUP(B1500, PLANTA_BASE!A:R, 9, FALSE), "GENERAL"))</f>
        <v/>
      </c>
      <c r="H1500" s="2">
        <f>IF(B1500="","",IFERROR(VLOOKUP(B1500, PLANTA_BASE!A:R, 17, FALSE), "GENERAL"))</f>
        <v/>
      </c>
    </row>
    <row r="1501" ht="20" customHeight="1">
      <c r="A1501" s="5">
        <f>IF(B1501="","",IFERROR(VLOOKUP(B1501, PLANTA_BASE!A:R, 2, FALSE), "NO ENCONTRADO EN PLANTA"))</f>
        <v/>
      </c>
      <c r="B1501" s="6" t="inlineStr"/>
      <c r="C1501" s="7">
        <f>IF(B1501="","",IFERROR(VLOOKUP(B1501, PLANTA_BASE!A:R, 3, FALSE), ""))</f>
        <v/>
      </c>
      <c r="D1501" s="5">
        <f>IF(B1501="","",IFERROR(VLOOKUP(B1501, PLANTA_BASE!A:R, 5, FALSE), "NO ENCONTRADO EN PLANTA"))</f>
        <v/>
      </c>
      <c r="E1501" s="5">
        <f>IF(B1501="","",IFERROR(VLOOKUP(B1501, PLANTA_BASE!A:R, 6, FALSE), "NO ENCONTRADO EN PLANTA"))</f>
        <v/>
      </c>
      <c r="F1501" s="7">
        <f>IF(B1501="","",IFERROR(VLOOKUP(B1501, PLANTA_BASE!A:R, 8, FALSE), "DOCENTE / FACILITADOR"))</f>
        <v/>
      </c>
      <c r="G1501" s="7">
        <f>IF(B1501="","",IFERROR(VLOOKUP(B1501, PLANTA_BASE!A:R, 9, FALSE), "GENERAL"))</f>
        <v/>
      </c>
      <c r="H1501" s="5">
        <f>IF(B1501="","",IFERROR(VLOOKUP(B1501, PLANTA_BASE!A:R, 17, FALSE), "GENERAL"))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8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28" customHeight="1">
      <c r="A1" s="1" t="inlineStr">
        <is>
          <t>CEDULA</t>
        </is>
      </c>
      <c r="B1" s="1" t="inlineStr">
        <is>
          <t>INVITACIÓN</t>
        </is>
      </c>
      <c r="C1" s="1" t="inlineStr">
        <is>
          <t>NOMBRE COMPLETO</t>
        </is>
      </c>
      <c r="D1" s="1" t="inlineStr">
        <is>
          <t>Nombre Nivel 1</t>
        </is>
      </c>
      <c r="E1" s="1" t="inlineStr">
        <is>
          <t>Nombre Nivel 2</t>
        </is>
      </c>
      <c r="F1" s="1" t="inlineStr">
        <is>
          <t>Nombre Nivel 3</t>
        </is>
      </c>
      <c r="G1" s="1" t="inlineStr">
        <is>
          <t>Modalidad</t>
        </is>
      </c>
      <c r="H1" s="1" t="inlineStr">
        <is>
          <t>Descripción Cargo</t>
        </is>
      </c>
      <c r="I1" s="1" t="inlineStr">
        <is>
          <t>Nombre Centro Costo</t>
        </is>
      </c>
      <c r="J1" s="1" t="inlineStr">
        <is>
          <t>STATUS</t>
        </is>
      </c>
      <c r="K1" s="1" t="inlineStr">
        <is>
          <t>RESPONSABLE</t>
        </is>
      </c>
      <c r="L1" s="1" t="inlineStr">
        <is>
          <t>ESTADO DE CONFIRMACIÓN</t>
        </is>
      </c>
      <c r="M1" s="1" t="inlineStr">
        <is>
          <t>NOVEDAD</t>
        </is>
      </c>
      <c r="N1" s="1" t="inlineStr">
        <is>
          <t>Telefono</t>
        </is>
      </c>
      <c r="O1" s="1" t="inlineStr">
        <is>
          <t>Correo Personal</t>
        </is>
      </c>
      <c r="P1" s="1" t="inlineStr">
        <is>
          <t>Nombre Área</t>
        </is>
      </c>
      <c r="Q1" s="1" t="inlineStr">
        <is>
          <t xml:space="preserve">ESCUELA </t>
        </is>
      </c>
      <c r="R1" s="1" t="inlineStr">
        <is>
          <t>SALÓN</t>
        </is>
      </c>
    </row>
    <row r="2" ht="20" customHeight="1">
      <c r="A2" s="3" t="inlineStr">
        <is>
          <t>11225681</t>
        </is>
      </c>
      <c r="B2" s="4" t="inlineStr">
        <is>
          <t>PRESENCIAL BOGOTÁ</t>
        </is>
      </c>
      <c r="C2" s="4" t="inlineStr">
        <is>
          <t>CAMILO ANDRES PACHECO ZAMBRANO</t>
        </is>
      </c>
      <c r="D2" s="4" t="inlineStr">
        <is>
          <t>OPERACIONES</t>
        </is>
      </c>
      <c r="E2" s="4" t="inlineStr">
        <is>
          <t>REGIONAL BOGOTA</t>
        </is>
      </c>
      <c r="F2" s="4" t="inlineStr">
        <is>
          <t>BOGOTA CENTRO</t>
        </is>
      </c>
      <c r="G2" s="4" t="inlineStr">
        <is>
          <t>PRESENCIAL</t>
        </is>
      </c>
      <c r="H2" s="4" t="inlineStr">
        <is>
          <t>DOCENTE AUX/N/TC/ADM EMP/FUN.ACADE-ADMIN</t>
        </is>
      </c>
      <c r="I2" s="4" t="inlineStr">
        <is>
          <t>ADMINISTRACION DE EMPRESAS</t>
        </is>
      </c>
      <c r="J2" s="4" t="inlineStr">
        <is>
          <t>NUEVO</t>
        </is>
      </c>
      <c r="K2" s="4" t="inlineStr">
        <is>
          <t>ALEXANDRA BUITRAGO</t>
        </is>
      </c>
      <c r="L2" s="4" t="inlineStr">
        <is>
          <t>CONFIRMADO PRESENCIAL</t>
        </is>
      </c>
      <c r="M2" s="4" t="n">
        <v/>
      </c>
      <c r="N2" s="4" t="n">
        <v>3213586136</v>
      </c>
      <c r="O2" s="4" t="inlineStr">
        <is>
          <t>CAMILOEYM@GMAIL.COM</t>
        </is>
      </c>
      <c r="P2" s="4" t="inlineStr">
        <is>
          <t>BTA SEDE A</t>
        </is>
      </c>
      <c r="Q2" s="4" t="inlineStr">
        <is>
          <t>TRANSFORMACIÓN EMPRESARIAL</t>
        </is>
      </c>
      <c r="R2" s="4" t="n">
        <v>300</v>
      </c>
    </row>
    <row r="3" ht="20" customHeight="1">
      <c r="A3" s="6" t="inlineStr">
        <is>
          <t>1023945301</t>
        </is>
      </c>
      <c r="B3" s="7" t="inlineStr">
        <is>
          <t>PRESENCIAL BOGOTÁ</t>
        </is>
      </c>
      <c r="C3" s="7" t="inlineStr">
        <is>
          <t>ANGIE TATIANA BECERRA NIETO</t>
        </is>
      </c>
      <c r="D3" s="7" t="inlineStr">
        <is>
          <t>OPERACIONES</t>
        </is>
      </c>
      <c r="E3" s="7" t="inlineStr">
        <is>
          <t>REGIONAL BOGOTA</t>
        </is>
      </c>
      <c r="F3" s="7" t="inlineStr">
        <is>
          <t>BOGOTA CENTRO</t>
        </is>
      </c>
      <c r="G3" s="7" t="inlineStr">
        <is>
          <t>PRESENCIAL</t>
        </is>
      </c>
      <c r="H3" s="7" t="inlineStr">
        <is>
          <t>DOC AUX T&amp;T/N/MT/ADM EM</t>
        </is>
      </c>
      <c r="I3" s="7" t="inlineStr">
        <is>
          <t>ADMINISTRACION DE EMPRESAS</t>
        </is>
      </c>
      <c r="J3" s="7" t="inlineStr">
        <is>
          <t>NUEVO</t>
        </is>
      </c>
      <c r="K3" s="7" t="inlineStr">
        <is>
          <t>ALEXANDRA BUITRAGO</t>
        </is>
      </c>
      <c r="L3" s="7" t="inlineStr">
        <is>
          <t>CONFIRMADO PRESENCIAL</t>
        </is>
      </c>
      <c r="M3" s="7" t="n">
        <v/>
      </c>
      <c r="N3" s="7" t="n">
        <v>3244840645</v>
      </c>
      <c r="O3" s="7" t="inlineStr">
        <is>
          <t>ATBECERRAN@GMAIL.COM</t>
        </is>
      </c>
      <c r="P3" s="7" t="inlineStr">
        <is>
          <t>BTA SEDE A</t>
        </is>
      </c>
      <c r="Q3" s="7" t="inlineStr">
        <is>
          <t>TRANSFORMACIÓN EMPRESARIAL</t>
        </is>
      </c>
      <c r="R3" s="7" t="n">
        <v>300</v>
      </c>
    </row>
    <row r="4" ht="20" customHeight="1">
      <c r="A4" s="3" t="inlineStr">
        <is>
          <t>1130640640</t>
        </is>
      </c>
      <c r="B4" s="4" t="inlineStr">
        <is>
          <t>VIRTUAL</t>
        </is>
      </c>
      <c r="C4" s="4" t="inlineStr">
        <is>
          <t>MONICA ALEJANDRA PRADO LEYVA</t>
        </is>
      </c>
      <c r="D4" s="4" t="inlineStr">
        <is>
          <t>OPERACIONES</t>
        </is>
      </c>
      <c r="E4" s="4" t="inlineStr">
        <is>
          <t>REGIONAL VALLE DELCAUCA</t>
        </is>
      </c>
      <c r="F4" s="4" t="inlineStr">
        <is>
          <t>CALI</t>
        </is>
      </c>
      <c r="G4" s="4" t="inlineStr">
        <is>
          <t>VIRTUAL</t>
        </is>
      </c>
      <c r="H4" s="4" t="inlineStr">
        <is>
          <t>DOC AUX/N/V/TC/ADMIN PUBLICA/PROYECCION SO</t>
        </is>
      </c>
      <c r="I4" s="4" t="inlineStr">
        <is>
          <t>ADMINISTRACION PUBLICA</t>
        </is>
      </c>
      <c r="J4" s="4" t="inlineStr">
        <is>
          <t>NUEVO</t>
        </is>
      </c>
      <c r="K4" s="4" t="inlineStr">
        <is>
          <t>ALEXANDRA BUITRAGO</t>
        </is>
      </c>
      <c r="L4" s="4" t="inlineStr">
        <is>
          <t>CONFIRMADO VIRTUAL</t>
        </is>
      </c>
      <c r="M4" s="4" t="n">
        <v/>
      </c>
      <c r="N4" s="4" t="n">
        <v>3162546617</v>
      </c>
      <c r="O4" s="4" t="inlineStr">
        <is>
          <t>FINANCIERO.ESTRUCTURADO@GMAIL.COM</t>
        </is>
      </c>
      <c r="P4" s="4" t="inlineStr">
        <is>
          <t>CALI</t>
        </is>
      </c>
      <c r="Q4" s="4" t="inlineStr">
        <is>
          <t>NEGOCIOS</t>
        </is>
      </c>
      <c r="R4" s="4" t="n">
        <v/>
      </c>
    </row>
    <row r="5" ht="20" customHeight="1">
      <c r="A5" s="6" t="inlineStr">
        <is>
          <t>1022403253</t>
        </is>
      </c>
      <c r="B5" s="7" t="inlineStr">
        <is>
          <t>PRESENCIAL BOGOTÁ</t>
        </is>
      </c>
      <c r="C5" s="7" t="inlineStr">
        <is>
          <t>DANIEL MATEO MOSQUERA LAGUNA</t>
        </is>
      </c>
      <c r="D5" s="7" t="inlineStr">
        <is>
          <t>OPERACIONES</t>
        </is>
      </c>
      <c r="E5" s="7" t="inlineStr">
        <is>
          <t>REGIONAL BOGOTA</t>
        </is>
      </c>
      <c r="F5" s="7" t="inlineStr">
        <is>
          <t>BOGOTA CENTRO</t>
        </is>
      </c>
      <c r="G5" s="7" t="inlineStr">
        <is>
          <t>PRESENCIAL</t>
        </is>
      </c>
      <c r="H5" s="7" t="inlineStr">
        <is>
          <t>DOC AUX T&amp;T/N/MT/CIEN BASI</t>
        </is>
      </c>
      <c r="I5" s="7" t="inlineStr">
        <is>
          <t>CIENCIAS BASICAS</t>
        </is>
      </c>
      <c r="J5" s="7" t="inlineStr">
        <is>
          <t>NUEVO</t>
        </is>
      </c>
      <c r="K5" s="7" t="inlineStr">
        <is>
          <t>ALEXANDRA BUITRAGO</t>
        </is>
      </c>
      <c r="L5" s="7" t="n">
        <v/>
      </c>
      <c r="M5" s="7" t="n">
        <v/>
      </c>
      <c r="N5" s="7" t="n">
        <v>3102303667</v>
      </c>
      <c r="O5" s="7" t="inlineStr">
        <is>
          <t>MATEO.254@GMAIL.COM</t>
        </is>
      </c>
      <c r="P5" s="7" t="inlineStr">
        <is>
          <t>BTA SEDE A</t>
        </is>
      </c>
      <c r="Q5" s="7" t="inlineStr">
        <is>
          <t>TRANSVERSALES</t>
        </is>
      </c>
      <c r="R5" s="7" t="n">
        <v>700</v>
      </c>
    </row>
    <row r="6" ht="20" customHeight="1">
      <c r="A6" s="3" t="inlineStr">
        <is>
          <t>1193247659</t>
        </is>
      </c>
      <c r="B6" s="4" t="inlineStr">
        <is>
          <t>PRESENCIAL BOGOTÁ</t>
        </is>
      </c>
      <c r="C6" s="4" t="inlineStr">
        <is>
          <t>ERICK CAMILO TORRES RODRIGUEZ</t>
        </is>
      </c>
      <c r="D6" s="4" t="inlineStr">
        <is>
          <t>OPERACIONES</t>
        </is>
      </c>
      <c r="E6" s="4" t="inlineStr">
        <is>
          <t>REGIONAL BOGOTA</t>
        </is>
      </c>
      <c r="F6" s="4" t="inlineStr">
        <is>
          <t>BOGOTA CENTRO</t>
        </is>
      </c>
      <c r="G6" s="4" t="inlineStr">
        <is>
          <t>PRESENCIAL</t>
        </is>
      </c>
      <c r="H6" s="4" t="inlineStr">
        <is>
          <t>DOCENTE AUX/N/MT/CIEN BASI</t>
        </is>
      </c>
      <c r="I6" s="4" t="inlineStr">
        <is>
          <t>CIENCIAS BASICAS</t>
        </is>
      </c>
      <c r="J6" s="4" t="inlineStr">
        <is>
          <t>NUEVO</t>
        </is>
      </c>
      <c r="K6" s="4" t="inlineStr">
        <is>
          <t>ALEXANDRA BUITRAGO</t>
        </is>
      </c>
      <c r="L6" s="4" t="n">
        <v/>
      </c>
      <c r="M6" s="4" t="n">
        <v/>
      </c>
      <c r="N6" s="4" t="n">
        <v>3223671342</v>
      </c>
      <c r="O6" s="4" t="inlineStr">
        <is>
          <t>CAMILOTORR1@GMAIL.COM</t>
        </is>
      </c>
      <c r="P6" s="4" t="inlineStr">
        <is>
          <t>BTA SEDE A</t>
        </is>
      </c>
      <c r="Q6" s="4" t="inlineStr">
        <is>
          <t>TRANSVERSALES</t>
        </is>
      </c>
      <c r="R6" s="4" t="n">
        <v>700</v>
      </c>
    </row>
    <row r="7" ht="20" customHeight="1">
      <c r="A7" s="6" t="inlineStr">
        <is>
          <t>92532543</t>
        </is>
      </c>
      <c r="B7" s="7" t="inlineStr">
        <is>
          <t>PRESENCIAL REGIONAL</t>
        </is>
      </c>
      <c r="C7" s="7" t="inlineStr">
        <is>
          <t>CRISTIAN ALFONSO PACHECO PACHECO</t>
        </is>
      </c>
      <c r="D7" s="7" t="inlineStr">
        <is>
          <t>OPERACIONES</t>
        </is>
      </c>
      <c r="E7" s="7" t="inlineStr">
        <is>
          <t>REGIONAL SUCRE</t>
        </is>
      </c>
      <c r="F7" s="7" t="inlineStr">
        <is>
          <t>SINCELEJO</t>
        </is>
      </c>
      <c r="G7" s="7" t="inlineStr">
        <is>
          <t>PRESENCIAL</t>
        </is>
      </c>
      <c r="H7" s="7" t="inlineStr">
        <is>
          <t>DOCENTE AUX/N/MT/CIEN BASI</t>
        </is>
      </c>
      <c r="I7" s="7" t="inlineStr">
        <is>
          <t>CIENCIAS BASICAS</t>
        </is>
      </c>
      <c r="J7" s="7" t="inlineStr">
        <is>
          <t>NUEVO</t>
        </is>
      </c>
      <c r="K7" s="7" t="inlineStr">
        <is>
          <t>ALEXANDRA BUITRAGO</t>
        </is>
      </c>
      <c r="L7" s="7" t="n">
        <v/>
      </c>
      <c r="M7" s="7" t="n">
        <v/>
      </c>
      <c r="N7" s="7" t="n">
        <v>3058652076</v>
      </c>
      <c r="O7" s="7" t="inlineStr">
        <is>
          <t>CRISSPACHECO.MATEMATICO@GMAIL.COM</t>
        </is>
      </c>
      <c r="P7" s="7" t="inlineStr">
        <is>
          <t>SINCELEJO SEDE</t>
        </is>
      </c>
      <c r="Q7" s="7" t="inlineStr">
        <is>
          <t>TRANSVERSALES</t>
        </is>
      </c>
      <c r="R7" s="7" t="n">
        <v/>
      </c>
    </row>
    <row r="8" ht="20" customHeight="1">
      <c r="A8" s="3" t="inlineStr">
        <is>
          <t>1036626269</t>
        </is>
      </c>
      <c r="B8" s="4" t="inlineStr">
        <is>
          <t>PRESENCIAL REGIONAL</t>
        </is>
      </c>
      <c r="C8" s="4" t="inlineStr">
        <is>
          <t>SEBASTIAN VALENCIA ALVAREZ</t>
        </is>
      </c>
      <c r="D8" s="4" t="inlineStr">
        <is>
          <t>OPERACIONES</t>
        </is>
      </c>
      <c r="E8" s="4" t="inlineStr">
        <is>
          <t>REGIONAL ANTIOQUIA</t>
        </is>
      </c>
      <c r="F8" s="4" t="inlineStr">
        <is>
          <t>MEDELLIN</t>
        </is>
      </c>
      <c r="G8" s="4" t="inlineStr">
        <is>
          <t>VIRTUAL</t>
        </is>
      </c>
      <c r="H8" s="4" t="inlineStr">
        <is>
          <t>DOC AUX T&amp;T/N/V/TC/COMU SOC Y PERI/FUN.ACADE-ADMIN</t>
        </is>
      </c>
      <c r="I8" s="4" t="inlineStr">
        <is>
          <t>COMUNICACION SOCIAL Y PERIODISMO</t>
        </is>
      </c>
      <c r="J8" s="4" t="inlineStr">
        <is>
          <t>NUEVO</t>
        </is>
      </c>
      <c r="K8" s="4" t="inlineStr">
        <is>
          <t>ALEXANDRA BUITRAGO</t>
        </is>
      </c>
      <c r="L8" s="4" t="n">
        <v/>
      </c>
      <c r="M8" s="4" t="n">
        <v/>
      </c>
      <c r="N8" s="4" t="n">
        <v>3136109898</v>
      </c>
      <c r="O8" s="4" t="inlineStr">
        <is>
          <t>SEBASTIANVALENCIA89@GMAIL.COM</t>
        </is>
      </c>
      <c r="P8" s="4" t="inlineStr">
        <is>
          <t>MEDELLIN SEDE</t>
        </is>
      </c>
      <c r="Q8" s="4" t="inlineStr">
        <is>
          <t>BELLAS ARTES</t>
        </is>
      </c>
      <c r="R8" s="4" t="n">
        <v/>
      </c>
    </row>
    <row r="9" ht="20" customHeight="1">
      <c r="A9" s="6" t="inlineStr">
        <is>
          <t>80109407</t>
        </is>
      </c>
      <c r="B9" s="7" t="inlineStr">
        <is>
          <t>PRESENCIAL BOGOTÁ</t>
        </is>
      </c>
      <c r="C9" s="7" t="inlineStr">
        <is>
          <t>ALEJANDRO ACOSTA CIFUENTES</t>
        </is>
      </c>
      <c r="D9" s="7" t="inlineStr">
        <is>
          <t>OPERACIONES</t>
        </is>
      </c>
      <c r="E9" s="7" t="inlineStr">
        <is>
          <t>REGIONAL BOGOTA</t>
        </is>
      </c>
      <c r="F9" s="7" t="inlineStr">
        <is>
          <t>BOGOTA CENTRO</t>
        </is>
      </c>
      <c r="G9" s="7" t="inlineStr">
        <is>
          <t>PRESENCIAL</t>
        </is>
      </c>
      <c r="H9" s="7" t="inlineStr">
        <is>
          <t>DOC AUX T&amp;T/N/TC/COM SOC Y PER/FUN.ACADE-ADMIN</t>
        </is>
      </c>
      <c r="I9" s="7" t="inlineStr">
        <is>
          <t>COMUNICACION SOCIAL Y PERIODISMO</t>
        </is>
      </c>
      <c r="J9" s="7" t="inlineStr">
        <is>
          <t>NUEVO</t>
        </is>
      </c>
      <c r="K9" s="7" t="inlineStr">
        <is>
          <t>ALEXANDRA BUITRAGO</t>
        </is>
      </c>
      <c r="L9" s="7" t="n">
        <v/>
      </c>
      <c r="M9" s="7" t="n">
        <v/>
      </c>
      <c r="N9" s="7" t="n">
        <v>3188832167</v>
      </c>
      <c r="O9" s="7" t="inlineStr">
        <is>
          <t>ALEJANDROCOMUNICADOR@YAHOO.COM</t>
        </is>
      </c>
      <c r="P9" s="7" t="inlineStr">
        <is>
          <t>BTA SEDE A</t>
        </is>
      </c>
      <c r="Q9" s="7" t="inlineStr">
        <is>
          <t>BELLAS ARTES</t>
        </is>
      </c>
      <c r="R9" s="7" t="n">
        <v>303</v>
      </c>
    </row>
    <row r="10" ht="20" customHeight="1">
      <c r="A10" s="3" t="inlineStr">
        <is>
          <t>1143861791</t>
        </is>
      </c>
      <c r="B10" s="4" t="inlineStr">
        <is>
          <t>VIRTUAL</t>
        </is>
      </c>
      <c r="C10" s="4" t="inlineStr">
        <is>
          <t>NATHALIA ANDREA MARTINEZ IJAJI</t>
        </is>
      </c>
      <c r="D10" s="4" t="inlineStr">
        <is>
          <t>OPERACIONES</t>
        </is>
      </c>
      <c r="E10" s="4" t="inlineStr">
        <is>
          <t>REGIONAL VALLE DELCAUCA</t>
        </is>
      </c>
      <c r="F10" s="4" t="inlineStr">
        <is>
          <t>CALI</t>
        </is>
      </c>
      <c r="G10" s="4" t="inlineStr">
        <is>
          <t>VIRTUAL</t>
        </is>
      </c>
      <c r="H10" s="4" t="inlineStr">
        <is>
          <t>DOC AUX T&amp;T/N/V/TC/COMU SOC Y PERI/FUN.ACADE-ADMIN</t>
        </is>
      </c>
      <c r="I10" s="4" t="inlineStr">
        <is>
          <t>COMUNICACION SOCIAL Y PERIODISMO</t>
        </is>
      </c>
      <c r="J10" s="4" t="inlineStr">
        <is>
          <t>NUEVO</t>
        </is>
      </c>
      <c r="K10" s="4" t="inlineStr">
        <is>
          <t>ALEXANDRA BUITRAGO</t>
        </is>
      </c>
      <c r="L10" s="4" t="n">
        <v/>
      </c>
      <c r="M10" s="4" t="n">
        <v/>
      </c>
      <c r="N10" s="4" t="n">
        <v>3005505057</v>
      </c>
      <c r="O10" s="4" t="inlineStr">
        <is>
          <t>NATHALIA18.MI@GMAIL.COM</t>
        </is>
      </c>
      <c r="P10" s="4" t="inlineStr">
        <is>
          <t>CALI</t>
        </is>
      </c>
      <c r="Q10" s="4" t="inlineStr">
        <is>
          <t>BELLAS ARTES</t>
        </is>
      </c>
      <c r="R10" s="4" t="n">
        <v/>
      </c>
    </row>
    <row r="11" ht="20" customHeight="1">
      <c r="A11" s="6" t="inlineStr">
        <is>
          <t>1023899660</t>
        </is>
      </c>
      <c r="B11" s="7" t="inlineStr">
        <is>
          <t>PRESENCIAL BOGOTÁ</t>
        </is>
      </c>
      <c r="C11" s="7" t="inlineStr">
        <is>
          <t>JYNA PAOLA HOYOS HERNANDEZ</t>
        </is>
      </c>
      <c r="D11" s="7" t="inlineStr">
        <is>
          <t>OPERACIONES</t>
        </is>
      </c>
      <c r="E11" s="7" t="inlineStr">
        <is>
          <t>REGIONAL BOGOTA</t>
        </is>
      </c>
      <c r="F11" s="7" t="inlineStr">
        <is>
          <t>BOGOTA CENTRO</t>
        </is>
      </c>
      <c r="G11" s="7" t="inlineStr">
        <is>
          <t>PRESENCIAL</t>
        </is>
      </c>
      <c r="H11" s="7" t="inlineStr">
        <is>
          <t>DOCENTE ASIS/N/TC/COM SOC Y PER/FUN.ACADE-ADMIN</t>
        </is>
      </c>
      <c r="I11" s="7" t="inlineStr">
        <is>
          <t>COMUNICACION SOCIAL Y PERIODISMO</t>
        </is>
      </c>
      <c r="J11" s="7" t="inlineStr">
        <is>
          <t>NUEVO</t>
        </is>
      </c>
      <c r="K11" s="7" t="inlineStr">
        <is>
          <t>ALEXANDRA BUITRAGO</t>
        </is>
      </c>
      <c r="L11" s="7" t="n">
        <v/>
      </c>
      <c r="M11" s="7" t="n">
        <v/>
      </c>
      <c r="N11" s="7" t="n">
        <v>3208236273</v>
      </c>
      <c r="O11" s="7" t="inlineStr">
        <is>
          <t>HOYOSJINA92@GMAIL.COM</t>
        </is>
      </c>
      <c r="P11" s="7" t="inlineStr">
        <is>
          <t>BTA SEDE A</t>
        </is>
      </c>
      <c r="Q11" s="7" t="inlineStr">
        <is>
          <t>BELLAS ARTES</t>
        </is>
      </c>
      <c r="R11" s="7" t="n">
        <v>303</v>
      </c>
    </row>
    <row r="12" ht="20" customHeight="1">
      <c r="A12" s="3" t="inlineStr">
        <is>
          <t>1091595049</t>
        </is>
      </c>
      <c r="B12" s="4" t="inlineStr">
        <is>
          <t>PRESENCIAL BOGOTÁ</t>
        </is>
      </c>
      <c r="C12" s="4" t="inlineStr">
        <is>
          <t>NELSON SAMUEL GALVIS TORRES</t>
        </is>
      </c>
      <c r="D12" s="4" t="inlineStr">
        <is>
          <t>OPERACIONES</t>
        </is>
      </c>
      <c r="E12" s="4" t="inlineStr">
        <is>
          <t>REGIONAL BOGOTA</t>
        </is>
      </c>
      <c r="F12" s="4" t="inlineStr">
        <is>
          <t>BOGOTA CENTRO</t>
        </is>
      </c>
      <c r="G12" s="4" t="inlineStr">
        <is>
          <t>PRESENCIAL</t>
        </is>
      </c>
      <c r="H12" s="4" t="inlineStr">
        <is>
          <t>DOC AUX T&amp;T/N/TC/COM SOC Y PER/FUN.ACADE-ADMIN</t>
        </is>
      </c>
      <c r="I12" s="4" t="inlineStr">
        <is>
          <t>COMUNICACION SOCIAL Y PERIODISMO</t>
        </is>
      </c>
      <c r="J12" s="4" t="inlineStr">
        <is>
          <t>NUEVO</t>
        </is>
      </c>
      <c r="K12" s="4" t="inlineStr">
        <is>
          <t>ALEXANDRA BUITRAGO</t>
        </is>
      </c>
      <c r="L12" s="4" t="n">
        <v/>
      </c>
      <c r="M12" s="4" t="n">
        <v/>
      </c>
      <c r="N12" s="4" t="n">
        <v>3173791675</v>
      </c>
      <c r="O12" s="4" t="inlineStr">
        <is>
          <t>NELSONSAMUELGALVIS@GMAIL.COM</t>
        </is>
      </c>
      <c r="P12" s="4" t="inlineStr">
        <is>
          <t>BTA SEDE A</t>
        </is>
      </c>
      <c r="Q12" s="4" t="inlineStr">
        <is>
          <t>BELLAS ARTES</t>
        </is>
      </c>
      <c r="R12" s="4" t="n">
        <v>303</v>
      </c>
    </row>
    <row r="13" ht="20" customHeight="1">
      <c r="A13" s="6" t="inlineStr">
        <is>
          <t>1013628967</t>
        </is>
      </c>
      <c r="B13" s="7" t="inlineStr">
        <is>
          <t>PRESENCIAL BOGOTÁ</t>
        </is>
      </c>
      <c r="C13" s="7" t="inlineStr">
        <is>
          <t>EDWARD LEONARDO QUINTERO AMAYA</t>
        </is>
      </c>
      <c r="D13" s="7" t="inlineStr">
        <is>
          <t>OPERACIONES</t>
        </is>
      </c>
      <c r="E13" s="7" t="inlineStr">
        <is>
          <t>REGIONAL BOGOTA</t>
        </is>
      </c>
      <c r="F13" s="7" t="inlineStr">
        <is>
          <t>BOGOTA CENTRO</t>
        </is>
      </c>
      <c r="G13" s="7" t="inlineStr">
        <is>
          <t>PRESENCIAL</t>
        </is>
      </c>
      <c r="H13" s="7" t="inlineStr">
        <is>
          <t>DOC AUX T&amp;T/N/TC/COM SOC Y PER/FUN.ACADE-ADMIN</t>
        </is>
      </c>
      <c r="I13" s="7" t="inlineStr">
        <is>
          <t>COMUNICACION SOCIAL Y PERIODISMO</t>
        </is>
      </c>
      <c r="J13" s="7" t="inlineStr">
        <is>
          <t>NUEVO</t>
        </is>
      </c>
      <c r="K13" s="7" t="inlineStr">
        <is>
          <t>ALEXANDRA BUITRAGO</t>
        </is>
      </c>
      <c r="L13" s="7" t="n">
        <v/>
      </c>
      <c r="M13" s="7" t="n">
        <v/>
      </c>
      <c r="N13" s="7" t="n">
        <v>3208522598</v>
      </c>
      <c r="O13" s="7" t="inlineStr">
        <is>
          <t>LEOQUINTAMAYA@GMAIL.COM</t>
        </is>
      </c>
      <c r="P13" s="7" t="inlineStr">
        <is>
          <t>BTA SEDE A</t>
        </is>
      </c>
      <c r="Q13" s="7" t="inlineStr">
        <is>
          <t>BELLAS ARTES</t>
        </is>
      </c>
      <c r="R13" s="7" t="n">
        <v>303</v>
      </c>
    </row>
    <row r="14" ht="20" customHeight="1">
      <c r="A14" s="3" t="inlineStr">
        <is>
          <t>1075227142</t>
        </is>
      </c>
      <c r="B14" s="4" t="inlineStr">
        <is>
          <t>PRESENCIAL REGIONAL</t>
        </is>
      </c>
      <c r="C14" s="4" t="inlineStr">
        <is>
          <t>ANDRES FELIPE ARIAS IBAÑEZ</t>
        </is>
      </c>
      <c r="D14" s="4" t="inlineStr">
        <is>
          <t>OPERACIONES</t>
        </is>
      </c>
      <c r="E14" s="4" t="inlineStr">
        <is>
          <t>REGIONAL HUILA</t>
        </is>
      </c>
      <c r="F14" s="4" t="inlineStr">
        <is>
          <t>NEIVA</t>
        </is>
      </c>
      <c r="G14" s="4" t="inlineStr">
        <is>
          <t>PRESENCIAL</t>
        </is>
      </c>
      <c r="H14" s="4" t="inlineStr">
        <is>
          <t>DOC AUX T&amp;T/N/TC/COM SOC Y PER/FUN.ACADE-ADMIN</t>
        </is>
      </c>
      <c r="I14" s="4" t="inlineStr">
        <is>
          <t>COMUNICACION SOCIAL Y PERIODISMO</t>
        </is>
      </c>
      <c r="J14" s="4" t="inlineStr">
        <is>
          <t>NUEVO</t>
        </is>
      </c>
      <c r="K14" s="4" t="inlineStr">
        <is>
          <t>ALEXANDRA BUITRAGO</t>
        </is>
      </c>
      <c r="L14" s="4" t="n">
        <v/>
      </c>
      <c r="M14" s="4" t="n">
        <v/>
      </c>
      <c r="N14" s="4" t="n">
        <v>3225133913</v>
      </c>
      <c r="O14" s="4" t="inlineStr">
        <is>
          <t>ANDRARIB02@GMAIL.COM</t>
        </is>
      </c>
      <c r="P14" s="4" t="inlineStr">
        <is>
          <t>NEIVA SEDE</t>
        </is>
      </c>
      <c r="Q14" s="4" t="inlineStr">
        <is>
          <t>BELLAS ARTES</t>
        </is>
      </c>
      <c r="R14" s="4" t="n">
        <v/>
      </c>
    </row>
    <row r="15" ht="20" customHeight="1">
      <c r="A15" s="6" t="inlineStr">
        <is>
          <t>1007475970</t>
        </is>
      </c>
      <c r="B15" s="7" t="inlineStr">
        <is>
          <t>PRESENCIAL BOGOTÁ</t>
        </is>
      </c>
      <c r="C15" s="7" t="inlineStr">
        <is>
          <t>JULIAN MATEO RODRIGUEZ SIERRA</t>
        </is>
      </c>
      <c r="D15" s="7" t="inlineStr">
        <is>
          <t>OPERACIONES</t>
        </is>
      </c>
      <c r="E15" s="7" t="inlineStr">
        <is>
          <t>REGIONAL BOGOTA</t>
        </is>
      </c>
      <c r="F15" s="7" t="inlineStr">
        <is>
          <t>BOGOTA CENTRO</t>
        </is>
      </c>
      <c r="G15" s="7" t="inlineStr">
        <is>
          <t>PRESENCIAL</t>
        </is>
      </c>
      <c r="H15" s="7" t="inlineStr">
        <is>
          <t>DOC AUX T&amp;T/N/TC/COM SOC Y PER/FUN.ACADE-ADMIN</t>
        </is>
      </c>
      <c r="I15" s="7" t="inlineStr">
        <is>
          <t>COMUNICACION SOCIAL Y PERIODISMO</t>
        </is>
      </c>
      <c r="J15" s="7" t="inlineStr">
        <is>
          <t>NUEVO</t>
        </is>
      </c>
      <c r="K15" s="7" t="inlineStr">
        <is>
          <t>ALEXANDRA BUITRAGO</t>
        </is>
      </c>
      <c r="L15" s="7" t="n">
        <v/>
      </c>
      <c r="M15" s="7" t="n">
        <v/>
      </c>
      <c r="N15" s="7" t="n">
        <v>3507895820</v>
      </c>
      <c r="O15" s="7" t="inlineStr">
        <is>
          <t>JULIMATEO@GMAIL.COM</t>
        </is>
      </c>
      <c r="P15" s="7" t="inlineStr">
        <is>
          <t>BTA SEDE A</t>
        </is>
      </c>
      <c r="Q15" s="7" t="inlineStr">
        <is>
          <t>BELLAS ARTES</t>
        </is>
      </c>
      <c r="R15" s="7" t="n">
        <v>303</v>
      </c>
    </row>
    <row r="16" ht="20" customHeight="1">
      <c r="A16" s="3" t="inlineStr">
        <is>
          <t>52288882</t>
        </is>
      </c>
      <c r="B16" s="4" t="inlineStr">
        <is>
          <t>PRESENCIAL BOGOTÁ</t>
        </is>
      </c>
      <c r="C16" s="4" t="inlineStr">
        <is>
          <t>DIANA MILENA AVILA MARTINEZ</t>
        </is>
      </c>
      <c r="D16" s="4" t="inlineStr">
        <is>
          <t>OPERACIONES</t>
        </is>
      </c>
      <c r="E16" s="4" t="inlineStr">
        <is>
          <t>REGIONAL BOGOTA</t>
        </is>
      </c>
      <c r="F16" s="4" t="inlineStr">
        <is>
          <t>BOGOTA CENTRO</t>
        </is>
      </c>
      <c r="G16" s="4" t="inlineStr">
        <is>
          <t>VIRTUAL</t>
        </is>
      </c>
      <c r="H16" s="4" t="inlineStr">
        <is>
          <t>DOC AUX T&amp;T/N/V/MT/CONTADURIA</t>
        </is>
      </c>
      <c r="I16" s="4" t="inlineStr">
        <is>
          <t>CONTADURIA PUBLICA</t>
        </is>
      </c>
      <c r="J16" s="4" t="inlineStr">
        <is>
          <t>NUEVO</t>
        </is>
      </c>
      <c r="K16" s="4" t="inlineStr">
        <is>
          <t>ALEXANDRA BUITRAGO</t>
        </is>
      </c>
      <c r="L16" s="4" t="n">
        <v/>
      </c>
      <c r="M16" s="4" t="n">
        <v/>
      </c>
      <c r="N16" s="4" t="n">
        <v>3196436917</v>
      </c>
      <c r="O16" s="4" t="inlineStr">
        <is>
          <t>DIANA.DIANAMILENAAVILAMARTINEZ@GMAIL.COM</t>
        </is>
      </c>
      <c r="P16" s="4" t="inlineStr">
        <is>
          <t>BTA SEDE A</t>
        </is>
      </c>
      <c r="Q16" s="4" t="inlineStr">
        <is>
          <t>NEGOCIOS</t>
        </is>
      </c>
      <c r="R16" s="4" t="n">
        <v>200</v>
      </c>
    </row>
    <row r="17" ht="20" customHeight="1">
      <c r="A17" s="6" t="inlineStr">
        <is>
          <t>52027093</t>
        </is>
      </c>
      <c r="B17" s="7" t="inlineStr">
        <is>
          <t>PRESENCIAL BOGOTÁ</t>
        </is>
      </c>
      <c r="C17" s="7" t="inlineStr">
        <is>
          <t>SONIA PATRICIA TORRES CORTES</t>
        </is>
      </c>
      <c r="D17" s="7" t="inlineStr">
        <is>
          <t>OPERACIONES</t>
        </is>
      </c>
      <c r="E17" s="7" t="inlineStr">
        <is>
          <t>REGIONAL BOGOTA</t>
        </is>
      </c>
      <c r="F17" s="7" t="inlineStr">
        <is>
          <t>BOGOTA CENTRO</t>
        </is>
      </c>
      <c r="G17" s="7" t="inlineStr">
        <is>
          <t>VIRTUAL</t>
        </is>
      </c>
      <c r="H17" s="7" t="inlineStr">
        <is>
          <t>DOC ASIS/N/V/MT/CONTADURIA</t>
        </is>
      </c>
      <c r="I17" s="7" t="inlineStr">
        <is>
          <t>CONTADURIA PUBLICA</t>
        </is>
      </c>
      <c r="J17" s="7" t="inlineStr">
        <is>
          <t>NUEVO</t>
        </is>
      </c>
      <c r="K17" s="7" t="inlineStr">
        <is>
          <t>ALEXANDRA BUITRAGO</t>
        </is>
      </c>
      <c r="L17" s="7" t="n">
        <v/>
      </c>
      <c r="M17" s="7" t="n">
        <v/>
      </c>
      <c r="N17" s="7" t="inlineStr">
        <is>
          <t>310 3415572</t>
        </is>
      </c>
      <c r="O17" s="7" t="inlineStr">
        <is>
          <t>SONIAPATRICIATORRESCORTES@YAHOO.COM</t>
        </is>
      </c>
      <c r="P17" s="7" t="inlineStr">
        <is>
          <t>BTA SEDE A</t>
        </is>
      </c>
      <c r="Q17" s="7" t="inlineStr">
        <is>
          <t>NEGOCIOS</t>
        </is>
      </c>
      <c r="R17" s="7" t="n">
        <v>200</v>
      </c>
    </row>
    <row r="18" ht="20" customHeight="1">
      <c r="A18" s="3" t="inlineStr">
        <is>
          <t>1070959485</t>
        </is>
      </c>
      <c r="B18" s="4" t="inlineStr">
        <is>
          <t>PRESENCIAL BOGOTÁ</t>
        </is>
      </c>
      <c r="C18" s="4" t="inlineStr">
        <is>
          <t>ANGIE PAOLA DUEÑAS MORA</t>
        </is>
      </c>
      <c r="D18" s="4" t="inlineStr">
        <is>
          <t>OPERACIONES</t>
        </is>
      </c>
      <c r="E18" s="4" t="inlineStr">
        <is>
          <t>REGIONAL BOGOTA</t>
        </is>
      </c>
      <c r="F18" s="4" t="inlineStr">
        <is>
          <t>BOGOTA CENTRO</t>
        </is>
      </c>
      <c r="G18" s="4" t="inlineStr">
        <is>
          <t>VIRTUAL</t>
        </is>
      </c>
      <c r="H18" s="4" t="inlineStr">
        <is>
          <t>DOC ASIS/N/V/MT/CONTADURIA</t>
        </is>
      </c>
      <c r="I18" s="4" t="inlineStr">
        <is>
          <t>CONTADURIA PUBLICA</t>
        </is>
      </c>
      <c r="J18" s="4" t="inlineStr">
        <is>
          <t>NUEVO</t>
        </is>
      </c>
      <c r="K18" s="4" t="inlineStr">
        <is>
          <t>ALEXANDRA BUITRAGO</t>
        </is>
      </c>
      <c r="L18" s="4" t="n">
        <v/>
      </c>
      <c r="M18" s="4" t="n">
        <v/>
      </c>
      <c r="N18" s="4" t="n">
        <v>3239695165</v>
      </c>
      <c r="O18" s="4" t="inlineStr">
        <is>
          <t>ANGIE.DUENAS@EST.UEXTERNADO.EDU.CO</t>
        </is>
      </c>
      <c r="P18" s="4" t="inlineStr">
        <is>
          <t>BTA SEDE A</t>
        </is>
      </c>
      <c r="Q18" s="4" t="inlineStr">
        <is>
          <t>NEGOCIOS</t>
        </is>
      </c>
      <c r="R18" s="4" t="n">
        <v>200</v>
      </c>
    </row>
    <row r="19" ht="20" customHeight="1">
      <c r="A19" s="6" t="inlineStr">
        <is>
          <t>79948014</t>
        </is>
      </c>
      <c r="B19" s="7" t="inlineStr">
        <is>
          <t>PRESENCIAL BOGOTÁ</t>
        </is>
      </c>
      <c r="C19" s="7" t="inlineStr">
        <is>
          <t>NELSON ANDRES CAMARGO GUILLOMBO</t>
        </is>
      </c>
      <c r="D19" s="7" t="inlineStr">
        <is>
          <t>OPERACIONES</t>
        </is>
      </c>
      <c r="E19" s="7" t="inlineStr">
        <is>
          <t>REGIONAL BOGOTA</t>
        </is>
      </c>
      <c r="F19" s="7" t="inlineStr">
        <is>
          <t>BOGOTA CENTRO</t>
        </is>
      </c>
      <c r="G19" s="7" t="inlineStr">
        <is>
          <t>VIRTUAL</t>
        </is>
      </c>
      <c r="H19" s="7" t="inlineStr">
        <is>
          <t>DOC AUX/N/V/MT/CONTADURIA</t>
        </is>
      </c>
      <c r="I19" s="7" t="inlineStr">
        <is>
          <t>CONTADURIA PUBLICA</t>
        </is>
      </c>
      <c r="J19" s="7" t="inlineStr">
        <is>
          <t>NUEVO</t>
        </is>
      </c>
      <c r="K19" s="7" t="inlineStr">
        <is>
          <t>ALEXANDRA BUITRAGO</t>
        </is>
      </c>
      <c r="L19" s="7" t="n">
        <v/>
      </c>
      <c r="M19" s="7" t="n">
        <v/>
      </c>
      <c r="N19" s="7" t="n">
        <v>3218913990</v>
      </c>
      <c r="O19" s="7" t="inlineStr">
        <is>
          <t>NELSONANDRESCAMARGOG45@GMAIL.COM</t>
        </is>
      </c>
      <c r="P19" s="7" t="inlineStr">
        <is>
          <t>BTA SEDE A</t>
        </is>
      </c>
      <c r="Q19" s="7" t="inlineStr">
        <is>
          <t>NEGOCIOS</t>
        </is>
      </c>
      <c r="R19" s="7" t="n">
        <v>200</v>
      </c>
    </row>
    <row r="20" ht="20" customHeight="1">
      <c r="A20" s="3" t="inlineStr">
        <is>
          <t>1013651517</t>
        </is>
      </c>
      <c r="B20" s="4" t="inlineStr">
        <is>
          <t>PRESENCIAL BOGOTÁ</t>
        </is>
      </c>
      <c r="C20" s="4" t="inlineStr">
        <is>
          <t>NICOLAS BERMUDEZ ROJAS</t>
        </is>
      </c>
      <c r="D20" s="4" t="inlineStr">
        <is>
          <t>OPERACIONES</t>
        </is>
      </c>
      <c r="E20" s="4" t="inlineStr">
        <is>
          <t>REGIONAL BOGOTA</t>
        </is>
      </c>
      <c r="F20" s="4" t="inlineStr">
        <is>
          <t>BOGOTA CENTRO</t>
        </is>
      </c>
      <c r="G20" s="4" t="inlineStr">
        <is>
          <t>VIRTUAL</t>
        </is>
      </c>
      <c r="H20" s="4" t="inlineStr">
        <is>
          <t>DOC AUX/N/V/MT/CONTADURIA</t>
        </is>
      </c>
      <c r="I20" s="4" t="inlineStr">
        <is>
          <t>CONTADURIA PUBLICA</t>
        </is>
      </c>
      <c r="J20" s="4" t="inlineStr">
        <is>
          <t>NUEVO</t>
        </is>
      </c>
      <c r="K20" s="4" t="inlineStr">
        <is>
          <t>ALEXANDRA BUITRAGO</t>
        </is>
      </c>
      <c r="L20" s="4" t="n">
        <v/>
      </c>
      <c r="M20" s="4" t="n">
        <v/>
      </c>
      <c r="N20" s="4" t="n">
        <v>3158921950</v>
      </c>
      <c r="O20" s="4" t="inlineStr">
        <is>
          <t>NICONTABLE15@GMAIL.COM</t>
        </is>
      </c>
      <c r="P20" s="4" t="inlineStr">
        <is>
          <t>BTA SEDE A</t>
        </is>
      </c>
      <c r="Q20" s="4" t="inlineStr">
        <is>
          <t>NEGOCIOS</t>
        </is>
      </c>
      <c r="R20" s="4" t="n">
        <v>200</v>
      </c>
    </row>
    <row r="21" ht="20" customHeight="1">
      <c r="A21" s="6" t="inlineStr">
        <is>
          <t>79818033</t>
        </is>
      </c>
      <c r="B21" s="7" t="inlineStr">
        <is>
          <t>PRESENCIAL BOGOTÁ</t>
        </is>
      </c>
      <c r="C21" s="7" t="inlineStr">
        <is>
          <t>CARLOS ARTURO RIAÑO AMAYA</t>
        </is>
      </c>
      <c r="D21" s="7" t="inlineStr">
        <is>
          <t>OPERACIONES</t>
        </is>
      </c>
      <c r="E21" s="7" t="inlineStr">
        <is>
          <t>REGIONAL BOGOTA</t>
        </is>
      </c>
      <c r="F21" s="7" t="inlineStr">
        <is>
          <t>BOGOTA CENTRO</t>
        </is>
      </c>
      <c r="G21" s="7" t="inlineStr">
        <is>
          <t>VIRTUAL</t>
        </is>
      </c>
      <c r="H21" s="7" t="inlineStr">
        <is>
          <t>DOC AUX/N/V/MT/CONTADURIA</t>
        </is>
      </c>
      <c r="I21" s="7" t="inlineStr">
        <is>
          <t>CONTADURIA PUBLICA</t>
        </is>
      </c>
      <c r="J21" s="7" t="inlineStr">
        <is>
          <t>NUEVO</t>
        </is>
      </c>
      <c r="K21" s="7" t="inlineStr">
        <is>
          <t>ALEXANDRA BUITRAGO</t>
        </is>
      </c>
      <c r="L21" s="7" t="n">
        <v/>
      </c>
      <c r="M21" s="7" t="n">
        <v/>
      </c>
      <c r="N21" s="7" t="n">
        <v>3005960501</v>
      </c>
      <c r="O21" s="7" t="inlineStr">
        <is>
          <t>RIANOACA@JAVERIANA.EDU.CO</t>
        </is>
      </c>
      <c r="P21" s="7" t="inlineStr">
        <is>
          <t>BTA SEDE A</t>
        </is>
      </c>
      <c r="Q21" s="7" t="inlineStr">
        <is>
          <t>NEGOCIOS</t>
        </is>
      </c>
      <c r="R21" s="7" t="n">
        <v>200</v>
      </c>
    </row>
    <row r="22" ht="20" customHeight="1">
      <c r="A22" s="3" t="inlineStr">
        <is>
          <t>28551871</t>
        </is>
      </c>
      <c r="B22" s="4" t="inlineStr">
        <is>
          <t>PRESENCIAL REGIONAL</t>
        </is>
      </c>
      <c r="C22" s="4" t="inlineStr">
        <is>
          <t>LADY CAROLINA MORENO ROJAS</t>
        </is>
      </c>
      <c r="D22" s="4" t="inlineStr">
        <is>
          <t>OPERACIONES</t>
        </is>
      </c>
      <c r="E22" s="4" t="inlineStr">
        <is>
          <t>REGIONAL TOLIMA</t>
        </is>
      </c>
      <c r="F22" s="4" t="inlineStr">
        <is>
          <t>IBAGUÉ</t>
        </is>
      </c>
      <c r="G22" s="4" t="inlineStr">
        <is>
          <t>VIRTUAL</t>
        </is>
      </c>
      <c r="H22" s="4" t="inlineStr">
        <is>
          <t>DOC AUX/N/V/MT/CONTADURIA</t>
        </is>
      </c>
      <c r="I22" s="4" t="inlineStr">
        <is>
          <t>CONTADURIA PUBLICA</t>
        </is>
      </c>
      <c r="J22" s="4" t="inlineStr">
        <is>
          <t>NUEVO</t>
        </is>
      </c>
      <c r="K22" s="4" t="inlineStr">
        <is>
          <t>ALEXANDRA BUITRAGO</t>
        </is>
      </c>
      <c r="L22" s="4" t="n">
        <v/>
      </c>
      <c r="M22" s="4" t="n">
        <v/>
      </c>
      <c r="N22" s="4" t="n">
        <v>3052489288</v>
      </c>
      <c r="O22" s="4" t="inlineStr">
        <is>
          <t>LADYCAROLINAMORENOROJAS@GMAIL.COM</t>
        </is>
      </c>
      <c r="P22" s="4" t="inlineStr">
        <is>
          <t>IBAGUE SEDE</t>
        </is>
      </c>
      <c r="Q22" s="4" t="inlineStr">
        <is>
          <t>NEGOCIOS</t>
        </is>
      </c>
      <c r="R22" s="4" t="n">
        <v/>
      </c>
    </row>
    <row r="23" ht="20" customHeight="1">
      <c r="A23" s="6" t="inlineStr">
        <is>
          <t>15444486</t>
        </is>
      </c>
      <c r="B23" s="7" t="inlineStr">
        <is>
          <t>PRESENCIAL REGIONAL</t>
        </is>
      </c>
      <c r="C23" s="7" t="inlineStr">
        <is>
          <t>JUAN FERNANDO CARDONA VERGARA</t>
        </is>
      </c>
      <c r="D23" s="7" t="inlineStr">
        <is>
          <t>OPERACIONES</t>
        </is>
      </c>
      <c r="E23" s="7" t="inlineStr">
        <is>
          <t>REGIONAL ANTIOQUIA</t>
        </is>
      </c>
      <c r="F23" s="7" t="inlineStr">
        <is>
          <t>MEDELLIN</t>
        </is>
      </c>
      <c r="G23" s="7" t="inlineStr">
        <is>
          <t>VIRTUAL</t>
        </is>
      </c>
      <c r="H23" s="7" t="inlineStr">
        <is>
          <t>DOC ASIS/N/V/TC/DIR PROD ME AUD/FUN.ACA</t>
        </is>
      </c>
      <c r="I23" s="7" t="inlineStr">
        <is>
          <t>DIRECCION Y PRODUCCION DE MEDIOS AUDIOVISUALES</t>
        </is>
      </c>
      <c r="J23" s="7" t="inlineStr">
        <is>
          <t>NUEVO</t>
        </is>
      </c>
      <c r="K23" s="7" t="inlineStr">
        <is>
          <t>ALEXANDRA BUITRAGO</t>
        </is>
      </c>
      <c r="L23" s="7" t="n">
        <v/>
      </c>
      <c r="M23" s="7" t="n">
        <v/>
      </c>
      <c r="N23" s="7" t="n">
        <v>3156651916</v>
      </c>
      <c r="O23" s="7" t="inlineStr">
        <is>
          <t>ZETTACO@GMAIL.COM</t>
        </is>
      </c>
      <c r="P23" s="7" t="inlineStr">
        <is>
          <t>MEDELLIN SEDE</t>
        </is>
      </c>
      <c r="Q23" s="7" t="inlineStr">
        <is>
          <t>BELLAS ARTES</t>
        </is>
      </c>
      <c r="R23" s="7" t="n">
        <v/>
      </c>
    </row>
    <row r="24" ht="20" customHeight="1">
      <c r="A24" s="3" t="inlineStr">
        <is>
          <t>1001198453</t>
        </is>
      </c>
      <c r="B24" s="4" t="inlineStr">
        <is>
          <t>PRESENCIAL BOGOTÁ</t>
        </is>
      </c>
      <c r="C24" s="4" t="inlineStr">
        <is>
          <t>DIANA MARCELA GARCIA DIAZ</t>
        </is>
      </c>
      <c r="D24" s="4" t="inlineStr">
        <is>
          <t>OPERACIONES</t>
        </is>
      </c>
      <c r="E24" s="4" t="inlineStr">
        <is>
          <t>REGIONAL BOGOTA</t>
        </is>
      </c>
      <c r="F24" s="4" t="inlineStr">
        <is>
          <t>BOGOTA CENTRO</t>
        </is>
      </c>
      <c r="G24" s="4" t="inlineStr">
        <is>
          <t>PRESENCIAL</t>
        </is>
      </c>
      <c r="H24" s="4" t="inlineStr">
        <is>
          <t>DOC AUX T&amp;T/N/MT/DIS EXP INT</t>
        </is>
      </c>
      <c r="I24" s="4" t="inlineStr">
        <is>
          <t>DISEÑO EXPERIENCIAS INTERACTIVAS</t>
        </is>
      </c>
      <c r="J24" s="4" t="inlineStr">
        <is>
          <t>NUEVO</t>
        </is>
      </c>
      <c r="K24" s="4" t="inlineStr">
        <is>
          <t>ALEXANDRA BUITRAGO</t>
        </is>
      </c>
      <c r="L24" s="4" t="n">
        <v/>
      </c>
      <c r="M24" s="4" t="n">
        <v/>
      </c>
      <c r="N24" s="4" t="n">
        <v>3208081766</v>
      </c>
      <c r="O24" s="4" t="inlineStr">
        <is>
          <t>DIGARCIA1815@GMAIL.COM</t>
        </is>
      </c>
      <c r="P24" s="4" t="inlineStr">
        <is>
          <t>BTA SEDE A</t>
        </is>
      </c>
      <c r="Q24" s="4" t="inlineStr">
        <is>
          <t>BELLAS ARTES</t>
        </is>
      </c>
      <c r="R24" s="4" t="n">
        <v>303</v>
      </c>
    </row>
    <row r="25" ht="20" customHeight="1">
      <c r="A25" s="6" t="inlineStr">
        <is>
          <t>80794905</t>
        </is>
      </c>
      <c r="B25" s="7" t="inlineStr">
        <is>
          <t>PRESENCIAL BOGOTÁ</t>
        </is>
      </c>
      <c r="C25" s="7" t="inlineStr">
        <is>
          <t>MIGUEL ANGEL ACOSTA SANABRIA</t>
        </is>
      </c>
      <c r="D25" s="7" t="inlineStr">
        <is>
          <t>OPERACIONES</t>
        </is>
      </c>
      <c r="E25" s="7" t="inlineStr">
        <is>
          <t>REGIONAL BOGOTA</t>
        </is>
      </c>
      <c r="F25" s="7" t="inlineStr">
        <is>
          <t>BOGOTA CENTRO</t>
        </is>
      </c>
      <c r="G25" s="7" t="inlineStr">
        <is>
          <t>PRESENCIAL</t>
        </is>
      </c>
      <c r="H25" s="7" t="inlineStr">
        <is>
          <t>DOCENTE ASIS/N/MT/DIS GRAFICO</t>
        </is>
      </c>
      <c r="I25" s="7" t="inlineStr">
        <is>
          <t>DISEÑO GRAFICO</t>
        </is>
      </c>
      <c r="J25" s="7" t="inlineStr">
        <is>
          <t>NUEVO</t>
        </is>
      </c>
      <c r="K25" s="7" t="inlineStr">
        <is>
          <t>ALEXANDRA BUITRAGO</t>
        </is>
      </c>
      <c r="L25" s="7" t="n">
        <v/>
      </c>
      <c r="M25" s="7" t="n">
        <v/>
      </c>
      <c r="N25" s="7" t="n">
        <v>3182760847</v>
      </c>
      <c r="O25" s="7" t="inlineStr">
        <is>
          <t>MIGUELACOSTA28@ME.COM</t>
        </is>
      </c>
      <c r="P25" s="7" t="inlineStr">
        <is>
          <t>BTA SEDE A</t>
        </is>
      </c>
      <c r="Q25" s="7" t="inlineStr">
        <is>
          <t>BELLAS ARTES</t>
        </is>
      </c>
      <c r="R25" s="7" t="n">
        <v>303</v>
      </c>
    </row>
    <row r="26" ht="20" customHeight="1">
      <c r="A26" s="3" t="inlineStr">
        <is>
          <t>79962408</t>
        </is>
      </c>
      <c r="B26" s="4" t="inlineStr">
        <is>
          <t>PRESENCIAL BOGOTÁ</t>
        </is>
      </c>
      <c r="C26" s="4" t="inlineStr">
        <is>
          <t>MANUEL ALEJANDRO RODRIGUEZ ROJAS</t>
        </is>
      </c>
      <c r="D26" s="4" t="inlineStr">
        <is>
          <t>OPERACIONES</t>
        </is>
      </c>
      <c r="E26" s="4" t="inlineStr">
        <is>
          <t>REGIONAL BOGOTA</t>
        </is>
      </c>
      <c r="F26" s="4" t="inlineStr">
        <is>
          <t>BOGOTA CENTRO</t>
        </is>
      </c>
      <c r="G26" s="4" t="inlineStr">
        <is>
          <t>PRESENCIAL</t>
        </is>
      </c>
      <c r="H26" s="4" t="inlineStr">
        <is>
          <t>DOCENTE AUX/N/TC/EMPRENDIMIE/FUN.ACADE-ADMIN</t>
        </is>
      </c>
      <c r="I26" s="4" t="inlineStr">
        <is>
          <t>EMPRENDIMIENTO</t>
        </is>
      </c>
      <c r="J26" s="4" t="inlineStr">
        <is>
          <t>NUEVO</t>
        </is>
      </c>
      <c r="K26" s="4" t="inlineStr">
        <is>
          <t>ALEXANDRA BUITRAGO</t>
        </is>
      </c>
      <c r="L26" s="4" t="n">
        <v/>
      </c>
      <c r="M26" s="4" t="n">
        <v/>
      </c>
      <c r="N26" s="4" t="n">
        <v>3502692135</v>
      </c>
      <c r="O26" s="4" t="inlineStr">
        <is>
          <t>PSALEJANDRO2507@GMAIL.COM</t>
        </is>
      </c>
      <c r="P26" s="4" t="inlineStr">
        <is>
          <t>BTA SEDE A</t>
        </is>
      </c>
      <c r="Q26" s="4" t="inlineStr">
        <is>
          <t>TRANSVERSALES</t>
        </is>
      </c>
      <c r="R26" s="4" t="n">
        <v>700</v>
      </c>
    </row>
    <row r="27" ht="20" customHeight="1">
      <c r="A27" s="6" t="inlineStr">
        <is>
          <t>1030587886</t>
        </is>
      </c>
      <c r="B27" s="7" t="inlineStr">
        <is>
          <t>PRESENCIAL BOGOTÁ</t>
        </is>
      </c>
      <c r="C27" s="7" t="inlineStr">
        <is>
          <t>GUSTAVO ADOLFO RUBIANO JIMENEZ</t>
        </is>
      </c>
      <c r="D27" s="7" t="inlineStr">
        <is>
          <t>OPERACIONES</t>
        </is>
      </c>
      <c r="E27" s="7" t="inlineStr">
        <is>
          <t>REGIONAL BOGOTA</t>
        </is>
      </c>
      <c r="F27" s="7" t="inlineStr">
        <is>
          <t>BOGOTA CENTRO</t>
        </is>
      </c>
      <c r="G27" s="7" t="inlineStr">
        <is>
          <t>PRESENCIAL</t>
        </is>
      </c>
      <c r="H27" s="7" t="inlineStr">
        <is>
          <t>DOCENTE AUX/N/TC/EMPRENDIMIE/FUN.ACADE-ADMIN</t>
        </is>
      </c>
      <c r="I27" s="7" t="inlineStr">
        <is>
          <t>EMPRENDIMIENTO</t>
        </is>
      </c>
      <c r="J27" s="7" t="inlineStr">
        <is>
          <t>NUEVO</t>
        </is>
      </c>
      <c r="K27" s="7" t="inlineStr">
        <is>
          <t>ALEXANDRA BUITRAGO</t>
        </is>
      </c>
      <c r="L27" s="7" t="n">
        <v/>
      </c>
      <c r="M27" s="7" t="n">
        <v/>
      </c>
      <c r="N27" s="7" t="n">
        <v>3184130782</v>
      </c>
      <c r="O27" s="7" t="inlineStr">
        <is>
          <t>G.RUBIANO2502@GMAIL.COM</t>
        </is>
      </c>
      <c r="P27" s="7" t="inlineStr">
        <is>
          <t>BTA SEDE A</t>
        </is>
      </c>
      <c r="Q27" s="7" t="inlineStr">
        <is>
          <t>TRANSVERSALES</t>
        </is>
      </c>
      <c r="R27" s="7" t="n">
        <v>700</v>
      </c>
    </row>
    <row r="28" ht="20" customHeight="1">
      <c r="A28" s="3" t="inlineStr">
        <is>
          <t>79949138</t>
        </is>
      </c>
      <c r="B28" s="4" t="inlineStr">
        <is>
          <t>PRESENCIAL BOGOTÁ</t>
        </is>
      </c>
      <c r="C28" s="4" t="inlineStr">
        <is>
          <t>DAVID GUERRERO FERNANDEZ</t>
        </is>
      </c>
      <c r="D28" s="4" t="inlineStr">
        <is>
          <t>OPERACIONES</t>
        </is>
      </c>
      <c r="E28" s="4" t="inlineStr">
        <is>
          <t>REGIONAL BOGOTA</t>
        </is>
      </c>
      <c r="F28" s="4" t="inlineStr">
        <is>
          <t>BOGOTA CENTRO</t>
        </is>
      </c>
      <c r="G28" s="4" t="inlineStr">
        <is>
          <t>PRESENCIAL</t>
        </is>
      </c>
      <c r="H28" s="4" t="inlineStr">
        <is>
          <t>DOC AUX T&amp;T/N/TC/EMPRENDIMIE/FUN.ACADE-ADMIN</t>
        </is>
      </c>
      <c r="I28" s="4" t="inlineStr">
        <is>
          <t>EMPRENDIMIENTO</t>
        </is>
      </c>
      <c r="J28" s="4" t="inlineStr">
        <is>
          <t>NUEVO</t>
        </is>
      </c>
      <c r="K28" s="4" t="inlineStr">
        <is>
          <t>ALEXANDRA BUITRAGO</t>
        </is>
      </c>
      <c r="L28" s="4" t="inlineStr">
        <is>
          <t>CONFIRMADO PRESENCIAL</t>
        </is>
      </c>
      <c r="M28" s="4" t="n">
        <v/>
      </c>
      <c r="N28" s="4" t="n">
        <v>3014376415</v>
      </c>
      <c r="O28" s="4" t="inlineStr">
        <is>
          <t>D_GUERRE@YAHOO.COM</t>
        </is>
      </c>
      <c r="P28" s="4" t="inlineStr">
        <is>
          <t>BTA SEDE A</t>
        </is>
      </c>
      <c r="Q28" s="4" t="inlineStr">
        <is>
          <t>TRANSVERSALES</t>
        </is>
      </c>
      <c r="R28" s="4" t="n">
        <v>700</v>
      </c>
    </row>
    <row r="29" ht="20" customHeight="1">
      <c r="A29" s="6" t="inlineStr">
        <is>
          <t>1030539124</t>
        </is>
      </c>
      <c r="B29" s="7" t="inlineStr">
        <is>
          <t>PRESENCIAL BOGOTÁ</t>
        </is>
      </c>
      <c r="C29" s="7" t="inlineStr">
        <is>
          <t>LADY JOHANNA HUERTAS RAMIREZ</t>
        </is>
      </c>
      <c r="D29" s="7" t="inlineStr">
        <is>
          <t>OPERACIONES</t>
        </is>
      </c>
      <c r="E29" s="7" t="inlineStr">
        <is>
          <t>REGIONAL BOGOTA</t>
        </is>
      </c>
      <c r="F29" s="7" t="inlineStr">
        <is>
          <t>BOGOTA CENTRO</t>
        </is>
      </c>
      <c r="G29" s="7" t="inlineStr">
        <is>
          <t>PRESENCIAL</t>
        </is>
      </c>
      <c r="H29" s="7" t="inlineStr">
        <is>
          <t>DOCENTE AUX/N/TC/EMPRENDIMIE/FUN.ACADE-ADMIN</t>
        </is>
      </c>
      <c r="I29" s="7" t="inlineStr">
        <is>
          <t>EMPRENDIMIENTO</t>
        </is>
      </c>
      <c r="J29" s="7" t="inlineStr">
        <is>
          <t>NUEVO</t>
        </is>
      </c>
      <c r="K29" s="7" t="inlineStr">
        <is>
          <t>ALEXANDRA BUITRAGO</t>
        </is>
      </c>
      <c r="L29" s="7" t="n">
        <v/>
      </c>
      <c r="M29" s="7" t="n">
        <v/>
      </c>
      <c r="N29" s="7" t="n">
        <v>3168253361</v>
      </c>
      <c r="O29" s="7" t="inlineStr">
        <is>
          <t>LADYJOHANNA22@GMAIL.COM</t>
        </is>
      </c>
      <c r="P29" s="7" t="inlineStr">
        <is>
          <t>BTA SEDE A</t>
        </is>
      </c>
      <c r="Q29" s="7" t="inlineStr">
        <is>
          <t>TRANSVERSALES</t>
        </is>
      </c>
      <c r="R29" s="7" t="n">
        <v>700</v>
      </c>
    </row>
    <row r="30" ht="20" customHeight="1">
      <c r="A30" s="3" t="inlineStr">
        <is>
          <t>1010221623</t>
        </is>
      </c>
      <c r="B30" s="4" t="inlineStr">
        <is>
          <t>PRESENCIAL BOGOTÁ</t>
        </is>
      </c>
      <c r="C30" s="4" t="inlineStr">
        <is>
          <t>OSCAR IVAN MAYORGA ROMERO</t>
        </is>
      </c>
      <c r="D30" s="4" t="inlineStr">
        <is>
          <t>OPERACIONES</t>
        </is>
      </c>
      <c r="E30" s="4" t="inlineStr">
        <is>
          <t>REGIONAL BOGOTA</t>
        </is>
      </c>
      <c r="F30" s="4" t="inlineStr">
        <is>
          <t>BOGOTA CENTRO</t>
        </is>
      </c>
      <c r="G30" s="4" t="inlineStr">
        <is>
          <t>PRESENCIAL</t>
        </is>
      </c>
      <c r="H30" s="4" t="inlineStr">
        <is>
          <t>DOCENTE AUX/N/TC/EMPRENDIMIE/FUN.ACADE-ADMIN</t>
        </is>
      </c>
      <c r="I30" s="4" t="inlineStr">
        <is>
          <t>EMPRENDIMIENTO</t>
        </is>
      </c>
      <c r="J30" s="4" t="inlineStr">
        <is>
          <t>NUEVO</t>
        </is>
      </c>
      <c r="K30" s="4" t="inlineStr">
        <is>
          <t>ALEXANDRA BUITRAGO</t>
        </is>
      </c>
      <c r="L30" s="4" t="n">
        <v/>
      </c>
      <c r="M30" s="4" t="n">
        <v/>
      </c>
      <c r="N30" s="4" t="n">
        <v>3508563870</v>
      </c>
      <c r="O30" s="4" t="inlineStr">
        <is>
          <t>OSCAR.697@HOTMAIL.COM</t>
        </is>
      </c>
      <c r="P30" s="4" t="inlineStr">
        <is>
          <t>BTA SEDE A</t>
        </is>
      </c>
      <c r="Q30" s="4" t="inlineStr">
        <is>
          <t>TRANSVERSALES</t>
        </is>
      </c>
      <c r="R30" s="4" t="n">
        <v>700</v>
      </c>
    </row>
    <row r="31" ht="20" customHeight="1">
      <c r="A31" s="6" t="inlineStr">
        <is>
          <t>1016040558</t>
        </is>
      </c>
      <c r="B31" s="7" t="inlineStr">
        <is>
          <t>PRESENCIAL BOGOTÁ</t>
        </is>
      </c>
      <c r="C31" s="7" t="inlineStr">
        <is>
          <t>ANDRES FELIPE RAMIREZ ACEVEDO</t>
        </is>
      </c>
      <c r="D31" s="7" t="inlineStr">
        <is>
          <t>OPERACIONES</t>
        </is>
      </c>
      <c r="E31" s="7" t="inlineStr">
        <is>
          <t>REGIONAL BOGOTA</t>
        </is>
      </c>
      <c r="F31" s="7" t="inlineStr">
        <is>
          <t>BOGOTA CENTRO</t>
        </is>
      </c>
      <c r="G31" s="7" t="inlineStr">
        <is>
          <t>PRESENCIAL</t>
        </is>
      </c>
      <c r="H31" s="7" t="inlineStr">
        <is>
          <t>DOC AUX T&amp;T/N/TC/EMPRENDIMIE/FUN.ACADE-ADMIN</t>
        </is>
      </c>
      <c r="I31" s="7" t="inlineStr">
        <is>
          <t>EMPRENDIMIENTO</t>
        </is>
      </c>
      <c r="J31" s="7" t="inlineStr">
        <is>
          <t>NUEVO</t>
        </is>
      </c>
      <c r="K31" s="7" t="inlineStr">
        <is>
          <t>ALEXANDRA BUITRAGO</t>
        </is>
      </c>
      <c r="L31" s="7" t="inlineStr">
        <is>
          <t>CONFIRMADO PRESENCIAL</t>
        </is>
      </c>
      <c r="M31" s="7" t="n">
        <v/>
      </c>
      <c r="N31" s="7" t="n">
        <v>3194950805</v>
      </c>
      <c r="O31" s="7" t="inlineStr">
        <is>
          <t>TIENDAIKWA@GMAIL.COM</t>
        </is>
      </c>
      <c r="P31" s="7" t="inlineStr">
        <is>
          <t>BTA SEDE A</t>
        </is>
      </c>
      <c r="Q31" s="7" t="inlineStr">
        <is>
          <t>TRANSVERSALES</t>
        </is>
      </c>
      <c r="R31" s="7" t="n">
        <v>700</v>
      </c>
    </row>
    <row r="32" ht="20" customHeight="1">
      <c r="A32" s="3" t="inlineStr">
        <is>
          <t>1031139139</t>
        </is>
      </c>
      <c r="B32" s="4" t="inlineStr">
        <is>
          <t>PRESENCIAL BOGOTÁ</t>
        </is>
      </c>
      <c r="C32" s="4" t="inlineStr">
        <is>
          <t>CATHERINE YISEL PARRA VIA</t>
        </is>
      </c>
      <c r="D32" s="4" t="inlineStr">
        <is>
          <t>OPERACIONES</t>
        </is>
      </c>
      <c r="E32" s="4" t="inlineStr">
        <is>
          <t>REGIONAL BOGOTA</t>
        </is>
      </c>
      <c r="F32" s="4" t="inlineStr">
        <is>
          <t>BOGOTA CENTRO</t>
        </is>
      </c>
      <c r="G32" s="4" t="inlineStr">
        <is>
          <t>PRESENCIAL</t>
        </is>
      </c>
      <c r="H32" s="4" t="inlineStr">
        <is>
          <t>DOC AUX T&amp;T/N/TC/EMPRENDIMIE/FUN.ACADE-ADMIN</t>
        </is>
      </c>
      <c r="I32" s="4" t="inlineStr">
        <is>
          <t>EMPRENDIMIENTO</t>
        </is>
      </c>
      <c r="J32" s="4" t="inlineStr">
        <is>
          <t>NUEVO</t>
        </is>
      </c>
      <c r="K32" s="4" t="inlineStr">
        <is>
          <t>ALEXANDRA BUITRAGO</t>
        </is>
      </c>
      <c r="L32" s="4" t="n">
        <v/>
      </c>
      <c r="M32" s="4" t="n">
        <v/>
      </c>
      <c r="N32" s="4" t="n">
        <v>3043908759</v>
      </c>
      <c r="O32" s="4" t="inlineStr">
        <is>
          <t>YISEL2107.1910@GMAIL.COM</t>
        </is>
      </c>
      <c r="P32" s="4" t="inlineStr">
        <is>
          <t>BTA SEDE A</t>
        </is>
      </c>
      <c r="Q32" s="4" t="inlineStr">
        <is>
          <t>TRANSVERSALES</t>
        </is>
      </c>
      <c r="R32" s="4" t="n">
        <v>700</v>
      </c>
    </row>
    <row r="33" ht="20" customHeight="1">
      <c r="A33" s="6" t="inlineStr">
        <is>
          <t>52998146</t>
        </is>
      </c>
      <c r="B33" s="7" t="inlineStr">
        <is>
          <t>PRESENCIAL BOGOTÁ</t>
        </is>
      </c>
      <c r="C33" s="7" t="inlineStr">
        <is>
          <t>ELIZABETH MERCEDES BERNAL MARTINEZ</t>
        </is>
      </c>
      <c r="D33" s="7" t="inlineStr">
        <is>
          <t>OPERACIONES</t>
        </is>
      </c>
      <c r="E33" s="7" t="inlineStr">
        <is>
          <t>REGIONAL BOGOTA</t>
        </is>
      </c>
      <c r="F33" s="7" t="inlineStr">
        <is>
          <t>BOGOTA CENTRO</t>
        </is>
      </c>
      <c r="G33" s="7" t="inlineStr">
        <is>
          <t>PRESENCIAL</t>
        </is>
      </c>
      <c r="H33" s="7" t="inlineStr">
        <is>
          <t>DOCENTE ASIS/N/TC/EMPRENDIMIE/FUN.ACADE-ADMIN</t>
        </is>
      </c>
      <c r="I33" s="7" t="inlineStr">
        <is>
          <t>EMPRENDIMIENTO</t>
        </is>
      </c>
      <c r="J33" s="7" t="inlineStr">
        <is>
          <t>NUEVO</t>
        </is>
      </c>
      <c r="K33" s="7" t="inlineStr">
        <is>
          <t>ALEXANDRA BUITRAGO</t>
        </is>
      </c>
      <c r="L33" s="7" t="n">
        <v/>
      </c>
      <c r="M33" s="7" t="n">
        <v/>
      </c>
      <c r="N33" s="7" t="n">
        <v>3105552183</v>
      </c>
      <c r="O33" s="7" t="inlineStr">
        <is>
          <t>ELIZABETH.M.BERNAL@GMAIL.COM</t>
        </is>
      </c>
      <c r="P33" s="7" t="inlineStr">
        <is>
          <t>BTA SEDE A</t>
        </is>
      </c>
      <c r="Q33" s="7" t="inlineStr">
        <is>
          <t>TRANSVERSALES</t>
        </is>
      </c>
      <c r="R33" s="7" t="n">
        <v>700</v>
      </c>
    </row>
    <row r="34" ht="20" customHeight="1">
      <c r="A34" s="3" t="inlineStr">
        <is>
          <t>1130670364</t>
        </is>
      </c>
      <c r="B34" s="4" t="inlineStr">
        <is>
          <t>PRESENCIAL BOGOTÁ</t>
        </is>
      </c>
      <c r="C34" s="4" t="inlineStr">
        <is>
          <t>JUAN PABLO ALBAN PERDOMO</t>
        </is>
      </c>
      <c r="D34" s="4" t="inlineStr">
        <is>
          <t>OPERACIONES</t>
        </is>
      </c>
      <c r="E34" s="4" t="inlineStr">
        <is>
          <t>REGIONAL BOGOTA</t>
        </is>
      </c>
      <c r="F34" s="4" t="inlineStr">
        <is>
          <t>BOGOTA CENTRO</t>
        </is>
      </c>
      <c r="G34" s="4" t="inlineStr">
        <is>
          <t>PRESENCIAL</t>
        </is>
      </c>
      <c r="H34" s="4" t="inlineStr">
        <is>
          <t>DOCENTE AUX/N/TC/EMPRENDIMIE/FUN.ACADE-ADMIN</t>
        </is>
      </c>
      <c r="I34" s="4" t="inlineStr">
        <is>
          <t>EMPRENDIMIENTO</t>
        </is>
      </c>
      <c r="J34" s="4" t="inlineStr">
        <is>
          <t>NUEVO</t>
        </is>
      </c>
      <c r="K34" s="4" t="inlineStr">
        <is>
          <t>ALEXANDRA BUITRAGO</t>
        </is>
      </c>
      <c r="L34" s="4" t="n">
        <v/>
      </c>
      <c r="M34" s="4" t="n">
        <v/>
      </c>
      <c r="N34" s="4" t="n">
        <v>3013904886</v>
      </c>
      <c r="O34" s="4" t="inlineStr">
        <is>
          <t>JUANALBAN47@GMAIL.COM</t>
        </is>
      </c>
      <c r="P34" s="4" t="inlineStr">
        <is>
          <t>BTA SEDE A</t>
        </is>
      </c>
      <c r="Q34" s="4" t="inlineStr">
        <is>
          <t>TRANSVERSALES</t>
        </is>
      </c>
      <c r="R34" s="4" t="n">
        <v>700</v>
      </c>
    </row>
    <row r="35" ht="20" customHeight="1">
      <c r="A35" s="6" t="inlineStr">
        <is>
          <t>1102853205</t>
        </is>
      </c>
      <c r="B35" s="7" t="inlineStr">
        <is>
          <t>PRESENCIAL BOGOTÁ</t>
        </is>
      </c>
      <c r="C35" s="7" t="inlineStr">
        <is>
          <t>JESUS DAVID TUIRAN RUIZ</t>
        </is>
      </c>
      <c r="D35" s="7" t="inlineStr">
        <is>
          <t>OPERACIONES</t>
        </is>
      </c>
      <c r="E35" s="7" t="inlineStr">
        <is>
          <t>REGIONAL BOGOTA</t>
        </is>
      </c>
      <c r="F35" s="7" t="inlineStr">
        <is>
          <t>BOGOTA CENTRO</t>
        </is>
      </c>
      <c r="G35" s="7" t="inlineStr">
        <is>
          <t>VIRTUAL</t>
        </is>
      </c>
      <c r="H35" s="7" t="inlineStr">
        <is>
          <t>DOC ASIS/N/V/TC/ESP CONTRA ESTATAL/FUN.A</t>
        </is>
      </c>
      <c r="I35" s="7" t="inlineStr">
        <is>
          <t>ESPECIALIZACION DE CONTRATACION ESTATAL</t>
        </is>
      </c>
      <c r="J35" s="7" t="inlineStr">
        <is>
          <t>NUEVO</t>
        </is>
      </c>
      <c r="K35" s="7" t="inlineStr">
        <is>
          <t>ALEXANDRA BUITRAGO</t>
        </is>
      </c>
      <c r="L35" s="7" t="inlineStr">
        <is>
          <t>CONFIRMADO PRESENCIAL</t>
        </is>
      </c>
      <c r="M35" s="7" t="n">
        <v/>
      </c>
      <c r="N35" s="7" t="n">
        <v>3016649496</v>
      </c>
      <c r="O35" s="7" t="inlineStr">
        <is>
          <t>JESUSDAVIDTUIRANRUIZ@GMAIL.COM</t>
        </is>
      </c>
      <c r="P35" s="7" t="inlineStr">
        <is>
          <t>BTA SEDE A</t>
        </is>
      </c>
      <c r="Q35" s="7" t="inlineStr">
        <is>
          <t>ESPECIALIZACIONES</t>
        </is>
      </c>
      <c r="R35" s="7" t="n">
        <v>602</v>
      </c>
    </row>
    <row r="36" ht="20" customHeight="1">
      <c r="A36" s="3" t="inlineStr">
        <is>
          <t>1010179348</t>
        </is>
      </c>
      <c r="B36" s="4" t="inlineStr">
        <is>
          <t>PRESENCIAL BOGOTÁ</t>
        </is>
      </c>
      <c r="C36" s="4" t="inlineStr">
        <is>
          <t>JUAN CAMILO CAMACHO OSORIO</t>
        </is>
      </c>
      <c r="D36" s="4" t="inlineStr">
        <is>
          <t>OPERACIONES</t>
        </is>
      </c>
      <c r="E36" s="4" t="inlineStr">
        <is>
          <t>REGIONAL BOGOTA</t>
        </is>
      </c>
      <c r="F36" s="4" t="inlineStr">
        <is>
          <t>BOGOTA CENTRO</t>
        </is>
      </c>
      <c r="G36" s="4" t="inlineStr">
        <is>
          <t>VIRTUAL</t>
        </is>
      </c>
      <c r="H36" s="4" t="inlineStr">
        <is>
          <t>DOC ASIS/N/V/TC/ESP CONTRA ESTATAL/FUN.A</t>
        </is>
      </c>
      <c r="I36" s="4" t="inlineStr">
        <is>
          <t>ESPECIALIZACION DE CONTRATACION ESTATAL</t>
        </is>
      </c>
      <c r="J36" s="4" t="inlineStr">
        <is>
          <t>NUEVO</t>
        </is>
      </c>
      <c r="K36" s="4" t="inlineStr">
        <is>
          <t>ALEXANDRA BUITRAGO</t>
        </is>
      </c>
      <c r="L36" s="4" t="n">
        <v/>
      </c>
      <c r="M36" s="4" t="n">
        <v/>
      </c>
      <c r="N36" s="4" t="n">
        <v>3124619087</v>
      </c>
      <c r="O36" s="4" t="inlineStr">
        <is>
          <t>JUANC.CAMACHOO@GMAIL.COM</t>
        </is>
      </c>
      <c r="P36" s="4" t="inlineStr">
        <is>
          <t>BTA SEDE A</t>
        </is>
      </c>
      <c r="Q36" s="4" t="inlineStr">
        <is>
          <t>ESPECIALIZACIONES</t>
        </is>
      </c>
      <c r="R36" s="4" t="n">
        <v>602</v>
      </c>
    </row>
    <row r="37" ht="20" customHeight="1">
      <c r="A37" s="6" t="inlineStr">
        <is>
          <t>1015465318</t>
        </is>
      </c>
      <c r="B37" s="7" t="inlineStr">
        <is>
          <t>PRESENCIAL BOGOTÁ</t>
        </is>
      </c>
      <c r="C37" s="7" t="inlineStr">
        <is>
          <t>MATEO MANCERA CAMACHO</t>
        </is>
      </c>
      <c r="D37" s="7" t="inlineStr">
        <is>
          <t>OPERACIONES</t>
        </is>
      </c>
      <c r="E37" s="7" t="inlineStr">
        <is>
          <t>REGIONAL BOGOTA</t>
        </is>
      </c>
      <c r="F37" s="7" t="inlineStr">
        <is>
          <t>BOGOTA CENTRO</t>
        </is>
      </c>
      <c r="G37" s="7" t="inlineStr">
        <is>
          <t>VIRTUAL</t>
        </is>
      </c>
      <c r="H37" s="7" t="inlineStr">
        <is>
          <t>DOC AUX T&amp;T/N/V/TC/ESP DYD VIDEOJUEGOS/F</t>
        </is>
      </c>
      <c r="I37" s="7" t="inlineStr">
        <is>
          <t>ESPECIALIZACION DISEÑO Y DESARROLLO VIDEOJUEGOS</t>
        </is>
      </c>
      <c r="J37" s="7" t="inlineStr">
        <is>
          <t>NUEVO</t>
        </is>
      </c>
      <c r="K37" s="7" t="inlineStr">
        <is>
          <t>ALEXANDRA BUITRAGO</t>
        </is>
      </c>
      <c r="L37" s="7" t="n">
        <v/>
      </c>
      <c r="M37" s="7" t="n">
        <v/>
      </c>
      <c r="N37" s="7" t="n">
        <v>3193963095</v>
      </c>
      <c r="O37" s="7" t="inlineStr">
        <is>
          <t>MATEO.M.CAMACHO@HOTMAIL.ES</t>
        </is>
      </c>
      <c r="P37" s="7" t="inlineStr">
        <is>
          <t>BTA SEDE A</t>
        </is>
      </c>
      <c r="Q37" s="7" t="inlineStr">
        <is>
          <t>ESPECIALIZACIONES</t>
        </is>
      </c>
      <c r="R37" s="7" t="n">
        <v>602</v>
      </c>
    </row>
    <row r="38" ht="20" customHeight="1">
      <c r="A38" s="3" t="inlineStr">
        <is>
          <t>1085319934</t>
        </is>
      </c>
      <c r="B38" s="4" t="inlineStr">
        <is>
          <t>VIRTUAL</t>
        </is>
      </c>
      <c r="C38" s="4" t="inlineStr">
        <is>
          <t>OSWALDO ANDRES ORDOÑEZ BOLAÑOS</t>
        </is>
      </c>
      <c r="D38" s="4" t="inlineStr">
        <is>
          <t>OPERACIONES</t>
        </is>
      </c>
      <c r="E38" s="4" t="inlineStr">
        <is>
          <t>REGIONAL NARIÑO</t>
        </is>
      </c>
      <c r="F38" s="4" t="inlineStr">
        <is>
          <t>PASTO</t>
        </is>
      </c>
      <c r="G38" s="4" t="inlineStr">
        <is>
          <t>VIRTUAL</t>
        </is>
      </c>
      <c r="H38" s="4" t="inlineStr">
        <is>
          <t>DOC ASIS/N/V/TC/ESP DYD VIDEOJUEGOS/FUN.</t>
        </is>
      </c>
      <c r="I38" s="4" t="inlineStr">
        <is>
          <t>ESPECIALIZACION DISEÑO Y DESARROLLO VIDEOJUEGOS</t>
        </is>
      </c>
      <c r="J38" s="4" t="inlineStr">
        <is>
          <t>NUEVO</t>
        </is>
      </c>
      <c r="K38" s="4" t="inlineStr">
        <is>
          <t>ALEXANDRA BUITRAGO</t>
        </is>
      </c>
      <c r="L38" s="4" t="n">
        <v/>
      </c>
      <c r="M38" s="4" t="n">
        <v/>
      </c>
      <c r="N38" s="4" t="n">
        <v>3157191848</v>
      </c>
      <c r="O38" s="4" t="inlineStr">
        <is>
          <t>OSWALDORDONEZ@UNICAUCA.EDU.CO</t>
        </is>
      </c>
      <c r="P38" s="4" t="inlineStr">
        <is>
          <t>PASTO SEDE</t>
        </is>
      </c>
      <c r="Q38" s="4" t="inlineStr">
        <is>
          <t>ESPECIALIZACIONES</t>
        </is>
      </c>
      <c r="R38" s="4" t="n">
        <v/>
      </c>
    </row>
    <row r="39" ht="20" customHeight="1">
      <c r="A39" s="6" t="inlineStr">
        <is>
          <t>1015460105</t>
        </is>
      </c>
      <c r="B39" s="7" t="inlineStr">
        <is>
          <t>PRESENCIAL BOGOTÁ</t>
        </is>
      </c>
      <c r="C39" s="7" t="inlineStr">
        <is>
          <t>SERGIO GOMEZ DELGADO</t>
        </is>
      </c>
      <c r="D39" s="7" t="inlineStr">
        <is>
          <t>OPERACIONES</t>
        </is>
      </c>
      <c r="E39" s="7" t="inlineStr">
        <is>
          <t>REGIONAL BOGOTA</t>
        </is>
      </c>
      <c r="F39" s="7" t="inlineStr">
        <is>
          <t>BOGOTA CENTRO</t>
        </is>
      </c>
      <c r="G39" s="7" t="inlineStr">
        <is>
          <t>VIRTUAL</t>
        </is>
      </c>
      <c r="H39" s="7" t="inlineStr">
        <is>
          <t>DOC AUX T&amp;T/N/V/TC/ESP DYD VIDEOJUEGOS/F</t>
        </is>
      </c>
      <c r="I39" s="7" t="inlineStr">
        <is>
          <t>ESPECIALIZACION DISEÑO Y DESARROLLO VIDEOJUEGOS</t>
        </is>
      </c>
      <c r="J39" s="7" t="inlineStr">
        <is>
          <t>NUEVO</t>
        </is>
      </c>
      <c r="K39" s="7" t="inlineStr">
        <is>
          <t>ALEXANDRA BUITRAGO</t>
        </is>
      </c>
      <c r="L39" s="7" t="n">
        <v/>
      </c>
      <c r="M39" s="7" t="n">
        <v/>
      </c>
      <c r="N39" s="7" t="n">
        <v>3197377015</v>
      </c>
      <c r="O39" s="7" t="inlineStr">
        <is>
          <t>SERGIOMLP123@HOTMAIL.COM</t>
        </is>
      </c>
      <c r="P39" s="7" t="inlineStr">
        <is>
          <t>BTA SEDE A</t>
        </is>
      </c>
      <c r="Q39" s="7" t="inlineStr">
        <is>
          <t>ESPECIALIZACIONES</t>
        </is>
      </c>
      <c r="R39" s="7" t="n">
        <v>602</v>
      </c>
    </row>
    <row r="40" ht="20" customHeight="1">
      <c r="A40" s="3" t="inlineStr">
        <is>
          <t>1047438711</t>
        </is>
      </c>
      <c r="B40" s="4" t="inlineStr">
        <is>
          <t>VIRTUAL</t>
        </is>
      </c>
      <c r="C40" s="4" t="inlineStr">
        <is>
          <t>LUIS GUILLERMO LOZANO PEÑARANDA</t>
        </is>
      </c>
      <c r="D40" s="4" t="inlineStr">
        <is>
          <t>OPERACIONES</t>
        </is>
      </c>
      <c r="E40" s="4" t="inlineStr">
        <is>
          <t>REGIONAL BOLIVAR</t>
        </is>
      </c>
      <c r="F40" s="4" t="inlineStr">
        <is>
          <t>CARTAGENA</t>
        </is>
      </c>
      <c r="G40" s="4" t="inlineStr">
        <is>
          <t>VIRTUAL</t>
        </is>
      </c>
      <c r="H40" s="4" t="inlineStr">
        <is>
          <t>DOC AUX/N/V/TC/ESP CIBERSEG/FUN.ACA</t>
        </is>
      </c>
      <c r="I40" s="4" t="inlineStr">
        <is>
          <t>ESPECIALIZACION EN CIBERSEGURIDAD</t>
        </is>
      </c>
      <c r="J40" s="4" t="inlineStr">
        <is>
          <t>NUEVO</t>
        </is>
      </c>
      <c r="K40" s="4" t="inlineStr">
        <is>
          <t>ALEXANDRA BUITRAGO</t>
        </is>
      </c>
      <c r="L40" s="4" t="inlineStr">
        <is>
          <t>CONFIRMADO VIRTUAL</t>
        </is>
      </c>
      <c r="M40" s="4" t="n">
        <v/>
      </c>
      <c r="N40" s="4" t="n">
        <v>3027913380</v>
      </c>
      <c r="O40" s="4" t="inlineStr">
        <is>
          <t>LUISLOZANOP@OUTLOOK.COM</t>
        </is>
      </c>
      <c r="P40" s="4" t="inlineStr">
        <is>
          <t>CARTAGENA SEDE</t>
        </is>
      </c>
      <c r="Q40" s="4" t="inlineStr">
        <is>
          <t>ESPECIALIZACIONES</t>
        </is>
      </c>
      <c r="R40" s="4" t="n">
        <v/>
      </c>
    </row>
    <row r="41" ht="20" customHeight="1">
      <c r="A41" s="6" t="inlineStr">
        <is>
          <t>1075682856</t>
        </is>
      </c>
      <c r="B41" s="7" t="inlineStr">
        <is>
          <t>PRESENCIAL BOGOTÁ</t>
        </is>
      </c>
      <c r="C41" s="7" t="inlineStr">
        <is>
          <t>JUAN CAMILO BOTONERO RODRIGUEZ</t>
        </is>
      </c>
      <c r="D41" s="7" t="inlineStr">
        <is>
          <t>OPERACIONES</t>
        </is>
      </c>
      <c r="E41" s="7" t="inlineStr">
        <is>
          <t>REGIONAL BOGOTA</t>
        </is>
      </c>
      <c r="F41" s="7" t="inlineStr">
        <is>
          <t>BOGOTA CENTRO</t>
        </is>
      </c>
      <c r="G41" s="7" t="inlineStr">
        <is>
          <t>VIRTUAL</t>
        </is>
      </c>
      <c r="H41" s="7" t="inlineStr">
        <is>
          <t>DOC ASIS/N/V/TC/ESP CIBERSEG/FUN.ACA</t>
        </is>
      </c>
      <c r="I41" s="7" t="inlineStr">
        <is>
          <t>ESPECIALIZACION EN CIBERSEGURIDAD</t>
        </is>
      </c>
      <c r="J41" s="7" t="inlineStr">
        <is>
          <t>NUEVO</t>
        </is>
      </c>
      <c r="K41" s="7" t="inlineStr">
        <is>
          <t>ALEXANDRA BUITRAGO</t>
        </is>
      </c>
      <c r="L41" s="7" t="n">
        <v/>
      </c>
      <c r="M41" s="7" t="n">
        <v/>
      </c>
      <c r="N41" s="7" t="n">
        <v>3212527612</v>
      </c>
      <c r="O41" s="7" t="inlineStr">
        <is>
          <t>JCBOTONERO97@GMAIL.COM</t>
        </is>
      </c>
      <c r="P41" s="7" t="inlineStr">
        <is>
          <t>BTA SEDE A</t>
        </is>
      </c>
      <c r="Q41" s="7" t="inlineStr">
        <is>
          <t>ESPECIALIZACIONES</t>
        </is>
      </c>
      <c r="R41" s="7" t="n">
        <v>602</v>
      </c>
    </row>
    <row r="42" ht="20" customHeight="1">
      <c r="A42" s="3" t="inlineStr">
        <is>
          <t>73182300</t>
        </is>
      </c>
      <c r="B42" s="4" t="inlineStr">
        <is>
          <t>PRESENCIAL BOGOTÁ</t>
        </is>
      </c>
      <c r="C42" s="4" t="inlineStr">
        <is>
          <t>LUIS ERNESTO ROJAS UMFRIED</t>
        </is>
      </c>
      <c r="D42" s="4" t="inlineStr">
        <is>
          <t>OPERACIONES</t>
        </is>
      </c>
      <c r="E42" s="4" t="inlineStr">
        <is>
          <t>REGIONAL BOGOTA</t>
        </is>
      </c>
      <c r="F42" s="4" t="inlineStr">
        <is>
          <t>BOGOTA CENTRO</t>
        </is>
      </c>
      <c r="G42" s="4" t="inlineStr">
        <is>
          <t>VIRTUAL</t>
        </is>
      </c>
      <c r="H42" s="4" t="inlineStr">
        <is>
          <t>DOC AUX/N/V/TC/ESP CIBERSEG/FUN.ACA</t>
        </is>
      </c>
      <c r="I42" s="4" t="inlineStr">
        <is>
          <t>ESPECIALIZACION EN CIBERSEGURIDAD</t>
        </is>
      </c>
      <c r="J42" s="4" t="inlineStr">
        <is>
          <t>NUEVO</t>
        </is>
      </c>
      <c r="K42" s="4" t="inlineStr">
        <is>
          <t>ALEXANDRA BUITRAGO</t>
        </is>
      </c>
      <c r="L42" s="4" t="n">
        <v/>
      </c>
      <c r="M42" s="4" t="n">
        <v/>
      </c>
      <c r="N42" s="4" t="n">
        <v>3112500782</v>
      </c>
      <c r="O42" s="4" t="inlineStr">
        <is>
          <t>LUCHOERU@GMAIL.COM</t>
        </is>
      </c>
      <c r="P42" s="4" t="inlineStr">
        <is>
          <t>BTA SEDE A</t>
        </is>
      </c>
      <c r="Q42" s="4" t="inlineStr">
        <is>
          <t>ESPECIALIZACIONES</t>
        </is>
      </c>
      <c r="R42" s="4" t="n">
        <v>602</v>
      </c>
    </row>
    <row r="43" ht="20" customHeight="1">
      <c r="A43" s="6" t="inlineStr">
        <is>
          <t>1116256076</t>
        </is>
      </c>
      <c r="B43" s="7" t="inlineStr">
        <is>
          <t>VIRTUAL</t>
        </is>
      </c>
      <c r="C43" s="7" t="inlineStr">
        <is>
          <t>JOHN FREDY CERON CIFUENTES</t>
        </is>
      </c>
      <c r="D43" s="7" t="inlineStr">
        <is>
          <t>OPERACIONES</t>
        </is>
      </c>
      <c r="E43" s="7" t="inlineStr">
        <is>
          <t>REGIONAL QUINDIO</t>
        </is>
      </c>
      <c r="F43" s="7" t="inlineStr">
        <is>
          <t>ARMENIA</t>
        </is>
      </c>
      <c r="G43" s="7" t="inlineStr">
        <is>
          <t>VIRTUAL</t>
        </is>
      </c>
      <c r="H43" s="7" t="inlineStr">
        <is>
          <t>DOC ASIS/N/V/TC/ESP DES ORG TH/FUN.ACADE</t>
        </is>
      </c>
      <c r="I43" s="7" t="inlineStr">
        <is>
          <t>ESPECIALIZACION EN DESARROLLO ORGANIZACIONAL Y GESTION DEL TALENTO HUMANO</t>
        </is>
      </c>
      <c r="J43" s="7" t="inlineStr">
        <is>
          <t>NUEVO</t>
        </is>
      </c>
      <c r="K43" s="7" t="inlineStr">
        <is>
          <t>ALEXANDRA BUITRAGO</t>
        </is>
      </c>
      <c r="L43" s="7" t="n">
        <v/>
      </c>
      <c r="M43" s="7" t="n">
        <v/>
      </c>
      <c r="N43" s="7" t="n">
        <v>3134517074</v>
      </c>
      <c r="O43" s="7" t="inlineStr">
        <is>
          <t>JOHNCERON0110@GMAIL.COM</t>
        </is>
      </c>
      <c r="P43" s="7" t="inlineStr">
        <is>
          <t>ARMENIA SEDE</t>
        </is>
      </c>
      <c r="Q43" s="7" t="inlineStr">
        <is>
          <t>ESPECIALIZACIONES</t>
        </is>
      </c>
      <c r="R43" s="7" t="n">
        <v/>
      </c>
    </row>
    <row r="44" ht="20" customHeight="1">
      <c r="A44" s="3" t="inlineStr">
        <is>
          <t>1018484449</t>
        </is>
      </c>
      <c r="B44" s="4" t="inlineStr">
        <is>
          <t>PRESENCIAL BOGOTÁ</t>
        </is>
      </c>
      <c r="C44" s="4" t="inlineStr">
        <is>
          <t>SHARON DAYANNA QUIROGA BERNAL</t>
        </is>
      </c>
      <c r="D44" s="4" t="inlineStr">
        <is>
          <t>OPERACIONES</t>
        </is>
      </c>
      <c r="E44" s="4" t="inlineStr">
        <is>
          <t>REGIONAL BOGOTA</t>
        </is>
      </c>
      <c r="F44" s="4" t="inlineStr">
        <is>
          <t>BOGOTA CENTRO</t>
        </is>
      </c>
      <c r="G44" s="4" t="inlineStr">
        <is>
          <t>VIRTUAL</t>
        </is>
      </c>
      <c r="H44" s="4" t="inlineStr">
        <is>
          <t>DOC AUX/N/V/TC/ESP DES Y GEST TH/FUN ACA</t>
        </is>
      </c>
      <c r="I44" s="4" t="inlineStr">
        <is>
          <t>ESPECIALIZACION EN DESARROLLO ORGANIZACIONAL Y GESTION DEL TALENTO HUMANO</t>
        </is>
      </c>
      <c r="J44" s="4" t="inlineStr">
        <is>
          <t>NUEVO</t>
        </is>
      </c>
      <c r="K44" s="4" t="inlineStr">
        <is>
          <t>ALEXANDRA BUITRAGO</t>
        </is>
      </c>
      <c r="L44" s="4" t="inlineStr">
        <is>
          <t>CONFIRMADO PRESENCIAL</t>
        </is>
      </c>
      <c r="M44" s="4" t="n">
        <v/>
      </c>
      <c r="N44" s="4" t="n">
        <v>3193161254</v>
      </c>
      <c r="O44" s="4" t="inlineStr">
        <is>
          <t>DOCENTESHARONQUIROGA@GMAIL.COM</t>
        </is>
      </c>
      <c r="P44" s="4" t="inlineStr">
        <is>
          <t>BTA SEDE A</t>
        </is>
      </c>
      <c r="Q44" s="4" t="inlineStr">
        <is>
          <t>ESPECIALIZACIONES</t>
        </is>
      </c>
      <c r="R44" s="4" t="n">
        <v>602</v>
      </c>
    </row>
    <row r="45" ht="20" customHeight="1">
      <c r="A45" s="6" t="inlineStr">
        <is>
          <t>65630098</t>
        </is>
      </c>
      <c r="B45" s="7" t="inlineStr">
        <is>
          <t>PRESENCIAL BOGOTÁ</t>
        </is>
      </c>
      <c r="C45" s="7" t="inlineStr">
        <is>
          <t>JENNIFER RODRIGUEZ VANEGAS</t>
        </is>
      </c>
      <c r="D45" s="7" t="inlineStr">
        <is>
          <t>OPERACIONES</t>
        </is>
      </c>
      <c r="E45" s="7" t="inlineStr">
        <is>
          <t>REGIONAL BOGOTA</t>
        </is>
      </c>
      <c r="F45" s="7" t="inlineStr">
        <is>
          <t>BOGOTA CENTRO</t>
        </is>
      </c>
      <c r="G45" s="7" t="inlineStr">
        <is>
          <t>VIRTUAL</t>
        </is>
      </c>
      <c r="H45" s="7" t="inlineStr">
        <is>
          <t>DOC AUX/N/V/TC/ESP DES Y GEST TH/FUN ACA</t>
        </is>
      </c>
      <c r="I45" s="7" t="inlineStr">
        <is>
          <t>ESPECIALIZACION EN DESARROLLO ORGANIZACIONAL Y GESTION DEL TALENTO HUMANO</t>
        </is>
      </c>
      <c r="J45" s="7" t="inlineStr">
        <is>
          <t>NUEVO</t>
        </is>
      </c>
      <c r="K45" s="7" t="inlineStr">
        <is>
          <t>ALEXANDRA BUITRAGO</t>
        </is>
      </c>
      <c r="L45" s="7" t="n">
        <v/>
      </c>
      <c r="M45" s="7" t="n">
        <v/>
      </c>
      <c r="N45" s="7" t="n">
        <v>3172160418</v>
      </c>
      <c r="O45" s="7" t="inlineStr">
        <is>
          <t>JENNIFERRODRIGUEZVANEGAS921@GMAIL.COM</t>
        </is>
      </c>
      <c r="P45" s="7" t="inlineStr">
        <is>
          <t>IBAGUE SEDE</t>
        </is>
      </c>
      <c r="Q45" s="7" t="inlineStr">
        <is>
          <t>ESPECIALIZACIONES</t>
        </is>
      </c>
      <c r="R45" s="7" t="n">
        <v>602</v>
      </c>
    </row>
    <row r="46" ht="20" customHeight="1">
      <c r="A46" s="3" t="inlineStr">
        <is>
          <t>40041232</t>
        </is>
      </c>
      <c r="B46" s="4" t="inlineStr">
        <is>
          <t>VIRTUAL</t>
        </is>
      </c>
      <c r="C46" s="4" t="inlineStr">
        <is>
          <t>MARCELA LISETH FERNANDEZ PEDREROS</t>
        </is>
      </c>
      <c r="D46" s="4" t="inlineStr">
        <is>
          <t>OPERACIONES</t>
        </is>
      </c>
      <c r="E46" s="4" t="inlineStr">
        <is>
          <t>REGIONAL BOYACA</t>
        </is>
      </c>
      <c r="F46" s="4" t="inlineStr">
        <is>
          <t>TUNJA</t>
        </is>
      </c>
      <c r="G46" s="4" t="inlineStr">
        <is>
          <t>VIRTUAL</t>
        </is>
      </c>
      <c r="H46" s="4" t="inlineStr">
        <is>
          <t>DOC ASIS/N/V/TC/ESP GERE DE PROY/FUN.ACA</t>
        </is>
      </c>
      <c r="I46" s="4" t="inlineStr">
        <is>
          <t>ESPECIALIZACION EN GERENCIA DE PROYECTOS</t>
        </is>
      </c>
      <c r="J46" s="4" t="inlineStr">
        <is>
          <t>NUEVO</t>
        </is>
      </c>
      <c r="K46" s="4" t="inlineStr">
        <is>
          <t>ALEXANDRA BUITRAGO</t>
        </is>
      </c>
      <c r="L46" s="4" t="n">
        <v/>
      </c>
      <c r="M46" s="4" t="n">
        <v/>
      </c>
      <c r="N46" s="4" t="n">
        <v>3214433283</v>
      </c>
      <c r="O46" s="4" t="inlineStr">
        <is>
          <t>MAJU8591@GMAIL.COM</t>
        </is>
      </c>
      <c r="P46" s="4" t="inlineStr">
        <is>
          <t>TUNJA SEDE</t>
        </is>
      </c>
      <c r="Q46" s="4" t="inlineStr">
        <is>
          <t>ESPECIALIZACIONES</t>
        </is>
      </c>
      <c r="R46" s="4" t="n">
        <v/>
      </c>
    </row>
    <row r="47" ht="20" customHeight="1">
      <c r="A47" s="6" t="inlineStr">
        <is>
          <t>43157380</t>
        </is>
      </c>
      <c r="B47" s="7" t="inlineStr">
        <is>
          <t>PRESENCIAL REGIONAL</t>
        </is>
      </c>
      <c r="C47" s="7" t="inlineStr">
        <is>
          <t>LORMA VENCY GONZALEZ VASQUEZ</t>
        </is>
      </c>
      <c r="D47" s="7" t="inlineStr">
        <is>
          <t>OPERACIONES</t>
        </is>
      </c>
      <c r="E47" s="7" t="inlineStr">
        <is>
          <t>REGIONAL ANTIOQUIA</t>
        </is>
      </c>
      <c r="F47" s="7" t="inlineStr">
        <is>
          <t>MEDELLIN</t>
        </is>
      </c>
      <c r="G47" s="7" t="inlineStr">
        <is>
          <t>VIRTUAL</t>
        </is>
      </c>
      <c r="H47" s="7" t="inlineStr">
        <is>
          <t>DOC ASIS/N/V/TC/ESP GERE DE PROY/FUN.ACA</t>
        </is>
      </c>
      <c r="I47" s="7" t="inlineStr">
        <is>
          <t>ESPECIALIZACION EN GERENCIA DE PROYECTOS</t>
        </is>
      </c>
      <c r="J47" s="7" t="inlineStr">
        <is>
          <t>NUEVO</t>
        </is>
      </c>
      <c r="K47" s="7" t="inlineStr">
        <is>
          <t>ALEXANDRA BUITRAGO</t>
        </is>
      </c>
      <c r="L47" s="7" t="n">
        <v/>
      </c>
      <c r="M47" s="7" t="n">
        <v/>
      </c>
      <c r="N47" s="7" t="n">
        <v>3113631363</v>
      </c>
      <c r="O47" s="7" t="inlineStr">
        <is>
          <t>LGONZA25A@GMAIL.COM</t>
        </is>
      </c>
      <c r="P47" s="7" t="inlineStr">
        <is>
          <t>MEDELLIN SEDE</t>
        </is>
      </c>
      <c r="Q47" s="7" t="inlineStr">
        <is>
          <t>ESPECIALIZACIONES</t>
        </is>
      </c>
      <c r="R47" s="7" t="n">
        <v/>
      </c>
    </row>
    <row r="48" ht="20" customHeight="1">
      <c r="A48" s="3" t="inlineStr">
        <is>
          <t>1020733601</t>
        </is>
      </c>
      <c r="B48" s="4" t="inlineStr">
        <is>
          <t>PRESENCIAL BOGOTÁ</t>
        </is>
      </c>
      <c r="C48" s="4" t="inlineStr">
        <is>
          <t>CHARLY GOMEZ MENDOZA</t>
        </is>
      </c>
      <c r="D48" s="4" t="inlineStr">
        <is>
          <t>OPERACIONES</t>
        </is>
      </c>
      <c r="E48" s="4" t="inlineStr">
        <is>
          <t>REGIONAL BOGOTA</t>
        </is>
      </c>
      <c r="F48" s="4" t="inlineStr">
        <is>
          <t>BOGOTA CENTRO</t>
        </is>
      </c>
      <c r="G48" s="4" t="inlineStr">
        <is>
          <t>VIRTUAL</t>
        </is>
      </c>
      <c r="H48" s="4" t="inlineStr">
        <is>
          <t>DOC AUX/N/V/TC/ESP GER DE PROY/FUN.ACA</t>
        </is>
      </c>
      <c r="I48" s="4" t="inlineStr">
        <is>
          <t>ESPECIALIZACION EN GERENCIA DE PROYECTOS</t>
        </is>
      </c>
      <c r="J48" s="4" t="inlineStr">
        <is>
          <t>NUEVO</t>
        </is>
      </c>
      <c r="K48" s="4" t="inlineStr">
        <is>
          <t>ALEXANDRA BUITRAGO</t>
        </is>
      </c>
      <c r="L48" s="4" t="n">
        <v/>
      </c>
      <c r="M48" s="4" t="n">
        <v/>
      </c>
      <c r="N48" s="4" t="n">
        <v>3014414756</v>
      </c>
      <c r="O48" s="4" t="inlineStr">
        <is>
          <t>CHARLY_6999@HOTMAIL.COM</t>
        </is>
      </c>
      <c r="P48" s="4" t="inlineStr">
        <is>
          <t>CHIA SEDE</t>
        </is>
      </c>
      <c r="Q48" s="4" t="inlineStr">
        <is>
          <t>ESPECIALIZACIONES</t>
        </is>
      </c>
      <c r="R48" s="4" t="n">
        <v>602</v>
      </c>
    </row>
    <row r="49" ht="20" customHeight="1">
      <c r="A49" s="6" t="inlineStr">
        <is>
          <t>79943706</t>
        </is>
      </c>
      <c r="B49" s="7" t="inlineStr">
        <is>
          <t>PRESENCIAL BOGOTÁ</t>
        </is>
      </c>
      <c r="C49" s="7" t="inlineStr">
        <is>
          <t>NICOLAS MOGOLLON RAMIREZ</t>
        </is>
      </c>
      <c r="D49" s="7" t="inlineStr">
        <is>
          <t>OPERACIONES</t>
        </is>
      </c>
      <c r="E49" s="7" t="inlineStr">
        <is>
          <t>REGIONAL BOGOTA</t>
        </is>
      </c>
      <c r="F49" s="7" t="inlineStr">
        <is>
          <t>BOGOTA CENTRO</t>
        </is>
      </c>
      <c r="G49" s="7" t="inlineStr">
        <is>
          <t>VIRTUAL</t>
        </is>
      </c>
      <c r="H49" s="7" t="inlineStr">
        <is>
          <t>DOC ASIS/N/V/MT/ESP GER FINANC</t>
        </is>
      </c>
      <c r="I49" s="7" t="inlineStr">
        <is>
          <t>ESPECIALIZACION EN GERENCIA FINANCIERA</t>
        </is>
      </c>
      <c r="J49" s="7" t="inlineStr">
        <is>
          <t>NUEVO</t>
        </is>
      </c>
      <c r="K49" s="7" t="inlineStr">
        <is>
          <t>ALEXANDRA BUITRAGO</t>
        </is>
      </c>
      <c r="L49" s="7" t="n">
        <v/>
      </c>
      <c r="M49" s="7" t="n">
        <v/>
      </c>
      <c r="N49" s="7" t="n">
        <v>3204998334</v>
      </c>
      <c r="O49" s="7" t="inlineStr">
        <is>
          <t>NICOLAS.MOGOLLON@GMAIL.COM</t>
        </is>
      </c>
      <c r="P49" s="7" t="inlineStr">
        <is>
          <t>BTA SEDE A</t>
        </is>
      </c>
      <c r="Q49" s="7" t="inlineStr">
        <is>
          <t>ESPECIALIZACIONES</t>
        </is>
      </c>
      <c r="R49" s="7" t="n">
        <v>602</v>
      </c>
    </row>
    <row r="50" ht="20" customHeight="1">
      <c r="A50" s="3" t="inlineStr">
        <is>
          <t>80852845</t>
        </is>
      </c>
      <c r="B50" s="4" t="inlineStr">
        <is>
          <t>PRESENCIAL BOGOTÁ</t>
        </is>
      </c>
      <c r="C50" s="4" t="inlineStr">
        <is>
          <t>DANIEL GUILLERMO TAPIA GARZON</t>
        </is>
      </c>
      <c r="D50" s="4" t="inlineStr">
        <is>
          <t>OPERACIONES</t>
        </is>
      </c>
      <c r="E50" s="4" t="inlineStr">
        <is>
          <t>REGIONAL BOGOTA</t>
        </is>
      </c>
      <c r="F50" s="4" t="inlineStr">
        <is>
          <t>BOGOTA CENTRO</t>
        </is>
      </c>
      <c r="G50" s="4" t="inlineStr">
        <is>
          <t>VIRTUAL</t>
        </is>
      </c>
      <c r="H50" s="4" t="inlineStr">
        <is>
          <t>DOC ASIS/N/V/MT/ESP GER FINANC</t>
        </is>
      </c>
      <c r="I50" s="4" t="inlineStr">
        <is>
          <t>ESPECIALIZACION EN GERENCIA FINANCIERA</t>
        </is>
      </c>
      <c r="J50" s="4" t="inlineStr">
        <is>
          <t>NUEVO</t>
        </is>
      </c>
      <c r="K50" s="4" t="inlineStr">
        <is>
          <t>ALEXANDRA BUITRAGO</t>
        </is>
      </c>
      <c r="L50" s="4" t="n">
        <v/>
      </c>
      <c r="M50" s="4" t="n">
        <v/>
      </c>
      <c r="N50" s="4" t="n">
        <v>3005547104</v>
      </c>
      <c r="O50" s="4" t="inlineStr">
        <is>
          <t>DTAPIA_GARZON@HOTMAIL.COM</t>
        </is>
      </c>
      <c r="P50" s="4" t="inlineStr">
        <is>
          <t>BTA SEDE A</t>
        </is>
      </c>
      <c r="Q50" s="4" t="inlineStr">
        <is>
          <t>ESPECIALIZACIONES</t>
        </is>
      </c>
      <c r="R50" s="4" t="n">
        <v>602</v>
      </c>
    </row>
    <row r="51" ht="20" customHeight="1">
      <c r="A51" s="6" t="inlineStr">
        <is>
          <t>1116798246</t>
        </is>
      </c>
      <c r="B51" s="7" t="inlineStr">
        <is>
          <t>PRESENCIAL REGIONAL</t>
        </is>
      </c>
      <c r="C51" s="7" t="inlineStr">
        <is>
          <t>ADRIAN FERNANDO RIOS QUINTERO</t>
        </is>
      </c>
      <c r="D51" s="7" t="inlineStr">
        <is>
          <t>OPERACIONES</t>
        </is>
      </c>
      <c r="E51" s="7" t="inlineStr">
        <is>
          <t>REGIONAL ANTIOQUIA</t>
        </is>
      </c>
      <c r="F51" s="7" t="inlineStr">
        <is>
          <t>MEDELLIN</t>
        </is>
      </c>
      <c r="G51" s="7" t="inlineStr">
        <is>
          <t>VIRTUAL</t>
        </is>
      </c>
      <c r="H51" s="7" t="inlineStr">
        <is>
          <t>DOC ASIS/N/V/MT/ESP GER FINANC</t>
        </is>
      </c>
      <c r="I51" s="7" t="inlineStr">
        <is>
          <t>ESPECIALIZACION EN GERENCIA FINANCIERA</t>
        </is>
      </c>
      <c r="J51" s="7" t="inlineStr">
        <is>
          <t>NUEVO</t>
        </is>
      </c>
      <c r="K51" s="7" t="inlineStr">
        <is>
          <t>ALEXANDRA BUITRAGO</t>
        </is>
      </c>
      <c r="L51" s="7" t="n">
        <v/>
      </c>
      <c r="M51" s="7" t="n">
        <v/>
      </c>
      <c r="N51" s="7" t="n">
        <v>3046452836</v>
      </c>
      <c r="O51" s="7" t="inlineStr">
        <is>
          <t>RIOSQUINTEROA@GMAIL.COM</t>
        </is>
      </c>
      <c r="P51" s="7" t="inlineStr">
        <is>
          <t>MEDELLIN SEDE</t>
        </is>
      </c>
      <c r="Q51" s="7" t="inlineStr">
        <is>
          <t>ESPECIALIZACIONES</t>
        </is>
      </c>
      <c r="R51" s="7" t="n">
        <v/>
      </c>
    </row>
    <row r="52" ht="20" customHeight="1">
      <c r="A52" s="3" t="inlineStr">
        <is>
          <t>1233901588</t>
        </is>
      </c>
      <c r="B52" s="4" t="inlineStr">
        <is>
          <t>PRESENCIAL BOGOTÁ</t>
        </is>
      </c>
      <c r="C52" s="4" t="inlineStr">
        <is>
          <t>CARLOS MARIO MINU QUIROGA</t>
        </is>
      </c>
      <c r="D52" s="4" t="inlineStr">
        <is>
          <t>OPERACIONES</t>
        </is>
      </c>
      <c r="E52" s="4" t="inlineStr">
        <is>
          <t>REGIONAL BOGOTA</t>
        </is>
      </c>
      <c r="F52" s="4" t="inlineStr">
        <is>
          <t>BOGOTA CENTRO</t>
        </is>
      </c>
      <c r="G52" s="4" t="inlineStr">
        <is>
          <t>VIRTUAL</t>
        </is>
      </c>
      <c r="H52" s="4" t="inlineStr">
        <is>
          <t>DOC ASIS/N/V/TC/ESP EN IA/FUN.ACAD</t>
        </is>
      </c>
      <c r="I52" s="4" t="inlineStr">
        <is>
          <t>ESPECIALIZACION EN IA</t>
        </is>
      </c>
      <c r="J52" s="4" t="inlineStr">
        <is>
          <t>NUEVO</t>
        </is>
      </c>
      <c r="K52" s="4" t="inlineStr">
        <is>
          <t>ALEXANDRA BUITRAGO</t>
        </is>
      </c>
      <c r="L52" s="4" t="n">
        <v/>
      </c>
      <c r="M52" s="4" t="n">
        <v/>
      </c>
      <c r="N52" s="4" t="n">
        <v>3114898665</v>
      </c>
      <c r="O52" s="4" t="inlineStr">
        <is>
          <t>CM.MINU10@UNIANDES.EDU.CO</t>
        </is>
      </c>
      <c r="P52" s="4" t="inlineStr">
        <is>
          <t>BTA SEDE A</t>
        </is>
      </c>
      <c r="Q52" s="4" t="inlineStr">
        <is>
          <t>ESPECIALIZACIONES</t>
        </is>
      </c>
      <c r="R52" s="4" t="n">
        <v>602</v>
      </c>
    </row>
    <row r="53" ht="20" customHeight="1">
      <c r="A53" s="6" t="inlineStr">
        <is>
          <t>1093788233</t>
        </is>
      </c>
      <c r="B53" s="7" t="inlineStr">
        <is>
          <t>VIRTUAL</t>
        </is>
      </c>
      <c r="C53" s="7" t="inlineStr">
        <is>
          <t>CRISTIAN FELIPE RIVERA CAÑAS</t>
        </is>
      </c>
      <c r="D53" s="7" t="inlineStr">
        <is>
          <t>OPERACIONES</t>
        </is>
      </c>
      <c r="E53" s="7" t="inlineStr">
        <is>
          <t>REGIONAL NORTE DE SANTANDER</t>
        </is>
      </c>
      <c r="F53" s="7" t="inlineStr">
        <is>
          <t>CUCUTÁ</t>
        </is>
      </c>
      <c r="G53" s="7" t="inlineStr">
        <is>
          <t>VIRTUAL</t>
        </is>
      </c>
      <c r="H53" s="7" t="inlineStr">
        <is>
          <t>DOC AUX/N/V/TC/ESP EN IA/FUN.ACAD</t>
        </is>
      </c>
      <c r="I53" s="7" t="inlineStr">
        <is>
          <t>ESPECIALIZACION EN IA</t>
        </is>
      </c>
      <c r="J53" s="7" t="inlineStr">
        <is>
          <t>NUEVO</t>
        </is>
      </c>
      <c r="K53" s="7" t="inlineStr">
        <is>
          <t>ALEXANDRA BUITRAGO</t>
        </is>
      </c>
      <c r="L53" s="7" t="inlineStr">
        <is>
          <t>CONFIRMADO VIRTUAL</t>
        </is>
      </c>
      <c r="M53" s="7" t="n">
        <v/>
      </c>
      <c r="N53" s="7" t="n">
        <v>3009508339</v>
      </c>
      <c r="O53" s="7" t="inlineStr">
        <is>
          <t>CFRIVERAC@UFPSO.EDU.CO</t>
        </is>
      </c>
      <c r="P53" s="7" t="inlineStr">
        <is>
          <t>CUCUTA SEDE</t>
        </is>
      </c>
      <c r="Q53" s="7" t="inlineStr">
        <is>
          <t>ESPECIALIZACIONES</t>
        </is>
      </c>
      <c r="R53" s="7" t="n">
        <v/>
      </c>
    </row>
    <row r="54" ht="20" customHeight="1">
      <c r="A54" s="3" t="inlineStr">
        <is>
          <t>1065204337</t>
        </is>
      </c>
      <c r="B54" s="4" t="inlineStr">
        <is>
          <t>PRESENCIAL REGIONAL</t>
        </is>
      </c>
      <c r="C54" s="4" t="inlineStr">
        <is>
          <t>JANIER ANDRES BALLESTEROS RINCON</t>
        </is>
      </c>
      <c r="D54" s="4" t="inlineStr">
        <is>
          <t>OPERACIONES</t>
        </is>
      </c>
      <c r="E54" s="4" t="inlineStr">
        <is>
          <t>REGIONAL HUILA</t>
        </is>
      </c>
      <c r="F54" s="4" t="inlineStr">
        <is>
          <t>NEIVA</t>
        </is>
      </c>
      <c r="G54" s="4" t="inlineStr">
        <is>
          <t>VIRTUAL</t>
        </is>
      </c>
      <c r="H54" s="4" t="inlineStr">
        <is>
          <t>DOC ASIS/N/V/TC/ESP EN IA/FUN.ACAD</t>
        </is>
      </c>
      <c r="I54" s="4" t="inlineStr">
        <is>
          <t>ESPECIALIZACION EN IA</t>
        </is>
      </c>
      <c r="J54" s="4" t="inlineStr">
        <is>
          <t>NUEVO</t>
        </is>
      </c>
      <c r="K54" s="4" t="inlineStr">
        <is>
          <t>ALEXANDRA BUITRAGO</t>
        </is>
      </c>
      <c r="L54" s="4" t="n">
        <v/>
      </c>
      <c r="M54" s="4" t="n">
        <v/>
      </c>
      <c r="N54" s="4" t="n">
        <v>3142624356</v>
      </c>
      <c r="O54" s="4" t="inlineStr">
        <is>
          <t>ING.JANIERBALLESTEROS@GMAIL.COM</t>
        </is>
      </c>
      <c r="P54" s="4" t="inlineStr">
        <is>
          <t>NEIVA SEDE</t>
        </is>
      </c>
      <c r="Q54" s="4" t="inlineStr">
        <is>
          <t>ESPECIALIZACIONES</t>
        </is>
      </c>
      <c r="R54" s="4" t="n">
        <v/>
      </c>
    </row>
    <row r="55" ht="20" customHeight="1">
      <c r="A55" s="6" t="inlineStr">
        <is>
          <t>80191728</t>
        </is>
      </c>
      <c r="B55" s="7" t="inlineStr">
        <is>
          <t>PRESENCIAL BOGOTÁ</t>
        </is>
      </c>
      <c r="C55" s="7" t="inlineStr">
        <is>
          <t>EDWIN ORLANDO SOLANO GAITAN</t>
        </is>
      </c>
      <c r="D55" s="7" t="inlineStr">
        <is>
          <t>OPERACIONES</t>
        </is>
      </c>
      <c r="E55" s="7" t="inlineStr">
        <is>
          <t>REGIONAL BOGOTA</t>
        </is>
      </c>
      <c r="F55" s="7" t="inlineStr">
        <is>
          <t>BOGOTA CENTRO</t>
        </is>
      </c>
      <c r="G55" s="7" t="inlineStr">
        <is>
          <t>VIRTUAL</t>
        </is>
      </c>
      <c r="H55" s="7" t="inlineStr">
        <is>
          <t>DOC ASIS/N/V/TC/ESP SEG SALUD TRAB/FUN.A</t>
        </is>
      </c>
      <c r="I55" s="7" t="inlineStr">
        <is>
          <t>ESPECIALIZACION EN SEGURIDAD Y SALUD EN EL TRABAJO</t>
        </is>
      </c>
      <c r="J55" s="7" t="inlineStr">
        <is>
          <t>NUEVO</t>
        </is>
      </c>
      <c r="K55" s="7" t="inlineStr">
        <is>
          <t>ALEXANDRA BUITRAGO</t>
        </is>
      </c>
      <c r="L55" s="7" t="n">
        <v/>
      </c>
      <c r="M55" s="7" t="n">
        <v/>
      </c>
      <c r="N55" s="7" t="n">
        <v>3027632794</v>
      </c>
      <c r="O55" s="7" t="inlineStr">
        <is>
          <t>EOSGAITAN@GMAIL.COM</t>
        </is>
      </c>
      <c r="P55" s="7" t="inlineStr">
        <is>
          <t>BTA SEDE A</t>
        </is>
      </c>
      <c r="Q55" s="7" t="inlineStr">
        <is>
          <t>ESPECIALIZACIONES</t>
        </is>
      </c>
      <c r="R55" s="7" t="n">
        <v>602</v>
      </c>
    </row>
    <row r="56" ht="20" customHeight="1">
      <c r="A56" s="3" t="inlineStr">
        <is>
          <t>1096235289</t>
        </is>
      </c>
      <c r="B56" s="4" t="inlineStr">
        <is>
          <t>PRESENCIAL REGIONAL</t>
        </is>
      </c>
      <c r="C56" s="4" t="inlineStr">
        <is>
          <t>CARLOS ALONSO ROMERO REYES</t>
        </is>
      </c>
      <c r="D56" s="4" t="inlineStr">
        <is>
          <t>OPERACIONES</t>
        </is>
      </c>
      <c r="E56" s="4" t="inlineStr">
        <is>
          <t>REGIONAL ANTIOQUIA</t>
        </is>
      </c>
      <c r="F56" s="4" t="inlineStr">
        <is>
          <t>MEDELLIN</t>
        </is>
      </c>
      <c r="G56" s="4" t="inlineStr">
        <is>
          <t>VIRTUAL</t>
        </is>
      </c>
      <c r="H56" s="4" t="inlineStr">
        <is>
          <t>DOC ASIS/N/V/TC/ESP SEG SALUD TRAB/FUN.A</t>
        </is>
      </c>
      <c r="I56" s="4" t="inlineStr">
        <is>
          <t>ESPECIALIZACION EN SEGURIDAD Y SALUD EN EL TRABAJO</t>
        </is>
      </c>
      <c r="J56" s="4" t="inlineStr">
        <is>
          <t>NUEVO</t>
        </is>
      </c>
      <c r="K56" s="4" t="inlineStr">
        <is>
          <t>ALEXANDRA BUITRAGO</t>
        </is>
      </c>
      <c r="L56" s="4" t="n">
        <v/>
      </c>
      <c r="M56" s="4" t="n">
        <v/>
      </c>
      <c r="N56" s="4" t="n">
        <v>3184856987</v>
      </c>
      <c r="O56" s="4" t="inlineStr">
        <is>
          <t>CARLOSROMERO.SST@GMAIL.COM</t>
        </is>
      </c>
      <c r="P56" s="4" t="inlineStr">
        <is>
          <t>MEDELLIN SEDE</t>
        </is>
      </c>
      <c r="Q56" s="4" t="inlineStr">
        <is>
          <t>ESPECIALIZACIONES</t>
        </is>
      </c>
      <c r="R56" s="4" t="n">
        <v/>
      </c>
    </row>
    <row r="57" ht="20" customHeight="1">
      <c r="A57" s="6" t="inlineStr">
        <is>
          <t>1093773069</t>
        </is>
      </c>
      <c r="B57" s="7" t="inlineStr">
        <is>
          <t>PRESENCIAL BOGOTÁ</t>
        </is>
      </c>
      <c r="C57" s="7" t="inlineStr">
        <is>
          <t>MICHAEL STEVEN AMAYA SANCHEZ</t>
        </is>
      </c>
      <c r="D57" s="7" t="inlineStr">
        <is>
          <t>OPERACIONES</t>
        </is>
      </c>
      <c r="E57" s="7" t="inlineStr">
        <is>
          <t>REGIONAL BOGOTA</t>
        </is>
      </c>
      <c r="F57" s="7" t="inlineStr">
        <is>
          <t>BOGOTA CENTRO</t>
        </is>
      </c>
      <c r="G57" s="7" t="inlineStr">
        <is>
          <t>VIRTUAL</t>
        </is>
      </c>
      <c r="H57" s="7" t="inlineStr">
        <is>
          <t>DOC AUX/N/V/TC/ESP SEG SALUD TRAB/FUN.A</t>
        </is>
      </c>
      <c r="I57" s="7" t="inlineStr">
        <is>
          <t>ESPECIALIZACION EN SEGURIDAD Y SALUD EN EL TRABAJO</t>
        </is>
      </c>
      <c r="J57" s="7" t="inlineStr">
        <is>
          <t>NUEVO</t>
        </is>
      </c>
      <c r="K57" s="7" t="inlineStr">
        <is>
          <t>ALEXANDRA BUITRAGO</t>
        </is>
      </c>
      <c r="L57" s="7" t="inlineStr">
        <is>
          <t>PENDIENTE POR CONFIRMAR</t>
        </is>
      </c>
      <c r="M57" s="7" t="n">
        <v/>
      </c>
      <c r="N57" s="7" t="n">
        <v>3204593839</v>
      </c>
      <c r="O57" s="7" t="inlineStr">
        <is>
          <t>PSI.MICHAELAMAYA@OUTLOOK.COM</t>
        </is>
      </c>
      <c r="P57" s="7" t="inlineStr">
        <is>
          <t>BTA SEDE A</t>
        </is>
      </c>
      <c r="Q57" s="7" t="inlineStr">
        <is>
          <t>ESPECIALIZACIONES</t>
        </is>
      </c>
      <c r="R57" s="7" t="n">
        <v>602</v>
      </c>
    </row>
    <row r="58" ht="20" customHeight="1">
      <c r="A58" s="3" t="inlineStr">
        <is>
          <t>41944809</t>
        </is>
      </c>
      <c r="B58" s="4" t="inlineStr">
        <is>
          <t>PRESENCIAL REGIONAL</t>
        </is>
      </c>
      <c r="C58" s="4" t="inlineStr">
        <is>
          <t>YEYMY CARDONA ECHEVERRY</t>
        </is>
      </c>
      <c r="D58" s="4" t="inlineStr">
        <is>
          <t>OPERACIONES</t>
        </is>
      </c>
      <c r="E58" s="4" t="inlineStr">
        <is>
          <t>REGIONAL ANTIOQUIA</t>
        </is>
      </c>
      <c r="F58" s="4" t="inlineStr">
        <is>
          <t>MEDELLIN</t>
        </is>
      </c>
      <c r="G58" s="4" t="inlineStr">
        <is>
          <t>VIRTUAL</t>
        </is>
      </c>
      <c r="H58" s="4" t="inlineStr">
        <is>
          <t>DOC ASIS/N/V/TC/ESP SEG SALUD TRAB/FUN.A</t>
        </is>
      </c>
      <c r="I58" s="4" t="inlineStr">
        <is>
          <t>ESPECIALIZACION EN SEGURIDAD Y SALUD EN EL TRABAJO</t>
        </is>
      </c>
      <c r="J58" s="4" t="inlineStr">
        <is>
          <t>NUEVO</t>
        </is>
      </c>
      <c r="K58" s="4" t="inlineStr">
        <is>
          <t>ALEXANDRA BUITRAGO</t>
        </is>
      </c>
      <c r="L58" s="4" t="n">
        <v/>
      </c>
      <c r="M58" s="4" t="n">
        <v/>
      </c>
      <c r="N58" s="4" t="n">
        <v>3105491252</v>
      </c>
      <c r="O58" s="4" t="inlineStr">
        <is>
          <t>YCARDONAE93@GMAIL.COM</t>
        </is>
      </c>
      <c r="P58" s="4" t="inlineStr">
        <is>
          <t>MEDELLIN SEDE</t>
        </is>
      </c>
      <c r="Q58" s="4" t="inlineStr">
        <is>
          <t>ESPECIALIZACIONES</t>
        </is>
      </c>
      <c r="R58" s="4" t="n">
        <v/>
      </c>
    </row>
    <row r="59" ht="20" customHeight="1">
      <c r="A59" s="6" t="inlineStr">
        <is>
          <t>1013645325</t>
        </is>
      </c>
      <c r="B59" s="7" t="inlineStr">
        <is>
          <t>PRESENCIAL BOGOTÁ</t>
        </is>
      </c>
      <c r="C59" s="7" t="inlineStr">
        <is>
          <t>NATHALIE VALENZUELA SERRANO</t>
        </is>
      </c>
      <c r="D59" s="7" t="inlineStr">
        <is>
          <t>OPERACIONES</t>
        </is>
      </c>
      <c r="E59" s="7" t="inlineStr">
        <is>
          <t>REGIONAL BOGOTA</t>
        </is>
      </c>
      <c r="F59" s="7" t="inlineStr">
        <is>
          <t>BOGOTA CENTRO</t>
        </is>
      </c>
      <c r="G59" s="7" t="inlineStr">
        <is>
          <t>VIRTUAL</t>
        </is>
      </c>
      <c r="H59" s="7" t="inlineStr">
        <is>
          <t>DOC ASIS/N/V/TC/ESP SEG SALUD TRAB/FUN.A</t>
        </is>
      </c>
      <c r="I59" s="7" t="inlineStr">
        <is>
          <t>ESPECIALIZACION EN SEGURIDAD Y SALUD EN EL TRABAJO</t>
        </is>
      </c>
      <c r="J59" s="7" t="inlineStr">
        <is>
          <t>NUEVO</t>
        </is>
      </c>
      <c r="K59" s="7" t="inlineStr">
        <is>
          <t>ALEXANDRA BUITRAGO</t>
        </is>
      </c>
      <c r="L59" s="7" t="n">
        <v/>
      </c>
      <c r="M59" s="7" t="n">
        <v/>
      </c>
      <c r="N59" s="7" t="n">
        <v>3505797872</v>
      </c>
      <c r="O59" s="7" t="inlineStr">
        <is>
          <t>NAVALSE@GMAIL.COM</t>
        </is>
      </c>
      <c r="P59" s="7" t="inlineStr">
        <is>
          <t>BTA SEDE A</t>
        </is>
      </c>
      <c r="Q59" s="7" t="inlineStr">
        <is>
          <t>ESPECIALIZACIONES</t>
        </is>
      </c>
      <c r="R59" s="7" t="n">
        <v>602</v>
      </c>
    </row>
    <row r="60" ht="20" customHeight="1">
      <c r="A60" s="3" t="inlineStr">
        <is>
          <t>1013587134</t>
        </is>
      </c>
      <c r="B60" s="4" t="inlineStr">
        <is>
          <t>PRESENCIAL BOGOTÁ</t>
        </is>
      </c>
      <c r="C60" s="4" t="inlineStr">
        <is>
          <t>CLAUDIA MILENA OSPINA LOPEZ</t>
        </is>
      </c>
      <c r="D60" s="4" t="inlineStr">
        <is>
          <t>OPERACIONES</t>
        </is>
      </c>
      <c r="E60" s="4" t="inlineStr">
        <is>
          <t>REGIONAL BOGOTA</t>
        </is>
      </c>
      <c r="F60" s="4" t="inlineStr">
        <is>
          <t>BOGOTA CENTRO</t>
        </is>
      </c>
      <c r="G60" s="4" t="inlineStr">
        <is>
          <t>VIRTUAL</t>
        </is>
      </c>
      <c r="H60" s="4" t="inlineStr">
        <is>
          <t>DOC ASIS/N/V/TC/ESP SEG SALUD TRAB/FUN.A</t>
        </is>
      </c>
      <c r="I60" s="4" t="inlineStr">
        <is>
          <t>ESPECIALIZACION EN SEGURIDAD Y SALUD EN EL TRABAJO</t>
        </is>
      </c>
      <c r="J60" s="4" t="inlineStr">
        <is>
          <t>NUEVO</t>
        </is>
      </c>
      <c r="K60" s="4" t="inlineStr">
        <is>
          <t>ALEXANDRA BUITRAGO</t>
        </is>
      </c>
      <c r="L60" s="4" t="n">
        <v/>
      </c>
      <c r="M60" s="4" t="n">
        <v/>
      </c>
      <c r="N60" s="4" t="n">
        <v>3176572737</v>
      </c>
      <c r="O60" s="4" t="inlineStr">
        <is>
          <t>CLAOSLO@GMAIL.COM</t>
        </is>
      </c>
      <c r="P60" s="4" t="inlineStr">
        <is>
          <t>BTA SEDE A</t>
        </is>
      </c>
      <c r="Q60" s="4" t="inlineStr">
        <is>
          <t>ESPECIALIZACIONES</t>
        </is>
      </c>
      <c r="R60" s="4" t="n">
        <v>602</v>
      </c>
    </row>
    <row r="61" ht="20" customHeight="1">
      <c r="A61" s="6" t="inlineStr">
        <is>
          <t>1018485987</t>
        </is>
      </c>
      <c r="B61" s="7" t="inlineStr">
        <is>
          <t>PRESENCIAL BOGOTÁ</t>
        </is>
      </c>
      <c r="C61" s="7" t="inlineStr">
        <is>
          <t>MARIA FERNANDA PACHECO MEJIA</t>
        </is>
      </c>
      <c r="D61" s="7" t="inlineStr">
        <is>
          <t>OPERACIONES</t>
        </is>
      </c>
      <c r="E61" s="7" t="inlineStr">
        <is>
          <t>REGIONAL BOGOTA</t>
        </is>
      </c>
      <c r="F61" s="7" t="inlineStr">
        <is>
          <t>BOGOTA CENTRO</t>
        </is>
      </c>
      <c r="G61" s="7" t="inlineStr">
        <is>
          <t>VIRTUAL</t>
        </is>
      </c>
      <c r="H61" s="7" t="inlineStr">
        <is>
          <t>DOC ASIS/N/V/TC/ESP MARKETING POLI/FUN.A</t>
        </is>
      </c>
      <c r="I61" s="7" t="inlineStr">
        <is>
          <t>ESPECIALIZACION MARKETING POLITICO</t>
        </is>
      </c>
      <c r="J61" s="7" t="inlineStr">
        <is>
          <t>NUEVO</t>
        </is>
      </c>
      <c r="K61" s="7" t="inlineStr">
        <is>
          <t>ALEXANDRA BUITRAGO</t>
        </is>
      </c>
      <c r="L61" s="7" t="n">
        <v/>
      </c>
      <c r="M61" s="7" t="n">
        <v/>
      </c>
      <c r="N61" s="7" t="n">
        <v>3115227525</v>
      </c>
      <c r="O61" s="7" t="inlineStr">
        <is>
          <t>mf.pacheco10@gmail.com</t>
        </is>
      </c>
      <c r="P61" s="7" t="inlineStr">
        <is>
          <t>BTA SEDE A</t>
        </is>
      </c>
      <c r="Q61" s="7" t="inlineStr">
        <is>
          <t>ESPECIALIZACIONES</t>
        </is>
      </c>
      <c r="R61" s="7" t="n">
        <v>602</v>
      </c>
    </row>
    <row r="62" ht="20" customHeight="1">
      <c r="A62" s="3" t="inlineStr">
        <is>
          <t>75068862</t>
        </is>
      </c>
      <c r="B62" s="4" t="inlineStr">
        <is>
          <t>VIRTUAL</t>
        </is>
      </c>
      <c r="C62" s="4" t="inlineStr">
        <is>
          <t>LUIS MIGUEL GOMEZ HENAO</t>
        </is>
      </c>
      <c r="D62" s="4" t="inlineStr">
        <is>
          <t>OPERACIONES</t>
        </is>
      </c>
      <c r="E62" s="4" t="inlineStr">
        <is>
          <t>REGIONAL CALDAS</t>
        </is>
      </c>
      <c r="F62" s="4" t="inlineStr">
        <is>
          <t>MANIZALES</t>
        </is>
      </c>
      <c r="G62" s="4" t="inlineStr">
        <is>
          <t>VIRTUAL</t>
        </is>
      </c>
      <c r="H62" s="4" t="inlineStr">
        <is>
          <t>DOC ASIS/N/V/TC/ESP MARKETING POLI/FUN.A</t>
        </is>
      </c>
      <c r="I62" s="4" t="inlineStr">
        <is>
          <t>ESPECIALIZACION MARKETING POLITICO</t>
        </is>
      </c>
      <c r="J62" s="4" t="inlineStr">
        <is>
          <t>NUEVO</t>
        </is>
      </c>
      <c r="K62" s="4" t="inlineStr">
        <is>
          <t>ALEXANDRA BUITRAGO</t>
        </is>
      </c>
      <c r="L62" s="4" t="n">
        <v/>
      </c>
      <c r="M62" s="4" t="n">
        <v/>
      </c>
      <c r="N62" s="4" t="n">
        <v>3026722330</v>
      </c>
      <c r="O62" s="4" t="inlineStr">
        <is>
          <t>LUISMI.CONSULTOR@GMAIL.COM</t>
        </is>
      </c>
      <c r="P62" s="4" t="inlineStr">
        <is>
          <t>MANIZALES SEDE</t>
        </is>
      </c>
      <c r="Q62" s="4" t="inlineStr">
        <is>
          <t>ESPECIALIZACIONES</t>
        </is>
      </c>
      <c r="R62" s="4" t="n">
        <v/>
      </c>
    </row>
    <row r="63" ht="20" customHeight="1">
      <c r="A63" s="6" t="inlineStr">
        <is>
          <t>15372957</t>
        </is>
      </c>
      <c r="B63" s="7" t="inlineStr">
        <is>
          <t>PRESENCIAL BOGOTÁ</t>
        </is>
      </c>
      <c r="C63" s="7" t="inlineStr">
        <is>
          <t>JOHN ANDERSON PEREZ LOPEZ</t>
        </is>
      </c>
      <c r="D63" s="7" t="inlineStr">
        <is>
          <t>OPERACIONES</t>
        </is>
      </c>
      <c r="E63" s="7" t="inlineStr">
        <is>
          <t>REGIONAL BOGOTA</t>
        </is>
      </c>
      <c r="F63" s="7" t="inlineStr">
        <is>
          <t>BOGOTA CENTRO</t>
        </is>
      </c>
      <c r="G63" s="7" t="inlineStr">
        <is>
          <t>VIRTUAL</t>
        </is>
      </c>
      <c r="H63" s="7" t="inlineStr">
        <is>
          <t>DOC ASIS/N/V/TC/ESP MARKETING POLI/FUN.A</t>
        </is>
      </c>
      <c r="I63" s="7" t="inlineStr">
        <is>
          <t>ESPECIALIZACION MARKETING POLITICO</t>
        </is>
      </c>
      <c r="J63" s="7" t="inlineStr">
        <is>
          <t>NUEVO</t>
        </is>
      </c>
      <c r="K63" s="7" t="inlineStr">
        <is>
          <t>ALEXANDRA BUITRAGO</t>
        </is>
      </c>
      <c r="L63" s="7" t="n">
        <v/>
      </c>
      <c r="M63" s="7" t="n">
        <v/>
      </c>
      <c r="N63" s="7" t="n">
        <v>3028389746</v>
      </c>
      <c r="O63" s="7" t="inlineStr">
        <is>
          <t>johnandersonperezlopez@gmail.com</t>
        </is>
      </c>
      <c r="P63" s="7" t="inlineStr">
        <is>
          <t>BTA SEDE A</t>
        </is>
      </c>
      <c r="Q63" s="7" t="inlineStr">
        <is>
          <t>ESPECIALIZACIONES</t>
        </is>
      </c>
      <c r="R63" s="7" t="n">
        <v>602</v>
      </c>
    </row>
    <row r="64" ht="20" customHeight="1">
      <c r="A64" s="3" t="inlineStr">
        <is>
          <t>1234645306</t>
        </is>
      </c>
      <c r="B64" s="4" t="inlineStr">
        <is>
          <t>PRESENCIAL REGIONAL</t>
        </is>
      </c>
      <c r="C64" s="4" t="inlineStr">
        <is>
          <t>MICHAEL ANDRES ESPINOZA MELO</t>
        </is>
      </c>
      <c r="D64" s="4" t="inlineStr">
        <is>
          <t>OPERACIONES</t>
        </is>
      </c>
      <c r="E64" s="4" t="inlineStr">
        <is>
          <t>REGIONAL TOLIMA</t>
        </is>
      </c>
      <c r="F64" s="4" t="inlineStr">
        <is>
          <t>IBAGUÉ</t>
        </is>
      </c>
      <c r="G64" s="4" t="inlineStr">
        <is>
          <t>VIRTUAL</t>
        </is>
      </c>
      <c r="H64" s="4" t="inlineStr">
        <is>
          <t>DOC AUX T&amp;T/N/V/TC/IDIOMAS/FUN.ACADE-ADMIN</t>
        </is>
      </c>
      <c r="I64" s="4" t="inlineStr">
        <is>
          <t>IDIOMAS</t>
        </is>
      </c>
      <c r="J64" s="4" t="inlineStr">
        <is>
          <t>NUEVO</t>
        </is>
      </c>
      <c r="K64" s="4" t="inlineStr">
        <is>
          <t>ALEXANDRA BUITRAGO</t>
        </is>
      </c>
      <c r="L64" s="4" t="n">
        <v/>
      </c>
      <c r="M64" s="4" t="n">
        <v/>
      </c>
      <c r="N64" s="4" t="n">
        <v>3176901190</v>
      </c>
      <c r="O64" s="4" t="inlineStr">
        <is>
          <t>MAICOL.30@HOTMAIL.COM</t>
        </is>
      </c>
      <c r="P64" s="4" t="inlineStr">
        <is>
          <t>IBAGUE SEDE</t>
        </is>
      </c>
      <c r="Q64" s="4" t="inlineStr">
        <is>
          <t>TRANSVERSALES</t>
        </is>
      </c>
      <c r="R64" s="4" t="n">
        <v/>
      </c>
    </row>
    <row r="65" ht="20" customHeight="1">
      <c r="A65" s="6" t="inlineStr">
        <is>
          <t>1018493331</t>
        </is>
      </c>
      <c r="B65" s="7" t="inlineStr">
        <is>
          <t>PRESENCIAL BOGOTÁ</t>
        </is>
      </c>
      <c r="C65" s="7" t="inlineStr">
        <is>
          <t>ESTEFANIA GUTIERREZ GALVIS</t>
        </is>
      </c>
      <c r="D65" s="7" t="inlineStr">
        <is>
          <t>OPERACIONES</t>
        </is>
      </c>
      <c r="E65" s="7" t="inlineStr">
        <is>
          <t>REGIONAL BOGOTA</t>
        </is>
      </c>
      <c r="F65" s="7" t="inlineStr">
        <is>
          <t>BOGOTA CENTRO</t>
        </is>
      </c>
      <c r="G65" s="7" t="inlineStr">
        <is>
          <t>VIRTUAL</t>
        </is>
      </c>
      <c r="H65" s="7" t="inlineStr">
        <is>
          <t>DOC AUX T&amp;T/N/V/TC/IDIOMAS/FUN.ACADE-ADMIN</t>
        </is>
      </c>
      <c r="I65" s="7" t="inlineStr">
        <is>
          <t>IDIOMAS</t>
        </is>
      </c>
      <c r="J65" s="7" t="inlineStr">
        <is>
          <t>NUEVO</t>
        </is>
      </c>
      <c r="K65" s="7" t="inlineStr">
        <is>
          <t>ALEXANDRA BUITRAGO</t>
        </is>
      </c>
      <c r="L65" s="7" t="n">
        <v/>
      </c>
      <c r="M65" s="7" t="n">
        <v/>
      </c>
      <c r="N65" s="7" t="n">
        <v>3045858110</v>
      </c>
      <c r="O65" s="7" t="inlineStr">
        <is>
          <t>NIAGUTIERREZ.LINGUA@GMAIL.COM</t>
        </is>
      </c>
      <c r="P65" s="7" t="inlineStr">
        <is>
          <t>BTA SEDE A</t>
        </is>
      </c>
      <c r="Q65" s="7" t="inlineStr">
        <is>
          <t>TRANSVERSALES</t>
        </is>
      </c>
      <c r="R65" s="7" t="n">
        <v>700</v>
      </c>
    </row>
    <row r="66" ht="20" customHeight="1">
      <c r="A66" s="3" t="inlineStr">
        <is>
          <t>1005605343</t>
        </is>
      </c>
      <c r="B66" s="4" t="inlineStr">
        <is>
          <t>PRESENCIAL REGIONAL</t>
        </is>
      </c>
      <c r="C66" s="4" t="inlineStr">
        <is>
          <t>SERGIO ANDRES NOVOA OSPINO</t>
        </is>
      </c>
      <c r="D66" s="4" t="inlineStr">
        <is>
          <t>OPERACIONES</t>
        </is>
      </c>
      <c r="E66" s="4" t="inlineStr">
        <is>
          <t>REGIONAL SUCRE</t>
        </is>
      </c>
      <c r="F66" s="4" t="inlineStr">
        <is>
          <t>SINCELEJO</t>
        </is>
      </c>
      <c r="G66" s="4" t="inlineStr">
        <is>
          <t>PRESENCIAL</t>
        </is>
      </c>
      <c r="H66" s="4" t="inlineStr">
        <is>
          <t>DOC AUX T&amp;T/N/MT/ING SISTEM</t>
        </is>
      </c>
      <c r="I66" s="4" t="inlineStr">
        <is>
          <t>INGENIERIA DE SISTEMAS</t>
        </is>
      </c>
      <c r="J66" s="4" t="inlineStr">
        <is>
          <t>NUEVO</t>
        </is>
      </c>
      <c r="K66" s="4" t="inlineStr">
        <is>
          <t>ALEXANDRA BUITRAGO</t>
        </is>
      </c>
      <c r="L66" s="4" t="n">
        <v/>
      </c>
      <c r="M66" s="4" t="n">
        <v/>
      </c>
      <c r="N66" s="4" t="n">
        <v>3205010762</v>
      </c>
      <c r="O66" s="4" t="inlineStr">
        <is>
          <t>SERGIO.NOVOA1109@GMAIL.COM</t>
        </is>
      </c>
      <c r="P66" s="4" t="inlineStr">
        <is>
          <t>SINCELEJO SEDE</t>
        </is>
      </c>
      <c r="Q66" s="4" t="inlineStr">
        <is>
          <t>INGENIERIA</t>
        </is>
      </c>
      <c r="R66" s="4" t="n">
        <v/>
      </c>
    </row>
    <row r="67" ht="20" customHeight="1">
      <c r="A67" s="6" t="inlineStr">
        <is>
          <t>1235539120</t>
        </is>
      </c>
      <c r="B67" s="7" t="inlineStr">
        <is>
          <t>VIRTUAL</t>
        </is>
      </c>
      <c r="C67" s="7" t="inlineStr">
        <is>
          <t>LUIS EDUARDO GARCIA PAREDES</t>
        </is>
      </c>
      <c r="D67" s="7" t="inlineStr">
        <is>
          <t>OPERACIONES</t>
        </is>
      </c>
      <c r="E67" s="7" t="inlineStr">
        <is>
          <t>REGIONAL MAGDALENA</t>
        </is>
      </c>
      <c r="F67" s="7" t="inlineStr">
        <is>
          <t>SANTA MARTA</t>
        </is>
      </c>
      <c r="G67" s="7" t="inlineStr">
        <is>
          <t>PRESENCIAL</t>
        </is>
      </c>
      <c r="H67" s="7" t="inlineStr">
        <is>
          <t>DOC AUX T&amp;T/N/MT/ING SOFTWARE</t>
        </is>
      </c>
      <c r="I67" s="7" t="inlineStr">
        <is>
          <t>INGENIERIA DE SOFTWARE</t>
        </is>
      </c>
      <c r="J67" s="7" t="inlineStr">
        <is>
          <t>NUEVO</t>
        </is>
      </c>
      <c r="K67" s="7" t="inlineStr">
        <is>
          <t>ALEXANDRA BUITRAGO</t>
        </is>
      </c>
      <c r="L67" s="7" t="n">
        <v/>
      </c>
      <c r="M67" s="7" t="n">
        <v/>
      </c>
      <c r="N67" s="7" t="n">
        <v>3045528476</v>
      </c>
      <c r="O67" s="7" t="inlineStr">
        <is>
          <t>LUISGARCIA9908@GMAIL.COM</t>
        </is>
      </c>
      <c r="P67" s="7" t="inlineStr">
        <is>
          <t>SANTA MARTA SEDE</t>
        </is>
      </c>
      <c r="Q67" s="7" t="inlineStr">
        <is>
          <t>INGENIERIA</t>
        </is>
      </c>
      <c r="R67" s="7" t="n">
        <v/>
      </c>
    </row>
    <row r="68" ht="20" customHeight="1">
      <c r="A68" s="3" t="inlineStr">
        <is>
          <t>1007612716</t>
        </is>
      </c>
      <c r="B68" s="4" t="inlineStr">
        <is>
          <t>PRESENCIAL BOGOTÁ</t>
        </is>
      </c>
      <c r="C68" s="4" t="inlineStr">
        <is>
          <t>WILMAN JESUS MONTENEGRO CALDERON</t>
        </is>
      </c>
      <c r="D68" s="4" t="inlineStr">
        <is>
          <t>OPERACIONES</t>
        </is>
      </c>
      <c r="E68" s="4" t="inlineStr">
        <is>
          <t>REGIONAL BOGOTA</t>
        </is>
      </c>
      <c r="F68" s="4" t="inlineStr">
        <is>
          <t>BOGOTA CENTRO</t>
        </is>
      </c>
      <c r="G68" s="4" t="inlineStr">
        <is>
          <t>PRESENCIAL</t>
        </is>
      </c>
      <c r="H68" s="4" t="inlineStr">
        <is>
          <t>DOC AUX T&amp;T/N/MT/ING SOFTWARE</t>
        </is>
      </c>
      <c r="I68" s="4" t="inlineStr">
        <is>
          <t>INGENIERIA DE SOFTWARE</t>
        </is>
      </c>
      <c r="J68" s="4" t="inlineStr">
        <is>
          <t>NUEVO</t>
        </is>
      </c>
      <c r="K68" s="4" t="inlineStr">
        <is>
          <t>ALEXANDRA BUITRAGO</t>
        </is>
      </c>
      <c r="L68" s="4" t="n">
        <v/>
      </c>
      <c r="M68" s="4" t="n">
        <v/>
      </c>
      <c r="N68" s="4" t="n">
        <v>3004602315</v>
      </c>
      <c r="O68" s="4" t="inlineStr">
        <is>
          <t>WILMANMC15@GMAIL.COM</t>
        </is>
      </c>
      <c r="P68" s="4" t="inlineStr">
        <is>
          <t>SANTA MARTA SEDE</t>
        </is>
      </c>
      <c r="Q68" s="4" t="inlineStr">
        <is>
          <t>INGENIERIA</t>
        </is>
      </c>
      <c r="R68" s="4" t="n">
        <v>501</v>
      </c>
    </row>
    <row r="69" ht="20" customHeight="1">
      <c r="A69" s="6" t="inlineStr">
        <is>
          <t>1013589965</t>
        </is>
      </c>
      <c r="B69" s="7" t="inlineStr">
        <is>
          <t>PRESENCIAL BOGOTÁ</t>
        </is>
      </c>
      <c r="C69" s="7" t="inlineStr">
        <is>
          <t>DIANA MILENA QUIROGA BERASTEGUI</t>
        </is>
      </c>
      <c r="D69" s="7" t="inlineStr">
        <is>
          <t>INNOVACION E INVESTIGACION</t>
        </is>
      </c>
      <c r="E69" s="7" t="inlineStr">
        <is>
          <t>REGIONAL BOGOTA</t>
        </is>
      </c>
      <c r="F69" s="7" t="inlineStr">
        <is>
          <t>BOGOTA NORTE</t>
        </is>
      </c>
      <c r="G69" s="7" t="inlineStr">
        <is>
          <t>PRESENCIAL</t>
        </is>
      </c>
      <c r="H69" s="7" t="inlineStr">
        <is>
          <t>DOCENTE ASIS/N/TC/INVESTIGA/INVESTIGACIO</t>
        </is>
      </c>
      <c r="I69" s="7" t="inlineStr">
        <is>
          <t>INVESTIGACIONES</t>
        </is>
      </c>
      <c r="J69" s="7" t="inlineStr">
        <is>
          <t>NUEVO</t>
        </is>
      </c>
      <c r="K69" s="7" t="inlineStr">
        <is>
          <t>ALEXANDRA BUITRAGO</t>
        </is>
      </c>
      <c r="L69" s="7" t="n">
        <v/>
      </c>
      <c r="M69" s="7" t="n">
        <v/>
      </c>
      <c r="N69" s="7" t="n">
        <v>3112459254</v>
      </c>
      <c r="O69" s="7" t="inlineStr">
        <is>
          <t>NANI.MILE@HOTMAIL.COM</t>
        </is>
      </c>
      <c r="P69" s="7" t="inlineStr">
        <is>
          <t>BTA SEDE CHAP</t>
        </is>
      </c>
      <c r="Q69" s="7" t="inlineStr">
        <is>
          <t>INVESTIGACIONES</t>
        </is>
      </c>
      <c r="R69" s="7" t="inlineStr">
        <is>
          <t>Salón Audiencia sede F</t>
        </is>
      </c>
    </row>
    <row r="70" ht="20" customHeight="1">
      <c r="A70" s="3" t="inlineStr">
        <is>
          <t>94415760</t>
        </is>
      </c>
      <c r="B70" s="4" t="inlineStr">
        <is>
          <t>VIRTUAL</t>
        </is>
      </c>
      <c r="C70" s="4" t="inlineStr">
        <is>
          <t>JHONNY ALEXIS LIZCANO LOPEZ</t>
        </is>
      </c>
      <c r="D70" s="4" t="inlineStr">
        <is>
          <t>INNOVACION E INVESTIGACION</t>
        </is>
      </c>
      <c r="E70" s="4" t="inlineStr">
        <is>
          <t>REGIONAL VALLE DELCAUCA</t>
        </is>
      </c>
      <c r="F70" s="4" t="inlineStr">
        <is>
          <t>CALI</t>
        </is>
      </c>
      <c r="G70" s="4" t="inlineStr">
        <is>
          <t>VIRTUAL</t>
        </is>
      </c>
      <c r="H70" s="4" t="inlineStr">
        <is>
          <t>DOC ASOC/N/V/TC/INVESTIGACIONES/INVESTIGAC</t>
        </is>
      </c>
      <c r="I70" s="4" t="inlineStr">
        <is>
          <t>INVESTIGACIONES</t>
        </is>
      </c>
      <c r="J70" s="4" t="inlineStr">
        <is>
          <t>NUEVO</t>
        </is>
      </c>
      <c r="K70" s="4" t="inlineStr">
        <is>
          <t>ALEXANDRA BUITRAGO</t>
        </is>
      </c>
      <c r="L70" s="4" t="n">
        <v/>
      </c>
      <c r="M70" s="4" t="n">
        <v/>
      </c>
      <c r="N70" s="4" t="n">
        <v>3164058852</v>
      </c>
      <c r="O70" s="4" t="inlineStr">
        <is>
          <t>JALIZCANOL06@GMAIL.COM</t>
        </is>
      </c>
      <c r="P70" s="4" t="inlineStr">
        <is>
          <t>CALI</t>
        </is>
      </c>
      <c r="Q70" s="4" t="inlineStr">
        <is>
          <t>INVESTIGACIONES</t>
        </is>
      </c>
      <c r="R70" s="4" t="n">
        <v/>
      </c>
    </row>
    <row r="71" ht="20" customHeight="1">
      <c r="A71" s="6" t="inlineStr">
        <is>
          <t>1070622518</t>
        </is>
      </c>
      <c r="B71" s="7" t="inlineStr">
        <is>
          <t>PRESENCIAL BOGOTÁ</t>
        </is>
      </c>
      <c r="C71" s="7" t="inlineStr">
        <is>
          <t>DANIEL FERNANDO FLORIAN SALCEDO</t>
        </is>
      </c>
      <c r="D71" s="7" t="inlineStr">
        <is>
          <t>INNOVACION E INVESTIGACION</t>
        </is>
      </c>
      <c r="E71" s="7" t="inlineStr">
        <is>
          <t>REGIONAL BOGOTA</t>
        </is>
      </c>
      <c r="F71" s="7" t="inlineStr">
        <is>
          <t>BOGOTA NORTE</t>
        </is>
      </c>
      <c r="G71" s="7" t="inlineStr">
        <is>
          <t>PRESENCIAL</t>
        </is>
      </c>
      <c r="H71" s="7" t="inlineStr">
        <is>
          <t>DOCENTE AUX/N/TC/INVESTIGA/INVESTIGACION</t>
        </is>
      </c>
      <c r="I71" s="7" t="inlineStr">
        <is>
          <t>INVESTIGACIONES</t>
        </is>
      </c>
      <c r="J71" s="7" t="inlineStr">
        <is>
          <t>NUEVO</t>
        </is>
      </c>
      <c r="K71" s="7" t="inlineStr">
        <is>
          <t>ALEXANDRA BUITRAGO</t>
        </is>
      </c>
      <c r="L71" s="7" t="n">
        <v/>
      </c>
      <c r="M71" s="7" t="n">
        <v/>
      </c>
      <c r="N71" s="7" t="n">
        <v>3138403510</v>
      </c>
      <c r="O71" s="7" t="inlineStr">
        <is>
          <t>DFLORIANSALCEDO@OUTLOOK.ES</t>
        </is>
      </c>
      <c r="P71" s="7" t="inlineStr">
        <is>
          <t>BTA SEDE NORTE</t>
        </is>
      </c>
      <c r="Q71" s="7" t="inlineStr">
        <is>
          <t>INVESTIGACIONES</t>
        </is>
      </c>
      <c r="R71" s="7" t="inlineStr">
        <is>
          <t>Salón Audiencia sede F</t>
        </is>
      </c>
    </row>
    <row r="72" ht="20" customHeight="1">
      <c r="A72" s="3" t="inlineStr">
        <is>
          <t>1019131801</t>
        </is>
      </c>
      <c r="B72" s="4" t="inlineStr">
        <is>
          <t>PRESENCIAL BOGOTÁ</t>
        </is>
      </c>
      <c r="C72" s="4" t="inlineStr">
        <is>
          <t>SANTIAGO CASTILLO HIGUERA</t>
        </is>
      </c>
      <c r="D72" s="4" t="inlineStr">
        <is>
          <t>INNOVACION E INVESTIGACION</t>
        </is>
      </c>
      <c r="E72" s="4" t="inlineStr">
        <is>
          <t>REGIONAL BOGOTA</t>
        </is>
      </c>
      <c r="F72" s="4" t="inlineStr">
        <is>
          <t>BOGOTA CENTRO</t>
        </is>
      </c>
      <c r="G72" s="4" t="inlineStr">
        <is>
          <t>PRESENCIAL</t>
        </is>
      </c>
      <c r="H72" s="4" t="inlineStr">
        <is>
          <t>DOC AUX T&amp;T/N/TC/INVESTIGACIONES/INVESTI</t>
        </is>
      </c>
      <c r="I72" s="4" t="inlineStr">
        <is>
          <t>INVESTIGACIONES</t>
        </is>
      </c>
      <c r="J72" s="4" t="inlineStr">
        <is>
          <t>NUEVO</t>
        </is>
      </c>
      <c r="K72" s="4" t="inlineStr">
        <is>
          <t>ALEXANDRA BUITRAGO</t>
        </is>
      </c>
      <c r="L72" s="4" t="n">
        <v/>
      </c>
      <c r="M72" s="4" t="n">
        <v/>
      </c>
      <c r="N72" s="4" t="n">
        <v>3208490915</v>
      </c>
      <c r="O72" s="4" t="inlineStr">
        <is>
          <t>SCASTILLOH@UNAL.EDU.CO</t>
        </is>
      </c>
      <c r="P72" s="4" t="inlineStr">
        <is>
          <t>BTA SEDE A</t>
        </is>
      </c>
      <c r="Q72" s="4" t="inlineStr">
        <is>
          <t>INVESTIGACIONES</t>
        </is>
      </c>
      <c r="R72" s="4" t="inlineStr">
        <is>
          <t>Salón Audiencia sede F</t>
        </is>
      </c>
    </row>
    <row r="73" ht="20" customHeight="1">
      <c r="A73" s="6" t="inlineStr">
        <is>
          <t>1144194156</t>
        </is>
      </c>
      <c r="B73" s="7" t="inlineStr">
        <is>
          <t>VIRTUAL</t>
        </is>
      </c>
      <c r="C73" s="7" t="inlineStr">
        <is>
          <t>JULIAN ANDRES CASTAÑO ESPINOSA</t>
        </is>
      </c>
      <c r="D73" s="7" t="inlineStr">
        <is>
          <t>INNOVACION E INVESTIGACION</t>
        </is>
      </c>
      <c r="E73" s="7" t="inlineStr">
        <is>
          <t>REGIONAL VALLE DELCAUCA</t>
        </is>
      </c>
      <c r="F73" s="7" t="inlineStr">
        <is>
          <t>CALI</t>
        </is>
      </c>
      <c r="G73" s="7" t="inlineStr">
        <is>
          <t>VIRTUAL</t>
        </is>
      </c>
      <c r="H73" s="7" t="inlineStr">
        <is>
          <t>DOC AUX T&amp;T/N/V/TC/INVESTIGACIONES/PROYECC</t>
        </is>
      </c>
      <c r="I73" s="7" t="inlineStr">
        <is>
          <t>INVESTIGACIONES</t>
        </is>
      </c>
      <c r="J73" s="7" t="inlineStr">
        <is>
          <t>NUEVO</t>
        </is>
      </c>
      <c r="K73" s="7" t="inlineStr">
        <is>
          <t>ALEXANDRA BUITRAGO</t>
        </is>
      </c>
      <c r="L73" s="7" t="inlineStr">
        <is>
          <t>CONFIRMADO VIRTUAL</t>
        </is>
      </c>
      <c r="M73" s="7" t="n">
        <v/>
      </c>
      <c r="N73" s="7" t="n">
        <v>3188468892</v>
      </c>
      <c r="O73" s="7" t="inlineStr">
        <is>
          <t>ANDRES_DFX@HOTMAIL.COM</t>
        </is>
      </c>
      <c r="P73" s="7" t="inlineStr">
        <is>
          <t>CALI</t>
        </is>
      </c>
      <c r="Q73" s="7" t="inlineStr">
        <is>
          <t>INVESTIGACIONES</t>
        </is>
      </c>
      <c r="R73" s="7" t="n">
        <v/>
      </c>
    </row>
    <row r="74" ht="20" customHeight="1">
      <c r="A74" s="3" t="inlineStr">
        <is>
          <t>1094933414</t>
        </is>
      </c>
      <c r="B74" s="4" t="inlineStr">
        <is>
          <t>VIRTUAL</t>
        </is>
      </c>
      <c r="C74" s="4" t="inlineStr">
        <is>
          <t>DAVID MANRIQUE PEREZ</t>
        </is>
      </c>
      <c r="D74" s="4" t="inlineStr">
        <is>
          <t>INNOVACION E INVESTIGACION</t>
        </is>
      </c>
      <c r="E74" s="4" t="inlineStr">
        <is>
          <t>REGIONAL QUINDIO</t>
        </is>
      </c>
      <c r="F74" s="4" t="inlineStr">
        <is>
          <t>ARMENIA</t>
        </is>
      </c>
      <c r="G74" s="4" t="inlineStr">
        <is>
          <t>VIRTUAL</t>
        </is>
      </c>
      <c r="H74" s="4" t="inlineStr">
        <is>
          <t>DOC ASIS/N/V/TC/INVESTIGACIONES/INVESTIG</t>
        </is>
      </c>
      <c r="I74" s="4" t="inlineStr">
        <is>
          <t>INVESTIGACIONES</t>
        </is>
      </c>
      <c r="J74" s="4" t="inlineStr">
        <is>
          <t>NUEVO</t>
        </is>
      </c>
      <c r="K74" s="4" t="inlineStr">
        <is>
          <t>ALEXANDRA BUITRAGO</t>
        </is>
      </c>
      <c r="L74" s="4" t="n">
        <v/>
      </c>
      <c r="M74" s="4" t="n">
        <v/>
      </c>
      <c r="N74" s="4" t="n">
        <v>3122262802</v>
      </c>
      <c r="O74" s="4" t="inlineStr">
        <is>
          <t>DAVIDMANPE633@GMAIL.COM</t>
        </is>
      </c>
      <c r="P74" s="4" t="inlineStr">
        <is>
          <t>ARMENIA SEDE</t>
        </is>
      </c>
      <c r="Q74" s="4" t="inlineStr">
        <is>
          <t>INVESTIGACIONES</t>
        </is>
      </c>
      <c r="R74" s="4" t="n">
        <v/>
      </c>
    </row>
    <row r="75" ht="20" customHeight="1">
      <c r="A75" s="6" t="inlineStr">
        <is>
          <t>1067837234</t>
        </is>
      </c>
      <c r="B75" s="7" t="inlineStr">
        <is>
          <t>PRESENCIAL REGIONAL</t>
        </is>
      </c>
      <c r="C75" s="7" t="inlineStr">
        <is>
          <t>INDIRA PAOLA POLO SANCHEZ</t>
        </is>
      </c>
      <c r="D75" s="7" t="inlineStr">
        <is>
          <t>INNOVACION E INVESTIGACION</t>
        </is>
      </c>
      <c r="E75" s="7" t="inlineStr">
        <is>
          <t>REGIONAL CORDOBA</t>
        </is>
      </c>
      <c r="F75" s="7" t="inlineStr">
        <is>
          <t>MONTERIA</t>
        </is>
      </c>
      <c r="G75" s="7" t="inlineStr">
        <is>
          <t>VIRTUAL</t>
        </is>
      </c>
      <c r="H75" s="7" t="inlineStr">
        <is>
          <t>DOC AUX/N/V/TC/INVESTIGACIONES/INVESTIGACI</t>
        </is>
      </c>
      <c r="I75" s="7" t="inlineStr">
        <is>
          <t>INVESTIGACIONES</t>
        </is>
      </c>
      <c r="J75" s="7" t="inlineStr">
        <is>
          <t>NUEVO</t>
        </is>
      </c>
      <c r="K75" s="7" t="inlineStr">
        <is>
          <t>ALEXANDRA BUITRAGO</t>
        </is>
      </c>
      <c r="L75" s="7" t="n">
        <v/>
      </c>
      <c r="M75" s="7" t="n">
        <v/>
      </c>
      <c r="N75" s="7" t="n">
        <v>3202611216</v>
      </c>
      <c r="O75" s="7" t="inlineStr">
        <is>
          <t>indipao85@hotmail.com</t>
        </is>
      </c>
      <c r="P75" s="7" t="inlineStr">
        <is>
          <t>MONTERIA SEDE</t>
        </is>
      </c>
      <c r="Q75" s="7" t="inlineStr">
        <is>
          <t>INVESTIGACIONES</t>
        </is>
      </c>
      <c r="R75" s="7" t="n">
        <v/>
      </c>
    </row>
    <row r="76" ht="20" customHeight="1">
      <c r="A76" s="3" t="inlineStr">
        <is>
          <t>1090514582</t>
        </is>
      </c>
      <c r="B76" s="4" t="inlineStr">
        <is>
          <t>VIRTUAL</t>
        </is>
      </c>
      <c r="C76" s="4" t="inlineStr">
        <is>
          <t>EDGAR FARID CARREÑO FLOREZ</t>
        </is>
      </c>
      <c r="D76" s="4" t="inlineStr">
        <is>
          <t>INNOVACION E INVESTIGACION</t>
        </is>
      </c>
      <c r="E76" s="4" t="inlineStr">
        <is>
          <t>REGIONAL NORTE DE SANTANDER</t>
        </is>
      </c>
      <c r="F76" s="4" t="inlineStr">
        <is>
          <t>CUCUTÁ</t>
        </is>
      </c>
      <c r="G76" s="4" t="inlineStr">
        <is>
          <t>VIRTUAL</t>
        </is>
      </c>
      <c r="H76" s="4" t="inlineStr">
        <is>
          <t>DOC AUX/N/V/TC/INVESTIGACIONES/INVESTIGACI</t>
        </is>
      </c>
      <c r="I76" s="4" t="inlineStr">
        <is>
          <t>INVESTIGACIONES</t>
        </is>
      </c>
      <c r="J76" s="4" t="inlineStr">
        <is>
          <t>NUEVO</t>
        </is>
      </c>
      <c r="K76" s="4" t="inlineStr">
        <is>
          <t>ALEXANDRA BUITRAGO</t>
        </is>
      </c>
      <c r="L76" s="4" t="n">
        <v/>
      </c>
      <c r="M76" s="4" t="n">
        <v/>
      </c>
      <c r="N76" s="4" t="n">
        <v>3112117391</v>
      </c>
      <c r="O76" s="4" t="inlineStr">
        <is>
          <t>EDGAR.CARRENOF@CUN.EDU.CO</t>
        </is>
      </c>
      <c r="P76" s="4" t="inlineStr">
        <is>
          <t>CUCUTA SEDE</t>
        </is>
      </c>
      <c r="Q76" s="4" t="inlineStr">
        <is>
          <t>INVESTIGACIONES</t>
        </is>
      </c>
      <c r="R76" s="4" t="n">
        <v/>
      </c>
    </row>
    <row r="77" ht="20" customHeight="1">
      <c r="A77" s="6" t="inlineStr">
        <is>
          <t>1049619885</t>
        </is>
      </c>
      <c r="B77" s="7" t="inlineStr">
        <is>
          <t>VIRTUAL</t>
        </is>
      </c>
      <c r="C77" s="7" t="inlineStr">
        <is>
          <t>BEICY VIVIANA ACOSTA GONZALEZ</t>
        </is>
      </c>
      <c r="D77" s="7" t="inlineStr">
        <is>
          <t>INNOVACION E INVESTIGACION</t>
        </is>
      </c>
      <c r="E77" s="7" t="inlineStr">
        <is>
          <t>REGIONAL BOYACA</t>
        </is>
      </c>
      <c r="F77" s="7" t="inlineStr">
        <is>
          <t>TUNJA</t>
        </is>
      </c>
      <c r="G77" s="7" t="inlineStr">
        <is>
          <t>VIRTUAL</t>
        </is>
      </c>
      <c r="H77" s="7" t="inlineStr">
        <is>
          <t>DOC ASOC/N/V/TC/INVESTIGACIONES/INVESTIGAC</t>
        </is>
      </c>
      <c r="I77" s="7" t="inlineStr">
        <is>
          <t>INVESTIGACIONES</t>
        </is>
      </c>
      <c r="J77" s="7" t="inlineStr">
        <is>
          <t>NUEVO</t>
        </is>
      </c>
      <c r="K77" s="7" t="inlineStr">
        <is>
          <t>ALEXANDRA BUITRAGO</t>
        </is>
      </c>
      <c r="L77" s="7" t="n">
        <v/>
      </c>
      <c r="M77" s="7" t="n">
        <v/>
      </c>
      <c r="N77" s="7" t="n">
        <v>3115625866</v>
      </c>
      <c r="O77" s="7" t="inlineStr">
        <is>
          <t>E.BACOSTA@GO.UGR.ES</t>
        </is>
      </c>
      <c r="P77" s="7" t="inlineStr">
        <is>
          <t>TUNJA SEDE</t>
        </is>
      </c>
      <c r="Q77" s="7" t="inlineStr">
        <is>
          <t>INVESTIGACIONES</t>
        </is>
      </c>
      <c r="R77" s="7" t="n">
        <v/>
      </c>
    </row>
    <row r="78" ht="20" customHeight="1">
      <c r="A78" s="3" t="inlineStr">
        <is>
          <t>60343118</t>
        </is>
      </c>
      <c r="B78" s="4" t="inlineStr">
        <is>
          <t>PRESENCIAL REGIONAL</t>
        </is>
      </c>
      <c r="C78" s="4" t="inlineStr">
        <is>
          <t>EVELIN SOFIA DAVILA LOPEZ</t>
        </is>
      </c>
      <c r="D78" s="4" t="inlineStr">
        <is>
          <t>INNOVACION E INVESTIGACION</t>
        </is>
      </c>
      <c r="E78" s="4" t="inlineStr">
        <is>
          <t>REGIONAL SUCRE</t>
        </is>
      </c>
      <c r="F78" s="4" t="inlineStr">
        <is>
          <t>SINCELEJO</t>
        </is>
      </c>
      <c r="G78" s="4" t="inlineStr">
        <is>
          <t>VIRTUAL</t>
        </is>
      </c>
      <c r="H78" s="4" t="inlineStr">
        <is>
          <t>DOC AUX/N/V/TC/INVESTIGACIONES/INVESTIGACI</t>
        </is>
      </c>
      <c r="I78" s="4" t="inlineStr">
        <is>
          <t>INVESTIGACIONES</t>
        </is>
      </c>
      <c r="J78" s="4" t="inlineStr">
        <is>
          <t>NUEVO</t>
        </is>
      </c>
      <c r="K78" s="4" t="inlineStr">
        <is>
          <t>ALEXANDRA BUITRAGO</t>
        </is>
      </c>
      <c r="L78" s="4" t="n">
        <v/>
      </c>
      <c r="M78" s="4" t="n">
        <v/>
      </c>
      <c r="N78" s="4" t="n">
        <v>3023195541</v>
      </c>
      <c r="O78" s="4" t="inlineStr">
        <is>
          <t>EVELINSOFIADALO@UFPS.EDU.CO</t>
        </is>
      </c>
      <c r="P78" s="4" t="inlineStr">
        <is>
          <t>CUCUTA SEDE</t>
        </is>
      </c>
      <c r="Q78" s="4" t="inlineStr">
        <is>
          <t>INVESTIGACIONES</t>
        </is>
      </c>
      <c r="R78" s="4" t="n">
        <v/>
      </c>
    </row>
    <row r="79" ht="20" customHeight="1">
      <c r="A79" s="6" t="inlineStr">
        <is>
          <t>80237502</t>
        </is>
      </c>
      <c r="B79" s="7" t="inlineStr">
        <is>
          <t>PRESENCIAL BOGOTÁ</t>
        </is>
      </c>
      <c r="C79" s="7" t="inlineStr">
        <is>
          <t>LUIS ADOLFO PINZON LEON</t>
        </is>
      </c>
      <c r="D79" s="7" t="inlineStr">
        <is>
          <t>INNOVACION E INVESTIGACION</t>
        </is>
      </c>
      <c r="E79" s="7" t="inlineStr">
        <is>
          <t>REGIONAL BOGOTA</t>
        </is>
      </c>
      <c r="F79" s="7" t="inlineStr">
        <is>
          <t>BOGOTA CENTRO</t>
        </is>
      </c>
      <c r="G79" s="7" t="inlineStr">
        <is>
          <t>PRESENCIAL</t>
        </is>
      </c>
      <c r="H79" s="7" t="inlineStr">
        <is>
          <t>DOCENTE ASIS/N/TC/INVESTIGA/INVESTIGACIO</t>
        </is>
      </c>
      <c r="I79" s="7" t="inlineStr">
        <is>
          <t>INVESTIGACIONES</t>
        </is>
      </c>
      <c r="J79" s="7" t="inlineStr">
        <is>
          <t>NUEVO</t>
        </is>
      </c>
      <c r="K79" s="7" t="inlineStr">
        <is>
          <t>ALEXANDRA BUITRAGO</t>
        </is>
      </c>
      <c r="L79" s="7" t="n">
        <v/>
      </c>
      <c r="M79" s="7" t="n">
        <v/>
      </c>
      <c r="N79" s="7" t="inlineStr">
        <is>
          <t>313 5370641</t>
        </is>
      </c>
      <c r="O79" s="7" t="inlineStr">
        <is>
          <t>LUISPINZON81@GMAIL.COM</t>
        </is>
      </c>
      <c r="P79" s="7" t="inlineStr">
        <is>
          <t>BTA SEDE A</t>
        </is>
      </c>
      <c r="Q79" s="7" t="inlineStr">
        <is>
          <t>INVESTIGACIONES</t>
        </is>
      </c>
      <c r="R79" s="7" t="inlineStr">
        <is>
          <t>Salón Audiencia sede F</t>
        </is>
      </c>
    </row>
    <row r="80" ht="20" customHeight="1">
      <c r="A80" s="3" t="inlineStr">
        <is>
          <t>1104700404</t>
        </is>
      </c>
      <c r="B80" s="4" t="inlineStr">
        <is>
          <t>PRESENCIAL BOGOTÁ</t>
        </is>
      </c>
      <c r="C80" s="4" t="inlineStr">
        <is>
          <t>ELVER JULIAN GUILLEN ROZO</t>
        </is>
      </c>
      <c r="D80" s="4" t="inlineStr">
        <is>
          <t>INNOVACION E INVESTIGACION</t>
        </is>
      </c>
      <c r="E80" s="4" t="inlineStr">
        <is>
          <t>REGIONAL BOGOTA</t>
        </is>
      </c>
      <c r="F80" s="4" t="inlineStr">
        <is>
          <t>BOGOTA CENTRO</t>
        </is>
      </c>
      <c r="G80" s="4" t="inlineStr">
        <is>
          <t>PRESENCIAL</t>
        </is>
      </c>
      <c r="H80" s="4" t="inlineStr">
        <is>
          <t>DOCENTE AUX/N/TC/INVESTIGA/INVESTIGACION</t>
        </is>
      </c>
      <c r="I80" s="4" t="inlineStr">
        <is>
          <t>INVESTIGACIONES</t>
        </is>
      </c>
      <c r="J80" s="4" t="inlineStr">
        <is>
          <t>NUEVO</t>
        </is>
      </c>
      <c r="K80" s="4" t="inlineStr">
        <is>
          <t>ALEXANDRA BUITRAGO</t>
        </is>
      </c>
      <c r="L80" s="4" t="inlineStr">
        <is>
          <t>CONFIRMADO PRESENCIAL</t>
        </is>
      </c>
      <c r="M80" s="4" t="n">
        <v/>
      </c>
      <c r="N80" s="4" t="n">
        <v>3133813322</v>
      </c>
      <c r="O80" s="4" t="inlineStr">
        <is>
          <t>EJGUILLEN@UTP.EDU.CO</t>
        </is>
      </c>
      <c r="P80" s="4" t="inlineStr">
        <is>
          <t>BTA SEDE A</t>
        </is>
      </c>
      <c r="Q80" s="4" t="inlineStr">
        <is>
          <t>INVESTIGACIONES</t>
        </is>
      </c>
      <c r="R80" s="4" t="inlineStr">
        <is>
          <t>Salón Audiencia sede F</t>
        </is>
      </c>
    </row>
    <row r="81" ht="20" customHeight="1">
      <c r="A81" s="6" t="inlineStr">
        <is>
          <t>1032439036</t>
        </is>
      </c>
      <c r="B81" s="7" t="inlineStr">
        <is>
          <t>PRESENCIAL BOGOTÁ</t>
        </is>
      </c>
      <c r="C81" s="7" t="inlineStr">
        <is>
          <t>JORGE IVAN AGUILERA COPETE</t>
        </is>
      </c>
      <c r="D81" s="7" t="inlineStr">
        <is>
          <t>INNOVACION E INVESTIGACION</t>
        </is>
      </c>
      <c r="E81" s="7" t="inlineStr">
        <is>
          <t>REGIONAL BOGOTA</t>
        </is>
      </c>
      <c r="F81" s="7" t="inlineStr">
        <is>
          <t>BOGOTA CENTRO</t>
        </is>
      </c>
      <c r="G81" s="7" t="inlineStr">
        <is>
          <t>PRESENCIAL</t>
        </is>
      </c>
      <c r="H81" s="7" t="inlineStr">
        <is>
          <t>DOCENTE AUX/N/TC/INVESTIGA/INVESTIGACION</t>
        </is>
      </c>
      <c r="I81" s="7" t="inlineStr">
        <is>
          <t>INVESTIGACIONES</t>
        </is>
      </c>
      <c r="J81" s="7" t="inlineStr">
        <is>
          <t>NUEVO</t>
        </is>
      </c>
      <c r="K81" s="7" t="inlineStr">
        <is>
          <t>ALEXANDRA BUITRAGO</t>
        </is>
      </c>
      <c r="L81" s="7" t="n">
        <v/>
      </c>
      <c r="M81" s="7" t="n">
        <v/>
      </c>
      <c r="N81" s="7" t="n">
        <v>3223052896</v>
      </c>
      <c r="O81" s="7" t="inlineStr">
        <is>
          <t>JORGE.AGUILERA.3D@GMAIL.COM</t>
        </is>
      </c>
      <c r="P81" s="7" t="inlineStr">
        <is>
          <t>BTA SEDE A</t>
        </is>
      </c>
      <c r="Q81" s="7" t="inlineStr">
        <is>
          <t>INVESTIGACIONES</t>
        </is>
      </c>
      <c r="R81" s="7" t="inlineStr">
        <is>
          <t>Salón Audiencia sede F</t>
        </is>
      </c>
    </row>
    <row r="82" ht="20" customHeight="1">
      <c r="A82" s="3" t="inlineStr">
        <is>
          <t>1026588753</t>
        </is>
      </c>
      <c r="B82" s="4" t="inlineStr">
        <is>
          <t>PRESENCIAL BOGOTÁ</t>
        </is>
      </c>
      <c r="C82" s="4" t="inlineStr">
        <is>
          <t>ALICIA VANESA BURGOS BELTRAN</t>
        </is>
      </c>
      <c r="D82" s="4" t="inlineStr">
        <is>
          <t>INNOVACION E INVESTIGACION</t>
        </is>
      </c>
      <c r="E82" s="4" t="inlineStr">
        <is>
          <t>REGIONAL BOGOTA</t>
        </is>
      </c>
      <c r="F82" s="4" t="inlineStr">
        <is>
          <t>BOGOTA CENTRO</t>
        </is>
      </c>
      <c r="G82" s="4" t="inlineStr">
        <is>
          <t>PRESENCIAL</t>
        </is>
      </c>
      <c r="H82" s="4" t="inlineStr">
        <is>
          <t>DOCENTE ASIS/N/TC/INVESTIGA/INVESTIGACIO</t>
        </is>
      </c>
      <c r="I82" s="4" t="inlineStr">
        <is>
          <t>INVESTIGACIONES</t>
        </is>
      </c>
      <c r="J82" s="4" t="inlineStr">
        <is>
          <t>NUEVO</t>
        </is>
      </c>
      <c r="K82" s="4" t="inlineStr">
        <is>
          <t>MARTHA SANCHEZ</t>
        </is>
      </c>
      <c r="L82" s="4" t="inlineStr">
        <is>
          <t>CONFIRMADO PRESENCIAL</t>
        </is>
      </c>
      <c r="M82" s="4" t="n">
        <v/>
      </c>
      <c r="N82" s="4" t="n">
        <v>3196333392</v>
      </c>
      <c r="O82" s="4" t="inlineStr">
        <is>
          <t>VANESSABELTRANHC@GMAIL.COM</t>
        </is>
      </c>
      <c r="P82" s="4" t="inlineStr">
        <is>
          <t>BTA SEDE A</t>
        </is>
      </c>
      <c r="Q82" s="4" t="inlineStr">
        <is>
          <t>INVESTIGACIONES</t>
        </is>
      </c>
      <c r="R82" s="4" t="inlineStr">
        <is>
          <t>Salón Audiencia sede F</t>
        </is>
      </c>
    </row>
    <row r="83" ht="20" customHeight="1">
      <c r="A83" s="6" t="inlineStr">
        <is>
          <t>79882755</t>
        </is>
      </c>
      <c r="B83" s="7" t="inlineStr">
        <is>
          <t>PRESENCIAL BOGOTÁ</t>
        </is>
      </c>
      <c r="C83" s="7" t="inlineStr">
        <is>
          <t>OLMER ESNEIDER MARTINEZ GARCIA</t>
        </is>
      </c>
      <c r="D83" s="7" t="inlineStr">
        <is>
          <t>INNOVACION E INVESTIGACION</t>
        </is>
      </c>
      <c r="E83" s="7" t="inlineStr">
        <is>
          <t>REGIONAL BOGOTA</t>
        </is>
      </c>
      <c r="F83" s="7" t="inlineStr">
        <is>
          <t>BOGOTA CENTRO</t>
        </is>
      </c>
      <c r="G83" s="7" t="inlineStr">
        <is>
          <t>PRESENCIAL</t>
        </is>
      </c>
      <c r="H83" s="7" t="inlineStr">
        <is>
          <t>DOCENTE ASIS/N/TC/INVESTIGA/INVESTIGACIO</t>
        </is>
      </c>
      <c r="I83" s="7" t="inlineStr">
        <is>
          <t>INVESTIGACIONES</t>
        </is>
      </c>
      <c r="J83" s="7" t="inlineStr">
        <is>
          <t>NUEVO</t>
        </is>
      </c>
      <c r="K83" s="7" t="inlineStr">
        <is>
          <t>MARTHA SANCHEZ</t>
        </is>
      </c>
      <c r="L83" s="7" t="inlineStr">
        <is>
          <t>CONFIRMADO PRESENCIAL</t>
        </is>
      </c>
      <c r="M83" s="7" t="n">
        <v/>
      </c>
      <c r="N83" s="7" t="n">
        <v>3155281008</v>
      </c>
      <c r="O83" s="7" t="inlineStr">
        <is>
          <t>PROFEOLMER@GMAIL.COM</t>
        </is>
      </c>
      <c r="P83" s="7" t="inlineStr">
        <is>
          <t>BTA SEDE A</t>
        </is>
      </c>
      <c r="Q83" s="7" t="inlineStr">
        <is>
          <t>INVESTIGACIONES</t>
        </is>
      </c>
      <c r="R83" s="7" t="inlineStr">
        <is>
          <t>Salón Audiencia sede F</t>
        </is>
      </c>
    </row>
    <row r="84" ht="20" customHeight="1">
      <c r="A84" s="3" t="inlineStr">
        <is>
          <t>1066745475</t>
        </is>
      </c>
      <c r="B84" s="4" t="inlineStr">
        <is>
          <t>VIRTUAL</t>
        </is>
      </c>
      <c r="C84" s="4" t="inlineStr">
        <is>
          <t>MARIA ALEJANDRA DIAZ MIRANDA</t>
        </is>
      </c>
      <c r="D84" s="4" t="inlineStr">
        <is>
          <t>OPERACIONES</t>
        </is>
      </c>
      <c r="E84" s="4" t="inlineStr">
        <is>
          <t>REGIONAL BOGOTA</t>
        </is>
      </c>
      <c r="F84" s="4" t="inlineStr">
        <is>
          <t>BOGOTA CENTRO</t>
        </is>
      </c>
      <c r="G84" s="4" t="inlineStr">
        <is>
          <t>PRESENCIAL</t>
        </is>
      </c>
      <c r="H84" s="4" t="inlineStr">
        <is>
          <t>DOC AUX/N/MT/MAR DIG</t>
        </is>
      </c>
      <c r="I84" s="4" t="inlineStr">
        <is>
          <t>MARKETING DIGITAL</t>
        </is>
      </c>
      <c r="J84" s="4" t="inlineStr">
        <is>
          <t>NUEVO</t>
        </is>
      </c>
      <c r="K84" s="4" t="inlineStr">
        <is>
          <t>MARTHA SANCHEZ</t>
        </is>
      </c>
      <c r="L84" s="4" t="inlineStr">
        <is>
          <t>CONFIRMADO VIRTUAL</t>
        </is>
      </c>
      <c r="M84" s="4" t="inlineStr">
        <is>
          <t>Sede Sincelejo / no deja descargar certificado</t>
        </is>
      </c>
      <c r="N84" s="4" t="n">
        <v>3153047688</v>
      </c>
      <c r="O84" s="4" t="inlineStr">
        <is>
          <t>MARIALEDIAZ39@GMAIL.COM</t>
        </is>
      </c>
      <c r="P84" s="4" t="inlineStr">
        <is>
          <t>SINCELEJO SEDE</t>
        </is>
      </c>
      <c r="Q84" s="4" t="inlineStr">
        <is>
          <t>BELLAS ARTES</t>
        </is>
      </c>
      <c r="R84" s="4" t="n">
        <v>303</v>
      </c>
    </row>
    <row r="85" ht="20" customHeight="1">
      <c r="A85" s="6" t="inlineStr">
        <is>
          <t>1098762664</t>
        </is>
      </c>
      <c r="B85" s="7" t="inlineStr">
        <is>
          <t>VIRTUAL</t>
        </is>
      </c>
      <c r="C85" s="7" t="inlineStr">
        <is>
          <t>HECTOR ANDRES VARGAS PARRA</t>
        </is>
      </c>
      <c r="D85" s="7" t="inlineStr">
        <is>
          <t>OPERACIONES</t>
        </is>
      </c>
      <c r="E85" s="7" t="inlineStr">
        <is>
          <t>REGIONAL SANTANDER</t>
        </is>
      </c>
      <c r="F85" s="7" t="inlineStr">
        <is>
          <t>BUCARAMANGA</t>
        </is>
      </c>
      <c r="G85" s="7" t="inlineStr">
        <is>
          <t>VIRTUAL</t>
        </is>
      </c>
      <c r="H85" s="7" t="inlineStr">
        <is>
          <t>DOC ASIS/N/V/MT/MAR DIG</t>
        </is>
      </c>
      <c r="I85" s="7" t="inlineStr">
        <is>
          <t>MARKETING DIGITAL</t>
        </is>
      </c>
      <c r="J85" s="7" t="inlineStr">
        <is>
          <t>NUEVO</t>
        </is>
      </c>
      <c r="K85" s="7" t="inlineStr">
        <is>
          <t>MARTHA SANCHEZ</t>
        </is>
      </c>
      <c r="L85" s="7" t="inlineStr">
        <is>
          <t>CONFIRMADO VIRTUAL</t>
        </is>
      </c>
      <c r="M85" s="7" t="n">
        <v/>
      </c>
      <c r="N85" s="7" t="n">
        <v>3006300920</v>
      </c>
      <c r="O85" s="7" t="inlineStr">
        <is>
          <t>ANDRESVARGAS.1194@GMAIL.COM</t>
        </is>
      </c>
      <c r="P85" s="7" t="inlineStr">
        <is>
          <t>BGA SEDE</t>
        </is>
      </c>
      <c r="Q85" s="7" t="inlineStr">
        <is>
          <t>BELLAS ARTES</t>
        </is>
      </c>
      <c r="R85" s="7" t="n">
        <v/>
      </c>
    </row>
    <row r="86" ht="20" customHeight="1">
      <c r="A86" s="3" t="inlineStr">
        <is>
          <t>1026287497</t>
        </is>
      </c>
      <c r="B86" s="4" t="inlineStr">
        <is>
          <t>PRESENCIAL BOGOTÁ</t>
        </is>
      </c>
      <c r="C86" s="4" t="inlineStr">
        <is>
          <t>JULY CATHERINE PORTILLO ROJAS</t>
        </is>
      </c>
      <c r="D86" s="4" t="inlineStr">
        <is>
          <t>OPERACIONES</t>
        </is>
      </c>
      <c r="E86" s="4" t="inlineStr">
        <is>
          <t>REGIONAL BOGOTA</t>
        </is>
      </c>
      <c r="F86" s="4" t="inlineStr">
        <is>
          <t>BOGOTA CENTRO</t>
        </is>
      </c>
      <c r="G86" s="4" t="inlineStr">
        <is>
          <t>VIRTUAL</t>
        </is>
      </c>
      <c r="H86" s="4" t="inlineStr">
        <is>
          <t>DOC ASIS/N/V/MT/MAR DIG</t>
        </is>
      </c>
      <c r="I86" s="4" t="inlineStr">
        <is>
          <t>MARKETING DIGITAL</t>
        </is>
      </c>
      <c r="J86" s="4" t="inlineStr">
        <is>
          <t>NUEVO</t>
        </is>
      </c>
      <c r="K86" s="4" t="inlineStr">
        <is>
          <t>MARTHA SANCHEZ</t>
        </is>
      </c>
      <c r="L86" s="4" t="inlineStr">
        <is>
          <t>SIN RESPUESTA</t>
        </is>
      </c>
      <c r="M86" s="4" t="inlineStr">
        <is>
          <t>Número sin servicio</t>
        </is>
      </c>
      <c r="N86" s="4" t="n">
        <v>3132083569</v>
      </c>
      <c r="O86" s="4" t="inlineStr">
        <is>
          <t>CATAPR_CH@HOTMAIL.COM</t>
        </is>
      </c>
      <c r="P86" s="4" t="inlineStr">
        <is>
          <t>BTA SEDE A</t>
        </is>
      </c>
      <c r="Q86" s="4" t="inlineStr">
        <is>
          <t>BELLAS ARTES</t>
        </is>
      </c>
      <c r="R86" s="4" t="n">
        <v>303</v>
      </c>
    </row>
    <row r="87" ht="20" customHeight="1">
      <c r="A87" s="6" t="inlineStr">
        <is>
          <t>80756697</t>
        </is>
      </c>
      <c r="B87" s="7" t="inlineStr">
        <is>
          <t>PRESENCIAL BOGOTÁ</t>
        </is>
      </c>
      <c r="C87" s="7" t="inlineStr">
        <is>
          <t>JOSE LUIS RUEDA MORENO</t>
        </is>
      </c>
      <c r="D87" s="7" t="inlineStr">
        <is>
          <t>OPERACIONES</t>
        </is>
      </c>
      <c r="E87" s="7" t="inlineStr">
        <is>
          <t>REGIONAL BOGOTA</t>
        </is>
      </c>
      <c r="F87" s="7" t="inlineStr">
        <is>
          <t>BOGOTA CENTRO</t>
        </is>
      </c>
      <c r="G87" s="7" t="inlineStr">
        <is>
          <t>VIRTUAL</t>
        </is>
      </c>
      <c r="H87" s="7" t="inlineStr">
        <is>
          <t>DOC AUX/N/V/MT/MAR DIG</t>
        </is>
      </c>
      <c r="I87" s="7" t="inlineStr">
        <is>
          <t>MARKETING DIGITAL</t>
        </is>
      </c>
      <c r="J87" s="7" t="inlineStr">
        <is>
          <t>NUEVO</t>
        </is>
      </c>
      <c r="K87" s="7" t="inlineStr">
        <is>
          <t>MARTHA SANCHEZ</t>
        </is>
      </c>
      <c r="L87" s="7" t="inlineStr">
        <is>
          <t>CONFIRMADO PRESENCIAL</t>
        </is>
      </c>
      <c r="M87" s="7" t="n">
        <v/>
      </c>
      <c r="N87" s="7" t="n">
        <v>3103188592</v>
      </c>
      <c r="O87" s="7" t="inlineStr">
        <is>
          <t>CREATIVOJOSERUEDA@GMAIL.COM</t>
        </is>
      </c>
      <c r="P87" s="7" t="inlineStr">
        <is>
          <t>BTA SEDE A</t>
        </is>
      </c>
      <c r="Q87" s="7" t="inlineStr">
        <is>
          <t>BELLAS ARTES</t>
        </is>
      </c>
      <c r="R87" s="7" t="n">
        <v>303</v>
      </c>
    </row>
    <row r="88" ht="20" customHeight="1">
      <c r="A88" s="3" t="inlineStr">
        <is>
          <t>1005570324</t>
        </is>
      </c>
      <c r="B88" s="4" t="inlineStr">
        <is>
          <t>PRESENCIAL REGIONAL</t>
        </is>
      </c>
      <c r="C88" s="4" t="inlineStr">
        <is>
          <t>DANIELA ANDREA MARTINEZ ESPAÑA</t>
        </is>
      </c>
      <c r="D88" s="4" t="inlineStr">
        <is>
          <t>OPERACIONES</t>
        </is>
      </c>
      <c r="E88" s="4" t="inlineStr">
        <is>
          <t>REGIONAL SUCRE</t>
        </is>
      </c>
      <c r="F88" s="4" t="inlineStr">
        <is>
          <t>SINCELEJO</t>
        </is>
      </c>
      <c r="G88" s="4" t="inlineStr">
        <is>
          <t>PRESENCIAL</t>
        </is>
      </c>
      <c r="H88" s="4" t="inlineStr">
        <is>
          <t>DOC AUX T&amp;T/N/MT/MAR DIG</t>
        </is>
      </c>
      <c r="I88" s="4" t="inlineStr">
        <is>
          <t>MARKETING DIGITAL</t>
        </is>
      </c>
      <c r="J88" s="4" t="inlineStr">
        <is>
          <t>NUEVO</t>
        </is>
      </c>
      <c r="K88" s="4" t="inlineStr">
        <is>
          <t>MARTHA SANCHEZ</t>
        </is>
      </c>
      <c r="L88" s="4" t="inlineStr">
        <is>
          <t>CONFIRMADO PRESENCIAL</t>
        </is>
      </c>
      <c r="M88" s="4" t="n">
        <v/>
      </c>
      <c r="N88" s="4" t="n">
        <v>3003321718</v>
      </c>
      <c r="O88" s="4" t="inlineStr">
        <is>
          <t>EMARTINEZ.DANIELA@GMAIL.COM</t>
        </is>
      </c>
      <c r="P88" s="4" t="inlineStr">
        <is>
          <t>SINCELEJO SEDE</t>
        </is>
      </c>
      <c r="Q88" s="4" t="inlineStr">
        <is>
          <t>BELLAS ARTES</t>
        </is>
      </c>
      <c r="R88" s="4" t="n">
        <v/>
      </c>
    </row>
    <row r="89" ht="20" customHeight="1">
      <c r="A89" s="6" t="inlineStr">
        <is>
          <t>80766622</t>
        </is>
      </c>
      <c r="B89" s="7" t="inlineStr">
        <is>
          <t>PRESENCIAL REGIONAL</t>
        </is>
      </c>
      <c r="C89" s="7" t="inlineStr">
        <is>
          <t>LUIS EDUARDO CONSUEGRA GONZALEZ</t>
        </is>
      </c>
      <c r="D89" s="7" t="inlineStr">
        <is>
          <t>OPERACIONES</t>
        </is>
      </c>
      <c r="E89" s="7" t="inlineStr">
        <is>
          <t>REGIONAL TOLIMA</t>
        </is>
      </c>
      <c r="F89" s="7" t="inlineStr">
        <is>
          <t>IBAGUÉ</t>
        </is>
      </c>
      <c r="G89" s="7" t="inlineStr">
        <is>
          <t>PRESENCIAL</t>
        </is>
      </c>
      <c r="H89" s="7" t="inlineStr">
        <is>
          <t>DOC AUX T&amp;T/N/MT/MAR DIG</t>
        </is>
      </c>
      <c r="I89" s="7" t="inlineStr">
        <is>
          <t>MARKETING DIGITAL</t>
        </is>
      </c>
      <c r="J89" s="7" t="inlineStr">
        <is>
          <t>NUEVO</t>
        </is>
      </c>
      <c r="K89" s="7" t="inlineStr">
        <is>
          <t>MARTHA SANCHEZ</t>
        </is>
      </c>
      <c r="L89" s="7" t="inlineStr">
        <is>
          <t>CONFIRMADO PRESENCIAL</t>
        </is>
      </c>
      <c r="M89" s="7" t="n">
        <v/>
      </c>
      <c r="N89" s="7" t="n">
        <v>3158663188</v>
      </c>
      <c r="O89" s="7" t="inlineStr">
        <is>
          <t>CONSUEGRACONGRA@HOTMAIL.COM</t>
        </is>
      </c>
      <c r="P89" s="7" t="inlineStr">
        <is>
          <t>IBAGUE SEDE</t>
        </is>
      </c>
      <c r="Q89" s="7" t="inlineStr">
        <is>
          <t>BELLAS ARTES</t>
        </is>
      </c>
      <c r="R89" s="7" t="n">
        <v/>
      </c>
    </row>
    <row r="90" ht="20" customHeight="1">
      <c r="A90" s="3" t="inlineStr">
        <is>
          <t>1014230294</t>
        </is>
      </c>
      <c r="B90" s="4" t="inlineStr">
        <is>
          <t>PRESENCIAL BOGOTÁ</t>
        </is>
      </c>
      <c r="C90" s="4" t="inlineStr">
        <is>
          <t>ALEJANDRA PATIÑO MORA</t>
        </is>
      </c>
      <c r="D90" s="4" t="inlineStr">
        <is>
          <t>OPERACIONES</t>
        </is>
      </c>
      <c r="E90" s="4" t="inlineStr">
        <is>
          <t>REGIONAL BOGOTA</t>
        </is>
      </c>
      <c r="F90" s="4" t="inlineStr">
        <is>
          <t>BOGOTA CENTRO</t>
        </is>
      </c>
      <c r="G90" s="4" t="inlineStr">
        <is>
          <t>VIRTUAL</t>
        </is>
      </c>
      <c r="H90" s="4" t="inlineStr">
        <is>
          <t>DOC AUX T&amp;T/N/V/MT/MAR DIG</t>
        </is>
      </c>
      <c r="I90" s="4" t="inlineStr">
        <is>
          <t>MARKETING DIGITAL</t>
        </is>
      </c>
      <c r="J90" s="4" t="inlineStr">
        <is>
          <t>NUEVO</t>
        </is>
      </c>
      <c r="K90" s="4" t="inlineStr">
        <is>
          <t>MARTHA SANCHEZ</t>
        </is>
      </c>
      <c r="L90" s="4" t="inlineStr">
        <is>
          <t>CONFIRMADO PRESENCIAL</t>
        </is>
      </c>
      <c r="M90" s="4" t="n">
        <v/>
      </c>
      <c r="N90" s="4" t="n">
        <v>3043367739</v>
      </c>
      <c r="O90" s="4" t="inlineStr">
        <is>
          <t>PATINOMORAALEJANDRA@GMAIL.COM</t>
        </is>
      </c>
      <c r="P90" s="4" t="inlineStr">
        <is>
          <t>BTA SEDE A</t>
        </is>
      </c>
      <c r="Q90" s="4" t="inlineStr">
        <is>
          <t>BELLAS ARTES</t>
        </is>
      </c>
      <c r="R90" s="4" t="n">
        <v>303</v>
      </c>
    </row>
    <row r="91" ht="20" customHeight="1">
      <c r="A91" s="6" t="inlineStr">
        <is>
          <t>1018423036</t>
        </is>
      </c>
      <c r="B91" s="7" t="inlineStr">
        <is>
          <t>PRESENCIAL BOGOTÁ</t>
        </is>
      </c>
      <c r="C91" s="7" t="inlineStr">
        <is>
          <t>JOHN ERICK BUSTOS AMIN</t>
        </is>
      </c>
      <c r="D91" s="7" t="inlineStr">
        <is>
          <t>OPERACIONES</t>
        </is>
      </c>
      <c r="E91" s="7" t="inlineStr">
        <is>
          <t>REGIONAL BOGOTA</t>
        </is>
      </c>
      <c r="F91" s="7" t="inlineStr">
        <is>
          <t>BOGOTA CENTRO</t>
        </is>
      </c>
      <c r="G91" s="7" t="inlineStr">
        <is>
          <t>PRESENCIAL</t>
        </is>
      </c>
      <c r="H91" s="7" t="inlineStr">
        <is>
          <t>DOC AUX T&amp;T/N/MT/MAR DIG</t>
        </is>
      </c>
      <c r="I91" s="7" t="inlineStr">
        <is>
          <t>MARKETING DIGITAL</t>
        </is>
      </c>
      <c r="J91" s="7" t="inlineStr">
        <is>
          <t>NUEVO</t>
        </is>
      </c>
      <c r="K91" s="7" t="inlineStr">
        <is>
          <t>MARTHA SANCHEZ</t>
        </is>
      </c>
      <c r="L91" s="7" t="inlineStr">
        <is>
          <t>CONFIRMADO PRESENCIAL</t>
        </is>
      </c>
      <c r="M91" s="7" t="n">
        <v/>
      </c>
      <c r="N91" s="7" t="n">
        <v>3204662821</v>
      </c>
      <c r="O91" s="7" t="inlineStr">
        <is>
          <t>AMINERICK@HOTMAIL.COM</t>
        </is>
      </c>
      <c r="P91" s="7" t="inlineStr">
        <is>
          <t>BTA SEDE A</t>
        </is>
      </c>
      <c r="Q91" s="7" t="inlineStr">
        <is>
          <t>BELLAS ARTES</t>
        </is>
      </c>
      <c r="R91" s="7" t="n">
        <v>303</v>
      </c>
    </row>
    <row r="92" ht="20" customHeight="1">
      <c r="A92" s="3" t="inlineStr">
        <is>
          <t>80797663</t>
        </is>
      </c>
      <c r="B92" s="4" t="inlineStr">
        <is>
          <t>PRESENCIAL BOGOTÁ</t>
        </is>
      </c>
      <c r="C92" s="4" t="inlineStr">
        <is>
          <t>WILLIAM ALEJANDRO BAYONA CERON</t>
        </is>
      </c>
      <c r="D92" s="4" t="inlineStr">
        <is>
          <t>OPERACIONES</t>
        </is>
      </c>
      <c r="E92" s="4" t="inlineStr">
        <is>
          <t>REGIONAL BOGOTA</t>
        </is>
      </c>
      <c r="F92" s="4" t="inlineStr">
        <is>
          <t>BOGOTA CENTRO</t>
        </is>
      </c>
      <c r="G92" s="4" t="inlineStr">
        <is>
          <t>VIRTUAL</t>
        </is>
      </c>
      <c r="H92" s="4" t="inlineStr">
        <is>
          <t>DOC AUX/N/V/MT/PUB Y MERC</t>
        </is>
      </c>
      <c r="I92" s="4" t="inlineStr">
        <is>
          <t>PUBLICIDAD Y MERCADEO</t>
        </is>
      </c>
      <c r="J92" s="4" t="inlineStr">
        <is>
          <t>NUEVO</t>
        </is>
      </c>
      <c r="K92" s="4" t="inlineStr">
        <is>
          <t>MARTHA SANCHEZ</t>
        </is>
      </c>
      <c r="L92" s="4" t="inlineStr">
        <is>
          <t>CONFIRMADO PRESENCIAL</t>
        </is>
      </c>
      <c r="M92" s="4" t="n">
        <v/>
      </c>
      <c r="N92" s="4" t="n">
        <v>3103345595</v>
      </c>
      <c r="O92" s="4" t="inlineStr">
        <is>
          <t>ALEJANDRO.BAYONA@GMAIL.COM</t>
        </is>
      </c>
      <c r="P92" s="4" t="inlineStr">
        <is>
          <t>BTA SEDE A</t>
        </is>
      </c>
      <c r="Q92" s="4" t="inlineStr">
        <is>
          <t>NEGOCIOS</t>
        </is>
      </c>
      <c r="R92" s="4" t="n">
        <v>200</v>
      </c>
    </row>
    <row r="93" ht="20" customHeight="1">
      <c r="A93" s="6" t="inlineStr">
        <is>
          <t>1032497655</t>
        </is>
      </c>
      <c r="B93" s="7" t="inlineStr">
        <is>
          <t>PRESENCIAL BOGOTÁ</t>
        </is>
      </c>
      <c r="C93" s="7" t="inlineStr">
        <is>
          <t>NICOLAS SANABRIA SANCHEZ</t>
        </is>
      </c>
      <c r="D93" s="7" t="inlineStr">
        <is>
          <t>OPERACIONES</t>
        </is>
      </c>
      <c r="E93" s="7" t="inlineStr">
        <is>
          <t>REGIONAL BOGOTA</t>
        </is>
      </c>
      <c r="F93" s="7" t="inlineStr">
        <is>
          <t>BOGOTA CENTRO</t>
        </is>
      </c>
      <c r="G93" s="7" t="inlineStr">
        <is>
          <t>VIRTUAL</t>
        </is>
      </c>
      <c r="H93" s="7" t="inlineStr">
        <is>
          <t>DOC AUX T&amp;T/N/V/MT/PUB Y MERC</t>
        </is>
      </c>
      <c r="I93" s="7" t="inlineStr">
        <is>
          <t>PUBLICIDAD Y MERCADEO</t>
        </is>
      </c>
      <c r="J93" s="7" t="inlineStr">
        <is>
          <t>NUEVO</t>
        </is>
      </c>
      <c r="K93" s="7" t="inlineStr">
        <is>
          <t>MARTHA SANCHEZ</t>
        </is>
      </c>
      <c r="L93" s="7" t="inlineStr">
        <is>
          <t>CONFIRMADO PRESENCIAL</t>
        </is>
      </c>
      <c r="M93" s="7" t="n">
        <v/>
      </c>
      <c r="N93" s="7" t="n">
        <v>3213216307</v>
      </c>
      <c r="O93" s="7" t="inlineStr">
        <is>
          <t>NICSANAB@GMAIL.COM</t>
        </is>
      </c>
      <c r="P93" s="7" t="inlineStr">
        <is>
          <t>BTA SEDE A</t>
        </is>
      </c>
      <c r="Q93" s="7" t="inlineStr">
        <is>
          <t>NEGOCIOS</t>
        </is>
      </c>
      <c r="R93" s="7" t="n">
        <v>200</v>
      </c>
    </row>
    <row r="94" ht="20" customHeight="1">
      <c r="A94" s="3" t="inlineStr">
        <is>
          <t>80808557</t>
        </is>
      </c>
      <c r="B94" s="4" t="inlineStr">
        <is>
          <t>PRESENCIAL BOGOTÁ</t>
        </is>
      </c>
      <c r="C94" s="4" t="inlineStr">
        <is>
          <t>JONATHAN LINARES GARZON</t>
        </is>
      </c>
      <c r="D94" s="4" t="inlineStr">
        <is>
          <t>OPERACIONES</t>
        </is>
      </c>
      <c r="E94" s="4" t="inlineStr">
        <is>
          <t>REGIONAL BOGOTA</t>
        </is>
      </c>
      <c r="F94" s="4" t="inlineStr">
        <is>
          <t>BOGOTA CENTRO</t>
        </is>
      </c>
      <c r="G94" s="4" t="inlineStr">
        <is>
          <t>VIRTUAL</t>
        </is>
      </c>
      <c r="H94" s="4" t="inlineStr">
        <is>
          <t>DOC ASIS/N/V/TC/PUB Y MERC/FUN.ACADE-ADMIN</t>
        </is>
      </c>
      <c r="I94" s="4" t="inlineStr">
        <is>
          <t>PUBLICIDAD Y MERCADEO</t>
        </is>
      </c>
      <c r="J94" s="4" t="inlineStr">
        <is>
          <t>NUEVO</t>
        </is>
      </c>
      <c r="K94" s="4" t="inlineStr">
        <is>
          <t>MARTHA SANCHEZ</t>
        </is>
      </c>
      <c r="L94" s="4" t="inlineStr">
        <is>
          <t>CONFIRMADO PRESENCIAL</t>
        </is>
      </c>
      <c r="M94" s="4" t="n">
        <v/>
      </c>
      <c r="N94" s="4" t="n">
        <v>3167512173</v>
      </c>
      <c r="O94" s="4" t="inlineStr">
        <is>
          <t>JONNY.LINGAR@GMAIL.COM</t>
        </is>
      </c>
      <c r="P94" s="4" t="inlineStr">
        <is>
          <t>BTA SEDE A</t>
        </is>
      </c>
      <c r="Q94" s="4" t="inlineStr">
        <is>
          <t>NEGOCIOS</t>
        </is>
      </c>
      <c r="R94" s="4" t="n">
        <v>200</v>
      </c>
    </row>
    <row r="95" ht="20" customHeight="1">
      <c r="A95" s="6" t="inlineStr">
        <is>
          <t>1098674090</t>
        </is>
      </c>
      <c r="B95" s="7" t="inlineStr">
        <is>
          <t>VIRTUAL</t>
        </is>
      </c>
      <c r="C95" s="7" t="inlineStr">
        <is>
          <t>SERGIO RICARDO LEON QUIJANO</t>
        </is>
      </c>
      <c r="D95" s="7" t="inlineStr">
        <is>
          <t>OPERACIONES</t>
        </is>
      </c>
      <c r="E95" s="7" t="inlineStr">
        <is>
          <t>REGIONAL SANTANDER</t>
        </is>
      </c>
      <c r="F95" s="7" t="inlineStr">
        <is>
          <t>BUCARAMANGA</t>
        </is>
      </c>
      <c r="G95" s="7" t="inlineStr">
        <is>
          <t>VIRTUAL</t>
        </is>
      </c>
      <c r="H95" s="7" t="inlineStr">
        <is>
          <t>DOC ASIS/N/V/MT/PUB Y MERC</t>
        </is>
      </c>
      <c r="I95" s="7" t="inlineStr">
        <is>
          <t>PUBLICIDAD Y MERCADEO</t>
        </is>
      </c>
      <c r="J95" s="7" t="inlineStr">
        <is>
          <t>NUEVO</t>
        </is>
      </c>
      <c r="K95" s="7" t="inlineStr">
        <is>
          <t>MARTHA SANCHEZ</t>
        </is>
      </c>
      <c r="L95" s="7" t="inlineStr">
        <is>
          <t>CONFIRMADO VIRTUAL</t>
        </is>
      </c>
      <c r="M95" s="7" t="n">
        <v/>
      </c>
      <c r="N95" s="7" t="n">
        <v>3166282522</v>
      </c>
      <c r="O95" s="7" t="inlineStr">
        <is>
          <t>SERGIOLEONQUIJANO@GMAIL.COM</t>
        </is>
      </c>
      <c r="P95" s="7" t="inlineStr">
        <is>
          <t>BGA SEDE</t>
        </is>
      </c>
      <c r="Q95" s="7" t="inlineStr">
        <is>
          <t>NEGOCIOS</t>
        </is>
      </c>
      <c r="R95" s="7" t="n">
        <v/>
      </c>
    </row>
    <row r="96" ht="20" customHeight="1">
      <c r="A96" s="3" t="inlineStr">
        <is>
          <t>64479406</t>
        </is>
      </c>
      <c r="B96" s="4" t="inlineStr">
        <is>
          <t>PRESENCIAL REGIONAL</t>
        </is>
      </c>
      <c r="C96" s="4" t="inlineStr">
        <is>
          <t>GLENYS MARIA CASTILLA HERNANDEZ</t>
        </is>
      </c>
      <c r="D96" s="4" t="inlineStr">
        <is>
          <t>OPERACIONES</t>
        </is>
      </c>
      <c r="E96" s="4" t="inlineStr">
        <is>
          <t>REGIONAL SUCRE</t>
        </is>
      </c>
      <c r="F96" s="4" t="inlineStr">
        <is>
          <t>SINCELEJO</t>
        </is>
      </c>
      <c r="G96" s="4" t="inlineStr">
        <is>
          <t>PRESENCIAL</t>
        </is>
      </c>
      <c r="H96" s="4" t="inlineStr">
        <is>
          <t>DOCENTE ASOC/N/TC/ADM EMP/PRACTICAS</t>
        </is>
      </c>
      <c r="I96" s="4" t="inlineStr">
        <is>
          <t>ADMINISTRACION DE EMPRESAS</t>
        </is>
      </c>
      <c r="J96" s="4" t="inlineStr">
        <is>
          <t>PLANTA</t>
        </is>
      </c>
      <c r="K96" s="4" t="inlineStr">
        <is>
          <t>MARTHA SANCHEZ</t>
        </is>
      </c>
      <c r="L96" s="4" t="inlineStr">
        <is>
          <t>CONFIRMADO PRESENCIAL</t>
        </is>
      </c>
      <c r="M96" s="4" t="n">
        <v/>
      </c>
      <c r="N96" s="4" t="n">
        <v>3233204914</v>
      </c>
      <c r="O96" s="4" t="inlineStr">
        <is>
          <t>glenyscastillo250381@gmail.com</t>
        </is>
      </c>
      <c r="P96" s="4" t="inlineStr">
        <is>
          <t>SINCELEJO SEDE</t>
        </is>
      </c>
      <c r="Q96" s="4" t="inlineStr">
        <is>
          <t>TRANSFORMACIÓN EMPRESARIAL</t>
        </is>
      </c>
      <c r="R96" s="4" t="n">
        <v/>
      </c>
    </row>
    <row r="97" ht="20" customHeight="1">
      <c r="A97" s="6" t="inlineStr">
        <is>
          <t>4052891</t>
        </is>
      </c>
      <c r="B97" s="7" t="inlineStr">
        <is>
          <t>PRESENCIAL BOGOTÁ</t>
        </is>
      </c>
      <c r="C97" s="7" t="inlineStr">
        <is>
          <t>ISIDRO RUBEN SOLANO ESPITIA</t>
        </is>
      </c>
      <c r="D97" s="7" t="inlineStr">
        <is>
          <t>OPERACIONES</t>
        </is>
      </c>
      <c r="E97" s="7" t="inlineStr">
        <is>
          <t>REGIONAL BOGOTA</t>
        </is>
      </c>
      <c r="F97" s="7" t="inlineStr">
        <is>
          <t>BOGOTA CENTRO</t>
        </is>
      </c>
      <c r="G97" s="7" t="inlineStr">
        <is>
          <t>PRESENCIAL</t>
        </is>
      </c>
      <c r="H97" s="7" t="inlineStr">
        <is>
          <t>DOCENTE ASIS/N/TC/ADM EMP/FUNC ADJET</t>
        </is>
      </c>
      <c r="I97" s="7" t="inlineStr">
        <is>
          <t>ADMINISTRACION DE EMPRESAS</t>
        </is>
      </c>
      <c r="J97" s="7" t="inlineStr">
        <is>
          <t>PLANTA</t>
        </is>
      </c>
      <c r="K97" s="7" t="inlineStr">
        <is>
          <t>MARTHA SANCHEZ</t>
        </is>
      </c>
      <c r="L97" s="7" t="inlineStr">
        <is>
          <t>SIN RESPUESTA</t>
        </is>
      </c>
      <c r="M97" s="7" t="inlineStr">
        <is>
          <t>No contesta</t>
        </is>
      </c>
      <c r="N97" s="7" t="n">
        <v>3138390093</v>
      </c>
      <c r="O97" s="7" t="inlineStr">
        <is>
          <t>rubensolano62@yahoo.es</t>
        </is>
      </c>
      <c r="P97" s="7" t="inlineStr">
        <is>
          <t>BTA SEDE D</t>
        </is>
      </c>
      <c r="Q97" s="7" t="inlineStr">
        <is>
          <t>TRANSFORMACIÓN EMPRESARIAL</t>
        </is>
      </c>
      <c r="R97" s="7" t="n">
        <v>300</v>
      </c>
    </row>
    <row r="98" ht="20" customHeight="1">
      <c r="A98" s="3" t="inlineStr">
        <is>
          <t>79905993</t>
        </is>
      </c>
      <c r="B98" s="4" t="inlineStr">
        <is>
          <t>PRESENCIAL REGIONAL</t>
        </is>
      </c>
      <c r="C98" s="4" t="inlineStr">
        <is>
          <t>FAIBER ANDREY AROCA BERMEO</t>
        </is>
      </c>
      <c r="D98" s="4" t="inlineStr">
        <is>
          <t>OPERACIONES</t>
        </is>
      </c>
      <c r="E98" s="4" t="inlineStr">
        <is>
          <t>REGIONAL HUILA</t>
        </is>
      </c>
      <c r="F98" s="4" t="inlineStr">
        <is>
          <t>NEIVA</t>
        </is>
      </c>
      <c r="G98" s="4" t="inlineStr">
        <is>
          <t>PRESENCIAL</t>
        </is>
      </c>
      <c r="H98" s="4" t="inlineStr">
        <is>
          <t>DOCENTE AUX/N/MT-ADM EM</t>
        </is>
      </c>
      <c r="I98" s="4" t="inlineStr">
        <is>
          <t>ADMINISTRACION DE EMPRESAS</t>
        </is>
      </c>
      <c r="J98" s="4" t="inlineStr">
        <is>
          <t>PLANTA</t>
        </is>
      </c>
      <c r="K98" s="4" t="inlineStr">
        <is>
          <t>MARTHA SANCHEZ</t>
        </is>
      </c>
      <c r="L98" s="4" t="inlineStr">
        <is>
          <t>CONFIRMADO PRESENCIAL</t>
        </is>
      </c>
      <c r="M98" s="4" t="n">
        <v/>
      </c>
      <c r="N98" s="4" t="n">
        <v>3214370386</v>
      </c>
      <c r="O98" s="4" t="inlineStr">
        <is>
          <t>www.fa6.co@gmail.com</t>
        </is>
      </c>
      <c r="P98" s="4" t="inlineStr">
        <is>
          <t>NEIVA SEDE</t>
        </is>
      </c>
      <c r="Q98" s="4" t="inlineStr">
        <is>
          <t>TRANSFORMACIÓN EMPRESARIAL</t>
        </is>
      </c>
      <c r="R98" s="4" t="n">
        <v/>
      </c>
    </row>
    <row r="99" ht="20" customHeight="1">
      <c r="A99" s="6" t="inlineStr">
        <is>
          <t>1102805566</t>
        </is>
      </c>
      <c r="B99" s="7" t="inlineStr">
        <is>
          <t>PRESENCIAL REGIONAL</t>
        </is>
      </c>
      <c r="C99" s="7" t="inlineStr">
        <is>
          <t>DIEGO ARMANDO DIAZ CASTRO</t>
        </is>
      </c>
      <c r="D99" s="7" t="inlineStr">
        <is>
          <t>OPERACIONES</t>
        </is>
      </c>
      <c r="E99" s="7" t="inlineStr">
        <is>
          <t>REGIONAL ATLANTICO</t>
        </is>
      </c>
      <c r="F99" s="7" t="inlineStr">
        <is>
          <t>BARRANQUILLA</t>
        </is>
      </c>
      <c r="G99" s="7" t="inlineStr">
        <is>
          <t>PRESENCIAL</t>
        </is>
      </c>
      <c r="H99" s="7" t="inlineStr">
        <is>
          <t>DOCENTE ASOC/N/TC/ADM EMP/FUN.ACADE-ADMIN</t>
        </is>
      </c>
      <c r="I99" s="7" t="inlineStr">
        <is>
          <t>ADMINISTRACION DE EMPRESAS</t>
        </is>
      </c>
      <c r="J99" s="7" t="inlineStr">
        <is>
          <t>PLANTA</t>
        </is>
      </c>
      <c r="K99" s="7" t="inlineStr">
        <is>
          <t>MARTHA SANCHEZ</t>
        </is>
      </c>
      <c r="L99" s="7" t="inlineStr">
        <is>
          <t>CONFIRMADO PRESENCIAL</t>
        </is>
      </c>
      <c r="M99" s="7" t="n">
        <v/>
      </c>
      <c r="N99" s="7" t="n">
        <v>3182745560</v>
      </c>
      <c r="O99" s="7" t="inlineStr">
        <is>
          <t>diardica86@gmail.com</t>
        </is>
      </c>
      <c r="P99" s="7" t="inlineStr">
        <is>
          <t>BQUILLA SEDE</t>
        </is>
      </c>
      <c r="Q99" s="7" t="inlineStr">
        <is>
          <t>TRANSFORMACIÓN EMPRESARIAL</t>
        </is>
      </c>
      <c r="R99" s="7" t="n">
        <v/>
      </c>
    </row>
    <row r="100" ht="20" customHeight="1">
      <c r="A100" s="3" t="inlineStr">
        <is>
          <t>79844660</t>
        </is>
      </c>
      <c r="B100" s="4" t="inlineStr">
        <is>
          <t>PRESENCIAL BOGOTÁ</t>
        </is>
      </c>
      <c r="C100" s="4" t="inlineStr">
        <is>
          <t>JOHN FREDDY MILLAN CARRANZA</t>
        </is>
      </c>
      <c r="D100" s="4" t="inlineStr">
        <is>
          <t>OPERACIONES</t>
        </is>
      </c>
      <c r="E100" s="4" t="inlineStr">
        <is>
          <t>REGIONAL BOGOTA</t>
        </is>
      </c>
      <c r="F100" s="4" t="inlineStr">
        <is>
          <t>BOGOTA CENTRO</t>
        </is>
      </c>
      <c r="G100" s="4" t="inlineStr">
        <is>
          <t>VIRTUAL</t>
        </is>
      </c>
      <c r="H100" s="4" t="inlineStr">
        <is>
          <t>DOC AUX/N/V/TC/ADM DE EMPRE/FUN.ACADE-ADMIN</t>
        </is>
      </c>
      <c r="I100" s="4" t="inlineStr">
        <is>
          <t>ADMINISTRACION DE EMPRESAS</t>
        </is>
      </c>
      <c r="J100" s="4" t="inlineStr">
        <is>
          <t>PLANTA</t>
        </is>
      </c>
      <c r="K100" s="4" t="inlineStr">
        <is>
          <t>MARTHA SANCHEZ</t>
        </is>
      </c>
      <c r="L100" s="4" t="inlineStr">
        <is>
          <t>CONFIRMADO PRESENCIAL</t>
        </is>
      </c>
      <c r="M100" s="4" t="n">
        <v/>
      </c>
      <c r="N100" s="4" t="n">
        <v>3208507831</v>
      </c>
      <c r="O100" s="4" t="inlineStr">
        <is>
          <t>johnfmillan@gmail.com</t>
        </is>
      </c>
      <c r="P100" s="4" t="inlineStr">
        <is>
          <t>BTA SEDE A</t>
        </is>
      </c>
      <c r="Q100" s="4" t="inlineStr">
        <is>
          <t>TRANSFORMACIÓN EMPRESARIAL</t>
        </is>
      </c>
      <c r="R100" s="4" t="n">
        <v>300</v>
      </c>
    </row>
    <row r="101" ht="20" customHeight="1">
      <c r="A101" s="6" t="inlineStr">
        <is>
          <t>11227036</t>
        </is>
      </c>
      <c r="B101" s="7" t="inlineStr">
        <is>
          <t>PRESENCIAL BOGOTÁ</t>
        </is>
      </c>
      <c r="C101" s="7" t="inlineStr">
        <is>
          <t>EDGAR MAURICIO LEGUIZAMON LOPEZ</t>
        </is>
      </c>
      <c r="D101" s="7" t="inlineStr">
        <is>
          <t>OPERACIONES</t>
        </is>
      </c>
      <c r="E101" s="7" t="inlineStr">
        <is>
          <t>REGIONAL BOGOTA</t>
        </is>
      </c>
      <c r="F101" s="7" t="inlineStr">
        <is>
          <t>BOGOTA CENTRO</t>
        </is>
      </c>
      <c r="G101" s="7" t="inlineStr">
        <is>
          <t>VIRTUAL</t>
        </is>
      </c>
      <c r="H101" s="7" t="inlineStr">
        <is>
          <t>DOC ASIS/N/V/TC/ADM DE EMPRE/FUN.ACADE-ADMIN</t>
        </is>
      </c>
      <c r="I101" s="7" t="inlineStr">
        <is>
          <t>ADMINISTRACION DE EMPRESAS</t>
        </is>
      </c>
      <c r="J101" s="7" t="inlineStr">
        <is>
          <t>PLANTA</t>
        </is>
      </c>
      <c r="K101" s="7" t="inlineStr">
        <is>
          <t>MARTHA SANCHEZ</t>
        </is>
      </c>
      <c r="L101" s="7" t="inlineStr">
        <is>
          <t>CONFIRMADO PRESENCIAL</t>
        </is>
      </c>
      <c r="M101" s="7" t="n">
        <v/>
      </c>
      <c r="N101" s="7" t="n">
        <v>3174207238</v>
      </c>
      <c r="O101" s="7" t="inlineStr">
        <is>
          <t>edgar_mauriciol@hotmail.com</t>
        </is>
      </c>
      <c r="P101" s="7" t="inlineStr">
        <is>
          <t>BTA SEDE N</t>
        </is>
      </c>
      <c r="Q101" s="7" t="inlineStr">
        <is>
          <t>TRANSFORMACIÓN EMPRESARIAL</t>
        </is>
      </c>
      <c r="R101" s="7" t="n">
        <v>300</v>
      </c>
    </row>
    <row r="102" ht="20" customHeight="1">
      <c r="A102" s="3" t="inlineStr">
        <is>
          <t>55062671</t>
        </is>
      </c>
      <c r="B102" s="4" t="inlineStr">
        <is>
          <t>PRESENCIAL REGIONAL</t>
        </is>
      </c>
      <c r="C102" s="4" t="inlineStr">
        <is>
          <t>MARTHA LILIANA ALVAREZ RIVERA</t>
        </is>
      </c>
      <c r="D102" s="4" t="inlineStr">
        <is>
          <t>OPERACIONES</t>
        </is>
      </c>
      <c r="E102" s="4" t="inlineStr">
        <is>
          <t>REGIONAL HUILA</t>
        </is>
      </c>
      <c r="F102" s="4" t="inlineStr">
        <is>
          <t>NEIVA</t>
        </is>
      </c>
      <c r="G102" s="4" t="inlineStr">
        <is>
          <t>PRESENCIAL</t>
        </is>
      </c>
      <c r="H102" s="4" t="inlineStr">
        <is>
          <t>DOCENTE AUX/N/TC/ADM EMP/FUN.ACADE-ADMIN</t>
        </is>
      </c>
      <c r="I102" s="4" t="inlineStr">
        <is>
          <t>ADMINISTRACION DE EMPRESAS</t>
        </is>
      </c>
      <c r="J102" s="4" t="inlineStr">
        <is>
          <t>PLANTA</t>
        </is>
      </c>
      <c r="K102" s="4" t="inlineStr">
        <is>
          <t>MARTHA SANCHEZ</t>
        </is>
      </c>
      <c r="L102" s="4" t="inlineStr">
        <is>
          <t>CONFIRMADO PRESENCIAL</t>
        </is>
      </c>
      <c r="M102" s="4" t="n">
        <v/>
      </c>
      <c r="N102" s="4" t="n">
        <v>3117168512</v>
      </c>
      <c r="O102" s="4" t="inlineStr">
        <is>
          <t>mariana-2108@hotmail.com</t>
        </is>
      </c>
      <c r="P102" s="4" t="inlineStr">
        <is>
          <t>NEIVA SEDE</t>
        </is>
      </c>
      <c r="Q102" s="4" t="inlineStr">
        <is>
          <t>TRANSFORMACIÓN EMPRESARIAL</t>
        </is>
      </c>
      <c r="R102" s="4" t="n">
        <v/>
      </c>
    </row>
    <row r="103" ht="20" customHeight="1">
      <c r="A103" s="6" t="inlineStr">
        <is>
          <t>52311269</t>
        </is>
      </c>
      <c r="B103" s="7" t="inlineStr">
        <is>
          <t>PRESENCIAL BOGOTÁ</t>
        </is>
      </c>
      <c r="C103" s="7" t="inlineStr">
        <is>
          <t>ROCÍO CALENTURA PINILLA</t>
        </is>
      </c>
      <c r="D103" s="7" t="inlineStr">
        <is>
          <t>OPERACIONES</t>
        </is>
      </c>
      <c r="E103" s="7" t="inlineStr">
        <is>
          <t>REGIONAL BOGOTA</t>
        </is>
      </c>
      <c r="F103" s="7" t="inlineStr">
        <is>
          <t>BOGOTA CENTRO</t>
        </is>
      </c>
      <c r="G103" s="7" t="inlineStr">
        <is>
          <t>VIRTUAL</t>
        </is>
      </c>
      <c r="H103" s="7" t="inlineStr">
        <is>
          <t>DOC ASIS/N/V/TC/ADM DE EMPRE/FUN.ACADE-ADMIN</t>
        </is>
      </c>
      <c r="I103" s="7" t="inlineStr">
        <is>
          <t>ADMINISTRACION DE EMPRESAS</t>
        </is>
      </c>
      <c r="J103" s="7" t="inlineStr">
        <is>
          <t>PLANTA</t>
        </is>
      </c>
      <c r="K103" s="7" t="inlineStr">
        <is>
          <t>MARTHA SANCHEZ</t>
        </is>
      </c>
      <c r="L103" s="7" t="inlineStr">
        <is>
          <t>CONFIRMADO PRESENCIAL</t>
        </is>
      </c>
      <c r="M103" s="7" t="n">
        <v/>
      </c>
      <c r="N103" s="7" t="n">
        <v>3153217189</v>
      </c>
      <c r="O103" s="7" t="inlineStr">
        <is>
          <t>rocio_calentura@hotmail.com</t>
        </is>
      </c>
      <c r="P103" s="7" t="inlineStr">
        <is>
          <t>BTA SEDE A</t>
        </is>
      </c>
      <c r="Q103" s="7" t="inlineStr">
        <is>
          <t>TRANSFORMACIÓN EMPRESARIAL</t>
        </is>
      </c>
      <c r="R103" s="7" t="n">
        <v>300</v>
      </c>
    </row>
    <row r="104" ht="20" customHeight="1">
      <c r="A104" s="3" t="inlineStr">
        <is>
          <t>80241945</t>
        </is>
      </c>
      <c r="B104" s="4" t="inlineStr">
        <is>
          <t>PRESENCIAL BOGOTÁ</t>
        </is>
      </c>
      <c r="C104" s="4" t="inlineStr">
        <is>
          <t>WILLIAM FERNANDO ORBEGOZO ALBA</t>
        </is>
      </c>
      <c r="D104" s="4" t="inlineStr">
        <is>
          <t>OPERACIONES</t>
        </is>
      </c>
      <c r="E104" s="4" t="inlineStr">
        <is>
          <t>REGIONAL BOGOTA</t>
        </is>
      </c>
      <c r="F104" s="4" t="inlineStr">
        <is>
          <t>BOGOTA CENTRO</t>
        </is>
      </c>
      <c r="G104" s="4" t="inlineStr">
        <is>
          <t>PRESENCIAL</t>
        </is>
      </c>
      <c r="H104" s="4" t="inlineStr">
        <is>
          <t>DOCENTE ASIS/N/TC/ADM EMP/FUN.ACADE-ADMIN</t>
        </is>
      </c>
      <c r="I104" s="4" t="inlineStr">
        <is>
          <t>ADMINISTRACION DE EMPRESAS</t>
        </is>
      </c>
      <c r="J104" s="4" t="inlineStr">
        <is>
          <t>PLANTA</t>
        </is>
      </c>
      <c r="K104" s="4" t="inlineStr">
        <is>
          <t>MARTHA SANCHEZ</t>
        </is>
      </c>
      <c r="L104" s="4" t="inlineStr">
        <is>
          <t>CONFIRMADO PRESENCIAL</t>
        </is>
      </c>
      <c r="M104" s="4" t="n">
        <v/>
      </c>
      <c r="N104" s="4" t="n">
        <v>3132645146</v>
      </c>
      <c r="O104" s="4" t="inlineStr">
        <is>
          <t>william.orbegozo@gmail.com</t>
        </is>
      </c>
      <c r="P104" s="4" t="inlineStr">
        <is>
          <t>BTA SEDE D</t>
        </is>
      </c>
      <c r="Q104" s="4" t="inlineStr">
        <is>
          <t>TRANSFORMACIÓN EMPRESARIAL</t>
        </is>
      </c>
      <c r="R104" s="4" t="n">
        <v>300</v>
      </c>
    </row>
    <row r="105" ht="20" customHeight="1">
      <c r="A105" s="6" t="inlineStr">
        <is>
          <t>92545363</t>
        </is>
      </c>
      <c r="B105" s="7" t="inlineStr">
        <is>
          <t>PRESENCIAL REGIONAL</t>
        </is>
      </c>
      <c r="C105" s="7" t="inlineStr">
        <is>
          <t>JULIO ALEJANDRO NUÑEZ GUEVARA</t>
        </is>
      </c>
      <c r="D105" s="7" t="inlineStr">
        <is>
          <t>OPERACIONES</t>
        </is>
      </c>
      <c r="E105" s="7" t="inlineStr">
        <is>
          <t>REGIONAL SUCRE</t>
        </is>
      </c>
      <c r="F105" s="7" t="inlineStr">
        <is>
          <t>SINCELEJO</t>
        </is>
      </c>
      <c r="G105" s="7" t="inlineStr">
        <is>
          <t>PRESENCIAL</t>
        </is>
      </c>
      <c r="H105" s="7" t="inlineStr">
        <is>
          <t>DOCENTE AUX/N/TC/ADM EMP/FUN.ACADE-ADMIN</t>
        </is>
      </c>
      <c r="I105" s="7" t="inlineStr">
        <is>
          <t>ADMINISTRACION DE EMPRESAS</t>
        </is>
      </c>
      <c r="J105" s="7" t="inlineStr">
        <is>
          <t>PLANTA</t>
        </is>
      </c>
      <c r="K105" s="7" t="inlineStr">
        <is>
          <t>MARTHA SANCHEZ</t>
        </is>
      </c>
      <c r="L105" s="7" t="inlineStr">
        <is>
          <t>CONFIRMADO PRESENCIAL</t>
        </is>
      </c>
      <c r="M105" s="7" t="n">
        <v/>
      </c>
      <c r="N105" s="7" t="n">
        <v>3045649868</v>
      </c>
      <c r="O105" s="7" t="inlineStr">
        <is>
          <t>julioalejandronunez@gmail.com</t>
        </is>
      </c>
      <c r="P105" s="7" t="inlineStr">
        <is>
          <t>SINCELEJO SEDE</t>
        </is>
      </c>
      <c r="Q105" s="7" t="inlineStr">
        <is>
          <t>TRANSFORMACIÓN EMPRESARIAL</t>
        </is>
      </c>
      <c r="R105" s="7" t="n">
        <v/>
      </c>
    </row>
    <row r="106" ht="20" customHeight="1">
      <c r="A106" s="3" t="inlineStr">
        <is>
          <t>14139417</t>
        </is>
      </c>
      <c r="B106" s="4" t="inlineStr">
        <is>
          <t>PRESENCIAL REGIONAL</t>
        </is>
      </c>
      <c r="C106" s="4" t="inlineStr">
        <is>
          <t>CESAR AUGUSTO CUELLAR MUÑOZ</t>
        </is>
      </c>
      <c r="D106" s="4" t="inlineStr">
        <is>
          <t>OPERACIONES</t>
        </is>
      </c>
      <c r="E106" s="4" t="inlineStr">
        <is>
          <t>REGIONAL TOLIMA</t>
        </is>
      </c>
      <c r="F106" s="4" t="inlineStr">
        <is>
          <t>IBAGUÉ</t>
        </is>
      </c>
      <c r="G106" s="4" t="inlineStr">
        <is>
          <t>PRESENCIAL</t>
        </is>
      </c>
      <c r="H106" s="4" t="inlineStr">
        <is>
          <t>DOCENTE AUX/N/TC/ADM EMP/FUN.ACADE-ADMIN</t>
        </is>
      </c>
      <c r="I106" s="4" t="inlineStr">
        <is>
          <t>ADMINISTRACION DE EMPRESAS</t>
        </is>
      </c>
      <c r="J106" s="4" t="inlineStr">
        <is>
          <t>PLANTA</t>
        </is>
      </c>
      <c r="K106" s="4" t="inlineStr">
        <is>
          <t>MARTHA SANCHEZ</t>
        </is>
      </c>
      <c r="L106" s="4" t="inlineStr">
        <is>
          <t>SIN RESPUESTA</t>
        </is>
      </c>
      <c r="M106" s="4" t="inlineStr">
        <is>
          <t>no contesta</t>
        </is>
      </c>
      <c r="N106" s="4" t="n">
        <v>3212622943</v>
      </c>
      <c r="O106" s="4" t="inlineStr">
        <is>
          <t>cacm56@hotmail.com</t>
        </is>
      </c>
      <c r="P106" s="4" t="inlineStr">
        <is>
          <t>IBAGUE SEDE</t>
        </is>
      </c>
      <c r="Q106" s="4" t="inlineStr">
        <is>
          <t>TRANSFORMACIÓN EMPRESARIAL</t>
        </is>
      </c>
      <c r="R106" s="4" t="n">
        <v/>
      </c>
    </row>
    <row r="107" ht="20" customHeight="1">
      <c r="A107" s="6" t="inlineStr">
        <is>
          <t>52435589</t>
        </is>
      </c>
      <c r="B107" s="7" t="inlineStr">
        <is>
          <t>PRESENCIAL BOGOTÁ</t>
        </is>
      </c>
      <c r="C107" s="7" t="inlineStr">
        <is>
          <t>SANDRA MILENA MORENO GARCÍA</t>
        </is>
      </c>
      <c r="D107" s="7" t="inlineStr">
        <is>
          <t>OPERACIONES</t>
        </is>
      </c>
      <c r="E107" s="7" t="inlineStr">
        <is>
          <t>REGIONAL BOGOTA</t>
        </is>
      </c>
      <c r="F107" s="7" t="inlineStr">
        <is>
          <t>BOGOTA CENTRO</t>
        </is>
      </c>
      <c r="G107" s="7" t="inlineStr">
        <is>
          <t>PRESENCIAL</t>
        </is>
      </c>
      <c r="H107" s="7" t="inlineStr">
        <is>
          <t>DOCENTE AUX/N/TC/ADM EMP/FUN.ACADE-ADMIN</t>
        </is>
      </c>
      <c r="I107" s="7" t="inlineStr">
        <is>
          <t>ADMINISTRACION DE EMPRESAS</t>
        </is>
      </c>
      <c r="J107" s="7" t="inlineStr">
        <is>
          <t>PLANTA</t>
        </is>
      </c>
      <c r="K107" s="7" t="inlineStr">
        <is>
          <t>MARTHA SANCHEZ</t>
        </is>
      </c>
      <c r="L107" s="7" t="inlineStr">
        <is>
          <t>SIN RESPUESTA</t>
        </is>
      </c>
      <c r="M107" s="7" t="inlineStr">
        <is>
          <t>Número sin servicio</t>
        </is>
      </c>
      <c r="N107" s="7" t="n">
        <v>3153356706</v>
      </c>
      <c r="O107" s="7" t="inlineStr">
        <is>
          <t>morenogarciasandramilena1@gmail.com</t>
        </is>
      </c>
      <c r="P107" s="7" t="inlineStr">
        <is>
          <t>BTA SEDE D</t>
        </is>
      </c>
      <c r="Q107" s="7" t="inlineStr">
        <is>
          <t>TRANSFORMACIÓN EMPRESARIAL</t>
        </is>
      </c>
      <c r="R107" s="7" t="n">
        <v>300</v>
      </c>
    </row>
    <row r="108" ht="20" customHeight="1">
      <c r="A108" s="3" t="inlineStr">
        <is>
          <t>37014348</t>
        </is>
      </c>
      <c r="B108" s="4" t="inlineStr">
        <is>
          <t>VIRTUAL</t>
        </is>
      </c>
      <c r="C108" s="4" t="inlineStr">
        <is>
          <t>NANCY MARCELA BASTIDAS VIVAS</t>
        </is>
      </c>
      <c r="D108" s="4" t="inlineStr">
        <is>
          <t>OPERACIONES</t>
        </is>
      </c>
      <c r="E108" s="4" t="inlineStr">
        <is>
          <t>REGIONAL NARIÑO</t>
        </is>
      </c>
      <c r="F108" s="4" t="inlineStr">
        <is>
          <t>IPIALES</t>
        </is>
      </c>
      <c r="G108" s="4" t="inlineStr">
        <is>
          <t>PRESENCIAL</t>
        </is>
      </c>
      <c r="H108" s="4" t="inlineStr">
        <is>
          <t>DOCENTE ASIS/N/MT-ADM EM</t>
        </is>
      </c>
      <c r="I108" s="4" t="inlineStr">
        <is>
          <t>ADMINISTRACION DE EMPRESAS</t>
        </is>
      </c>
      <c r="J108" s="4" t="inlineStr">
        <is>
          <t>PLANTA</t>
        </is>
      </c>
      <c r="K108" s="4" t="inlineStr">
        <is>
          <t>MARTHA SANCHEZ</t>
        </is>
      </c>
      <c r="L108" s="4" t="inlineStr">
        <is>
          <t>CONFIRMADO VIRTUAL</t>
        </is>
      </c>
      <c r="M108" s="4" t="n">
        <v/>
      </c>
      <c r="N108" s="4" t="n">
        <v>3155418082</v>
      </c>
      <c r="O108" s="4" t="inlineStr">
        <is>
          <t>cpmarcelabv@gmail.com</t>
        </is>
      </c>
      <c r="P108" s="4" t="inlineStr">
        <is>
          <t>IPIALES SEDE</t>
        </is>
      </c>
      <c r="Q108" s="4" t="inlineStr">
        <is>
          <t>TRANSFORMACIÓN EMPRESARIAL</t>
        </is>
      </c>
      <c r="R108" s="4" t="n">
        <v/>
      </c>
    </row>
    <row r="109" ht="20" customHeight="1">
      <c r="A109" s="6" t="inlineStr">
        <is>
          <t>1067905069</t>
        </is>
      </c>
      <c r="B109" s="7" t="inlineStr">
        <is>
          <t>PRESENCIAL BOGOTÁ</t>
        </is>
      </c>
      <c r="C109" s="7" t="inlineStr">
        <is>
          <t>YUBELLIZ DAYANA ANGULO GALLEGO</t>
        </is>
      </c>
      <c r="D109" s="7" t="inlineStr">
        <is>
          <t>OPERACIONES</t>
        </is>
      </c>
      <c r="E109" s="7" t="inlineStr">
        <is>
          <t>REGIONAL BOGOTA</t>
        </is>
      </c>
      <c r="F109" s="7" t="inlineStr">
        <is>
          <t>BOGOTA CENTRO</t>
        </is>
      </c>
      <c r="G109" s="7" t="inlineStr">
        <is>
          <t>VIRTUAL</t>
        </is>
      </c>
      <c r="H109" s="7" t="inlineStr">
        <is>
          <t>DOC AUX/N/V/TC/ADM DE EMPRE/FUN.ACADE-ADMIN</t>
        </is>
      </c>
      <c r="I109" s="7" t="inlineStr">
        <is>
          <t>ADMINISTRACION DE EMPRESAS</t>
        </is>
      </c>
      <c r="J109" s="7" t="inlineStr">
        <is>
          <t>PLANTA</t>
        </is>
      </c>
      <c r="K109" s="7" t="inlineStr">
        <is>
          <t>MARTHA SANCHEZ</t>
        </is>
      </c>
      <c r="L109" s="7" t="inlineStr">
        <is>
          <t>SIN RESPUESTA</t>
        </is>
      </c>
      <c r="M109" s="7" t="inlineStr">
        <is>
          <t>No contesta</t>
        </is>
      </c>
      <c r="N109" s="7" t="n">
        <v>3207739493</v>
      </c>
      <c r="O109" s="7" t="inlineStr">
        <is>
          <t>DAYNAGALLEGO@GMAIL.COM</t>
        </is>
      </c>
      <c r="P109" s="7" t="inlineStr">
        <is>
          <t>BTA SEDE A</t>
        </is>
      </c>
      <c r="Q109" s="7" t="inlineStr">
        <is>
          <t>TRANSFORMACIÓN EMPRESARIAL</t>
        </is>
      </c>
      <c r="R109" s="7" t="n">
        <v>300</v>
      </c>
    </row>
    <row r="110" ht="20" customHeight="1">
      <c r="A110" s="3" t="inlineStr">
        <is>
          <t>1032502487</t>
        </is>
      </c>
      <c r="B110" s="4" t="inlineStr">
        <is>
          <t>PRESENCIAL BOGOTÁ</t>
        </is>
      </c>
      <c r="C110" s="4" t="inlineStr">
        <is>
          <t>JESICA MARCELA MORALES CENTENO</t>
        </is>
      </c>
      <c r="D110" s="4" t="inlineStr">
        <is>
          <t>OPERACIONES</t>
        </is>
      </c>
      <c r="E110" s="4" t="inlineStr">
        <is>
          <t>REGIONAL BOGOTA</t>
        </is>
      </c>
      <c r="F110" s="4" t="inlineStr">
        <is>
          <t>BOGOTA CENTRO</t>
        </is>
      </c>
      <c r="G110" s="4" t="inlineStr">
        <is>
          <t>VIRTUAL</t>
        </is>
      </c>
      <c r="H110" s="4" t="inlineStr">
        <is>
          <t>DOC AUX T&amp;T/N/V/TC/ADM EMP AGROIN/FUN.ACADE-ADMIN</t>
        </is>
      </c>
      <c r="I110" s="4" t="inlineStr">
        <is>
          <t>ADMINISTRACION DE EMPRESAS</t>
        </is>
      </c>
      <c r="J110" s="4" t="inlineStr">
        <is>
          <t>PLANTA</t>
        </is>
      </c>
      <c r="K110" s="4" t="inlineStr">
        <is>
          <t>MARTHA SANCHEZ</t>
        </is>
      </c>
      <c r="L110" s="4" t="inlineStr">
        <is>
          <t>SIN RESPUESTA</t>
        </is>
      </c>
      <c r="M110" s="4" t="inlineStr">
        <is>
          <t>No contesta</t>
        </is>
      </c>
      <c r="N110" s="4" t="n">
        <v>3136224331</v>
      </c>
      <c r="O110" s="4" t="inlineStr">
        <is>
          <t>jesica.marcela21@gmail.com</t>
        </is>
      </c>
      <c r="P110" s="4" t="inlineStr">
        <is>
          <t>BTA SEDE A</t>
        </is>
      </c>
      <c r="Q110" s="4" t="inlineStr">
        <is>
          <t>TRANSFORMACIÓN EMPRESARIAL</t>
        </is>
      </c>
      <c r="R110" s="4" t="n">
        <v>300</v>
      </c>
    </row>
    <row r="111" ht="20" customHeight="1">
      <c r="A111" s="6" t="inlineStr">
        <is>
          <t>1070972286</t>
        </is>
      </c>
      <c r="B111" s="7" t="inlineStr">
        <is>
          <t>PRESENCIAL BOGOTÁ</t>
        </is>
      </c>
      <c r="C111" s="7" t="inlineStr">
        <is>
          <t>WILLMAN DAVID CORTES DIAZ</t>
        </is>
      </c>
      <c r="D111" s="7" t="inlineStr">
        <is>
          <t>OPERACIONES</t>
        </is>
      </c>
      <c r="E111" s="7" t="inlineStr">
        <is>
          <t>REGIONAL BOGOTA</t>
        </is>
      </c>
      <c r="F111" s="7" t="inlineStr">
        <is>
          <t>BOGOTA CENTRO</t>
        </is>
      </c>
      <c r="G111" s="7" t="inlineStr">
        <is>
          <t>VIRTUAL</t>
        </is>
      </c>
      <c r="H111" s="7" t="inlineStr">
        <is>
          <t>DOC AUX/N/V/TC/ADM DE EMPRE/FUN.ACADE-ADMIN</t>
        </is>
      </c>
      <c r="I111" s="7" t="inlineStr">
        <is>
          <t>ADMINISTRACION DE EMPRESAS</t>
        </is>
      </c>
      <c r="J111" s="7" t="inlineStr">
        <is>
          <t>PLANTA</t>
        </is>
      </c>
      <c r="K111" s="7" t="inlineStr">
        <is>
          <t>MARTHA SANCHEZ</t>
        </is>
      </c>
      <c r="L111" s="7" t="inlineStr">
        <is>
          <t>CONFIRMADO PRESENCIAL</t>
        </is>
      </c>
      <c r="M111" s="7" t="n">
        <v/>
      </c>
      <c r="N111" s="7" t="n">
        <v>3136626003</v>
      </c>
      <c r="O111" s="7" t="inlineStr">
        <is>
          <t>davidcortesdiaz60@gmail.com</t>
        </is>
      </c>
      <c r="P111" s="7" t="inlineStr">
        <is>
          <t>BTA SEDE A</t>
        </is>
      </c>
      <c r="Q111" s="7" t="inlineStr">
        <is>
          <t>TRANSFORMACIÓN EMPRESARIAL</t>
        </is>
      </c>
      <c r="R111" s="7" t="n">
        <v>300</v>
      </c>
    </row>
    <row r="112" ht="20" customHeight="1">
      <c r="A112" s="3" t="inlineStr">
        <is>
          <t>1098674380</t>
        </is>
      </c>
      <c r="B112" s="4" t="inlineStr">
        <is>
          <t>PRESENCIAL BOGOTÁ</t>
        </is>
      </c>
      <c r="C112" s="4" t="inlineStr">
        <is>
          <t>LAURA VANESSA SAENZ GONZALEZ</t>
        </is>
      </c>
      <c r="D112" s="4" t="inlineStr">
        <is>
          <t>OPERACIONES</t>
        </is>
      </c>
      <c r="E112" s="4" t="inlineStr">
        <is>
          <t>REGIONAL BOGOTA</t>
        </is>
      </c>
      <c r="F112" s="4" t="inlineStr">
        <is>
          <t>BOGOTA CENTRO</t>
        </is>
      </c>
      <c r="G112" s="4" t="inlineStr">
        <is>
          <t>PRESENCIAL</t>
        </is>
      </c>
      <c r="H112" s="4" t="inlineStr">
        <is>
          <t>DOCENTE ASIS/N/TC/ADM EMP/PROYECCION SOC</t>
        </is>
      </c>
      <c r="I112" s="4" t="inlineStr">
        <is>
          <t>ADMINISTRACION DE EMPRESAS</t>
        </is>
      </c>
      <c r="J112" s="4" t="inlineStr">
        <is>
          <t>PLANTA</t>
        </is>
      </c>
      <c r="K112" s="4" t="inlineStr">
        <is>
          <t>MARTHA SANCHEZ</t>
        </is>
      </c>
      <c r="L112" s="4" t="inlineStr">
        <is>
          <t>CONFIRMADO PRESENCIAL</t>
        </is>
      </c>
      <c r="M112" s="4" t="n">
        <v/>
      </c>
      <c r="N112" s="4" t="n">
        <v>3108580216</v>
      </c>
      <c r="O112" s="4" t="inlineStr">
        <is>
          <t>lauvanesaenz@hotmail.com</t>
        </is>
      </c>
      <c r="P112" s="4" t="inlineStr">
        <is>
          <t>BTA SEDE D</t>
        </is>
      </c>
      <c r="Q112" s="4" t="inlineStr">
        <is>
          <t>TRANSFORMACIÓN EMPRESARIAL</t>
        </is>
      </c>
      <c r="R112" s="4" t="n">
        <v>300</v>
      </c>
    </row>
    <row r="113" ht="20" customHeight="1">
      <c r="A113" s="6" t="inlineStr">
        <is>
          <t>64568378</t>
        </is>
      </c>
      <c r="B113" s="7" t="inlineStr">
        <is>
          <t>PRESENCIAL REGIONAL</t>
        </is>
      </c>
      <c r="C113" s="7" t="inlineStr">
        <is>
          <t>DIANA ESTHER ALVAREZ CONTRERAS</t>
        </is>
      </c>
      <c r="D113" s="7" t="inlineStr">
        <is>
          <t>OPERACIONES</t>
        </is>
      </c>
      <c r="E113" s="7" t="inlineStr">
        <is>
          <t>REGIONAL SUCRE</t>
        </is>
      </c>
      <c r="F113" s="7" t="inlineStr">
        <is>
          <t>SINCELEJO</t>
        </is>
      </c>
      <c r="G113" s="7" t="inlineStr">
        <is>
          <t>PRESENCIAL</t>
        </is>
      </c>
      <c r="H113" s="7" t="inlineStr">
        <is>
          <t>DOCENTE ASOC/N/TC/ADM EMP/INVESTIGACIONE</t>
        </is>
      </c>
      <c r="I113" s="7" t="inlineStr">
        <is>
          <t>ADMINISTRACION DE EMPRESAS</t>
        </is>
      </c>
      <c r="J113" s="7" t="inlineStr">
        <is>
          <t>PLANTA</t>
        </is>
      </c>
      <c r="K113" s="7" t="inlineStr">
        <is>
          <t>MARTHA SANCHEZ</t>
        </is>
      </c>
      <c r="L113" s="7" t="inlineStr">
        <is>
          <t>SIN RESPUESTA</t>
        </is>
      </c>
      <c r="M113" s="7" t="inlineStr">
        <is>
          <t>no contesta</t>
        </is>
      </c>
      <c r="N113" s="7" t="n">
        <v>3046823736</v>
      </c>
      <c r="O113" s="7" t="inlineStr">
        <is>
          <t>dianaalvarezc@yahoo.es</t>
        </is>
      </c>
      <c r="P113" s="7" t="inlineStr">
        <is>
          <t>SINCELEJO SEDE</t>
        </is>
      </c>
      <c r="Q113" s="7" t="inlineStr">
        <is>
          <t>TRANSFORMACIÓN EMPRESARIAL</t>
        </is>
      </c>
      <c r="R113" s="7" t="n">
        <v/>
      </c>
    </row>
    <row r="114" ht="20" customHeight="1">
      <c r="A114" s="3" t="inlineStr">
        <is>
          <t>92534187</t>
        </is>
      </c>
      <c r="B114" s="4" t="inlineStr">
        <is>
          <t>PRESENCIAL REGIONAL</t>
        </is>
      </c>
      <c r="C114" s="4" t="inlineStr">
        <is>
          <t>ANIBAL JOSE LOPEZ FUNEZ</t>
        </is>
      </c>
      <c r="D114" s="4" t="inlineStr">
        <is>
          <t>OPERACIONES</t>
        </is>
      </c>
      <c r="E114" s="4" t="inlineStr">
        <is>
          <t>REGIONAL SUCRE</t>
        </is>
      </c>
      <c r="F114" s="4" t="inlineStr">
        <is>
          <t>SINCELEJO</t>
        </is>
      </c>
      <c r="G114" s="4" t="inlineStr">
        <is>
          <t>PRESENCIAL</t>
        </is>
      </c>
      <c r="H114" s="4" t="inlineStr">
        <is>
          <t>DOCENTE AUX/N/TC/ADM EMP/PROYECCION SOCI</t>
        </is>
      </c>
      <c r="I114" s="4" t="inlineStr">
        <is>
          <t>ADMINISTRACION DE EMPRESAS</t>
        </is>
      </c>
      <c r="J114" s="4" t="inlineStr">
        <is>
          <t>PLANTA</t>
        </is>
      </c>
      <c r="K114" s="4" t="inlineStr">
        <is>
          <t>MARTHA SANCHEZ</t>
        </is>
      </c>
      <c r="L114" s="4" t="inlineStr">
        <is>
          <t>SIN RESPUESTA</t>
        </is>
      </c>
      <c r="M114" s="4" t="inlineStr">
        <is>
          <t>no contesta</t>
        </is>
      </c>
      <c r="N114" s="4" t="n">
        <v>3013363436</v>
      </c>
      <c r="O114" s="4" t="inlineStr">
        <is>
          <t>cunsjbienestar@hotmail.com</t>
        </is>
      </c>
      <c r="P114" s="4" t="inlineStr">
        <is>
          <t>SINCELEJO SEDE</t>
        </is>
      </c>
      <c r="Q114" s="4" t="inlineStr">
        <is>
          <t>TRANSFORMACIÓN EMPRESARIAL</t>
        </is>
      </c>
      <c r="R114" s="4" t="n">
        <v/>
      </c>
    </row>
    <row r="115" ht="20" customHeight="1">
      <c r="A115" s="6" t="inlineStr">
        <is>
          <t>5206614</t>
        </is>
      </c>
      <c r="B115" s="7" t="inlineStr">
        <is>
          <t>VIRTUAL</t>
        </is>
      </c>
      <c r="C115" s="7" t="inlineStr">
        <is>
          <t>GUILLERMO ANDRES MEJIA ROSERO</t>
        </is>
      </c>
      <c r="D115" s="7" t="inlineStr">
        <is>
          <t>OPERACIONES</t>
        </is>
      </c>
      <c r="E115" s="7" t="inlineStr">
        <is>
          <t>REGIONAL NARIÑO</t>
        </is>
      </c>
      <c r="F115" s="7" t="inlineStr">
        <is>
          <t>PASTO</t>
        </is>
      </c>
      <c r="G115" s="7" t="inlineStr">
        <is>
          <t>VIRTUAL</t>
        </is>
      </c>
      <c r="H115" s="7" t="inlineStr">
        <is>
          <t>DOC AUX/N/V/TC/ADM DE EMPRE/FUN.ACADE-ADMIN</t>
        </is>
      </c>
      <c r="I115" s="7" t="inlineStr">
        <is>
          <t>ADMINISTRACION DE EMPRESAS</t>
        </is>
      </c>
      <c r="J115" s="7" t="inlineStr">
        <is>
          <t>PLANTA</t>
        </is>
      </c>
      <c r="K115" s="7" t="inlineStr">
        <is>
          <t>MARTHA SANCHEZ</t>
        </is>
      </c>
      <c r="L115" s="7" t="inlineStr">
        <is>
          <t>CONFIRMADO VIRTUAL</t>
        </is>
      </c>
      <c r="M115" s="7" t="n">
        <v/>
      </c>
      <c r="N115" s="7" t="n">
        <v>3154593504</v>
      </c>
      <c r="O115" s="7" t="inlineStr">
        <is>
          <t>GUILLERMO.AMR@GMAIL.COM</t>
        </is>
      </c>
      <c r="P115" s="7" t="inlineStr">
        <is>
          <t>PASTO SEDE</t>
        </is>
      </c>
      <c r="Q115" s="7" t="inlineStr">
        <is>
          <t>TRANSFORMACIÓN EMPRESARIAL</t>
        </is>
      </c>
      <c r="R115" s="7" t="n">
        <v/>
      </c>
    </row>
    <row r="116" ht="20" customHeight="1">
      <c r="A116" s="3" t="inlineStr">
        <is>
          <t>79686588</t>
        </is>
      </c>
      <c r="B116" s="4" t="inlineStr">
        <is>
          <t>PRESENCIAL BOGOTÁ</t>
        </is>
      </c>
      <c r="C116" s="4" t="inlineStr">
        <is>
          <t>CARLOS DARIO MORALES CARVAJALINO</t>
        </is>
      </c>
      <c r="D116" s="4" t="inlineStr">
        <is>
          <t>OPERACIONES</t>
        </is>
      </c>
      <c r="E116" s="4" t="inlineStr">
        <is>
          <t>REGIONAL BOGOTA</t>
        </is>
      </c>
      <c r="F116" s="4" t="inlineStr">
        <is>
          <t>BOGOTA CENTRO</t>
        </is>
      </c>
      <c r="G116" s="4" t="inlineStr">
        <is>
          <t>PRESENCIAL</t>
        </is>
      </c>
      <c r="H116" s="4" t="inlineStr">
        <is>
          <t>DOCENTE ASIS/N/TC/ADM EMP/FUNC ADJET</t>
        </is>
      </c>
      <c r="I116" s="4" t="inlineStr">
        <is>
          <t>ADMINISTRACION DE EMPRESAS</t>
        </is>
      </c>
      <c r="J116" s="4" t="inlineStr">
        <is>
          <t>PLANTA</t>
        </is>
      </c>
      <c r="K116" s="4" t="inlineStr">
        <is>
          <t>MARTHA SANCHEZ</t>
        </is>
      </c>
      <c r="L116" s="4" t="inlineStr">
        <is>
          <t>CONFIRMADO PRESENCIAL</t>
        </is>
      </c>
      <c r="M116" s="4" t="n">
        <v/>
      </c>
      <c r="N116" s="4" t="n">
        <v>3143532008</v>
      </c>
      <c r="O116" s="4" t="inlineStr">
        <is>
          <t>carlosdario_morales1975@hotmail.com</t>
        </is>
      </c>
      <c r="P116" s="4" t="inlineStr">
        <is>
          <t>BTA SEDE D</t>
        </is>
      </c>
      <c r="Q116" s="4" t="inlineStr">
        <is>
          <t>TRANSFORMACIÓN EMPRESARIAL</t>
        </is>
      </c>
      <c r="R116" s="4" t="n">
        <v>300</v>
      </c>
    </row>
    <row r="117" ht="20" customHeight="1">
      <c r="A117" s="6" t="inlineStr">
        <is>
          <t>84006296</t>
        </is>
      </c>
      <c r="B117" s="7" t="inlineStr">
        <is>
          <t>PRESENCIAL BOGOTÁ</t>
        </is>
      </c>
      <c r="C117" s="7" t="inlineStr">
        <is>
          <t>ALDO SIMON BRITO CARRILLO</t>
        </is>
      </c>
      <c r="D117" s="7" t="inlineStr">
        <is>
          <t>OPERACIONES</t>
        </is>
      </c>
      <c r="E117" s="7" t="inlineStr">
        <is>
          <t>REGIONAL BOGOTA</t>
        </is>
      </c>
      <c r="F117" s="7" t="inlineStr">
        <is>
          <t>BOGOTA CENTRO</t>
        </is>
      </c>
      <c r="G117" s="7" t="inlineStr">
        <is>
          <t>PRESENCIAL</t>
        </is>
      </c>
      <c r="H117" s="7" t="inlineStr">
        <is>
          <t>DOCENTE ASIS/N/TC/ADM EMP/FUN.ACADE-ADMIN</t>
        </is>
      </c>
      <c r="I117" s="7" t="inlineStr">
        <is>
          <t>ADMINISTRACION DE EMPRESAS</t>
        </is>
      </c>
      <c r="J117" s="7" t="inlineStr">
        <is>
          <t>PLANTA</t>
        </is>
      </c>
      <c r="K117" s="7" t="inlineStr">
        <is>
          <t>MARTHA SANCHEZ</t>
        </is>
      </c>
      <c r="L117" s="7" t="inlineStr">
        <is>
          <t>CONFIRMADO PRESENCIAL</t>
        </is>
      </c>
      <c r="M117" s="7" t="n">
        <v/>
      </c>
      <c r="N117" s="7" t="n">
        <v>3142704837</v>
      </c>
      <c r="O117" s="7" t="inlineStr">
        <is>
          <t>aldo1simo_asbc@yahoo.es</t>
        </is>
      </c>
      <c r="P117" s="7" t="inlineStr">
        <is>
          <t>BTA SEDE D</t>
        </is>
      </c>
      <c r="Q117" s="7" t="inlineStr">
        <is>
          <t>TRANSFORMACIÓN EMPRESARIAL</t>
        </is>
      </c>
      <c r="R117" s="7" t="n">
        <v>300</v>
      </c>
    </row>
    <row r="118" ht="20" customHeight="1">
      <c r="A118" s="3" t="inlineStr">
        <is>
          <t>1075658839</t>
        </is>
      </c>
      <c r="B118" s="4" t="inlineStr">
        <is>
          <t>PRESENCIAL REGIONAL</t>
        </is>
      </c>
      <c r="C118" s="4" t="inlineStr">
        <is>
          <t>CAROLINA RODRIGUEZ SALAS</t>
        </is>
      </c>
      <c r="D118" s="4" t="inlineStr">
        <is>
          <t>OPERACIONES</t>
        </is>
      </c>
      <c r="E118" s="4" t="inlineStr">
        <is>
          <t>REGIONAL ATLANTICO</t>
        </is>
      </c>
      <c r="F118" s="4" t="inlineStr">
        <is>
          <t>BARRANQUILLA</t>
        </is>
      </c>
      <c r="G118" s="4" t="inlineStr">
        <is>
          <t>VIRTUAL</t>
        </is>
      </c>
      <c r="H118" s="4" t="inlineStr">
        <is>
          <t>DOC AUX/N/V/TC/ADM DE EMPRE/FUN.ACADE-ADMIN</t>
        </is>
      </c>
      <c r="I118" s="4" t="inlineStr">
        <is>
          <t>ADMINISTRACION DE EMPRESAS</t>
        </is>
      </c>
      <c r="J118" s="4" t="inlineStr">
        <is>
          <t>PLANTA</t>
        </is>
      </c>
      <c r="K118" s="4" t="inlineStr">
        <is>
          <t>MARTHA SANCHEZ</t>
        </is>
      </c>
      <c r="L118" s="4" t="inlineStr">
        <is>
          <t>SIN RESPUESTA</t>
        </is>
      </c>
      <c r="M118" s="4" t="inlineStr">
        <is>
          <t>Fuera de servicio</t>
        </is>
      </c>
      <c r="N118" s="4" t="n">
        <v>3123948580</v>
      </c>
      <c r="O118" s="4" t="inlineStr">
        <is>
          <t>carolinarosa32@gmail.com</t>
        </is>
      </c>
      <c r="P118" s="4" t="inlineStr">
        <is>
          <t>BQUILLA SEDE</t>
        </is>
      </c>
      <c r="Q118" s="4" t="inlineStr">
        <is>
          <t>TRANSFORMACIÓN EMPRESARIAL</t>
        </is>
      </c>
      <c r="R118" s="4" t="n">
        <v/>
      </c>
    </row>
    <row r="119" ht="20" customHeight="1">
      <c r="A119" s="6" t="inlineStr">
        <is>
          <t>55300676</t>
        </is>
      </c>
      <c r="B119" s="7" t="inlineStr">
        <is>
          <t>VIRTUAL</t>
        </is>
      </c>
      <c r="C119" s="7" t="inlineStr">
        <is>
          <t>JESSICA FABIOLA LAFAURIE GARCIA</t>
        </is>
      </c>
      <c r="D119" s="7" t="inlineStr">
        <is>
          <t>OPERACIONES</t>
        </is>
      </c>
      <c r="E119" s="7" t="inlineStr">
        <is>
          <t>REGIONAL MAGDALENA</t>
        </is>
      </c>
      <c r="F119" s="7" t="inlineStr">
        <is>
          <t>SANTA MARTA</t>
        </is>
      </c>
      <c r="G119" s="7" t="inlineStr">
        <is>
          <t>PRESENCIAL</t>
        </is>
      </c>
      <c r="H119" s="7" t="inlineStr">
        <is>
          <t>DOC AUX T&amp;T/N/TC/ADM EMP/FUN.ACADE-ADMIN</t>
        </is>
      </c>
      <c r="I119" s="7" t="inlineStr">
        <is>
          <t>ADMINISTRACION DE EMPRESAS</t>
        </is>
      </c>
      <c r="J119" s="7" t="inlineStr">
        <is>
          <t>PLANTA</t>
        </is>
      </c>
      <c r="K119" s="7" t="inlineStr">
        <is>
          <t>MARTHA SANCHEZ</t>
        </is>
      </c>
      <c r="L119" s="7" t="inlineStr">
        <is>
          <t>CONFIRMADO VIRTUAL</t>
        </is>
      </c>
      <c r="M119" s="7" t="inlineStr">
        <is>
          <t xml:space="preserve">Santa Marta </t>
        </is>
      </c>
      <c r="N119" s="7" t="n">
        <v>3012062316</v>
      </c>
      <c r="O119" s="7" t="inlineStr">
        <is>
          <t>jessica.lafaurie.garcia@gmail.com</t>
        </is>
      </c>
      <c r="P119" s="7" t="inlineStr">
        <is>
          <t>SANTA MARTA SEDE</t>
        </is>
      </c>
      <c r="Q119" s="7" t="inlineStr">
        <is>
          <t>TRANSFORMACIÓN EMPRESARIAL</t>
        </is>
      </c>
      <c r="R119" s="7" t="n">
        <v/>
      </c>
    </row>
    <row r="120" ht="20" customHeight="1">
      <c r="A120" s="3" t="inlineStr">
        <is>
          <t>79611219</t>
        </is>
      </c>
      <c r="B120" s="4" t="inlineStr">
        <is>
          <t>PRESENCIAL BOGOTÁ</t>
        </is>
      </c>
      <c r="C120" s="4" t="inlineStr">
        <is>
          <t>GABINO ROSAS MARTINEZ</t>
        </is>
      </c>
      <c r="D120" s="4" t="inlineStr">
        <is>
          <t>OPERACIONES</t>
        </is>
      </c>
      <c r="E120" s="4" t="inlineStr">
        <is>
          <t>REGIONAL BOGOTA</t>
        </is>
      </c>
      <c r="F120" s="4" t="inlineStr">
        <is>
          <t>BOGOTA RESTREPO</t>
        </is>
      </c>
      <c r="G120" s="4" t="inlineStr">
        <is>
          <t>PRESENCIAL</t>
        </is>
      </c>
      <c r="H120" s="4" t="inlineStr">
        <is>
          <t>DOCENTE ASIS/N/TC/ADM EMP/FUN.ACADE-ADMIN</t>
        </is>
      </c>
      <c r="I120" s="4" t="inlineStr">
        <is>
          <t>ADMINISTRACION DE EMPRESAS</t>
        </is>
      </c>
      <c r="J120" s="4" t="inlineStr">
        <is>
          <t>PLANTA</t>
        </is>
      </c>
      <c r="K120" s="4" t="inlineStr">
        <is>
          <t>MARTHA SANCHEZ</t>
        </is>
      </c>
      <c r="L120" s="4" t="inlineStr">
        <is>
          <t>CONFIRMADO PRESENCIAL</t>
        </is>
      </c>
      <c r="M120" s="4" t="n">
        <v/>
      </c>
      <c r="N120" s="4" t="n">
        <v>3115710966</v>
      </c>
      <c r="O120" s="4" t="inlineStr">
        <is>
          <t>gabino.rosas17@gmail.com</t>
        </is>
      </c>
      <c r="P120" s="4" t="inlineStr">
        <is>
          <t>BTA SEDE RESTREPO</t>
        </is>
      </c>
      <c r="Q120" s="4" t="inlineStr">
        <is>
          <t>TRANSFORMACIÓN EMPRESARIAL</t>
        </is>
      </c>
      <c r="R120" s="4" t="n">
        <v>300</v>
      </c>
    </row>
    <row r="121" ht="20" customHeight="1">
      <c r="A121" s="6" t="inlineStr">
        <is>
          <t>79683559</t>
        </is>
      </c>
      <c r="B121" s="7" t="inlineStr">
        <is>
          <t>PRESENCIAL BOGOTÁ</t>
        </is>
      </c>
      <c r="C121" s="7" t="inlineStr">
        <is>
          <t>JORGE ENRIQUE SANTOS VELANDIA</t>
        </is>
      </c>
      <c r="D121" s="7" t="inlineStr">
        <is>
          <t>OPERACIONES</t>
        </is>
      </c>
      <c r="E121" s="7" t="inlineStr">
        <is>
          <t>REGIONAL BOGOTA</t>
        </is>
      </c>
      <c r="F121" s="7" t="inlineStr">
        <is>
          <t>BOGOTA CENTRO</t>
        </is>
      </c>
      <c r="G121" s="7" t="inlineStr">
        <is>
          <t>PRESENCIAL</t>
        </is>
      </c>
      <c r="H121" s="7" t="inlineStr">
        <is>
          <t>DOCENTE ASIS/N/TC/ADM EMP/FUNC ADJET</t>
        </is>
      </c>
      <c r="I121" s="7" t="inlineStr">
        <is>
          <t>ADMINISTRACION DE EMPRESAS</t>
        </is>
      </c>
      <c r="J121" s="7" t="inlineStr">
        <is>
          <t>PLANTA</t>
        </is>
      </c>
      <c r="K121" s="7" t="inlineStr">
        <is>
          <t>MARTHA SANCHEZ</t>
        </is>
      </c>
      <c r="L121" s="7" t="inlineStr">
        <is>
          <t>CONFIRMADO PRESENCIAL</t>
        </is>
      </c>
      <c r="M121" s="7" t="n">
        <v/>
      </c>
      <c r="N121" s="7" t="n">
        <v>3178493077</v>
      </c>
      <c r="O121" s="7" t="inlineStr">
        <is>
          <t>jorgeesantosv@gmail.com</t>
        </is>
      </c>
      <c r="P121" s="7" t="inlineStr">
        <is>
          <t>BTA SEDE D</t>
        </is>
      </c>
      <c r="Q121" s="7" t="inlineStr">
        <is>
          <t>TRANSFORMACIÓN EMPRESARIAL</t>
        </is>
      </c>
      <c r="R121" s="7" t="n">
        <v>300</v>
      </c>
    </row>
    <row r="122" ht="20" customHeight="1">
      <c r="A122" s="3" t="inlineStr">
        <is>
          <t>1082978773</t>
        </is>
      </c>
      <c r="B122" s="4" t="inlineStr">
        <is>
          <t>VIRTUAL</t>
        </is>
      </c>
      <c r="C122" s="4" t="inlineStr">
        <is>
          <t>ELVA MARIA CABANA OLIVELLA</t>
        </is>
      </c>
      <c r="D122" s="4" t="inlineStr">
        <is>
          <t>OPERACIONES</t>
        </is>
      </c>
      <c r="E122" s="4" t="inlineStr">
        <is>
          <t>REGIONAL MAGDALENA</t>
        </is>
      </c>
      <c r="F122" s="4" t="inlineStr">
        <is>
          <t>SANTA MARTA</t>
        </is>
      </c>
      <c r="G122" s="4" t="inlineStr">
        <is>
          <t>PRESENCIAL</t>
        </is>
      </c>
      <c r="H122" s="4" t="inlineStr">
        <is>
          <t>DOCENTE AUX/N/TC/ADM EMP/FUN.ACADE-ADMIN</t>
        </is>
      </c>
      <c r="I122" s="4" t="inlineStr">
        <is>
          <t>ADMINISTRACION DE EMPRESAS</t>
        </is>
      </c>
      <c r="J122" s="4" t="inlineStr">
        <is>
          <t>PLANTA</t>
        </is>
      </c>
      <c r="K122" s="4" t="inlineStr">
        <is>
          <t>MARTHA SANCHEZ</t>
        </is>
      </c>
      <c r="L122" s="4" t="n">
        <v/>
      </c>
      <c r="M122" s="4" t="inlineStr">
        <is>
          <t xml:space="preserve">Santa Marta </t>
        </is>
      </c>
      <c r="N122" s="4" t="n">
        <v>3165379272</v>
      </c>
      <c r="O122" s="4" t="inlineStr">
        <is>
          <t>elvakbana@gmail.com</t>
        </is>
      </c>
      <c r="P122" s="4" t="inlineStr">
        <is>
          <t>SANTA MARTA SEDE</t>
        </is>
      </c>
      <c r="Q122" s="4" t="inlineStr">
        <is>
          <t>TRANSFORMACIÓN EMPRESARIAL</t>
        </is>
      </c>
      <c r="R122" s="4" t="n">
        <v/>
      </c>
    </row>
    <row r="123" ht="20" customHeight="1">
      <c r="A123" s="6" t="inlineStr">
        <is>
          <t>53139022</t>
        </is>
      </c>
      <c r="B123" s="7" t="inlineStr">
        <is>
          <t>PRESENCIAL BOGOTÁ</t>
        </is>
      </c>
      <c r="C123" s="7" t="inlineStr">
        <is>
          <t>YENI PATRICIA BORDA ALVAREZ</t>
        </is>
      </c>
      <c r="D123" s="7" t="inlineStr">
        <is>
          <t>OPERACIONES</t>
        </is>
      </c>
      <c r="E123" s="7" t="inlineStr">
        <is>
          <t>REGIONAL BOGOTA</t>
        </is>
      </c>
      <c r="F123" s="7" t="inlineStr">
        <is>
          <t>BOGOTA CENTRO</t>
        </is>
      </c>
      <c r="G123" s="7" t="inlineStr">
        <is>
          <t>PRESENCIAL</t>
        </is>
      </c>
      <c r="H123" s="7" t="inlineStr">
        <is>
          <t>DOCENTE ASIS/N/TC/ADM EMP/FUN.ACADE-ADMIN</t>
        </is>
      </c>
      <c r="I123" s="7" t="inlineStr">
        <is>
          <t>ADMINISTRACION DE EMPRESAS</t>
        </is>
      </c>
      <c r="J123" s="7" t="inlineStr">
        <is>
          <t>PLANTA</t>
        </is>
      </c>
      <c r="K123" s="7" t="inlineStr">
        <is>
          <t>MARTHA SANCHEZ</t>
        </is>
      </c>
      <c r="L123" s="7" t="inlineStr">
        <is>
          <t>CONFIRMADO PRESENCIAL</t>
        </is>
      </c>
      <c r="M123" s="7" t="n">
        <v/>
      </c>
      <c r="N123" s="7" t="n">
        <v>3114499164</v>
      </c>
      <c r="O123" s="7" t="inlineStr">
        <is>
          <t>yenipborda@gmail.com</t>
        </is>
      </c>
      <c r="P123" s="7" t="inlineStr">
        <is>
          <t>BTA SEDE D</t>
        </is>
      </c>
      <c r="Q123" s="7" t="inlineStr">
        <is>
          <t>TRANSFORMACIÓN EMPRESARIAL</t>
        </is>
      </c>
      <c r="R123" s="7" t="n">
        <v>300</v>
      </c>
    </row>
    <row r="124" ht="20" customHeight="1">
      <c r="A124" s="3" t="inlineStr">
        <is>
          <t>1032373511</t>
        </is>
      </c>
      <c r="B124" s="4" t="inlineStr">
        <is>
          <t>PRESENCIAL BOGOTÁ</t>
        </is>
      </c>
      <c r="C124" s="4" t="inlineStr">
        <is>
          <t>IVÁN LEONARDO ABRIL CORREDOR</t>
        </is>
      </c>
      <c r="D124" s="4" t="inlineStr">
        <is>
          <t>OPERACIONES</t>
        </is>
      </c>
      <c r="E124" s="4" t="inlineStr">
        <is>
          <t>REGIONAL CUNDINAMARCA</t>
        </is>
      </c>
      <c r="F124" s="4" t="inlineStr">
        <is>
          <t>CHÍA</t>
        </is>
      </c>
      <c r="G124" s="4" t="inlineStr">
        <is>
          <t>VIRTUAL</t>
        </is>
      </c>
      <c r="H124" s="4" t="inlineStr">
        <is>
          <t>DOC AUX/N/V/TC/ADM DE EMPRE/FUN.ACADE-ADMIN</t>
        </is>
      </c>
      <c r="I124" s="4" t="inlineStr">
        <is>
          <t>ADMINISTRACION DE EMPRESAS</t>
        </is>
      </c>
      <c r="J124" s="4" t="inlineStr">
        <is>
          <t>PLANTA</t>
        </is>
      </c>
      <c r="K124" s="4" t="inlineStr">
        <is>
          <t>MARTHA SANCHEZ</t>
        </is>
      </c>
      <c r="L124" s="4" t="inlineStr">
        <is>
          <t>CONFIRMADO PRESENCIAL</t>
        </is>
      </c>
      <c r="M124" s="4" t="n">
        <v/>
      </c>
      <c r="N124" s="4" t="n">
        <v>3183625714</v>
      </c>
      <c r="O124" s="4" t="inlineStr">
        <is>
          <t>ilac1586@gmail.com</t>
        </is>
      </c>
      <c r="P124" s="4" t="inlineStr">
        <is>
          <t>CHIA SEDE</t>
        </is>
      </c>
      <c r="Q124" s="4" t="inlineStr">
        <is>
          <t>TRANSFORMACIÓN EMPRESARIAL</t>
        </is>
      </c>
      <c r="R124" s="4" t="n">
        <v/>
      </c>
    </row>
    <row r="125" ht="20" customHeight="1">
      <c r="A125" s="6" t="inlineStr">
        <is>
          <t>1030533897</t>
        </is>
      </c>
      <c r="B125" s="7" t="inlineStr">
        <is>
          <t>PRESENCIAL BOGOTÁ</t>
        </is>
      </c>
      <c r="C125" s="7" t="inlineStr">
        <is>
          <t>GUSTAVO ALEXANDER ROCHA ALARCON</t>
        </is>
      </c>
      <c r="D125" s="7" t="inlineStr">
        <is>
          <t>OPERACIONES</t>
        </is>
      </c>
      <c r="E125" s="7" t="inlineStr">
        <is>
          <t>REGIONAL BOGOTA</t>
        </is>
      </c>
      <c r="F125" s="7" t="inlineStr">
        <is>
          <t>BOGOTA CENTRO</t>
        </is>
      </c>
      <c r="G125" s="7" t="inlineStr">
        <is>
          <t>VIRTUAL</t>
        </is>
      </c>
      <c r="H125" s="7" t="inlineStr">
        <is>
          <t>DOC AUX/N/V/TC/ADM DE EMPRE/FUN.ACADE-ADMIN</t>
        </is>
      </c>
      <c r="I125" s="7" t="inlineStr">
        <is>
          <t>ADMINISTRACION DE EMPRESAS</t>
        </is>
      </c>
      <c r="J125" s="7" t="inlineStr">
        <is>
          <t>PLANTA</t>
        </is>
      </c>
      <c r="K125" s="7" t="inlineStr">
        <is>
          <t>MARTHA SANCHEZ</t>
        </is>
      </c>
      <c r="L125" s="7" t="inlineStr">
        <is>
          <t>CONFIRMADO PRESENCIAL</t>
        </is>
      </c>
      <c r="M125" s="7" t="n">
        <v/>
      </c>
      <c r="N125" s="7" t="n">
        <v>3157096593</v>
      </c>
      <c r="O125" s="7" t="inlineStr">
        <is>
          <t>alex14r@gmail.com</t>
        </is>
      </c>
      <c r="P125" s="7" t="inlineStr">
        <is>
          <t>BTA SEDE A</t>
        </is>
      </c>
      <c r="Q125" s="7" t="inlineStr">
        <is>
          <t>TRANSFORMACIÓN EMPRESARIAL</t>
        </is>
      </c>
      <c r="R125" s="7" t="n">
        <v>300</v>
      </c>
    </row>
    <row r="126" ht="20" customHeight="1">
      <c r="A126" s="3" t="inlineStr">
        <is>
          <t>38285307</t>
        </is>
      </c>
      <c r="B126" s="4" t="inlineStr">
        <is>
          <t>PRESENCIAL BOGOTÁ</t>
        </is>
      </c>
      <c r="C126" s="4" t="inlineStr">
        <is>
          <t>ADRIANA DEL ROCIO ALFONSO ORTIZ</t>
        </is>
      </c>
      <c r="D126" s="4" t="inlineStr">
        <is>
          <t>OPERACIONES</t>
        </is>
      </c>
      <c r="E126" s="4" t="inlineStr">
        <is>
          <t>REGIONAL BOGOTA</t>
        </is>
      </c>
      <c r="F126" s="4" t="inlineStr">
        <is>
          <t>BOGOTA CENTRO</t>
        </is>
      </c>
      <c r="G126" s="4" t="inlineStr">
        <is>
          <t>PRESENCIAL</t>
        </is>
      </c>
      <c r="H126" s="4" t="inlineStr">
        <is>
          <t>DOCENTE ASIS/N/TC/ADM EMP/FUN.ACADE-ADMIN</t>
        </is>
      </c>
      <c r="I126" s="4" t="inlineStr">
        <is>
          <t>ADMINISTRACION DE EMPRESAS</t>
        </is>
      </c>
      <c r="J126" s="4" t="inlineStr">
        <is>
          <t>PLANTA</t>
        </is>
      </c>
      <c r="K126" s="4" t="inlineStr">
        <is>
          <t>MARTHA SANCHEZ</t>
        </is>
      </c>
      <c r="L126" s="4" t="inlineStr">
        <is>
          <t>CONFIRMADO PRESENCIAL</t>
        </is>
      </c>
      <c r="M126" s="4" t="n">
        <v/>
      </c>
      <c r="N126" s="4" t="n">
        <v>3151206705</v>
      </c>
      <c r="O126" s="4" t="inlineStr">
        <is>
          <t>adrisalf@hotmail.com</t>
        </is>
      </c>
      <c r="P126" s="4" t="inlineStr">
        <is>
          <t>BTA SEDE D</t>
        </is>
      </c>
      <c r="Q126" s="4" t="inlineStr">
        <is>
          <t>TRANSFORMACIÓN EMPRESARIAL</t>
        </is>
      </c>
      <c r="R126" s="4" t="n">
        <v>300</v>
      </c>
    </row>
    <row r="127" ht="20" customHeight="1">
      <c r="A127" s="6" t="inlineStr">
        <is>
          <t>53155193</t>
        </is>
      </c>
      <c r="B127" s="7" t="inlineStr">
        <is>
          <t>PRESENCIAL BOGOTÁ</t>
        </is>
      </c>
      <c r="C127" s="7" t="inlineStr">
        <is>
          <t>JOHANNA PAOLA GONZALEZ PAEZ</t>
        </is>
      </c>
      <c r="D127" s="7" t="inlineStr">
        <is>
          <t>OPERACIONES</t>
        </is>
      </c>
      <c r="E127" s="7" t="inlineStr">
        <is>
          <t>REGIONAL BOGOTA</t>
        </is>
      </c>
      <c r="F127" s="7" t="inlineStr">
        <is>
          <t>BOGOTA CENTRO</t>
        </is>
      </c>
      <c r="G127" s="7" t="inlineStr">
        <is>
          <t>PRESENCIAL</t>
        </is>
      </c>
      <c r="H127" s="7" t="inlineStr">
        <is>
          <t>DOCENTE ASIS/N/TC/ADM EMP/FUN.ACADE-ADMIN</t>
        </is>
      </c>
      <c r="I127" s="7" t="inlineStr">
        <is>
          <t>ADMINISTRACION DE EMPRESAS</t>
        </is>
      </c>
      <c r="J127" s="7" t="inlineStr">
        <is>
          <t>PLANTA</t>
        </is>
      </c>
      <c r="K127" s="7" t="inlineStr">
        <is>
          <t>MARTHA SANCHEZ</t>
        </is>
      </c>
      <c r="L127" s="7" t="inlineStr">
        <is>
          <t>SIN RESPUESTA</t>
        </is>
      </c>
      <c r="M127" s="7" t="inlineStr">
        <is>
          <t>No contesta</t>
        </is>
      </c>
      <c r="N127" s="7" t="n">
        <v>3133510732</v>
      </c>
      <c r="O127" s="7" t="inlineStr">
        <is>
          <t>johannagpaez@hotmail.com</t>
        </is>
      </c>
      <c r="P127" s="7" t="inlineStr">
        <is>
          <t>BTA SEDE A</t>
        </is>
      </c>
      <c r="Q127" s="7" t="inlineStr">
        <is>
          <t>TRANSFORMACIÓN EMPRESARIAL</t>
        </is>
      </c>
      <c r="R127" s="7" t="n">
        <v>300</v>
      </c>
    </row>
    <row r="128" ht="20" customHeight="1">
      <c r="A128" s="3" t="inlineStr">
        <is>
          <t>31432609</t>
        </is>
      </c>
      <c r="B128" s="4" t="inlineStr">
        <is>
          <t>VIRTUAL</t>
        </is>
      </c>
      <c r="C128" s="4" t="inlineStr">
        <is>
          <t>CLAUDIA LILIANA ORTEGA DELVECHI</t>
        </is>
      </c>
      <c r="D128" s="4" t="inlineStr">
        <is>
          <t>OPERACIONES</t>
        </is>
      </c>
      <c r="E128" s="4" t="inlineStr">
        <is>
          <t>REGIONAL VALLE DELCAUCA</t>
        </is>
      </c>
      <c r="F128" s="4" t="inlineStr">
        <is>
          <t>BUENAVENTURA</t>
        </is>
      </c>
      <c r="G128" s="4" t="inlineStr">
        <is>
          <t>VIRTUAL</t>
        </is>
      </c>
      <c r="H128" s="4" t="inlineStr">
        <is>
          <t>DOC AUX/N/V/TC/ADM DE EMPRE/FUN.ACADE-ADMIN</t>
        </is>
      </c>
      <c r="I128" s="4" t="inlineStr">
        <is>
          <t>ADMINISTRACION DE EMPRESAS</t>
        </is>
      </c>
      <c r="J128" s="4" t="inlineStr">
        <is>
          <t>PLANTA</t>
        </is>
      </c>
      <c r="K128" s="4" t="inlineStr">
        <is>
          <t>MARTHA SANCHEZ</t>
        </is>
      </c>
      <c r="L128" s="4" t="inlineStr">
        <is>
          <t>CONFIRMADO VIRTUAL</t>
        </is>
      </c>
      <c r="M128" s="4" t="n">
        <v/>
      </c>
      <c r="N128" s="4" t="n">
        <v>3227469778</v>
      </c>
      <c r="O128" s="4" t="inlineStr">
        <is>
          <t>klaugiro@outlook.es</t>
        </is>
      </c>
      <c r="P128" s="4" t="inlineStr">
        <is>
          <t>BUENAVENTURA SEDE</t>
        </is>
      </c>
      <c r="Q128" s="4" t="inlineStr">
        <is>
          <t>TRANSFORMACIÓN EMPRESARIAL</t>
        </is>
      </c>
      <c r="R128" s="4" t="n">
        <v/>
      </c>
    </row>
    <row r="129" ht="20" customHeight="1">
      <c r="A129" s="6" t="inlineStr">
        <is>
          <t>1015467568</t>
        </is>
      </c>
      <c r="B129" s="7" t="inlineStr">
        <is>
          <t>PRESENCIAL BOGOTÁ</t>
        </is>
      </c>
      <c r="C129" s="7" t="inlineStr">
        <is>
          <t>DEISY NAYIBE OSORIO SANTOS</t>
        </is>
      </c>
      <c r="D129" s="7" t="inlineStr">
        <is>
          <t>OPERACIONES</t>
        </is>
      </c>
      <c r="E129" s="7" t="inlineStr">
        <is>
          <t>REGIONAL BOGOTA</t>
        </is>
      </c>
      <c r="F129" s="7" t="inlineStr">
        <is>
          <t>BOGOTA CENTRO</t>
        </is>
      </c>
      <c r="G129" s="7" t="inlineStr">
        <is>
          <t>PRESENCIAL</t>
        </is>
      </c>
      <c r="H129" s="7" t="inlineStr">
        <is>
          <t>DOCENTE AUX/N/TC/ADM EMP/FUN.ACADE-ADMIN</t>
        </is>
      </c>
      <c r="I129" s="7" t="inlineStr">
        <is>
          <t>ADMINISTRACION DE EMPRESAS</t>
        </is>
      </c>
      <c r="J129" s="7" t="inlineStr">
        <is>
          <t>PLANTA</t>
        </is>
      </c>
      <c r="K129" s="7" t="inlineStr">
        <is>
          <t>MARTHA SANCHEZ</t>
        </is>
      </c>
      <c r="L129" s="7" t="inlineStr">
        <is>
          <t>CONFIRMADO PRESENCIAL</t>
        </is>
      </c>
      <c r="M129" s="7" t="n">
        <v/>
      </c>
      <c r="N129" s="7" t="n">
        <v>3187406776</v>
      </c>
      <c r="O129" s="7" t="inlineStr">
        <is>
          <t>NAYIBE.97@HOTMAIL.COM</t>
        </is>
      </c>
      <c r="P129" s="7" t="inlineStr">
        <is>
          <t>BTA SEDE RESTREPO</t>
        </is>
      </c>
      <c r="Q129" s="7" t="inlineStr">
        <is>
          <t>TRANSFORMACIÓN EMPRESARIAL</t>
        </is>
      </c>
      <c r="R129" s="7" t="n">
        <v>300</v>
      </c>
    </row>
    <row r="130" ht="20" customHeight="1">
      <c r="A130" s="3" t="inlineStr">
        <is>
          <t>1071164615</t>
        </is>
      </c>
      <c r="B130" s="4" t="inlineStr">
        <is>
          <t>PRESENCIAL BOGOTÁ</t>
        </is>
      </c>
      <c r="C130" s="4" t="inlineStr">
        <is>
          <t>FLOR AYALA SANDINO</t>
        </is>
      </c>
      <c r="D130" s="4" t="inlineStr">
        <is>
          <t>OPERACIONES</t>
        </is>
      </c>
      <c r="E130" s="4" t="inlineStr">
        <is>
          <t>REGIONAL CUNDINAMARCA</t>
        </is>
      </c>
      <c r="F130" s="4" t="inlineStr">
        <is>
          <t>CHÍA</t>
        </is>
      </c>
      <c r="G130" s="4" t="inlineStr">
        <is>
          <t>VIRTUAL</t>
        </is>
      </c>
      <c r="H130" s="4" t="inlineStr">
        <is>
          <t>DOC AUX/N/V/MT/ADM DE EMPRE</t>
        </is>
      </c>
      <c r="I130" s="4" t="inlineStr">
        <is>
          <t>ADMINISTRACION DE EMPRESAS</t>
        </is>
      </c>
      <c r="J130" s="4" t="inlineStr">
        <is>
          <t>PLANTA</t>
        </is>
      </c>
      <c r="K130" s="4" t="inlineStr">
        <is>
          <t>MARTHA SANCHEZ</t>
        </is>
      </c>
      <c r="L130" s="4" t="inlineStr">
        <is>
          <t>SIN RESPUESTA</t>
        </is>
      </c>
      <c r="M130" s="4" t="inlineStr">
        <is>
          <t>No contesta</t>
        </is>
      </c>
      <c r="N130" s="4" t="n">
        <v>3223410690</v>
      </c>
      <c r="O130" s="4" t="inlineStr">
        <is>
          <t>flaysa9152@gmail.com</t>
        </is>
      </c>
      <c r="P130" s="4" t="inlineStr">
        <is>
          <t>CHIA SEDE</t>
        </is>
      </c>
      <c r="Q130" s="4" t="inlineStr">
        <is>
          <t>TRANSFORMACIÓN EMPRESARIAL</t>
        </is>
      </c>
      <c r="R130" s="4" t="n">
        <v/>
      </c>
    </row>
    <row r="131" ht="20" customHeight="1">
      <c r="A131" s="6" t="inlineStr">
        <is>
          <t>1083012806</t>
        </is>
      </c>
      <c r="B131" s="7" t="inlineStr">
        <is>
          <t>VIRTUAL</t>
        </is>
      </c>
      <c r="C131" s="7" t="inlineStr">
        <is>
          <t>DANIELA PATRICIA MENESES VERGARA</t>
        </is>
      </c>
      <c r="D131" s="7" t="inlineStr">
        <is>
          <t>OPERACIONES</t>
        </is>
      </c>
      <c r="E131" s="7" t="inlineStr">
        <is>
          <t>REGIONAL MAGDALENA</t>
        </is>
      </c>
      <c r="F131" s="7" t="inlineStr">
        <is>
          <t>SANTA MARTA</t>
        </is>
      </c>
      <c r="G131" s="7" t="inlineStr">
        <is>
          <t>PRESENCIAL</t>
        </is>
      </c>
      <c r="H131" s="7" t="inlineStr">
        <is>
          <t>DOCENTE AUX/N/TC/ADM EMP/FUN.ACADE-ADMIN</t>
        </is>
      </c>
      <c r="I131" s="7" t="inlineStr">
        <is>
          <t>ADMINISTRACION DE EMPRESAS</t>
        </is>
      </c>
      <c r="J131" s="7" t="inlineStr">
        <is>
          <t>PLANTA</t>
        </is>
      </c>
      <c r="K131" s="7" t="inlineStr">
        <is>
          <t>MARTHA SANCHEZ</t>
        </is>
      </c>
      <c r="L131" s="7" t="inlineStr">
        <is>
          <t>CONFIRMADO VIRTUAL</t>
        </is>
      </c>
      <c r="M131" s="7" t="n">
        <v/>
      </c>
      <c r="N131" s="7" t="n">
        <v>3102594062</v>
      </c>
      <c r="O131" s="7" t="inlineStr">
        <is>
          <t>meneses.daniela30@gmail.com</t>
        </is>
      </c>
      <c r="P131" s="7" t="inlineStr">
        <is>
          <t>SANTA MARTA SEDE</t>
        </is>
      </c>
      <c r="Q131" s="7" t="inlineStr">
        <is>
          <t>TRANSFORMACIÓN EMPRESARIAL</t>
        </is>
      </c>
      <c r="R131" s="7" t="n">
        <v/>
      </c>
    </row>
    <row r="132" ht="20" customHeight="1">
      <c r="A132" s="3" t="inlineStr">
        <is>
          <t>79917783</t>
        </is>
      </c>
      <c r="B132" s="4" t="inlineStr">
        <is>
          <t>PRESENCIAL BOGOTÁ</t>
        </is>
      </c>
      <c r="C132" s="4" t="inlineStr">
        <is>
          <t>OSCAR FRADIQUE ESCOBAR PARDO</t>
        </is>
      </c>
      <c r="D132" s="4" t="inlineStr">
        <is>
          <t>OPERACIONES</t>
        </is>
      </c>
      <c r="E132" s="4" t="inlineStr">
        <is>
          <t>REGIONAL BOGOTA</t>
        </is>
      </c>
      <c r="F132" s="4" t="inlineStr">
        <is>
          <t>BOGOTA CENTRO</t>
        </is>
      </c>
      <c r="G132" s="4" t="inlineStr">
        <is>
          <t>VIRTUAL</t>
        </is>
      </c>
      <c r="H132" s="4" t="inlineStr">
        <is>
          <t>DOC ASOC/N/V/TC/ADM EMP AGROIN/PROYECCIO</t>
        </is>
      </c>
      <c r="I132" s="4" t="inlineStr">
        <is>
          <t>ADMINISTRACION DE EMPRESAS AGROINDUSTRIAL</t>
        </is>
      </c>
      <c r="J132" s="4" t="inlineStr">
        <is>
          <t>PLANTA</t>
        </is>
      </c>
      <c r="K132" s="4" t="inlineStr">
        <is>
          <t>MARTHA SANCHEZ</t>
        </is>
      </c>
      <c r="L132" s="4" t="inlineStr">
        <is>
          <t>SIN RESPUESTA</t>
        </is>
      </c>
      <c r="M132" s="4" t="inlineStr">
        <is>
          <t>Número sin servicio</t>
        </is>
      </c>
      <c r="N132" s="4" t="n">
        <v>3043581655</v>
      </c>
      <c r="O132" s="4" t="inlineStr">
        <is>
          <t>OSCARFRADIQUE@GMAIL.COM</t>
        </is>
      </c>
      <c r="P132" s="4" t="inlineStr">
        <is>
          <t>BTA SEDE A</t>
        </is>
      </c>
      <c r="Q132" s="4" t="inlineStr">
        <is>
          <t>INGENIERIA</t>
        </is>
      </c>
      <c r="R132" s="4" t="n">
        <v>501</v>
      </c>
    </row>
    <row r="133" ht="20" customHeight="1">
      <c r="A133" s="6" t="inlineStr">
        <is>
          <t>80413048</t>
        </is>
      </c>
      <c r="B133" s="7" t="inlineStr">
        <is>
          <t>PRESENCIAL BOGOTÁ</t>
        </is>
      </c>
      <c r="C133" s="7" t="inlineStr">
        <is>
          <t>PEDRO ALEJANDRO SANCHEZ SANCHEZ</t>
        </is>
      </c>
      <c r="D133" s="7" t="inlineStr">
        <is>
          <t>OPERACIONES</t>
        </is>
      </c>
      <c r="E133" s="7" t="inlineStr">
        <is>
          <t>REGIONAL BOGOTA</t>
        </is>
      </c>
      <c r="F133" s="7" t="inlineStr">
        <is>
          <t>BOGOTA CENTRO</t>
        </is>
      </c>
      <c r="G133" s="7" t="inlineStr">
        <is>
          <t>PRESENCIAL</t>
        </is>
      </c>
      <c r="H133" s="7" t="inlineStr">
        <is>
          <t>DOCENTE AUX/N/TC/ADM EM AGRO/FUNC ADJET</t>
        </is>
      </c>
      <c r="I133" s="7" t="inlineStr">
        <is>
          <t>ADMINISTRACION DE EMPRESAS AGROINDUSTRIAL</t>
        </is>
      </c>
      <c r="J133" s="7" t="inlineStr">
        <is>
          <t>PLANTA</t>
        </is>
      </c>
      <c r="K133" s="7" t="inlineStr">
        <is>
          <t>MARTHA SANCHEZ</t>
        </is>
      </c>
      <c r="L133" s="7" t="inlineStr">
        <is>
          <t>SIN RESPUESTA</t>
        </is>
      </c>
      <c r="M133" s="7" t="inlineStr">
        <is>
          <t>No contesta</t>
        </is>
      </c>
      <c r="N133" s="7" t="n">
        <v>3115684646</v>
      </c>
      <c r="O133" s="7" t="inlineStr">
        <is>
          <t>passanchezz@yahoo.es</t>
        </is>
      </c>
      <c r="P133" s="7" t="inlineStr">
        <is>
          <t>BTA SEDE F</t>
        </is>
      </c>
      <c r="Q133" s="7" t="inlineStr">
        <is>
          <t>INGENIERIA</t>
        </is>
      </c>
      <c r="R133" s="7" t="n">
        <v>501</v>
      </c>
    </row>
    <row r="134" ht="20" customHeight="1">
      <c r="A134" s="3" t="inlineStr">
        <is>
          <t>1075217087</t>
        </is>
      </c>
      <c r="B134" s="4" t="inlineStr">
        <is>
          <t>PRESENCIAL BOGOTÁ</t>
        </is>
      </c>
      <c r="C134" s="4" t="inlineStr">
        <is>
          <t>ANDREA DEL PILAR CONDE CAPERA</t>
        </is>
      </c>
      <c r="D134" s="4" t="inlineStr">
        <is>
          <t>OPERACIONES</t>
        </is>
      </c>
      <c r="E134" s="4" t="inlineStr">
        <is>
          <t>REGIONAL BOGOTA</t>
        </is>
      </c>
      <c r="F134" s="4" t="inlineStr">
        <is>
          <t>BOGOTA CENTRO</t>
        </is>
      </c>
      <c r="G134" s="4" t="inlineStr">
        <is>
          <t>VIRTUAL</t>
        </is>
      </c>
      <c r="H134" s="4" t="inlineStr">
        <is>
          <t>DOC ASIS/N/V/TC/ADM EMP AGROIN/FUN.ACADE-ADMIN</t>
        </is>
      </c>
      <c r="I134" s="4" t="inlineStr">
        <is>
          <t>ADMINISTRACION DE EMPRESAS AGROINDUSTRIAL</t>
        </is>
      </c>
      <c r="J134" s="4" t="inlineStr">
        <is>
          <t>PLANTA</t>
        </is>
      </c>
      <c r="K134" s="4" t="inlineStr">
        <is>
          <t>MARTHA SANCHEZ</t>
        </is>
      </c>
      <c r="L134" s="4" t="inlineStr">
        <is>
          <t>SIN RESPUESTA</t>
        </is>
      </c>
      <c r="M134" s="4" t="inlineStr">
        <is>
          <t>Número sin servicio</t>
        </is>
      </c>
      <c r="N134" s="4" t="n">
        <v>3103503297</v>
      </c>
      <c r="O134" s="4" t="inlineStr">
        <is>
          <t>andreaconde_21@hotmail.com</t>
        </is>
      </c>
      <c r="P134" s="4" t="inlineStr">
        <is>
          <t>BTA SEDE A</t>
        </is>
      </c>
      <c r="Q134" s="4" t="inlineStr">
        <is>
          <t>INGENIERIA</t>
        </is>
      </c>
      <c r="R134" s="4" t="n">
        <v>501</v>
      </c>
    </row>
    <row r="135" ht="20" customHeight="1">
      <c r="A135" s="6" t="inlineStr">
        <is>
          <t>1083004668</t>
        </is>
      </c>
      <c r="B135" s="7" t="inlineStr">
        <is>
          <t>VIRTUAL</t>
        </is>
      </c>
      <c r="C135" s="7" t="inlineStr">
        <is>
          <t>ADRIANA JOSE FREILE BRITTO</t>
        </is>
      </c>
      <c r="D135" s="7" t="inlineStr">
        <is>
          <t>OPERACIONES</t>
        </is>
      </c>
      <c r="E135" s="7" t="inlineStr">
        <is>
          <t>REGIONAL MAGDALENA</t>
        </is>
      </c>
      <c r="F135" s="7" t="inlineStr">
        <is>
          <t>SANTA MARTA</t>
        </is>
      </c>
      <c r="G135" s="7" t="inlineStr">
        <is>
          <t>VIRTUAL</t>
        </is>
      </c>
      <c r="H135" s="7" t="inlineStr">
        <is>
          <t>DOC AUX T&amp;T/N/V/MT/ADM EMP AGROIN</t>
        </is>
      </c>
      <c r="I135" s="7" t="inlineStr">
        <is>
          <t>ADMINISTRACION DE EMPRESAS AGROINDUSTRIAL</t>
        </is>
      </c>
      <c r="J135" s="7" t="inlineStr">
        <is>
          <t>PLANTA</t>
        </is>
      </c>
      <c r="K135" s="7" t="inlineStr">
        <is>
          <t>MARTHA SANCHEZ</t>
        </is>
      </c>
      <c r="L135" s="7" t="inlineStr">
        <is>
          <t>CONFIRMADO VIRTUAL</t>
        </is>
      </c>
      <c r="M135" s="7" t="n">
        <v/>
      </c>
      <c r="N135" s="7" t="n">
        <v>3046117174</v>
      </c>
      <c r="O135" s="7" t="inlineStr">
        <is>
          <t>adriana.freileb@gmail.com</t>
        </is>
      </c>
      <c r="P135" s="7" t="inlineStr">
        <is>
          <t>SANTA MARTA SEDE</t>
        </is>
      </c>
      <c r="Q135" s="7" t="inlineStr">
        <is>
          <t>INGENIERIA</t>
        </is>
      </c>
      <c r="R135" s="7" t="n">
        <v/>
      </c>
    </row>
    <row r="136" ht="20" customHeight="1">
      <c r="A136" s="3" t="inlineStr">
        <is>
          <t>1026581193</t>
        </is>
      </c>
      <c r="B136" s="4" t="inlineStr">
        <is>
          <t>PRESENCIAL BOGOTÁ</t>
        </is>
      </c>
      <c r="C136" s="4" t="inlineStr">
        <is>
          <t>ANGGIE STEFANIA OSORIO ROMERO</t>
        </is>
      </c>
      <c r="D136" s="4" t="inlineStr">
        <is>
          <t>OPERACIONES</t>
        </is>
      </c>
      <c r="E136" s="4" t="inlineStr">
        <is>
          <t>REGIONAL BOGOTA</t>
        </is>
      </c>
      <c r="F136" s="4" t="inlineStr">
        <is>
          <t>BOGOTA CENTRO</t>
        </is>
      </c>
      <c r="G136" s="4" t="inlineStr">
        <is>
          <t>VIRTUAL</t>
        </is>
      </c>
      <c r="H136" s="4" t="inlineStr">
        <is>
          <t>DOC AUX/N/V/TC/ADM EMP AGROIN/FUN.ACADE-ADMIN</t>
        </is>
      </c>
      <c r="I136" s="4" t="inlineStr">
        <is>
          <t>ADMINISTRACION DE EMPRESAS AGROINDUSTRIAL</t>
        </is>
      </c>
      <c r="J136" s="4" t="inlineStr">
        <is>
          <t>PLANTA</t>
        </is>
      </c>
      <c r="K136" s="4" t="inlineStr">
        <is>
          <t>MARTHA SANCHEZ</t>
        </is>
      </c>
      <c r="L136" s="4" t="inlineStr">
        <is>
          <t>CONFIRMADO PRESENCIAL</t>
        </is>
      </c>
      <c r="M136" s="4" t="n">
        <v/>
      </c>
      <c r="N136" s="4" t="n">
        <v>3144194742</v>
      </c>
      <c r="O136" s="4" t="inlineStr">
        <is>
          <t>ANGGIE.STEFANIA.OSORIO.ROMERO@GMAIL.COM</t>
        </is>
      </c>
      <c r="P136" s="4" t="inlineStr">
        <is>
          <t>BTA SEDE A</t>
        </is>
      </c>
      <c r="Q136" s="4" t="inlineStr">
        <is>
          <t>INGENIERIA</t>
        </is>
      </c>
      <c r="R136" s="4" t="n">
        <v>501</v>
      </c>
    </row>
    <row r="137" ht="20" customHeight="1">
      <c r="A137" s="6" t="inlineStr">
        <is>
          <t>1032388336</t>
        </is>
      </c>
      <c r="B137" s="7" t="inlineStr">
        <is>
          <t>PRESENCIAL BOGOTÁ</t>
        </is>
      </c>
      <c r="C137" s="7" t="inlineStr">
        <is>
          <t>LUZ DARY DIAZ DURAN</t>
        </is>
      </c>
      <c r="D137" s="7" t="inlineStr">
        <is>
          <t>OPERACIONES</t>
        </is>
      </c>
      <c r="E137" s="7" t="inlineStr">
        <is>
          <t>REGIONAL BOGOTA</t>
        </is>
      </c>
      <c r="F137" s="7" t="inlineStr">
        <is>
          <t>BOGOTA CENTRO</t>
        </is>
      </c>
      <c r="G137" s="7" t="inlineStr">
        <is>
          <t>VIRTUAL</t>
        </is>
      </c>
      <c r="H137" s="7" t="inlineStr">
        <is>
          <t>DOC AUX/N/V/TC/ADM EMP AGROIN/FUN.ACADE-ADMIN</t>
        </is>
      </c>
      <c r="I137" s="7" t="inlineStr">
        <is>
          <t>ADMINISTRACION DE EMPRESAS AGROINDUSTRIAL</t>
        </is>
      </c>
      <c r="J137" s="7" t="inlineStr">
        <is>
          <t>PLANTA</t>
        </is>
      </c>
      <c r="K137" s="7" t="inlineStr">
        <is>
          <t>MARTHA SANCHEZ</t>
        </is>
      </c>
      <c r="L137" s="7" t="inlineStr">
        <is>
          <t>CONFIRMADO PRESENCIAL</t>
        </is>
      </c>
      <c r="M137" s="7" t="n">
        <v/>
      </c>
      <c r="N137" s="7" t="n">
        <v>3164498925</v>
      </c>
      <c r="O137" s="7" t="inlineStr">
        <is>
          <t>luzdadiazd@gmail.com</t>
        </is>
      </c>
      <c r="P137" s="7" t="inlineStr">
        <is>
          <t>BTA SEDE A</t>
        </is>
      </c>
      <c r="Q137" s="7" t="inlineStr">
        <is>
          <t>INGENIERIA</t>
        </is>
      </c>
      <c r="R137" s="7" t="n">
        <v>501</v>
      </c>
    </row>
    <row r="138" ht="20" customHeight="1">
      <c r="A138" s="3" t="inlineStr">
        <is>
          <t>37277674</t>
        </is>
      </c>
      <c r="B138" s="4" t="inlineStr">
        <is>
          <t>PRESENCIAL BOGOTÁ</t>
        </is>
      </c>
      <c r="C138" s="4" t="inlineStr">
        <is>
          <t>YULY ANDREA RODRIGUEZ QUIÑONEZ</t>
        </is>
      </c>
      <c r="D138" s="4" t="inlineStr">
        <is>
          <t>OPERACIONES</t>
        </is>
      </c>
      <c r="E138" s="4" t="inlineStr">
        <is>
          <t>REGIONAL BOGOTA</t>
        </is>
      </c>
      <c r="F138" s="4" t="inlineStr">
        <is>
          <t>BOGOTA CENTRO</t>
        </is>
      </c>
      <c r="G138" s="4" t="inlineStr">
        <is>
          <t>VIRTUAL</t>
        </is>
      </c>
      <c r="H138" s="4" t="inlineStr">
        <is>
          <t>DOC ASIS/N/V/MT/ADM EMP AGROIN</t>
        </is>
      </c>
      <c r="I138" s="4" t="inlineStr">
        <is>
          <t>ADMINISTRACION DE EMPRESAS AGROINDUSTRIAL</t>
        </is>
      </c>
      <c r="J138" s="4" t="inlineStr">
        <is>
          <t>PLANTA</t>
        </is>
      </c>
      <c r="K138" s="4" t="inlineStr">
        <is>
          <t>MARTHA SANCHEZ</t>
        </is>
      </c>
      <c r="L138" s="4" t="inlineStr">
        <is>
          <t>CONFIRMADO PRESENCIAL</t>
        </is>
      </c>
      <c r="M138" s="4" t="n">
        <v/>
      </c>
      <c r="N138" s="4" t="n">
        <v>3125447082</v>
      </c>
      <c r="O138" s="4" t="inlineStr">
        <is>
          <t>rodriguezyuly681@gmail.com</t>
        </is>
      </c>
      <c r="P138" s="4" t="inlineStr">
        <is>
          <t>BTA SEDE A</t>
        </is>
      </c>
      <c r="Q138" s="4" t="inlineStr">
        <is>
          <t>INGENIERIA</t>
        </is>
      </c>
      <c r="R138" s="4" t="n">
        <v>501</v>
      </c>
    </row>
    <row r="139" ht="20" customHeight="1">
      <c r="A139" s="6" t="inlineStr">
        <is>
          <t>32696489</t>
        </is>
      </c>
      <c r="B139" s="7" t="inlineStr">
        <is>
          <t>PRESENCIAL REGIONAL</t>
        </is>
      </c>
      <c r="C139" s="7" t="inlineStr">
        <is>
          <t>LUCY PUERTO COLO DE LA HOZ MONTEJO</t>
        </is>
      </c>
      <c r="D139" s="7" t="inlineStr">
        <is>
          <t>OPERACIONES</t>
        </is>
      </c>
      <c r="E139" s="7" t="inlineStr">
        <is>
          <t>REGIONAL CORDOBA</t>
        </is>
      </c>
      <c r="F139" s="7" t="inlineStr">
        <is>
          <t>MONTERIA</t>
        </is>
      </c>
      <c r="G139" s="7" t="inlineStr">
        <is>
          <t>PRESENCIAL</t>
        </is>
      </c>
      <c r="H139" s="7" t="inlineStr">
        <is>
          <t>DOCENTE ASIS/N/MT-ADM SER SALU</t>
        </is>
      </c>
      <c r="I139" s="7" t="inlineStr">
        <is>
          <t>ADMINISTRACION DE LA SEGURIDAD SOCIAL</t>
        </is>
      </c>
      <c r="J139" s="7" t="inlineStr">
        <is>
          <t>PLANTA</t>
        </is>
      </c>
      <c r="K139" s="7" t="inlineStr">
        <is>
          <t>MARTHA SANCHEZ</t>
        </is>
      </c>
      <c r="L139" s="7" t="inlineStr">
        <is>
          <t>SIN RESPUESTA</t>
        </is>
      </c>
      <c r="M139" s="7" t="inlineStr">
        <is>
          <t>No contesta</t>
        </is>
      </c>
      <c r="N139" s="7" t="n">
        <v>3046255208</v>
      </c>
      <c r="O139" s="7" t="inlineStr">
        <is>
          <t>lucydelahoz007@hotmail.com</t>
        </is>
      </c>
      <c r="P139" s="7" t="inlineStr">
        <is>
          <t>MONTERIA SEDE</t>
        </is>
      </c>
      <c r="Q139" s="7" t="inlineStr">
        <is>
          <t>TRANSFORMACIÓN EMPRESARIAL</t>
        </is>
      </c>
      <c r="R139" s="7" t="n">
        <v/>
      </c>
    </row>
    <row r="140" ht="20" customHeight="1">
      <c r="A140" s="3" t="inlineStr">
        <is>
          <t>1064997685</t>
        </is>
      </c>
      <c r="B140" s="4" t="inlineStr">
        <is>
          <t>PRESENCIAL REGIONAL</t>
        </is>
      </c>
      <c r="C140" s="4" t="inlineStr">
        <is>
          <t>JUAN CAMILO VILLALBA DURANGO</t>
        </is>
      </c>
      <c r="D140" s="4" t="inlineStr">
        <is>
          <t>OPERACIONES</t>
        </is>
      </c>
      <c r="E140" s="4" t="inlineStr">
        <is>
          <t>REGIONAL CORDOBA</t>
        </is>
      </c>
      <c r="F140" s="4" t="inlineStr">
        <is>
          <t>MONTERIA</t>
        </is>
      </c>
      <c r="G140" s="4" t="inlineStr">
        <is>
          <t>PRESENCIAL</t>
        </is>
      </c>
      <c r="H140" s="4" t="inlineStr">
        <is>
          <t>DOCENTE ASIS/N/TC/ADM SER SALU/FUN.ACADE-ADMIN</t>
        </is>
      </c>
      <c r="I140" s="4" t="inlineStr">
        <is>
          <t>ADMINISTRACION DE LA SEGURIDAD SOCIAL</t>
        </is>
      </c>
      <c r="J140" s="4" t="inlineStr">
        <is>
          <t>PLANTA</t>
        </is>
      </c>
      <c r="K140" s="4" t="inlineStr">
        <is>
          <t>MARTHA SANCHEZ</t>
        </is>
      </c>
      <c r="L140" s="4" t="inlineStr">
        <is>
          <t>CONFIRMADO PRESENCIAL</t>
        </is>
      </c>
      <c r="M140" s="4" t="n">
        <v/>
      </c>
      <c r="N140" s="4" t="n">
        <v>3117158881</v>
      </c>
      <c r="O140" s="4" t="inlineStr">
        <is>
          <t>juancamilovillalba@hotmail.com</t>
        </is>
      </c>
      <c r="P140" s="4" t="inlineStr">
        <is>
          <t>MONTERIA SEDE</t>
        </is>
      </c>
      <c r="Q140" s="4" t="inlineStr">
        <is>
          <t>TRANSFORMACIÓN EMPRESARIAL</t>
        </is>
      </c>
      <c r="R140" s="4" t="n">
        <v/>
      </c>
    </row>
    <row r="141" ht="20" customHeight="1">
      <c r="A141" s="6" t="inlineStr">
        <is>
          <t>92530129</t>
        </is>
      </c>
      <c r="B141" s="7" t="inlineStr">
        <is>
          <t>PRESENCIAL REGIONAL</t>
        </is>
      </c>
      <c r="C141" s="7" t="inlineStr">
        <is>
          <t>JOHN JAIRO MARTINEZ MESA</t>
        </is>
      </c>
      <c r="D141" s="7" t="inlineStr">
        <is>
          <t>OPERACIONES</t>
        </is>
      </c>
      <c r="E141" s="7" t="inlineStr">
        <is>
          <t>REGIONAL SUCRE</t>
        </is>
      </c>
      <c r="F141" s="7" t="inlineStr">
        <is>
          <t>SINCELEJO</t>
        </is>
      </c>
      <c r="G141" s="7" t="inlineStr">
        <is>
          <t>PRESENCIAL</t>
        </is>
      </c>
      <c r="H141" s="7" t="inlineStr">
        <is>
          <t>DOCENTE ASIS/N/MT-ADM SER SALU</t>
        </is>
      </c>
      <c r="I141" s="7" t="inlineStr">
        <is>
          <t>ADMINISTRACION DE LA SEGURIDAD SOCIAL</t>
        </is>
      </c>
      <c r="J141" s="7" t="inlineStr">
        <is>
          <t>PLANTA</t>
        </is>
      </c>
      <c r="K141" s="7" t="inlineStr">
        <is>
          <t>MARTHA SANCHEZ</t>
        </is>
      </c>
      <c r="L141" s="7" t="inlineStr">
        <is>
          <t>SIN RESPUESTA</t>
        </is>
      </c>
      <c r="M141" s="7" t="inlineStr">
        <is>
          <t>No contesta</t>
        </is>
      </c>
      <c r="N141" s="7" t="n">
        <v>3212801318</v>
      </c>
      <c r="O141" s="7" t="inlineStr">
        <is>
          <t>jhonjairo292@gmail.com</t>
        </is>
      </c>
      <c r="P141" s="7" t="inlineStr">
        <is>
          <t>SINCELEJO SEDE</t>
        </is>
      </c>
      <c r="Q141" s="7" t="inlineStr">
        <is>
          <t>TRANSFORMACIÓN EMPRESARIAL</t>
        </is>
      </c>
      <c r="R141" s="7" t="n">
        <v/>
      </c>
    </row>
    <row r="142" ht="20" customHeight="1">
      <c r="A142" s="3" t="inlineStr">
        <is>
          <t>52472476</t>
        </is>
      </c>
      <c r="B142" s="4" t="inlineStr">
        <is>
          <t>PRESENCIAL REGIONAL</t>
        </is>
      </c>
      <c r="C142" s="4" t="inlineStr">
        <is>
          <t>GINA MARCELA MAHECHA NARANJO</t>
        </is>
      </c>
      <c r="D142" s="4" t="inlineStr">
        <is>
          <t>OPERACIONES</t>
        </is>
      </c>
      <c r="E142" s="4" t="inlineStr">
        <is>
          <t>REGIONAL SUCRE</t>
        </is>
      </c>
      <c r="F142" s="4" t="inlineStr">
        <is>
          <t>SINCELEJO</t>
        </is>
      </c>
      <c r="G142" s="4" t="inlineStr">
        <is>
          <t>VIRTUAL</t>
        </is>
      </c>
      <c r="H142" s="4" t="inlineStr">
        <is>
          <t>DOC ASOC/N/V/MT/ADM SER SALU</t>
        </is>
      </c>
      <c r="I142" s="4" t="inlineStr">
        <is>
          <t>ADMINISTRACION DE LA SEGURIDAD SOCIAL</t>
        </is>
      </c>
      <c r="J142" s="4" t="inlineStr">
        <is>
          <t>PLANTA</t>
        </is>
      </c>
      <c r="K142" s="4" t="inlineStr">
        <is>
          <t>MARTHA SANCHEZ</t>
        </is>
      </c>
      <c r="L142" s="4" t="inlineStr">
        <is>
          <t>CONFIRMADO PRESENCIAL</t>
        </is>
      </c>
      <c r="M142" s="4" t="n">
        <v/>
      </c>
      <c r="N142" s="4" t="n">
        <v>3145932138</v>
      </c>
      <c r="O142" s="4" t="inlineStr">
        <is>
          <t>sgsst.medicenser@gmail.com</t>
        </is>
      </c>
      <c r="P142" s="4" t="inlineStr">
        <is>
          <t>SINCELEJO SEDE</t>
        </is>
      </c>
      <c r="Q142" s="4" t="inlineStr">
        <is>
          <t>TRANSFORMACIÓN EMPRESARIAL</t>
        </is>
      </c>
      <c r="R142" s="4" t="n">
        <v/>
      </c>
    </row>
    <row r="143" ht="20" customHeight="1">
      <c r="A143" s="6" t="inlineStr">
        <is>
          <t>1102852289</t>
        </is>
      </c>
      <c r="B143" s="7" t="inlineStr">
        <is>
          <t>PRESENCIAL REGIONAL</t>
        </is>
      </c>
      <c r="C143" s="7" t="inlineStr">
        <is>
          <t>PATRICIA SAIBET SALAZAR GRAU</t>
        </is>
      </c>
      <c r="D143" s="7" t="inlineStr">
        <is>
          <t>OPERACIONES</t>
        </is>
      </c>
      <c r="E143" s="7" t="inlineStr">
        <is>
          <t>REGIONAL SUCRE</t>
        </is>
      </c>
      <c r="F143" s="7" t="inlineStr">
        <is>
          <t>SINCELEJO</t>
        </is>
      </c>
      <c r="G143" s="7" t="inlineStr">
        <is>
          <t>PRESENCIAL</t>
        </is>
      </c>
      <c r="H143" s="7" t="inlineStr">
        <is>
          <t>DOCENTE AUX/N/MT-ADM SER SALU</t>
        </is>
      </c>
      <c r="I143" s="7" t="inlineStr">
        <is>
          <t>ADMINISTRACION DE LA SEGURIDAD SOCIAL</t>
        </is>
      </c>
      <c r="J143" s="7" t="inlineStr">
        <is>
          <t>PLANTA</t>
        </is>
      </c>
      <c r="K143" s="7" t="inlineStr">
        <is>
          <t>MARTHA SANCHEZ</t>
        </is>
      </c>
      <c r="L143" s="7" t="inlineStr">
        <is>
          <t>CONFIRMADO PRESENCIAL</t>
        </is>
      </c>
      <c r="M143" s="7" t="n">
        <v/>
      </c>
      <c r="N143" s="7" t="n">
        <v>3217126246</v>
      </c>
      <c r="O143" s="7" t="inlineStr">
        <is>
          <t>saibelitho0202@hotmail.com</t>
        </is>
      </c>
      <c r="P143" s="7" t="inlineStr">
        <is>
          <t>SINCELEJO SEDE</t>
        </is>
      </c>
      <c r="Q143" s="7" t="inlineStr">
        <is>
          <t>TRANSFORMACIÓN EMPRESARIAL</t>
        </is>
      </c>
      <c r="R143" s="7" t="n">
        <v/>
      </c>
    </row>
    <row r="144" ht="20" customHeight="1">
      <c r="A144" s="3" t="inlineStr">
        <is>
          <t>50922469</t>
        </is>
      </c>
      <c r="B144" s="4" t="inlineStr">
        <is>
          <t>PRESENCIAL REGIONAL</t>
        </is>
      </c>
      <c r="C144" s="4" t="inlineStr">
        <is>
          <t>ALEXANDRA MARIA BENEDETTI NAVARRO</t>
        </is>
      </c>
      <c r="D144" s="4" t="inlineStr">
        <is>
          <t>OPERACIONES</t>
        </is>
      </c>
      <c r="E144" s="4" t="inlineStr">
        <is>
          <t>REGIONAL CORDOBA</t>
        </is>
      </c>
      <c r="F144" s="4" t="inlineStr">
        <is>
          <t>MONTERIA</t>
        </is>
      </c>
      <c r="G144" s="4" t="inlineStr">
        <is>
          <t>PRESENCIAL</t>
        </is>
      </c>
      <c r="H144" s="4" t="inlineStr">
        <is>
          <t>DOCENTE ASIS/N/MT-ADM SER SALU</t>
        </is>
      </c>
      <c r="I144" s="4" t="inlineStr">
        <is>
          <t>ADMINISTRACION DE LA SEGURIDAD SOCIAL</t>
        </is>
      </c>
      <c r="J144" s="4" t="inlineStr">
        <is>
          <t>PLANTA</t>
        </is>
      </c>
      <c r="K144" s="4" t="inlineStr">
        <is>
          <t>MARTHA SANCHEZ</t>
        </is>
      </c>
      <c r="L144" s="4" t="inlineStr">
        <is>
          <t>CONFIRMADO PRESENCIAL</t>
        </is>
      </c>
      <c r="M144" s="4" t="n">
        <v/>
      </c>
      <c r="N144" s="4" t="n">
        <v>3126409756</v>
      </c>
      <c r="O144" s="4" t="inlineStr">
        <is>
          <t>alexabenavarro@gmail.com</t>
        </is>
      </c>
      <c r="P144" s="4" t="inlineStr">
        <is>
          <t>MONTERIA SEDE</t>
        </is>
      </c>
      <c r="Q144" s="4" t="inlineStr">
        <is>
          <t>TRANSFORMACIÓN EMPRESARIAL</t>
        </is>
      </c>
      <c r="R144" s="4" t="n">
        <v/>
      </c>
    </row>
    <row r="145" ht="20" customHeight="1">
      <c r="A145" s="6" t="inlineStr">
        <is>
          <t>1102812313</t>
        </is>
      </c>
      <c r="B145" s="7" t="inlineStr">
        <is>
          <t>PRESENCIAL REGIONAL</t>
        </is>
      </c>
      <c r="C145" s="7" t="inlineStr">
        <is>
          <t>SHIRLEY SOFIA VERGARA JIMENEZ</t>
        </is>
      </c>
      <c r="D145" s="7" t="inlineStr">
        <is>
          <t>OPERACIONES</t>
        </is>
      </c>
      <c r="E145" s="7" t="inlineStr">
        <is>
          <t>REGIONAL SUCRE</t>
        </is>
      </c>
      <c r="F145" s="7" t="inlineStr">
        <is>
          <t>SINCELEJO</t>
        </is>
      </c>
      <c r="G145" s="7" t="inlineStr">
        <is>
          <t>PRESENCIAL</t>
        </is>
      </c>
      <c r="H145" s="7" t="inlineStr">
        <is>
          <t>DOCENTE AUX/N/MT/ ADM SER SALUD</t>
        </is>
      </c>
      <c r="I145" s="7" t="inlineStr">
        <is>
          <t>ADMINISTRACION DE LA SEGURIDAD SOCIAL</t>
        </is>
      </c>
      <c r="J145" s="7" t="inlineStr">
        <is>
          <t>PLANTA</t>
        </is>
      </c>
      <c r="K145" s="7" t="inlineStr">
        <is>
          <t>MARTHA SANCHEZ</t>
        </is>
      </c>
      <c r="L145" s="7" t="inlineStr">
        <is>
          <t>SIN RESPUESTA</t>
        </is>
      </c>
      <c r="M145" s="7" t="inlineStr">
        <is>
          <t>No contesta</t>
        </is>
      </c>
      <c r="N145" s="7" t="n">
        <v>3018221250</v>
      </c>
      <c r="O145" s="7" t="inlineStr">
        <is>
          <t>sofia.vergaraj@gmail.com</t>
        </is>
      </c>
      <c r="P145" s="7" t="inlineStr">
        <is>
          <t>SINCELEJO SEDE</t>
        </is>
      </c>
      <c r="Q145" s="7" t="inlineStr">
        <is>
          <t>TRANSFORMACIÓN EMPRESARIAL</t>
        </is>
      </c>
      <c r="R145" s="7" t="n">
        <v/>
      </c>
    </row>
    <row r="146" ht="20" customHeight="1">
      <c r="A146" s="3" t="inlineStr">
        <is>
          <t>80726871</t>
        </is>
      </c>
      <c r="B146" s="4" t="inlineStr">
        <is>
          <t>PRESENCIAL BOGOTÁ</t>
        </is>
      </c>
      <c r="C146" s="4" t="inlineStr">
        <is>
          <t>WILLIAM LEONARDO OCHOA MORENO</t>
        </is>
      </c>
      <c r="D146" s="4" t="inlineStr">
        <is>
          <t>OPERACIONES</t>
        </is>
      </c>
      <c r="E146" s="4" t="inlineStr">
        <is>
          <t>REGIONAL BOGOTA</t>
        </is>
      </c>
      <c r="F146" s="4" t="inlineStr">
        <is>
          <t>BOGOTA CENTRO</t>
        </is>
      </c>
      <c r="G146" s="4" t="inlineStr">
        <is>
          <t>PRESENCIAL</t>
        </is>
      </c>
      <c r="H146" s="4" t="inlineStr">
        <is>
          <t>DOCENTE ASIS/N/TC/ADM DEP/FUN.ACADE-ADMIN</t>
        </is>
      </c>
      <c r="I146" s="4" t="inlineStr">
        <is>
          <t>ADMINISTRACION DEPORTIVA</t>
        </is>
      </c>
      <c r="J146" s="4" t="inlineStr">
        <is>
          <t>PLANTA</t>
        </is>
      </c>
      <c r="K146" s="4" t="inlineStr">
        <is>
          <t>MARTHA SANCHEZ</t>
        </is>
      </c>
      <c r="L146" s="4" t="inlineStr">
        <is>
          <t>CONFIRMADO PRESENCIAL</t>
        </is>
      </c>
      <c r="M146" s="4" t="n">
        <v/>
      </c>
      <c r="N146" s="4" t="n">
        <v>3007674651</v>
      </c>
      <c r="O146" s="4" t="inlineStr">
        <is>
          <t>williamochoa1982@gmail.com</t>
        </is>
      </c>
      <c r="P146" s="4" t="inlineStr">
        <is>
          <t>BTA SEDE D</t>
        </is>
      </c>
      <c r="Q146" s="4" t="inlineStr">
        <is>
          <t>TRANSVERSALES</t>
        </is>
      </c>
      <c r="R146" s="4" t="n">
        <v>700</v>
      </c>
    </row>
    <row r="147" ht="20" customHeight="1">
      <c r="A147" s="6" t="inlineStr">
        <is>
          <t>39577750</t>
        </is>
      </c>
      <c r="B147" s="7" t="inlineStr">
        <is>
          <t>PRESENCIAL BOGOTÁ</t>
        </is>
      </c>
      <c r="C147" s="7" t="inlineStr">
        <is>
          <t>YOHANNA MARCELA VARON GUEVARA</t>
        </is>
      </c>
      <c r="D147" s="7" t="inlineStr">
        <is>
          <t>OPERACIONES</t>
        </is>
      </c>
      <c r="E147" s="7" t="inlineStr">
        <is>
          <t>REGIONAL BOGOTA</t>
        </is>
      </c>
      <c r="F147" s="7" t="inlineStr">
        <is>
          <t>BOGOTA SUBA</t>
        </is>
      </c>
      <c r="G147" s="7" t="inlineStr">
        <is>
          <t>PRESENCIAL</t>
        </is>
      </c>
      <c r="H147" s="7" t="inlineStr">
        <is>
          <t>DOCENTE AUX/N/MT/ ADM SER SALUD</t>
        </is>
      </c>
      <c r="I147" s="7" t="inlineStr">
        <is>
          <t>ADMINISTRACION EN SERVICIOS DE SALUD</t>
        </is>
      </c>
      <c r="J147" s="7" t="inlineStr">
        <is>
          <t>PLANTA</t>
        </is>
      </c>
      <c r="K147" s="7" t="inlineStr">
        <is>
          <t>MARTHA SANCHEZ</t>
        </is>
      </c>
      <c r="L147" s="7" t="inlineStr">
        <is>
          <t>CONFIRMADO PRESENCIAL</t>
        </is>
      </c>
      <c r="M147" s="7" t="n">
        <v/>
      </c>
      <c r="N147" s="7" t="n">
        <v>3163368641</v>
      </c>
      <c r="O147" s="7" t="inlineStr">
        <is>
          <t>marcelavaron1980@gmail.com</t>
        </is>
      </c>
      <c r="P147" s="7" t="inlineStr">
        <is>
          <t>BTA SEDE D</t>
        </is>
      </c>
      <c r="Q147" s="7" t="inlineStr">
        <is>
          <t>TRANSFORMACIÓN EMPRESARIAL</t>
        </is>
      </c>
      <c r="R147" s="7" t="n">
        <v>300</v>
      </c>
    </row>
    <row r="148" ht="20" customHeight="1">
      <c r="A148" s="3" t="inlineStr">
        <is>
          <t>53116194</t>
        </is>
      </c>
      <c r="B148" s="4" t="inlineStr">
        <is>
          <t>VIRTUAL</t>
        </is>
      </c>
      <c r="C148" s="4" t="inlineStr">
        <is>
          <t>CAROLINA MORENO CHAVEZ</t>
        </is>
      </c>
      <c r="D148" s="4" t="inlineStr">
        <is>
          <t>OPERACIONES</t>
        </is>
      </c>
      <c r="E148" s="4" t="inlineStr">
        <is>
          <t>REGIONAL BOGOTA</t>
        </is>
      </c>
      <c r="F148" s="4" t="inlineStr">
        <is>
          <t>BOGOTA CENTRO</t>
        </is>
      </c>
      <c r="G148" s="4" t="inlineStr">
        <is>
          <t>PRESENCIAL</t>
        </is>
      </c>
      <c r="H148" s="4" t="inlineStr">
        <is>
          <t>DOCENTE ASIS/N/MT-ADM SER SALU</t>
        </is>
      </c>
      <c r="I148" s="4" t="inlineStr">
        <is>
          <t>ADMINISTRACION EN SERVICIOS DE SALUD</t>
        </is>
      </c>
      <c r="J148" s="4" t="inlineStr">
        <is>
          <t>PLANTA</t>
        </is>
      </c>
      <c r="K148" s="4" t="inlineStr">
        <is>
          <t>MARTHA SANCHEZ</t>
        </is>
      </c>
      <c r="L148" s="4" t="inlineStr">
        <is>
          <t>CONFIRMADO VIRTUAL</t>
        </is>
      </c>
      <c r="M148" s="4" t="inlineStr">
        <is>
          <t>INCAPACITADA</t>
        </is>
      </c>
      <c r="N148" s="4" t="n">
        <v>3011842797</v>
      </c>
      <c r="O148" s="4" t="inlineStr">
        <is>
          <t>CAROODONTOLOGA@HOTMAIL.COM</t>
        </is>
      </c>
      <c r="P148" s="4" t="inlineStr">
        <is>
          <t>BTA SEDE D</t>
        </is>
      </c>
      <c r="Q148" s="4" t="inlineStr">
        <is>
          <t>TRANSFORMACIÓN EMPRESARIAL</t>
        </is>
      </c>
      <c r="R148" s="4" t="n">
        <v>300</v>
      </c>
    </row>
    <row r="149" ht="20" customHeight="1">
      <c r="A149" s="6" t="inlineStr">
        <is>
          <t>60449313</t>
        </is>
      </c>
      <c r="B149" s="7" t="inlineStr">
        <is>
          <t>PRESENCIAL BOGOTÁ</t>
        </is>
      </c>
      <c r="C149" s="7" t="inlineStr">
        <is>
          <t>DIANA LORENA SEPULVEDA RAMIREZ PARIS</t>
        </is>
      </c>
      <c r="D149" s="7" t="inlineStr">
        <is>
          <t>OPERACIONES</t>
        </is>
      </c>
      <c r="E149" s="7" t="inlineStr">
        <is>
          <t>REGIONAL BOGOTA</t>
        </is>
      </c>
      <c r="F149" s="7" t="inlineStr">
        <is>
          <t>BOGOTA CENTRO</t>
        </is>
      </c>
      <c r="G149" s="7" t="inlineStr">
        <is>
          <t>PRESENCIAL</t>
        </is>
      </c>
      <c r="H149" s="7" t="inlineStr">
        <is>
          <t>DOCENTE ASIS/N/TC/ADM SER SALU/FUN.ACADE-ADMIN</t>
        </is>
      </c>
      <c r="I149" s="7" t="inlineStr">
        <is>
          <t>ADMINISTRACION EN SERVICIOS DE SALUD</t>
        </is>
      </c>
      <c r="J149" s="7" t="inlineStr">
        <is>
          <t>PLANTA</t>
        </is>
      </c>
      <c r="K149" s="7" t="inlineStr">
        <is>
          <t>MARTHA SANCHEZ</t>
        </is>
      </c>
      <c r="L149" s="7" t="inlineStr">
        <is>
          <t>CONFIRMADO PRESENCIAL</t>
        </is>
      </c>
      <c r="M149" s="7" t="n">
        <v/>
      </c>
      <c r="N149" s="7" t="n">
        <v>3168793880</v>
      </c>
      <c r="O149" s="7" t="inlineStr">
        <is>
          <t>dianalorenasepulveda@gmail.com</t>
        </is>
      </c>
      <c r="P149" s="7" t="inlineStr">
        <is>
          <t>BTA SEDE D</t>
        </is>
      </c>
      <c r="Q149" s="7" t="inlineStr">
        <is>
          <t>TRANSFORMACIÓN EMPRESARIAL</t>
        </is>
      </c>
      <c r="R149" s="7" t="n">
        <v>300</v>
      </c>
    </row>
    <row r="150" ht="20" customHeight="1">
      <c r="A150" s="3" t="inlineStr">
        <is>
          <t>1073675262</t>
        </is>
      </c>
      <c r="B150" s="4" t="inlineStr">
        <is>
          <t>PRESENCIAL BOGOTÁ</t>
        </is>
      </c>
      <c r="C150" s="4" t="inlineStr">
        <is>
          <t>WILLIAM JAVIER CASTEBLANCO CARO</t>
        </is>
      </c>
      <c r="D150" s="4" t="inlineStr">
        <is>
          <t>OPERACIONES</t>
        </is>
      </c>
      <c r="E150" s="4" t="inlineStr">
        <is>
          <t>REGIONAL BOGOTA</t>
        </is>
      </c>
      <c r="F150" s="4" t="inlineStr">
        <is>
          <t>BOGOTA CENTRO</t>
        </is>
      </c>
      <c r="G150" s="4" t="inlineStr">
        <is>
          <t>PRESENCIAL</t>
        </is>
      </c>
      <c r="H150" s="4" t="inlineStr">
        <is>
          <t>DOC AUX T&amp;T/N/MT/ADM SER SALU</t>
        </is>
      </c>
      <c r="I150" s="4" t="inlineStr">
        <is>
          <t>ADMINISTRACION EN SERVICIOS DE SALUD</t>
        </is>
      </c>
      <c r="J150" s="4" t="inlineStr">
        <is>
          <t>PLANTA</t>
        </is>
      </c>
      <c r="K150" s="4" t="inlineStr">
        <is>
          <t>MARTHA SANCHEZ</t>
        </is>
      </c>
      <c r="L150" s="4" t="inlineStr">
        <is>
          <t>CONFIRMADO PRESENCIAL</t>
        </is>
      </c>
      <c r="M150" s="4" t="n">
        <v/>
      </c>
      <c r="N150" s="4" t="n">
        <v>3213863526</v>
      </c>
      <c r="O150" s="4" t="inlineStr">
        <is>
          <t>WILLICAS24@GMAIL.COM</t>
        </is>
      </c>
      <c r="P150" s="4" t="inlineStr">
        <is>
          <t>BTA SEDE A</t>
        </is>
      </c>
      <c r="Q150" s="4" t="inlineStr">
        <is>
          <t>TRANSFORMACIÓN EMPRESARIAL</t>
        </is>
      </c>
      <c r="R150" s="4" t="n">
        <v>300</v>
      </c>
    </row>
    <row r="151" ht="20" customHeight="1">
      <c r="A151" s="6" t="inlineStr">
        <is>
          <t>1121824971</t>
        </is>
      </c>
      <c r="B151" s="7" t="inlineStr">
        <is>
          <t>VIRTUAL</t>
        </is>
      </c>
      <c r="C151" s="7" t="inlineStr">
        <is>
          <t>DIANA ANDREA GAITAN HERRERA</t>
        </is>
      </c>
      <c r="D151" s="7" t="inlineStr">
        <is>
          <t>OPERACIONES</t>
        </is>
      </c>
      <c r="E151" s="7" t="inlineStr">
        <is>
          <t>REGIONAL META</t>
        </is>
      </c>
      <c r="F151" s="7" t="inlineStr">
        <is>
          <t>VILLAVICENCIO</t>
        </is>
      </c>
      <c r="G151" s="7" t="inlineStr">
        <is>
          <t>VIRTUAL</t>
        </is>
      </c>
      <c r="H151" s="7" t="inlineStr">
        <is>
          <t>DOC ASIS/N/V/TC/ADMIN PUBLICA/FUN.ACADE-ADMIN</t>
        </is>
      </c>
      <c r="I151" s="7" t="inlineStr">
        <is>
          <t>ADMINISTRACION PUBLICA</t>
        </is>
      </c>
      <c r="J151" s="7" t="inlineStr">
        <is>
          <t>PLANTA</t>
        </is>
      </c>
      <c r="K151" s="7" t="inlineStr">
        <is>
          <t>MARTHA SANCHEZ</t>
        </is>
      </c>
      <c r="L151" s="7" t="inlineStr">
        <is>
          <t>CONFIRMADO VIRTUAL</t>
        </is>
      </c>
      <c r="M151" s="7" t="n">
        <v/>
      </c>
      <c r="N151" s="7" t="n">
        <v>3112712318</v>
      </c>
      <c r="O151" s="7" t="inlineStr">
        <is>
          <t>dianagaitanh@gmail.com</t>
        </is>
      </c>
      <c r="P151" s="7" t="inlineStr">
        <is>
          <t>VILLAVICENCIO SEDE</t>
        </is>
      </c>
      <c r="Q151" s="7" t="inlineStr">
        <is>
          <t>NEGOCIOS</t>
        </is>
      </c>
      <c r="R151" s="7" t="n">
        <v/>
      </c>
    </row>
    <row r="152" ht="20" customHeight="1">
      <c r="A152" s="3" t="inlineStr">
        <is>
          <t>1030565663</t>
        </is>
      </c>
      <c r="B152" s="4" t="inlineStr">
        <is>
          <t>PRESENCIAL BOGOTÁ</t>
        </is>
      </c>
      <c r="C152" s="4" t="inlineStr">
        <is>
          <t>NATALIA PEÑALOZA ROA</t>
        </is>
      </c>
      <c r="D152" s="4" t="inlineStr">
        <is>
          <t>OPERACIONES</t>
        </is>
      </c>
      <c r="E152" s="4" t="inlineStr">
        <is>
          <t>REGIONAL BOGOTA</t>
        </is>
      </c>
      <c r="F152" s="4" t="inlineStr">
        <is>
          <t>BOGOTA CENTRO</t>
        </is>
      </c>
      <c r="G152" s="4" t="inlineStr">
        <is>
          <t>VIRTUAL</t>
        </is>
      </c>
      <c r="H152" s="4" t="inlineStr">
        <is>
          <t>DOC AUX/N/V/TC/ADMIN PUBLICA/FUN.ACADE-ADMIN</t>
        </is>
      </c>
      <c r="I152" s="4" t="inlineStr">
        <is>
          <t>ADMINISTRACION PUBLICA</t>
        </is>
      </c>
      <c r="J152" s="4" t="inlineStr">
        <is>
          <t>PLANTA</t>
        </is>
      </c>
      <c r="K152" s="4" t="inlineStr">
        <is>
          <t>MARTHA SANCHEZ</t>
        </is>
      </c>
      <c r="L152" s="4" t="inlineStr">
        <is>
          <t>CONFIRMADO PRESENCIAL</t>
        </is>
      </c>
      <c r="M152" s="4" t="n">
        <v/>
      </c>
      <c r="N152" s="4" t="n">
        <v>3212638244</v>
      </c>
      <c r="O152" s="4" t="inlineStr">
        <is>
          <t>nataliapenalozar@gmail.com</t>
        </is>
      </c>
      <c r="P152" s="4" t="inlineStr">
        <is>
          <t>BTA SEDE A</t>
        </is>
      </c>
      <c r="Q152" s="4" t="inlineStr">
        <is>
          <t>NEGOCIOS</t>
        </is>
      </c>
      <c r="R152" s="4" t="n">
        <v>200</v>
      </c>
    </row>
    <row r="153" ht="20" customHeight="1">
      <c r="A153" s="6" t="inlineStr">
        <is>
          <t>53123840</t>
        </is>
      </c>
      <c r="B153" s="7" t="inlineStr">
        <is>
          <t>PRESENCIAL BOGOTÁ</t>
        </is>
      </c>
      <c r="C153" s="7" t="inlineStr">
        <is>
          <t>MARIA FERNANDA ARCINIEGAS CHAVEZ</t>
        </is>
      </c>
      <c r="D153" s="7" t="inlineStr">
        <is>
          <t>OPERACIONES</t>
        </is>
      </c>
      <c r="E153" s="7" t="inlineStr">
        <is>
          <t>REGIONAL BOGOTA</t>
        </is>
      </c>
      <c r="F153" s="7" t="inlineStr">
        <is>
          <t>BOGOTA CENTRO</t>
        </is>
      </c>
      <c r="G153" s="7" t="inlineStr">
        <is>
          <t>VIRTUAL</t>
        </is>
      </c>
      <c r="H153" s="7" t="inlineStr">
        <is>
          <t>DOC ASIS/N/V/TC/ADMIN PUBLICA/FUN.ACADE-ADMIN</t>
        </is>
      </c>
      <c r="I153" s="7" t="inlineStr">
        <is>
          <t>ADMINISTRACION PUBLICA</t>
        </is>
      </c>
      <c r="J153" s="7" t="inlineStr">
        <is>
          <t>PLANTA</t>
        </is>
      </c>
      <c r="K153" s="7" t="inlineStr">
        <is>
          <t>MARTHA SANCHEZ</t>
        </is>
      </c>
      <c r="L153" s="7" t="inlineStr">
        <is>
          <t>CONFIRMADO PRESENCIAL</t>
        </is>
      </c>
      <c r="M153" s="7" t="n">
        <v/>
      </c>
      <c r="N153" s="7" t="n">
        <v>3138830976</v>
      </c>
      <c r="O153" s="7" t="inlineStr">
        <is>
          <t>fernandaarciniegasch@gmail.com</t>
        </is>
      </c>
      <c r="P153" s="7" t="inlineStr">
        <is>
          <t>BTA SEDE A</t>
        </is>
      </c>
      <c r="Q153" s="7" t="inlineStr">
        <is>
          <t>NEGOCIOS</t>
        </is>
      </c>
      <c r="R153" s="7" t="n">
        <v>200</v>
      </c>
    </row>
    <row r="154" ht="20" customHeight="1">
      <c r="A154" s="3" t="inlineStr">
        <is>
          <t>1121838723</t>
        </is>
      </c>
      <c r="B154" s="4" t="inlineStr">
        <is>
          <t>PRESENCIAL BOGOTÁ</t>
        </is>
      </c>
      <c r="C154" s="4" t="inlineStr">
        <is>
          <t>YAMILE RODRIGUEZ URUEÑA</t>
        </is>
      </c>
      <c r="D154" s="4" t="inlineStr">
        <is>
          <t>OPERACIONES</t>
        </is>
      </c>
      <c r="E154" s="4" t="inlineStr">
        <is>
          <t>REGIONAL BOGOTA</t>
        </is>
      </c>
      <c r="F154" s="4" t="inlineStr">
        <is>
          <t>BOGOTA CENTRO</t>
        </is>
      </c>
      <c r="G154" s="4" t="inlineStr">
        <is>
          <t>VIRTUAL</t>
        </is>
      </c>
      <c r="H154" s="4" t="inlineStr">
        <is>
          <t>DOC ASIS/N/V/MT/ADMIN PUBLICA</t>
        </is>
      </c>
      <c r="I154" s="4" t="inlineStr">
        <is>
          <t>ADMINISTRACION PUBLICA</t>
        </is>
      </c>
      <c r="J154" s="4" t="inlineStr">
        <is>
          <t>PLANTA</t>
        </is>
      </c>
      <c r="K154" s="4" t="inlineStr">
        <is>
          <t>MARTHA SANCHEZ</t>
        </is>
      </c>
      <c r="L154" s="4" t="inlineStr">
        <is>
          <t>SIN RESPUESTA</t>
        </is>
      </c>
      <c r="M154" s="4" t="inlineStr">
        <is>
          <t>No contesta</t>
        </is>
      </c>
      <c r="N154" s="4" t="n">
        <v>3125107978</v>
      </c>
      <c r="O154" s="4" t="inlineStr">
        <is>
          <t>sandrayami14@gmail.com</t>
        </is>
      </c>
      <c r="P154" s="4" t="inlineStr">
        <is>
          <t>BTA SEDE A</t>
        </is>
      </c>
      <c r="Q154" s="4" t="inlineStr">
        <is>
          <t>NEGOCIOS</t>
        </is>
      </c>
      <c r="R154" s="4" t="n">
        <v>200</v>
      </c>
    </row>
    <row r="155" ht="20" customHeight="1">
      <c r="A155" s="6" t="inlineStr">
        <is>
          <t>1030585442</t>
        </is>
      </c>
      <c r="B155" s="7" t="inlineStr">
        <is>
          <t>PRESENCIAL BOGOTÁ</t>
        </is>
      </c>
      <c r="C155" s="7" t="inlineStr">
        <is>
          <t>LAURA JIMENA BUITRAGO DUARTE</t>
        </is>
      </c>
      <c r="D155" s="7" t="inlineStr">
        <is>
          <t>OPERACIONES</t>
        </is>
      </c>
      <c r="E155" s="7" t="inlineStr">
        <is>
          <t>REGIONAL BOGOTA</t>
        </is>
      </c>
      <c r="F155" s="7" t="inlineStr">
        <is>
          <t>BOGOTA CENTRO</t>
        </is>
      </c>
      <c r="G155" s="7" t="inlineStr">
        <is>
          <t>VIRTUAL</t>
        </is>
      </c>
      <c r="H155" s="7" t="inlineStr">
        <is>
          <t>DOC ASOC/N/V/TC/ADMIN PUBLICA/FUN.ACADE-ADMIN</t>
        </is>
      </c>
      <c r="I155" s="7" t="inlineStr">
        <is>
          <t>ADMINISTRACION PUBLICA</t>
        </is>
      </c>
      <c r="J155" s="7" t="inlineStr">
        <is>
          <t>PLANTA</t>
        </is>
      </c>
      <c r="K155" s="7" t="inlineStr">
        <is>
          <t>MARTHA SANCHEZ</t>
        </is>
      </c>
      <c r="L155" s="7" t="inlineStr">
        <is>
          <t>SIN RESPUESTA</t>
        </is>
      </c>
      <c r="M155" s="7" t="inlineStr">
        <is>
          <t>No contesta</t>
        </is>
      </c>
      <c r="N155" s="7" t="n">
        <v>3174357500</v>
      </c>
      <c r="O155" s="7" t="inlineStr">
        <is>
          <t>jimenabuitrago.d@gmail.com</t>
        </is>
      </c>
      <c r="P155" s="7" t="inlineStr">
        <is>
          <t>BTA SEDE A</t>
        </is>
      </c>
      <c r="Q155" s="7" t="inlineStr">
        <is>
          <t>NEGOCIOS</t>
        </is>
      </c>
      <c r="R155" s="7" t="n">
        <v>200</v>
      </c>
    </row>
    <row r="156" ht="20" customHeight="1">
      <c r="A156" s="3" t="inlineStr">
        <is>
          <t>1096212070</t>
        </is>
      </c>
      <c r="B156" s="4" t="inlineStr">
        <is>
          <t>PRESENCIAL BOGOTÁ</t>
        </is>
      </c>
      <c r="C156" s="4" t="inlineStr">
        <is>
          <t>NADYA MARCELA PEÑA PACHECO</t>
        </is>
      </c>
      <c r="D156" s="4" t="inlineStr">
        <is>
          <t>OPERACIONES</t>
        </is>
      </c>
      <c r="E156" s="4" t="inlineStr">
        <is>
          <t>REGIONAL BOGOTA</t>
        </is>
      </c>
      <c r="F156" s="4" t="inlineStr">
        <is>
          <t>BOGOTA CENTRO</t>
        </is>
      </c>
      <c r="G156" s="4" t="inlineStr">
        <is>
          <t>VIRTUAL</t>
        </is>
      </c>
      <c r="H156" s="4" t="inlineStr">
        <is>
          <t>DOC AUX/N/V/TC/ADMIN PUBLICA/PROYECC SOC</t>
        </is>
      </c>
      <c r="I156" s="4" t="inlineStr">
        <is>
          <t>ADMINISTRACION PUBLICA</t>
        </is>
      </c>
      <c r="J156" s="4" t="inlineStr">
        <is>
          <t>PLANTA</t>
        </is>
      </c>
      <c r="K156" s="4" t="inlineStr">
        <is>
          <t>MARTHA SANCHEZ</t>
        </is>
      </c>
      <c r="L156" s="4" t="inlineStr">
        <is>
          <t>CONFIRMADO PRESENCIAL</t>
        </is>
      </c>
      <c r="M156" s="4" t="n">
        <v/>
      </c>
      <c r="N156" s="4" t="n">
        <v>3166106045</v>
      </c>
      <c r="O156" s="4" t="inlineStr">
        <is>
          <t>lunadya2525@gmail.com</t>
        </is>
      </c>
      <c r="P156" s="4" t="inlineStr">
        <is>
          <t>BTA SEDE A</t>
        </is>
      </c>
      <c r="Q156" s="4" t="inlineStr">
        <is>
          <t>NEGOCIOS</t>
        </is>
      </c>
      <c r="R156" s="4" t="n">
        <v>200</v>
      </c>
    </row>
    <row r="157" ht="20" customHeight="1">
      <c r="A157" s="6" t="inlineStr">
        <is>
          <t>1026281005</t>
        </is>
      </c>
      <c r="B157" s="7" t="inlineStr">
        <is>
          <t>PRESENCIAL BOGOTÁ</t>
        </is>
      </c>
      <c r="C157" s="7" t="inlineStr">
        <is>
          <t>NIKY AXEL CASTAÑO VARGAS</t>
        </is>
      </c>
      <c r="D157" s="7" t="inlineStr">
        <is>
          <t>OPERACIONES</t>
        </is>
      </c>
      <c r="E157" s="7" t="inlineStr">
        <is>
          <t>REGIONAL BOGOTA</t>
        </is>
      </c>
      <c r="F157" s="7" t="inlineStr">
        <is>
          <t>BOGOTA CENTRO</t>
        </is>
      </c>
      <c r="G157" s="7" t="inlineStr">
        <is>
          <t>VIRTUAL</t>
        </is>
      </c>
      <c r="H157" s="7" t="inlineStr">
        <is>
          <t>DOC AUX/N/V/TC/ADMIN PUBLICA/FUN.ACADE-ADMIN</t>
        </is>
      </c>
      <c r="I157" s="7" t="inlineStr">
        <is>
          <t>ADMINISTRACION PUBLICA</t>
        </is>
      </c>
      <c r="J157" s="7" t="inlineStr">
        <is>
          <t>PLANTA</t>
        </is>
      </c>
      <c r="K157" s="7" t="inlineStr">
        <is>
          <t>MARTHA SANCHEZ</t>
        </is>
      </c>
      <c r="L157" s="7" t="inlineStr">
        <is>
          <t>CONFIRMADO PRESENCIAL</t>
        </is>
      </c>
      <c r="M157" s="7" t="n">
        <v/>
      </c>
      <c r="N157" s="7" t="n">
        <v>3133080503</v>
      </c>
      <c r="O157" s="7" t="inlineStr">
        <is>
          <t>niky9axel@gmail.com</t>
        </is>
      </c>
      <c r="P157" s="7" t="inlineStr">
        <is>
          <t>BTA SEDE A</t>
        </is>
      </c>
      <c r="Q157" s="7" t="inlineStr">
        <is>
          <t>NEGOCIOS</t>
        </is>
      </c>
      <c r="R157" s="7" t="n">
        <v>200</v>
      </c>
    </row>
    <row r="158" ht="20" customHeight="1">
      <c r="A158" s="3" t="inlineStr">
        <is>
          <t>79835577</t>
        </is>
      </c>
      <c r="B158" s="4" t="inlineStr">
        <is>
          <t>PRESENCIAL BOGOTÁ</t>
        </is>
      </c>
      <c r="C158" s="4" t="inlineStr">
        <is>
          <t>GILBER GIOVANNY VALERO BUITRAGO</t>
        </is>
      </c>
      <c r="D158" s="4" t="inlineStr">
        <is>
          <t>OPERACIONES</t>
        </is>
      </c>
      <c r="E158" s="4" t="inlineStr">
        <is>
          <t>REGIONAL BOGOTA</t>
        </is>
      </c>
      <c r="F158" s="4" t="inlineStr">
        <is>
          <t>BOGOTA CENTRO</t>
        </is>
      </c>
      <c r="G158" s="4" t="inlineStr">
        <is>
          <t>VIRTUAL</t>
        </is>
      </c>
      <c r="H158" s="4" t="inlineStr">
        <is>
          <t>DOC ASIS/N/V/TC/ADMIN PUBLICA/FUN.ACADE-ADMIN</t>
        </is>
      </c>
      <c r="I158" s="4" t="inlineStr">
        <is>
          <t>ADMINISTRACION PUBLICA</t>
        </is>
      </c>
      <c r="J158" s="4" t="inlineStr">
        <is>
          <t>PLANTA</t>
        </is>
      </c>
      <c r="K158" s="4" t="inlineStr">
        <is>
          <t>MARTHA SANCHEZ</t>
        </is>
      </c>
      <c r="L158" s="4" t="inlineStr">
        <is>
          <t>CONFIRMADO PRESENCIAL</t>
        </is>
      </c>
      <c r="M158" s="4" t="n">
        <v/>
      </c>
      <c r="N158" s="4" t="n">
        <v>3188366545</v>
      </c>
      <c r="O158" s="4" t="inlineStr">
        <is>
          <t>giovannyvalero1978@gmail.com</t>
        </is>
      </c>
      <c r="P158" s="4" t="inlineStr">
        <is>
          <t>BTA SEDE A</t>
        </is>
      </c>
      <c r="Q158" s="4" t="inlineStr">
        <is>
          <t>NEGOCIOS</t>
        </is>
      </c>
      <c r="R158" s="4" t="n">
        <v>200</v>
      </c>
    </row>
    <row r="159" ht="20" customHeight="1">
      <c r="A159" s="6" t="inlineStr">
        <is>
          <t>1016020708</t>
        </is>
      </c>
      <c r="B159" s="7" t="inlineStr">
        <is>
          <t>PRESENCIAL BOGOTÁ</t>
        </is>
      </c>
      <c r="C159" s="7" t="inlineStr">
        <is>
          <t>DIANA PILAR GARCIA HUERFANO</t>
        </is>
      </c>
      <c r="D159" s="7" t="inlineStr">
        <is>
          <t>OPERACIONES</t>
        </is>
      </c>
      <c r="E159" s="7" t="inlineStr">
        <is>
          <t>REGIONAL BOGOTA</t>
        </is>
      </c>
      <c r="F159" s="7" t="inlineStr">
        <is>
          <t>BOGOTA CENTRO</t>
        </is>
      </c>
      <c r="G159" s="7" t="inlineStr">
        <is>
          <t>VIRTUAL</t>
        </is>
      </c>
      <c r="H159" s="7" t="inlineStr">
        <is>
          <t>DOC ASIS/N/V/TC/ADMIN PUBLICA/FUN.ACADE-ADMIN</t>
        </is>
      </c>
      <c r="I159" s="7" t="inlineStr">
        <is>
          <t>ADMINISTRACION PUBLICA</t>
        </is>
      </c>
      <c r="J159" s="7" t="inlineStr">
        <is>
          <t>PLANTA</t>
        </is>
      </c>
      <c r="K159" s="7" t="inlineStr">
        <is>
          <t>MARTHA SANCHEZ</t>
        </is>
      </c>
      <c r="L159" s="7" t="inlineStr">
        <is>
          <t>SIN RESPUESTA</t>
        </is>
      </c>
      <c r="M159" s="7" t="inlineStr">
        <is>
          <t>No contesta</t>
        </is>
      </c>
      <c r="N159" s="7" t="n">
        <v>3212056914</v>
      </c>
      <c r="O159" s="7" t="inlineStr">
        <is>
          <t>dpilargarciah@gmail.com</t>
        </is>
      </c>
      <c r="P159" s="7" t="inlineStr">
        <is>
          <t>BTA SEDE A</t>
        </is>
      </c>
      <c r="Q159" s="7" t="inlineStr">
        <is>
          <t>NEGOCIOS</t>
        </is>
      </c>
      <c r="R159" s="7" t="n">
        <v>200</v>
      </c>
    </row>
    <row r="160" ht="20" customHeight="1">
      <c r="A160" s="3" t="inlineStr">
        <is>
          <t>53081743</t>
        </is>
      </c>
      <c r="B160" s="4" t="inlineStr">
        <is>
          <t>VIRTUAL</t>
        </is>
      </c>
      <c r="C160" s="4" t="inlineStr">
        <is>
          <t>VIVIANA CATALINA CAÑAS LEAL</t>
        </is>
      </c>
      <c r="D160" s="4" t="inlineStr">
        <is>
          <t>OPERACIONES</t>
        </is>
      </c>
      <c r="E160" s="4" t="inlineStr">
        <is>
          <t>REGIONAL BOGOTA</t>
        </is>
      </c>
      <c r="F160" s="4" t="inlineStr">
        <is>
          <t>BOGOTA CENTRO</t>
        </is>
      </c>
      <c r="G160" s="4" t="inlineStr">
        <is>
          <t>VIRTUAL</t>
        </is>
      </c>
      <c r="H160" s="4" t="inlineStr">
        <is>
          <t>DOC AUX/N/V/MT/ADMIN PUBLICA</t>
        </is>
      </c>
      <c r="I160" s="4" t="inlineStr">
        <is>
          <t>ADMINISTRACION PUBLICA</t>
        </is>
      </c>
      <c r="J160" s="4" t="inlineStr">
        <is>
          <t>PLANTA</t>
        </is>
      </c>
      <c r="K160" s="4" t="inlineStr">
        <is>
          <t>MARTHA SANCHEZ</t>
        </is>
      </c>
      <c r="L160" s="4" t="inlineStr">
        <is>
          <t>CONFIRMADO VIRTUAL</t>
        </is>
      </c>
      <c r="M160" s="4" t="inlineStr">
        <is>
          <t>No está en Bogotá</t>
        </is>
      </c>
      <c r="N160" s="4" t="n">
        <v>3005618838</v>
      </c>
      <c r="O160" s="4" t="inlineStr">
        <is>
          <t>vivianacanas12@gmail.com</t>
        </is>
      </c>
      <c r="P160" s="4" t="inlineStr">
        <is>
          <t>BTA SEDE A</t>
        </is>
      </c>
      <c r="Q160" s="4" t="inlineStr">
        <is>
          <t>NEGOCIOS</t>
        </is>
      </c>
      <c r="R160" s="4" t="n">
        <v>200</v>
      </c>
    </row>
    <row r="161" ht="20" customHeight="1">
      <c r="A161" s="6" t="inlineStr">
        <is>
          <t>1094923793</t>
        </is>
      </c>
      <c r="B161" s="7" t="inlineStr">
        <is>
          <t>VIRTUAL</t>
        </is>
      </c>
      <c r="C161" s="7" t="inlineStr">
        <is>
          <t>ANDRES FELIPE FERNANDEZ PATIÑO</t>
        </is>
      </c>
      <c r="D161" s="7" t="inlineStr">
        <is>
          <t>OPERACIONES</t>
        </is>
      </c>
      <c r="E161" s="7" t="inlineStr">
        <is>
          <t>REGIONAL VALLE DELCAUCA</t>
        </is>
      </c>
      <c r="F161" s="7" t="inlineStr">
        <is>
          <t>BUENAVENTURA</t>
        </is>
      </c>
      <c r="G161" s="7" t="inlineStr">
        <is>
          <t>VIRTUAL</t>
        </is>
      </c>
      <c r="H161" s="7" t="inlineStr">
        <is>
          <t>DOC ASOC/N/V/TC/ADMIN PUBLICA/FUN.ACADE-ADMIN</t>
        </is>
      </c>
      <c r="I161" s="7" t="inlineStr">
        <is>
          <t>ADMINISTRACION PUBLICA</t>
        </is>
      </c>
      <c r="J161" s="7" t="inlineStr">
        <is>
          <t>PLANTA</t>
        </is>
      </c>
      <c r="K161" s="7" t="inlineStr">
        <is>
          <t>MARTHA SANCHEZ</t>
        </is>
      </c>
      <c r="L161" s="7" t="inlineStr">
        <is>
          <t>CONFIRMADO VIRTUAL</t>
        </is>
      </c>
      <c r="M161" s="7" t="n">
        <v/>
      </c>
      <c r="N161" s="7" t="n">
        <v>3014180013</v>
      </c>
      <c r="O161" s="7" t="inlineStr">
        <is>
          <t>FERNANDEZFELIPE896@GMAIL.COM</t>
        </is>
      </c>
      <c r="P161" s="7" t="inlineStr">
        <is>
          <t>BUENAVENTURA SEDE</t>
        </is>
      </c>
      <c r="Q161" s="7" t="inlineStr">
        <is>
          <t>NEGOCIOS</t>
        </is>
      </c>
      <c r="R161" s="7" t="n">
        <v/>
      </c>
    </row>
    <row r="162" ht="20" customHeight="1">
      <c r="A162" s="3" t="inlineStr">
        <is>
          <t>1022401925</t>
        </is>
      </c>
      <c r="B162" s="4" t="inlineStr">
        <is>
          <t>PRESENCIAL BOGOTÁ</t>
        </is>
      </c>
      <c r="C162" s="4" t="inlineStr">
        <is>
          <t>DAVID ANDRES DUEÑAS ROCHA</t>
        </is>
      </c>
      <c r="D162" s="4" t="inlineStr">
        <is>
          <t>OPERACIONES</t>
        </is>
      </c>
      <c r="E162" s="4" t="inlineStr">
        <is>
          <t>REGIONAL BOGOTA</t>
        </is>
      </c>
      <c r="F162" s="4" t="inlineStr">
        <is>
          <t>BOGOTA CENTRO</t>
        </is>
      </c>
      <c r="G162" s="4" t="inlineStr">
        <is>
          <t>PRESENCIAL</t>
        </is>
      </c>
      <c r="H162" s="4" t="inlineStr">
        <is>
          <t>DOCENTE AUX/N/TC/ADM TUR Y HOT/FUN.ACADE-ADMIN</t>
        </is>
      </c>
      <c r="I162" s="4" t="inlineStr">
        <is>
          <t>ADMINISTRACION TURISTICA Y HOTELERA</t>
        </is>
      </c>
      <c r="J162" s="4" t="inlineStr">
        <is>
          <t>PLANTA</t>
        </is>
      </c>
      <c r="K162" s="4" t="inlineStr">
        <is>
          <t>CAMILO VARGAS</t>
        </is>
      </c>
      <c r="L162" s="4" t="inlineStr">
        <is>
          <t>CONFIRMADO PRESENCIAL</t>
        </is>
      </c>
      <c r="M162" s="4" t="n">
        <v/>
      </c>
      <c r="N162" s="4" t="n">
        <v>3138957916</v>
      </c>
      <c r="O162" s="4" t="inlineStr">
        <is>
          <t>david.duenasrocha@gmail.com</t>
        </is>
      </c>
      <c r="P162" s="4" t="inlineStr">
        <is>
          <t>BTA SEDE G</t>
        </is>
      </c>
      <c r="Q162" s="4" t="inlineStr">
        <is>
          <t>NEGOCIOS</t>
        </is>
      </c>
      <c r="R162" s="4" t="n">
        <v>200</v>
      </c>
    </row>
    <row r="163" ht="20" customHeight="1">
      <c r="A163" s="6" t="inlineStr">
        <is>
          <t>76313584</t>
        </is>
      </c>
      <c r="B163" s="7" t="inlineStr">
        <is>
          <t>PRESENCIAL BOGOTÁ</t>
        </is>
      </c>
      <c r="C163" s="7" t="inlineStr">
        <is>
          <t>RAUL ARVEY AGUDELO RESTREPO</t>
        </is>
      </c>
      <c r="D163" s="7" t="inlineStr">
        <is>
          <t>OPERACIONES</t>
        </is>
      </c>
      <c r="E163" s="7" t="inlineStr">
        <is>
          <t>REGIONAL BOGOTA</t>
        </is>
      </c>
      <c r="F163" s="7" t="inlineStr">
        <is>
          <t>BOGOTA CENTRO</t>
        </is>
      </c>
      <c r="G163" s="7" t="inlineStr">
        <is>
          <t>VIRTUAL</t>
        </is>
      </c>
      <c r="H163" s="7" t="inlineStr">
        <is>
          <t>DOC ASIS/N/V/TC/CIENCIAS BASI/PROYECTOS AC</t>
        </is>
      </c>
      <c r="I163" s="7" t="inlineStr">
        <is>
          <t>CIENCIAS BASICAS</t>
        </is>
      </c>
      <c r="J163" s="7" t="inlineStr">
        <is>
          <t>PLANTA</t>
        </is>
      </c>
      <c r="K163" s="7" t="inlineStr">
        <is>
          <t>CAMILO VARGAS</t>
        </is>
      </c>
      <c r="L163" s="7" t="inlineStr">
        <is>
          <t>CONFIRMADO PRESENCIAL</t>
        </is>
      </c>
      <c r="M163" s="7" t="n">
        <v/>
      </c>
      <c r="N163" s="7" t="n">
        <v>3104768799</v>
      </c>
      <c r="O163" s="7" t="inlineStr">
        <is>
          <t>raularveya@gmail.com</t>
        </is>
      </c>
      <c r="P163" s="7" t="inlineStr">
        <is>
          <t>BTA SEDE F</t>
        </is>
      </c>
      <c r="Q163" s="7" t="inlineStr">
        <is>
          <t>TRANSVERSALES</t>
        </is>
      </c>
      <c r="R163" s="7" t="n">
        <v>700</v>
      </c>
    </row>
    <row r="164" ht="20" customHeight="1">
      <c r="A164" s="3" t="inlineStr">
        <is>
          <t>79698810</t>
        </is>
      </c>
      <c r="B164" s="4" t="inlineStr">
        <is>
          <t>PRESENCIAL BOGOTÁ</t>
        </is>
      </c>
      <c r="C164" s="4" t="inlineStr">
        <is>
          <t>RAFAEL ALFONSO DIAZ DIAZ</t>
        </is>
      </c>
      <c r="D164" s="4" t="inlineStr">
        <is>
          <t>OPERACIONES</t>
        </is>
      </c>
      <c r="E164" s="4" t="inlineStr">
        <is>
          <t>REGIONAL BOGOTA</t>
        </is>
      </c>
      <c r="F164" s="4" t="inlineStr">
        <is>
          <t>BOGOTA CENTRO</t>
        </is>
      </c>
      <c r="G164" s="4" t="inlineStr">
        <is>
          <t>PRESENCIAL</t>
        </is>
      </c>
      <c r="H164" s="4" t="inlineStr">
        <is>
          <t>DOCENTE AUX/N/TC/CIEN BASI/FUN.ACADE-ADMIN</t>
        </is>
      </c>
      <c r="I164" s="4" t="inlineStr">
        <is>
          <t>CIENCIAS BASICAS</t>
        </is>
      </c>
      <c r="J164" s="4" t="inlineStr">
        <is>
          <t>PLANTA</t>
        </is>
      </c>
      <c r="K164" s="4" t="inlineStr">
        <is>
          <t>CAMILO VARGAS</t>
        </is>
      </c>
      <c r="L164" s="4" t="inlineStr">
        <is>
          <t>CONFIRMADO PRESENCIAL</t>
        </is>
      </c>
      <c r="M164" s="4" t="n">
        <v/>
      </c>
      <c r="N164" s="4" t="n">
        <v>3143938775</v>
      </c>
      <c r="O164" s="4" t="inlineStr">
        <is>
          <t>radiaz37@yahoo.com</t>
        </is>
      </c>
      <c r="P164" s="4" t="inlineStr">
        <is>
          <t>BTA SEDE D</t>
        </is>
      </c>
      <c r="Q164" s="4" t="inlineStr">
        <is>
          <t>TRANSVERSALES</t>
        </is>
      </c>
      <c r="R164" s="4" t="n">
        <v>700</v>
      </c>
    </row>
    <row r="165" ht="20" customHeight="1">
      <c r="A165" s="6" t="inlineStr">
        <is>
          <t>52276496</t>
        </is>
      </c>
      <c r="B165" s="7" t="inlineStr">
        <is>
          <t>PRESENCIAL BOGOTÁ</t>
        </is>
      </c>
      <c r="C165" s="7" t="inlineStr">
        <is>
          <t>LILIANA IBAGON ROJAS</t>
        </is>
      </c>
      <c r="D165" s="7" t="inlineStr">
        <is>
          <t>OPERACIONES</t>
        </is>
      </c>
      <c r="E165" s="7" t="inlineStr">
        <is>
          <t>REGIONAL BOGOTA</t>
        </is>
      </c>
      <c r="F165" s="7" t="inlineStr">
        <is>
          <t>BOGOTA CENTRO</t>
        </is>
      </c>
      <c r="G165" s="7" t="inlineStr">
        <is>
          <t>VIRTUAL</t>
        </is>
      </c>
      <c r="H165" s="7" t="inlineStr">
        <is>
          <t>DOC ASIS/N/V/TC/CIENCIAS BASI/FUN.ACADE-ADMIN</t>
        </is>
      </c>
      <c r="I165" s="7" t="inlineStr">
        <is>
          <t>CIENCIAS BASICAS</t>
        </is>
      </c>
      <c r="J165" s="7" t="inlineStr">
        <is>
          <t>PLANTA</t>
        </is>
      </c>
      <c r="K165" s="7" t="inlineStr">
        <is>
          <t>CAMILO VARGAS</t>
        </is>
      </c>
      <c r="L165" s="7" t="inlineStr">
        <is>
          <t>CONFIRMADO PRESENCIAL</t>
        </is>
      </c>
      <c r="M165" s="7" t="n">
        <v/>
      </c>
      <c r="N165" s="7" t="n">
        <v>3153603386</v>
      </c>
      <c r="O165" s="7" t="inlineStr">
        <is>
          <t>liliana.ibagonr@gmail.com</t>
        </is>
      </c>
      <c r="P165" s="7" t="inlineStr">
        <is>
          <t>BTA SEDE A</t>
        </is>
      </c>
      <c r="Q165" s="7" t="inlineStr">
        <is>
          <t>TRANSVERSALES</t>
        </is>
      </c>
      <c r="R165" s="7" t="n">
        <v>700</v>
      </c>
    </row>
    <row r="166" ht="20" customHeight="1">
      <c r="A166" s="3" t="inlineStr">
        <is>
          <t>80738987</t>
        </is>
      </c>
      <c r="B166" s="4" t="inlineStr">
        <is>
          <t>PRESENCIAL BOGOTÁ</t>
        </is>
      </c>
      <c r="C166" s="4" t="inlineStr">
        <is>
          <t>NESTOR IVAN FLOREZ VIZCAINO</t>
        </is>
      </c>
      <c r="D166" s="4" t="inlineStr">
        <is>
          <t>OPERACIONES</t>
        </is>
      </c>
      <c r="E166" s="4" t="inlineStr">
        <is>
          <t>REGIONAL BOGOTA</t>
        </is>
      </c>
      <c r="F166" s="4" t="inlineStr">
        <is>
          <t>BOGOTA SUR</t>
        </is>
      </c>
      <c r="G166" s="4" t="inlineStr">
        <is>
          <t>PRESENCIAL</t>
        </is>
      </c>
      <c r="H166" s="4" t="inlineStr">
        <is>
          <t>DOCENTE ASIS/N/MT/CIEN BASI</t>
        </is>
      </c>
      <c r="I166" s="4" t="inlineStr">
        <is>
          <t>CIENCIAS BASICAS</t>
        </is>
      </c>
      <c r="J166" s="4" t="inlineStr">
        <is>
          <t>PLANTA</t>
        </is>
      </c>
      <c r="K166" s="4" t="inlineStr">
        <is>
          <t>CAMILO VARGAS</t>
        </is>
      </c>
      <c r="L166" s="4" t="inlineStr">
        <is>
          <t>SIN RESPUESTA</t>
        </is>
      </c>
      <c r="M166" s="4" t="inlineStr">
        <is>
          <t>Número sin servicio</t>
        </is>
      </c>
      <c r="N166" s="4" t="n">
        <v>3226839605</v>
      </c>
      <c r="O166" s="4" t="inlineStr">
        <is>
          <t>nesflorez997@gmail.com</t>
        </is>
      </c>
      <c r="P166" s="4" t="inlineStr">
        <is>
          <t>BTA SEDE SUR</t>
        </is>
      </c>
      <c r="Q166" s="4" t="inlineStr">
        <is>
          <t>TRANSVERSALES</t>
        </is>
      </c>
      <c r="R166" s="4" t="n">
        <v>700</v>
      </c>
    </row>
    <row r="167" ht="20" customHeight="1">
      <c r="A167" s="6" t="inlineStr">
        <is>
          <t>1126430300</t>
        </is>
      </c>
      <c r="B167" s="7" t="inlineStr">
        <is>
          <t>PRESENCIAL REGIONAL</t>
        </is>
      </c>
      <c r="C167" s="7" t="inlineStr">
        <is>
          <t>MILEIBITH KARINA SIERRA FIGUEROA</t>
        </is>
      </c>
      <c r="D167" s="7" t="inlineStr">
        <is>
          <t>OPERACIONES</t>
        </is>
      </c>
      <c r="E167" s="7" t="inlineStr">
        <is>
          <t>REGIONAL TOLIMA</t>
        </is>
      </c>
      <c r="F167" s="7" t="inlineStr">
        <is>
          <t>IBAGUÉ</t>
        </is>
      </c>
      <c r="G167" s="7" t="inlineStr">
        <is>
          <t>PRESENCIAL</t>
        </is>
      </c>
      <c r="H167" s="7" t="inlineStr">
        <is>
          <t>DOC AUX T&amp;T/N/TC/CIEN BASI/FUN.ACADE-ADMIN</t>
        </is>
      </c>
      <c r="I167" s="7" t="inlineStr">
        <is>
          <t>CIENCIAS BASICAS</t>
        </is>
      </c>
      <c r="J167" s="7" t="inlineStr">
        <is>
          <t>PLANTA</t>
        </is>
      </c>
      <c r="K167" s="7" t="inlineStr">
        <is>
          <t>CAMILO VARGAS</t>
        </is>
      </c>
      <c r="L167" s="7" t="inlineStr">
        <is>
          <t>CONFIRMADO PRESENCIAL</t>
        </is>
      </c>
      <c r="M167" s="7" t="n">
        <v/>
      </c>
      <c r="N167" s="7" t="n">
        <v>3132186878</v>
      </c>
      <c r="O167" s="7" t="inlineStr">
        <is>
          <t>milefigo.22@gmail.com</t>
        </is>
      </c>
      <c r="P167" s="7" t="inlineStr">
        <is>
          <t>IBAGUE SEDE</t>
        </is>
      </c>
      <c r="Q167" s="7" t="inlineStr">
        <is>
          <t>TRANSVERSALES</t>
        </is>
      </c>
      <c r="R167" s="7" t="n">
        <v/>
      </c>
    </row>
    <row r="168" ht="20" customHeight="1">
      <c r="A168" s="3" t="inlineStr">
        <is>
          <t>93380038</t>
        </is>
      </c>
      <c r="B168" s="4" t="inlineStr">
        <is>
          <t>PRESENCIAL REGIONAL</t>
        </is>
      </c>
      <c r="C168" s="4" t="inlineStr">
        <is>
          <t>JUAN CARLOS TRUJILLO OLAYA</t>
        </is>
      </c>
      <c r="D168" s="4" t="inlineStr">
        <is>
          <t>OPERACIONES</t>
        </is>
      </c>
      <c r="E168" s="4" t="inlineStr">
        <is>
          <t>REGIONAL TOLIMA</t>
        </is>
      </c>
      <c r="F168" s="4" t="inlineStr">
        <is>
          <t>IBAGUÉ</t>
        </is>
      </c>
      <c r="G168" s="4" t="inlineStr">
        <is>
          <t>PRESENCIAL</t>
        </is>
      </c>
      <c r="H168" s="4" t="inlineStr">
        <is>
          <t>DOCENTE AUX/N/MT/CIEN BASI</t>
        </is>
      </c>
      <c r="I168" s="4" t="inlineStr">
        <is>
          <t>CIENCIAS BASICAS</t>
        </is>
      </c>
      <c r="J168" s="4" t="inlineStr">
        <is>
          <t>PLANTA</t>
        </is>
      </c>
      <c r="K168" s="4" t="inlineStr">
        <is>
          <t>CAMILO VARGAS</t>
        </is>
      </c>
      <c r="L168" s="4" t="inlineStr">
        <is>
          <t>CONFIRMADO PRESENCIAL</t>
        </is>
      </c>
      <c r="M168" s="4" t="n">
        <v/>
      </c>
      <c r="N168" s="4" t="n">
        <v>3176442015</v>
      </c>
      <c r="O168" s="4" t="inlineStr">
        <is>
          <t>jucato08@gmail.com</t>
        </is>
      </c>
      <c r="P168" s="4" t="inlineStr">
        <is>
          <t>IBAGUE SEDE</t>
        </is>
      </c>
      <c r="Q168" s="4" t="inlineStr">
        <is>
          <t>TRANSVERSALES</t>
        </is>
      </c>
      <c r="R168" s="4" t="n">
        <v/>
      </c>
    </row>
    <row r="169" ht="20" customHeight="1">
      <c r="A169" s="6" t="inlineStr">
        <is>
          <t>80047265</t>
        </is>
      </c>
      <c r="B169" s="7" t="inlineStr">
        <is>
          <t>PRESENCIAL BOGOTÁ</t>
        </is>
      </c>
      <c r="C169" s="7" t="inlineStr">
        <is>
          <t>LEONARDO CAMACHO RUIZ</t>
        </is>
      </c>
      <c r="D169" s="7" t="inlineStr">
        <is>
          <t>OPERACIONES</t>
        </is>
      </c>
      <c r="E169" s="7" t="inlineStr">
        <is>
          <t>REGIONAL BOGOTA</t>
        </is>
      </c>
      <c r="F169" s="7" t="inlineStr">
        <is>
          <t>BOGOTA SUR</t>
        </is>
      </c>
      <c r="G169" s="7" t="inlineStr">
        <is>
          <t>PRESENCIAL</t>
        </is>
      </c>
      <c r="H169" s="7" t="inlineStr">
        <is>
          <t>DOCENTE AUX/N/MT/CIEN BASI</t>
        </is>
      </c>
      <c r="I169" s="7" t="inlineStr">
        <is>
          <t>CIENCIAS BASICAS</t>
        </is>
      </c>
      <c r="J169" s="7" t="inlineStr">
        <is>
          <t>PLANTA</t>
        </is>
      </c>
      <c r="K169" s="7" t="inlineStr">
        <is>
          <t>CAMILO VARGAS</t>
        </is>
      </c>
      <c r="L169" s="7" t="inlineStr">
        <is>
          <t>CONFIRMADO PRESENCIAL</t>
        </is>
      </c>
      <c r="M169" s="7" t="n">
        <v/>
      </c>
      <c r="N169" s="7" t="n">
        <v>3125290003</v>
      </c>
      <c r="O169" s="7" t="inlineStr">
        <is>
          <t>LCR20JU@HOTMAIL.COM</t>
        </is>
      </c>
      <c r="P169" s="7" t="inlineStr">
        <is>
          <t>BTA SEDE D</t>
        </is>
      </c>
      <c r="Q169" s="7" t="inlineStr">
        <is>
          <t>TRANSVERSALES</t>
        </is>
      </c>
      <c r="R169" s="7" t="n">
        <v>700</v>
      </c>
    </row>
    <row r="170" ht="20" customHeight="1">
      <c r="A170" s="3" t="inlineStr">
        <is>
          <t>65786864</t>
        </is>
      </c>
      <c r="B170" s="4" t="inlineStr">
        <is>
          <t>PRESENCIAL BOGOTÁ</t>
        </is>
      </c>
      <c r="C170" s="4" t="inlineStr">
        <is>
          <t>YAMILE MEDINA CASTAÑEDA</t>
        </is>
      </c>
      <c r="D170" s="4" t="inlineStr">
        <is>
          <t>OPERACIONES</t>
        </is>
      </c>
      <c r="E170" s="4" t="inlineStr">
        <is>
          <t>REGIONAL BOGOTA</t>
        </is>
      </c>
      <c r="F170" s="4" t="inlineStr">
        <is>
          <t>BOGOTA CENTRO</t>
        </is>
      </c>
      <c r="G170" s="4" t="inlineStr">
        <is>
          <t>PRESENCIAL</t>
        </is>
      </c>
      <c r="H170" s="4" t="inlineStr">
        <is>
          <t>DOCENTE ASIS/N/TC/CIEN BASI/FUN.ACADE-ADMIN</t>
        </is>
      </c>
      <c r="I170" s="4" t="inlineStr">
        <is>
          <t>CIENCIAS BASICAS</t>
        </is>
      </c>
      <c r="J170" s="4" t="inlineStr">
        <is>
          <t>PLANTA</t>
        </is>
      </c>
      <c r="K170" s="4" t="inlineStr">
        <is>
          <t>CAMILO VARGAS</t>
        </is>
      </c>
      <c r="L170" s="4" t="inlineStr">
        <is>
          <t>CONFIRMADO PRESENCIAL</t>
        </is>
      </c>
      <c r="M170" s="4" t="n">
        <v/>
      </c>
      <c r="N170" s="4" t="n">
        <v>3124882836</v>
      </c>
      <c r="O170" s="4" t="inlineStr">
        <is>
          <t>yamilemedina.2008@gmail.com</t>
        </is>
      </c>
      <c r="P170" s="4" t="inlineStr">
        <is>
          <t>BTA SEDE D</t>
        </is>
      </c>
      <c r="Q170" s="4" t="inlineStr">
        <is>
          <t>TRANSVERSALES</t>
        </is>
      </c>
      <c r="R170" s="4" t="n">
        <v>700</v>
      </c>
    </row>
    <row r="171" ht="20" customHeight="1">
      <c r="A171" s="6" t="inlineStr">
        <is>
          <t>52961878</t>
        </is>
      </c>
      <c r="B171" s="7" t="inlineStr">
        <is>
          <t>PRESENCIAL BOGOTÁ</t>
        </is>
      </c>
      <c r="C171" s="7" t="inlineStr">
        <is>
          <t>SANDRA JANETH MARIÑO MALDONADO</t>
        </is>
      </c>
      <c r="D171" s="7" t="inlineStr">
        <is>
          <t>OPERACIONES</t>
        </is>
      </c>
      <c r="E171" s="7" t="inlineStr">
        <is>
          <t>REGIONAL BOGOTA</t>
        </is>
      </c>
      <c r="F171" s="7" t="inlineStr">
        <is>
          <t>BOGOTA CENTRO</t>
        </is>
      </c>
      <c r="G171" s="7" t="inlineStr">
        <is>
          <t>VIRTUAL</t>
        </is>
      </c>
      <c r="H171" s="7" t="inlineStr">
        <is>
          <t>DOC AUX/N/V/TC/CIENCIAS BASI/FUN.ACADE-ADMIN</t>
        </is>
      </c>
      <c r="I171" s="7" t="inlineStr">
        <is>
          <t>CIENCIAS BASICAS</t>
        </is>
      </c>
      <c r="J171" s="7" t="inlineStr">
        <is>
          <t>PLANTA</t>
        </is>
      </c>
      <c r="K171" s="7" t="inlineStr">
        <is>
          <t>CAMILO VARGAS</t>
        </is>
      </c>
      <c r="L171" s="7" t="inlineStr">
        <is>
          <t>CONFIRMADO PRESENCIAL</t>
        </is>
      </c>
      <c r="M171" s="7" t="n">
        <v/>
      </c>
      <c r="N171" s="7" t="n">
        <v>3204056613</v>
      </c>
      <c r="O171" s="7" t="inlineStr">
        <is>
          <t>sandma1701@gmail.com</t>
        </is>
      </c>
      <c r="P171" s="7" t="inlineStr">
        <is>
          <t>BTA SEDE N</t>
        </is>
      </c>
      <c r="Q171" s="7" t="inlineStr">
        <is>
          <t>TRANSVERSALES</t>
        </is>
      </c>
      <c r="R171" s="7" t="n">
        <v>700</v>
      </c>
    </row>
    <row r="172" ht="20" customHeight="1">
      <c r="A172" s="3" t="inlineStr">
        <is>
          <t>1013591700</t>
        </is>
      </c>
      <c r="B172" s="4" t="inlineStr">
        <is>
          <t>PRESENCIAL BOGOTÁ</t>
        </is>
      </c>
      <c r="C172" s="4" t="inlineStr">
        <is>
          <t>JOHNY ANDRES JARAMILLO PALACIO</t>
        </is>
      </c>
      <c r="D172" s="4" t="inlineStr">
        <is>
          <t>OPERACIONES</t>
        </is>
      </c>
      <c r="E172" s="4" t="inlineStr">
        <is>
          <t>REGIONAL BOGOTA</t>
        </is>
      </c>
      <c r="F172" s="4" t="inlineStr">
        <is>
          <t>BOGOTA CENTRO</t>
        </is>
      </c>
      <c r="G172" s="4" t="inlineStr">
        <is>
          <t>VIRTUAL</t>
        </is>
      </c>
      <c r="H172" s="4" t="inlineStr">
        <is>
          <t>DOC ASIS/N/V/TC/CIENCIAS BASI/FUN.ACADE-ADMIN</t>
        </is>
      </c>
      <c r="I172" s="4" t="inlineStr">
        <is>
          <t>CIENCIAS BASICAS</t>
        </is>
      </c>
      <c r="J172" s="4" t="inlineStr">
        <is>
          <t>PLANTA</t>
        </is>
      </c>
      <c r="K172" s="4" t="inlineStr">
        <is>
          <t>CAMILO VARGAS</t>
        </is>
      </c>
      <c r="L172" s="4" t="inlineStr">
        <is>
          <t>SIN RESPUESTA</t>
        </is>
      </c>
      <c r="M172" s="4" t="inlineStr">
        <is>
          <t>CORREO DE VOZ II</t>
        </is>
      </c>
      <c r="N172" s="4" t="n">
        <v>3059160535</v>
      </c>
      <c r="O172" s="4" t="inlineStr">
        <is>
          <t>jajaramillopa@unal.edu.co</t>
        </is>
      </c>
      <c r="P172" s="4" t="inlineStr">
        <is>
          <t>BTA SEDE A</t>
        </is>
      </c>
      <c r="Q172" s="4" t="inlineStr">
        <is>
          <t>TRANSVERSALES</t>
        </is>
      </c>
      <c r="R172" s="4" t="n">
        <v>700</v>
      </c>
    </row>
    <row r="173" ht="20" customHeight="1">
      <c r="A173" s="6" t="inlineStr">
        <is>
          <t>7725537</t>
        </is>
      </c>
      <c r="B173" s="7" t="inlineStr">
        <is>
          <t>PRESENCIAL REGIONAL</t>
        </is>
      </c>
      <c r="C173" s="7" t="inlineStr">
        <is>
          <t>JOSE FERNANDO VELANDIA TACUMA</t>
        </is>
      </c>
      <c r="D173" s="7" t="inlineStr">
        <is>
          <t>OPERACIONES</t>
        </is>
      </c>
      <c r="E173" s="7" t="inlineStr">
        <is>
          <t>REGIONAL HUILA</t>
        </is>
      </c>
      <c r="F173" s="7" t="inlineStr">
        <is>
          <t>NEIVA</t>
        </is>
      </c>
      <c r="G173" s="7" t="inlineStr">
        <is>
          <t>PRESENCIAL</t>
        </is>
      </c>
      <c r="H173" s="7" t="inlineStr">
        <is>
          <t>DOCENTE ASIS/N/MT/CIEN BASI</t>
        </is>
      </c>
      <c r="I173" s="7" t="inlineStr">
        <is>
          <t>CIENCIAS BASICAS</t>
        </is>
      </c>
      <c r="J173" s="7" t="inlineStr">
        <is>
          <t>PLANTA</t>
        </is>
      </c>
      <c r="K173" s="7" t="inlineStr">
        <is>
          <t>CAMILO VARGAS</t>
        </is>
      </c>
      <c r="L173" s="7" t="inlineStr">
        <is>
          <t>CONFIRMADO PRESENCIAL</t>
        </is>
      </c>
      <c r="M173" s="7" t="n">
        <v/>
      </c>
      <c r="N173" s="7" t="n">
        <v>3125157583</v>
      </c>
      <c r="O173" s="7" t="inlineStr">
        <is>
          <t>fervel1331@hotmail.com</t>
        </is>
      </c>
      <c r="P173" s="7" t="inlineStr">
        <is>
          <t>NEIVA SEDE</t>
        </is>
      </c>
      <c r="Q173" s="7" t="inlineStr">
        <is>
          <t>TRANSVERSALES</t>
        </is>
      </c>
      <c r="R173" s="7" t="n">
        <v/>
      </c>
    </row>
    <row r="174" ht="20" customHeight="1">
      <c r="A174" s="3" t="inlineStr">
        <is>
          <t>1102870816</t>
        </is>
      </c>
      <c r="B174" s="4" t="inlineStr">
        <is>
          <t>PRESENCIAL REGIONAL</t>
        </is>
      </c>
      <c r="C174" s="4" t="inlineStr">
        <is>
          <t>MARIAN ELENA HERNANDEZ CHAMORRO</t>
        </is>
      </c>
      <c r="D174" s="4" t="inlineStr">
        <is>
          <t>OPERACIONES</t>
        </is>
      </c>
      <c r="E174" s="4" t="inlineStr">
        <is>
          <t>REGIONAL SUCRE</t>
        </is>
      </c>
      <c r="F174" s="4" t="inlineStr">
        <is>
          <t>SINCELEJO</t>
        </is>
      </c>
      <c r="G174" s="4" t="inlineStr">
        <is>
          <t>PRESENCIAL</t>
        </is>
      </c>
      <c r="H174" s="4" t="inlineStr">
        <is>
          <t>DOC AUX T&amp;T/N/TC/CIEN BASI/FUN.ACADE-ADMIN</t>
        </is>
      </c>
      <c r="I174" s="4" t="inlineStr">
        <is>
          <t>CIENCIAS BASICAS</t>
        </is>
      </c>
      <c r="J174" s="4" t="inlineStr">
        <is>
          <t>PLANTA</t>
        </is>
      </c>
      <c r="K174" s="4" t="inlineStr">
        <is>
          <t>CAMILO VARGAS</t>
        </is>
      </c>
      <c r="L174" s="4" t="inlineStr">
        <is>
          <t>CONFIRMADO PRESENCIAL</t>
        </is>
      </c>
      <c r="M174" s="4" t="n">
        <v/>
      </c>
      <c r="N174" s="4" t="n">
        <v>3008754479</v>
      </c>
      <c r="O174" s="4" t="inlineStr">
        <is>
          <t>hmarian817@gmail.com</t>
        </is>
      </c>
      <c r="P174" s="4" t="inlineStr">
        <is>
          <t>SINCELEJO SEDE</t>
        </is>
      </c>
      <c r="Q174" s="4" t="inlineStr">
        <is>
          <t>TRANSVERSALES</t>
        </is>
      </c>
      <c r="R174" s="4" t="n">
        <v/>
      </c>
    </row>
    <row r="175" ht="20" customHeight="1">
      <c r="A175" s="6" t="inlineStr">
        <is>
          <t>1221963733</t>
        </is>
      </c>
      <c r="B175" s="7" t="inlineStr">
        <is>
          <t>VIRTUAL</t>
        </is>
      </c>
      <c r="C175" s="7" t="inlineStr">
        <is>
          <t>NICOLAS DE JESUS ZABARAIN FONTALVO</t>
        </is>
      </c>
      <c r="D175" s="7" t="inlineStr">
        <is>
          <t>OPERACIONES</t>
        </is>
      </c>
      <c r="E175" s="7" t="inlineStr">
        <is>
          <t>REGIONAL MAGDALENA</t>
        </is>
      </c>
      <c r="F175" s="7" t="inlineStr">
        <is>
          <t>SANTA MARTA</t>
        </is>
      </c>
      <c r="G175" s="7" t="inlineStr">
        <is>
          <t>PRESENCIAL</t>
        </is>
      </c>
      <c r="H175" s="7" t="inlineStr">
        <is>
          <t>DOCENTE ASIS/N/MT/CIEN BASI</t>
        </is>
      </c>
      <c r="I175" s="7" t="inlineStr">
        <is>
          <t>CIENCIAS BASICAS</t>
        </is>
      </c>
      <c r="J175" s="7" t="inlineStr">
        <is>
          <t>PLANTA</t>
        </is>
      </c>
      <c r="K175" s="7" t="inlineStr">
        <is>
          <t>CAMILO VARGAS</t>
        </is>
      </c>
      <c r="L175" s="7" t="inlineStr">
        <is>
          <t>CONFIRMADO PRESENCIAL</t>
        </is>
      </c>
      <c r="M175" s="7" t="n">
        <v/>
      </c>
      <c r="N175" s="7" t="n">
        <v>3003423776</v>
      </c>
      <c r="O175" s="7" t="inlineStr">
        <is>
          <t>nzabarainf94@gmail.com</t>
        </is>
      </c>
      <c r="P175" s="7" t="inlineStr">
        <is>
          <t>SANTA MARTA SEDE</t>
        </is>
      </c>
      <c r="Q175" s="7" t="inlineStr">
        <is>
          <t>TRANSVERSALES</t>
        </is>
      </c>
      <c r="R175" s="7" t="n">
        <v/>
      </c>
    </row>
    <row r="176" ht="20" customHeight="1">
      <c r="A176" s="3" t="inlineStr">
        <is>
          <t>1014265157</t>
        </is>
      </c>
      <c r="B176" s="4" t="inlineStr">
        <is>
          <t>PRESENCIAL BOGOTÁ</t>
        </is>
      </c>
      <c r="C176" s="4" t="inlineStr">
        <is>
          <t>ZULLY TATIANA MONROY MARIÑO</t>
        </is>
      </c>
      <c r="D176" s="4" t="inlineStr">
        <is>
          <t>OPERACIONES</t>
        </is>
      </c>
      <c r="E176" s="4" t="inlineStr">
        <is>
          <t>REGIONAL BOGOTA</t>
        </is>
      </c>
      <c r="F176" s="4" t="inlineStr">
        <is>
          <t>BOGOTA CENTRO</t>
        </is>
      </c>
      <c r="G176" s="4" t="inlineStr">
        <is>
          <t>PRESENCIAL</t>
        </is>
      </c>
      <c r="H176" s="4" t="inlineStr">
        <is>
          <t>DOCENTE ASIS/N/MT/CIEN BASI</t>
        </is>
      </c>
      <c r="I176" s="4" t="inlineStr">
        <is>
          <t>CIENCIAS BASICAS</t>
        </is>
      </c>
      <c r="J176" s="4" t="inlineStr">
        <is>
          <t>PLANTA</t>
        </is>
      </c>
      <c r="K176" s="4" t="inlineStr">
        <is>
          <t>CAMILO VARGAS</t>
        </is>
      </c>
      <c r="L176" s="4" t="inlineStr">
        <is>
          <t>SIN RESPUESTA</t>
        </is>
      </c>
      <c r="M176" s="4" t="inlineStr">
        <is>
          <t>CORREO DE VOZ II</t>
        </is>
      </c>
      <c r="N176" s="4" t="n">
        <v>3028469014</v>
      </c>
      <c r="O176" s="4" t="inlineStr">
        <is>
          <t>ztmonroym6@gmail.com</t>
        </is>
      </c>
      <c r="P176" s="4" t="inlineStr">
        <is>
          <t>BTA SEDE SUBA</t>
        </is>
      </c>
      <c r="Q176" s="4" t="inlineStr">
        <is>
          <t>TRANSVERSALES</t>
        </is>
      </c>
      <c r="R176" s="4" t="n">
        <v>700</v>
      </c>
    </row>
    <row r="177" ht="20" customHeight="1">
      <c r="A177" s="6" t="inlineStr">
        <is>
          <t>1003361839</t>
        </is>
      </c>
      <c r="B177" s="7" t="inlineStr">
        <is>
          <t>PRESENCIAL REGIONAL</t>
        </is>
      </c>
      <c r="C177" s="7" t="inlineStr">
        <is>
          <t>JHON JEILLER HOYOS VEGA</t>
        </is>
      </c>
      <c r="D177" s="7" t="inlineStr">
        <is>
          <t>OPERACIONES</t>
        </is>
      </c>
      <c r="E177" s="7" t="inlineStr">
        <is>
          <t>REGIONAL SUCRE</t>
        </is>
      </c>
      <c r="F177" s="7" t="inlineStr">
        <is>
          <t>SINCELEJO</t>
        </is>
      </c>
      <c r="G177" s="7" t="inlineStr">
        <is>
          <t>PRESENCIAL</t>
        </is>
      </c>
      <c r="H177" s="7" t="inlineStr">
        <is>
          <t>DOC AUX T&amp;T/N/TC/CIEN BASI/FUN.ACADE-ADMIN</t>
        </is>
      </c>
      <c r="I177" s="7" t="inlineStr">
        <is>
          <t>CIENCIAS BASICAS</t>
        </is>
      </c>
      <c r="J177" s="7" t="inlineStr">
        <is>
          <t>PLANTA</t>
        </is>
      </c>
      <c r="K177" s="7" t="inlineStr">
        <is>
          <t>CAMILO VARGAS</t>
        </is>
      </c>
      <c r="L177" s="7" t="inlineStr">
        <is>
          <t>CONFIRMADO PRESENCIAL</t>
        </is>
      </c>
      <c r="M177" s="7" t="n">
        <v/>
      </c>
      <c r="N177" s="7" t="n">
        <v>3217786356</v>
      </c>
      <c r="O177" s="7" t="inlineStr">
        <is>
          <t>Jhonhove1010@gmail.com</t>
        </is>
      </c>
      <c r="P177" s="7" t="inlineStr">
        <is>
          <t>SINCELEJO SEDE</t>
        </is>
      </c>
      <c r="Q177" s="7" t="inlineStr">
        <is>
          <t>TRANSVERSALES</t>
        </is>
      </c>
      <c r="R177" s="7" t="n">
        <v/>
      </c>
    </row>
    <row r="178" ht="20" customHeight="1">
      <c r="A178" s="3" t="inlineStr">
        <is>
          <t>1032490263</t>
        </is>
      </c>
      <c r="B178" s="4" t="inlineStr">
        <is>
          <t>PRESENCIAL BOGOTÁ</t>
        </is>
      </c>
      <c r="C178" s="4" t="inlineStr">
        <is>
          <t>JUAN SEBASTIAN CORTES CRUZ</t>
        </is>
      </c>
      <c r="D178" s="4" t="inlineStr">
        <is>
          <t>OPERACIONES</t>
        </is>
      </c>
      <c r="E178" s="4" t="inlineStr">
        <is>
          <t>REGIONAL BOGOTA</t>
        </is>
      </c>
      <c r="F178" s="4" t="inlineStr">
        <is>
          <t>BOGOTA CENTRO</t>
        </is>
      </c>
      <c r="G178" s="4" t="inlineStr">
        <is>
          <t>VIRTUAL</t>
        </is>
      </c>
      <c r="H178" s="4" t="inlineStr">
        <is>
          <t>DOC AUX T&amp;T/N/V/MT/CIENCIAS BASI</t>
        </is>
      </c>
      <c r="I178" s="4" t="inlineStr">
        <is>
          <t>CIENCIAS BASICAS</t>
        </is>
      </c>
      <c r="J178" s="4" t="inlineStr">
        <is>
          <t>PLANTA</t>
        </is>
      </c>
      <c r="K178" s="4" t="inlineStr">
        <is>
          <t>CAMILO VARGAS</t>
        </is>
      </c>
      <c r="L178" s="4" t="inlineStr">
        <is>
          <t>SIN RESPUESTA</t>
        </is>
      </c>
      <c r="M178" s="4" t="inlineStr">
        <is>
          <t>CORREO DE VOZ III</t>
        </is>
      </c>
      <c r="N178" s="4" t="n">
        <v>3229033969</v>
      </c>
      <c r="O178" s="4" t="inlineStr">
        <is>
          <t>juascortescru@gmail.com</t>
        </is>
      </c>
      <c r="P178" s="4" t="inlineStr">
        <is>
          <t>BTA SEDE A</t>
        </is>
      </c>
      <c r="Q178" s="4" t="inlineStr">
        <is>
          <t>TRANSVERSALES</t>
        </is>
      </c>
      <c r="R178" s="4" t="n">
        <v>700</v>
      </c>
    </row>
    <row r="179" ht="20" customHeight="1">
      <c r="A179" s="6" t="inlineStr">
        <is>
          <t>1023962810</t>
        </is>
      </c>
      <c r="B179" s="7" t="inlineStr">
        <is>
          <t>PRESENCIAL BOGOTÁ</t>
        </is>
      </c>
      <c r="C179" s="7" t="inlineStr">
        <is>
          <t>CAMILA ANDREA GUALDRIA SANDOVAL</t>
        </is>
      </c>
      <c r="D179" s="7" t="inlineStr">
        <is>
          <t>OPERACIONES</t>
        </is>
      </c>
      <c r="E179" s="7" t="inlineStr">
        <is>
          <t>REGIONAL BOGOTA</t>
        </is>
      </c>
      <c r="F179" s="7" t="inlineStr">
        <is>
          <t>BOGOTA CENTRO</t>
        </is>
      </c>
      <c r="G179" s="7" t="inlineStr">
        <is>
          <t>PRESENCIAL</t>
        </is>
      </c>
      <c r="H179" s="7" t="inlineStr">
        <is>
          <t>DOC AUX T&amp;T/N/TC/CIEN BASI/FUN.ACADE-ADMIN</t>
        </is>
      </c>
      <c r="I179" s="7" t="inlineStr">
        <is>
          <t>CIENCIAS BASICAS</t>
        </is>
      </c>
      <c r="J179" s="7" t="inlineStr">
        <is>
          <t>PLANTA</t>
        </is>
      </c>
      <c r="K179" s="7" t="inlineStr">
        <is>
          <t>CAMILO VARGAS</t>
        </is>
      </c>
      <c r="L179" s="7" t="inlineStr">
        <is>
          <t>CONFIRMADO PRESENCIAL</t>
        </is>
      </c>
      <c r="M179" s="7" t="n">
        <v/>
      </c>
      <c r="N179" s="7" t="n">
        <v>3212748681</v>
      </c>
      <c r="O179" s="7" t="inlineStr">
        <is>
          <t>camilagualdria@gmail.com</t>
        </is>
      </c>
      <c r="P179" s="7" t="inlineStr">
        <is>
          <t>BTA SEDE D</t>
        </is>
      </c>
      <c r="Q179" s="7" t="inlineStr">
        <is>
          <t>TRANSVERSALES</t>
        </is>
      </c>
      <c r="R179" s="7" t="n">
        <v>700</v>
      </c>
    </row>
    <row r="180" ht="20" customHeight="1">
      <c r="A180" s="3" t="inlineStr">
        <is>
          <t>1023010658</t>
        </is>
      </c>
      <c r="B180" s="4" t="inlineStr">
        <is>
          <t>PRESENCIAL BOGOTÁ</t>
        </is>
      </c>
      <c r="C180" s="4" t="inlineStr">
        <is>
          <t>JOSE SANTIAGO TORRES VELASQUEZ</t>
        </is>
      </c>
      <c r="D180" s="4" t="inlineStr">
        <is>
          <t>OPERACIONES</t>
        </is>
      </c>
      <c r="E180" s="4" t="inlineStr">
        <is>
          <t>REGIONAL BOGOTA</t>
        </is>
      </c>
      <c r="F180" s="4" t="inlineStr">
        <is>
          <t>BOGOTA CENTRO</t>
        </is>
      </c>
      <c r="G180" s="4" t="inlineStr">
        <is>
          <t>PRESENCIAL</t>
        </is>
      </c>
      <c r="H180" s="4" t="inlineStr">
        <is>
          <t>DOC AUX T&amp;T/N/TC/CIEN BASI/FUN.ACADE-ADMIN</t>
        </is>
      </c>
      <c r="I180" s="4" t="inlineStr">
        <is>
          <t>CIENCIAS BASICAS</t>
        </is>
      </c>
      <c r="J180" s="4" t="inlineStr">
        <is>
          <t>PLANTA</t>
        </is>
      </c>
      <c r="K180" s="4" t="inlineStr">
        <is>
          <t>CAMILO VARGAS</t>
        </is>
      </c>
      <c r="L180" s="4" t="inlineStr">
        <is>
          <t>CONFIRMADO PRESENCIAL</t>
        </is>
      </c>
      <c r="M180" s="4" t="n">
        <v/>
      </c>
      <c r="N180" s="4" t="n">
        <v>3106737397</v>
      </c>
      <c r="O180" s="4" t="inlineStr">
        <is>
          <t>serrotcr7@gmail.com</t>
        </is>
      </c>
      <c r="P180" s="4" t="inlineStr">
        <is>
          <t>BTA SEDE D</t>
        </is>
      </c>
      <c r="Q180" s="4" t="inlineStr">
        <is>
          <t>TRANSVERSALES</t>
        </is>
      </c>
      <c r="R180" s="4" t="n">
        <v>700</v>
      </c>
    </row>
    <row r="181" ht="20" customHeight="1">
      <c r="A181" s="6" t="inlineStr">
        <is>
          <t>1010234845</t>
        </is>
      </c>
      <c r="B181" s="7" t="inlineStr">
        <is>
          <t>PRESENCIAL BOGOTÁ</t>
        </is>
      </c>
      <c r="C181" s="7" t="inlineStr">
        <is>
          <t>DAV ALESSIA NUÑEZ OSORIO</t>
        </is>
      </c>
      <c r="D181" s="7" t="inlineStr">
        <is>
          <t>OPERACIONES</t>
        </is>
      </c>
      <c r="E181" s="7" t="inlineStr">
        <is>
          <t>REGIONAL BOGOTA</t>
        </is>
      </c>
      <c r="F181" s="7" t="inlineStr">
        <is>
          <t>BOGOTA CENTRO</t>
        </is>
      </c>
      <c r="G181" s="7" t="inlineStr">
        <is>
          <t>VIRTUAL</t>
        </is>
      </c>
      <c r="H181" s="7" t="inlineStr">
        <is>
          <t>DOC AUX T&amp;T/N/V/TC/CIENCIAS BASI/FUN.ACADE-ADMIN</t>
        </is>
      </c>
      <c r="I181" s="7" t="inlineStr">
        <is>
          <t>CIENCIAS BASICAS</t>
        </is>
      </c>
      <c r="J181" s="7" t="inlineStr">
        <is>
          <t>PLANTA</t>
        </is>
      </c>
      <c r="K181" s="7" t="inlineStr">
        <is>
          <t>CAMILO VARGAS</t>
        </is>
      </c>
      <c r="L181" s="7" t="inlineStr">
        <is>
          <t>SIN RESPUESTA</t>
        </is>
      </c>
      <c r="M181" s="7" t="inlineStr">
        <is>
          <t>CORREO DE VOZ III</t>
        </is>
      </c>
      <c r="N181" s="7" t="n">
        <v>3232374504</v>
      </c>
      <c r="O181" s="7" t="inlineStr">
        <is>
          <t>davalessianunezosorio@gmail.com</t>
        </is>
      </c>
      <c r="P181" s="7" t="inlineStr">
        <is>
          <t>BTA SEDE A</t>
        </is>
      </c>
      <c r="Q181" s="7" t="inlineStr">
        <is>
          <t>TRANSVERSALES</t>
        </is>
      </c>
      <c r="R181" s="7" t="n">
        <v>700</v>
      </c>
    </row>
    <row r="182" ht="20" customHeight="1">
      <c r="A182" s="3" t="inlineStr">
        <is>
          <t>1061819460</t>
        </is>
      </c>
      <c r="B182" s="4" t="inlineStr">
        <is>
          <t>PRESENCIAL BOGOTÁ</t>
        </is>
      </c>
      <c r="C182" s="4" t="inlineStr">
        <is>
          <t>SANTIAGO ALEJANDRO ZUÑIGA MELO</t>
        </is>
      </c>
      <c r="D182" s="4" t="inlineStr">
        <is>
          <t>OPERACIONES</t>
        </is>
      </c>
      <c r="E182" s="4" t="inlineStr">
        <is>
          <t>REGIONAL BOGOTA</t>
        </is>
      </c>
      <c r="F182" s="4" t="inlineStr">
        <is>
          <t>BOGOTA CENTRO</t>
        </is>
      </c>
      <c r="G182" s="4" t="inlineStr">
        <is>
          <t>PRESENCIAL</t>
        </is>
      </c>
      <c r="H182" s="4" t="inlineStr">
        <is>
          <t>DOC AUX T&amp;T/N/MT/CIEN BASI</t>
        </is>
      </c>
      <c r="I182" s="4" t="inlineStr">
        <is>
          <t>CIENCIAS BASICAS</t>
        </is>
      </c>
      <c r="J182" s="4" t="inlineStr">
        <is>
          <t>PLANTA</t>
        </is>
      </c>
      <c r="K182" s="4" t="inlineStr">
        <is>
          <t>CAMILO VARGAS</t>
        </is>
      </c>
      <c r="L182" s="4" t="inlineStr">
        <is>
          <t>CONFIRMADO PRESENCIAL</t>
        </is>
      </c>
      <c r="M182" s="4" t="n">
        <v/>
      </c>
      <c r="N182" s="4" t="n">
        <v>3008068246</v>
      </c>
      <c r="O182" s="4" t="inlineStr">
        <is>
          <t>SAZUM99@GMAIL.COM</t>
        </is>
      </c>
      <c r="P182" s="4" t="inlineStr">
        <is>
          <t>BTA SEDE F</t>
        </is>
      </c>
      <c r="Q182" s="4" t="inlineStr">
        <is>
          <t>TRANSVERSALES</t>
        </is>
      </c>
      <c r="R182" s="4" t="n">
        <v>700</v>
      </c>
    </row>
    <row r="183" ht="20" customHeight="1">
      <c r="A183" s="6" t="inlineStr">
        <is>
          <t>1002710163</t>
        </is>
      </c>
      <c r="B183" s="7" t="inlineStr">
        <is>
          <t>VIRTUAL</t>
        </is>
      </c>
      <c r="C183" s="7" t="inlineStr">
        <is>
          <t>LIS ALEJANDRA AVILA SOTO</t>
        </is>
      </c>
      <c r="D183" s="7" t="inlineStr">
        <is>
          <t>OPERACIONES</t>
        </is>
      </c>
      <c r="E183" s="7" t="inlineStr">
        <is>
          <t>REGIONAL BOYACA</t>
        </is>
      </c>
      <c r="F183" s="7" t="inlineStr">
        <is>
          <t>TUNJA</t>
        </is>
      </c>
      <c r="G183" s="7" t="inlineStr">
        <is>
          <t>VIRTUAL</t>
        </is>
      </c>
      <c r="H183" s="7" t="inlineStr">
        <is>
          <t>DOC ASIS/N/V/TC/CIENCIAS BASI/FUN.ACADE-ADMIN</t>
        </is>
      </c>
      <c r="I183" s="7" t="inlineStr">
        <is>
          <t>CIENCIAS BASICAS</t>
        </is>
      </c>
      <c r="J183" s="7" t="inlineStr">
        <is>
          <t>PLANTA</t>
        </is>
      </c>
      <c r="K183" s="7" t="inlineStr">
        <is>
          <t>CAMILO VARGAS</t>
        </is>
      </c>
      <c r="L183" s="7" t="inlineStr">
        <is>
          <t>CONFIRMADO VIRTUAL</t>
        </is>
      </c>
      <c r="M183" s="7" t="n">
        <v/>
      </c>
      <c r="N183" s="7" t="n">
        <v>3102099978</v>
      </c>
      <c r="O183" s="7" t="inlineStr">
        <is>
          <t>LAAS2004LA@GMAIL.COM</t>
        </is>
      </c>
      <c r="P183" s="7" t="inlineStr">
        <is>
          <t>TUNJA SEDE</t>
        </is>
      </c>
      <c r="Q183" s="7" t="inlineStr">
        <is>
          <t>TRANSVERSALES</t>
        </is>
      </c>
      <c r="R183" s="7" t="n">
        <v/>
      </c>
    </row>
    <row r="184" ht="20" customHeight="1">
      <c r="A184" s="3" t="inlineStr">
        <is>
          <t>1140901643</t>
        </is>
      </c>
      <c r="B184" s="4" t="inlineStr">
        <is>
          <t>PRESENCIAL BOGOTÁ</t>
        </is>
      </c>
      <c r="C184" s="4" t="inlineStr">
        <is>
          <t>ANDRES FELIPE CARO TEJERA</t>
        </is>
      </c>
      <c r="D184" s="4" t="inlineStr">
        <is>
          <t>OPERACIONES</t>
        </is>
      </c>
      <c r="E184" s="4" t="inlineStr">
        <is>
          <t>REGIONAL BOGOTA</t>
        </is>
      </c>
      <c r="F184" s="4" t="inlineStr">
        <is>
          <t>BOGOTA CENTRO</t>
        </is>
      </c>
      <c r="G184" s="4" t="inlineStr">
        <is>
          <t>PRESENCIAL</t>
        </is>
      </c>
      <c r="H184" s="4" t="inlineStr">
        <is>
          <t>DOC AUX T&amp;T/N/TC/CIEN BASI/FUN.ACADE-ADMIN</t>
        </is>
      </c>
      <c r="I184" s="4" t="inlineStr">
        <is>
          <t>CIENCIAS BASICAS</t>
        </is>
      </c>
      <c r="J184" s="4" t="inlineStr">
        <is>
          <t>PLANTA</t>
        </is>
      </c>
      <c r="K184" s="4" t="inlineStr">
        <is>
          <t>CAMILO VARGAS</t>
        </is>
      </c>
      <c r="L184" s="4" t="inlineStr">
        <is>
          <t>CONFIRMADO PRESENCIAL</t>
        </is>
      </c>
      <c r="M184" s="4" t="n">
        <v/>
      </c>
      <c r="N184" s="4" t="n">
        <v>3014405302</v>
      </c>
      <c r="O184" s="4" t="inlineStr">
        <is>
          <t>ANDRESCAROTEJ@GMAIL.COM</t>
        </is>
      </c>
      <c r="P184" s="4" t="inlineStr">
        <is>
          <t>BTA SEDE A</t>
        </is>
      </c>
      <c r="Q184" s="4" t="inlineStr">
        <is>
          <t>TRANSVERSALES</t>
        </is>
      </c>
      <c r="R184" s="4" t="n">
        <v>700</v>
      </c>
    </row>
    <row r="185" ht="20" customHeight="1">
      <c r="A185" s="6" t="inlineStr">
        <is>
          <t>38230455</t>
        </is>
      </c>
      <c r="B185" s="7" t="inlineStr">
        <is>
          <t>PRESENCIAL REGIONAL</t>
        </is>
      </c>
      <c r="C185" s="7" t="inlineStr">
        <is>
          <t>NELSY AMPARO CIFUENTES VARON</t>
        </is>
      </c>
      <c r="D185" s="7" t="inlineStr">
        <is>
          <t>OPERACIONES</t>
        </is>
      </c>
      <c r="E185" s="7" t="inlineStr">
        <is>
          <t>REGIONAL TOLIMA</t>
        </is>
      </c>
      <c r="F185" s="7" t="inlineStr">
        <is>
          <t>IBAGUÉ</t>
        </is>
      </c>
      <c r="G185" s="7" t="inlineStr">
        <is>
          <t>PRESENCIAL</t>
        </is>
      </c>
      <c r="H185" s="7" t="inlineStr">
        <is>
          <t>DOCENTE AUX/N/TC/COM SOC Y PER/PERMANENC</t>
        </is>
      </c>
      <c r="I185" s="7" t="inlineStr">
        <is>
          <t>COMUNICACION SOCIAL Y PERIODISMO</t>
        </is>
      </c>
      <c r="J185" s="7" t="inlineStr">
        <is>
          <t>PLANTA</t>
        </is>
      </c>
      <c r="K185" s="7" t="inlineStr">
        <is>
          <t>CAMILO VARGAS</t>
        </is>
      </c>
      <c r="L185" s="7" t="inlineStr">
        <is>
          <t>SIN RESPUESTA</t>
        </is>
      </c>
      <c r="M185" s="7" t="inlineStr">
        <is>
          <t>CORREO DE VOZ III</t>
        </is>
      </c>
      <c r="N185" s="7" t="n">
        <v>3157799037</v>
      </c>
      <c r="O185" s="7" t="inlineStr">
        <is>
          <t>neamci@hotmail.com</t>
        </is>
      </c>
      <c r="P185" s="7" t="inlineStr">
        <is>
          <t>IBAGUE SEDE</t>
        </is>
      </c>
      <c r="Q185" s="7" t="inlineStr">
        <is>
          <t>BELLAS ARTES</t>
        </is>
      </c>
      <c r="R185" s="7" t="n">
        <v/>
      </c>
    </row>
    <row r="186" ht="20" customHeight="1">
      <c r="A186" s="3" t="inlineStr">
        <is>
          <t>80088309</t>
        </is>
      </c>
      <c r="B186" s="4" t="inlineStr">
        <is>
          <t>PRESENCIAL BOGOTÁ</t>
        </is>
      </c>
      <c r="C186" s="4" t="inlineStr">
        <is>
          <t>EDWIN ALEJANDRO GARCIA RIVERA</t>
        </is>
      </c>
      <c r="D186" s="4" t="inlineStr">
        <is>
          <t>OPERACIONES</t>
        </is>
      </c>
      <c r="E186" s="4" t="inlineStr">
        <is>
          <t>REGIONAL BOGOTA</t>
        </is>
      </c>
      <c r="F186" s="4" t="inlineStr">
        <is>
          <t>BOGOTA CENTRO</t>
        </is>
      </c>
      <c r="G186" s="4" t="inlineStr">
        <is>
          <t>PRESENCIAL</t>
        </is>
      </c>
      <c r="H186" s="4" t="inlineStr">
        <is>
          <t>DOCENTE ASIS/N/TC/COM SOC Y PER/FUN.ACADE-ADMIN</t>
        </is>
      </c>
      <c r="I186" s="4" t="inlineStr">
        <is>
          <t>COMUNICACION SOCIAL Y PERIODISMO</t>
        </is>
      </c>
      <c r="J186" s="4" t="inlineStr">
        <is>
          <t>PLANTA</t>
        </is>
      </c>
      <c r="K186" s="4" t="inlineStr">
        <is>
          <t>CAMILO VARGAS</t>
        </is>
      </c>
      <c r="L186" s="4" t="inlineStr">
        <is>
          <t>CONFIRMADO PRESENCIAL</t>
        </is>
      </c>
      <c r="M186" s="4" t="n">
        <v/>
      </c>
      <c r="N186" s="4" t="n">
        <v>3007770582</v>
      </c>
      <c r="O186" s="4" t="inlineStr">
        <is>
          <t>edwingarciar@gmail.com</t>
        </is>
      </c>
      <c r="P186" s="4" t="inlineStr">
        <is>
          <t>BTA SEDE F</t>
        </is>
      </c>
      <c r="Q186" s="4" t="inlineStr">
        <is>
          <t>BELLAS ARTES</t>
        </is>
      </c>
      <c r="R186" s="4" t="n">
        <v>303</v>
      </c>
    </row>
    <row r="187" ht="20" customHeight="1">
      <c r="A187" s="6" t="inlineStr">
        <is>
          <t>1033692067</t>
        </is>
      </c>
      <c r="B187" s="7" t="inlineStr">
        <is>
          <t>VIRTUAL</t>
        </is>
      </c>
      <c r="C187" s="7" t="inlineStr">
        <is>
          <t>JESUS ANDRES SARMIENTO RIVERA</t>
        </is>
      </c>
      <c r="D187" s="7" t="inlineStr">
        <is>
          <t>OPERACIONES</t>
        </is>
      </c>
      <c r="E187" s="7" t="inlineStr">
        <is>
          <t>REGIONAL BOGOTA</t>
        </is>
      </c>
      <c r="F187" s="7" t="inlineStr">
        <is>
          <t>BOGOTA CENTRO</t>
        </is>
      </c>
      <c r="G187" s="7" t="inlineStr">
        <is>
          <t>PRESENCIAL</t>
        </is>
      </c>
      <c r="H187" s="7" t="inlineStr">
        <is>
          <t>DOCENTE ASIS/N/TC/COM SOC Y PER/FUNC ADJET</t>
        </is>
      </c>
      <c r="I187" s="7" t="inlineStr">
        <is>
          <t>COMUNICACION SOCIAL Y PERIODISMO</t>
        </is>
      </c>
      <c r="J187" s="7" t="inlineStr">
        <is>
          <t>PLANTA</t>
        </is>
      </c>
      <c r="K187" s="7" t="inlineStr">
        <is>
          <t>CAMILO VARGAS</t>
        </is>
      </c>
      <c r="L187" s="7" t="inlineStr">
        <is>
          <t>CONFIRMADO VIRTUAL</t>
        </is>
      </c>
      <c r="M187" s="7" t="inlineStr">
        <is>
          <t>VACACIONES</t>
        </is>
      </c>
      <c r="N187" s="7" t="n">
        <v>3202882707</v>
      </c>
      <c r="O187" s="7" t="inlineStr">
        <is>
          <t>andres0one@hotmail.com</t>
        </is>
      </c>
      <c r="P187" s="7" t="inlineStr">
        <is>
          <t>BTA SEDE F</t>
        </is>
      </c>
      <c r="Q187" s="7" t="inlineStr">
        <is>
          <t>BELLAS ARTES</t>
        </is>
      </c>
      <c r="R187" s="7" t="n">
        <v>303</v>
      </c>
    </row>
    <row r="188" ht="20" customHeight="1">
      <c r="A188" s="3" t="inlineStr">
        <is>
          <t>1110518563</t>
        </is>
      </c>
      <c r="B188" s="4" t="inlineStr">
        <is>
          <t>PRESENCIAL REGIONAL</t>
        </is>
      </c>
      <c r="C188" s="4" t="inlineStr">
        <is>
          <t>JUAN PABLO BUSTAMANTE ARISTIZABAL</t>
        </is>
      </c>
      <c r="D188" s="4" t="inlineStr">
        <is>
          <t>OPERACIONES</t>
        </is>
      </c>
      <c r="E188" s="4" t="inlineStr">
        <is>
          <t>REGIONAL TOLIMA</t>
        </is>
      </c>
      <c r="F188" s="4" t="inlineStr">
        <is>
          <t>IBAGUÉ</t>
        </is>
      </c>
      <c r="G188" s="4" t="inlineStr">
        <is>
          <t>PRESENCIAL</t>
        </is>
      </c>
      <c r="H188" s="4" t="inlineStr">
        <is>
          <t>DOCENTE ASIS/N/TC/COM SOC Y PER/AUTOEVAL</t>
        </is>
      </c>
      <c r="I188" s="4" t="inlineStr">
        <is>
          <t>COMUNICACION SOCIAL Y PERIODISMO</t>
        </is>
      </c>
      <c r="J188" s="4" t="inlineStr">
        <is>
          <t>PLANTA</t>
        </is>
      </c>
      <c r="K188" s="4" t="inlineStr">
        <is>
          <t>CAMILO VARGAS</t>
        </is>
      </c>
      <c r="L188" s="4" t="inlineStr">
        <is>
          <t>CONFIRMADO PRESENCIAL</t>
        </is>
      </c>
      <c r="M188" s="4" t="n">
        <v/>
      </c>
      <c r="N188" s="4" t="n">
        <v>3185697663</v>
      </c>
      <c r="O188" s="4" t="inlineStr">
        <is>
          <t>jpbustamantea@gmail.com</t>
        </is>
      </c>
      <c r="P188" s="4" t="inlineStr">
        <is>
          <t>IBAGUE SEDE</t>
        </is>
      </c>
      <c r="Q188" s="4" t="inlineStr">
        <is>
          <t>BELLAS ARTES</t>
        </is>
      </c>
      <c r="R188" s="4" t="n">
        <v/>
      </c>
    </row>
    <row r="189" ht="20" customHeight="1">
      <c r="A189" s="6" t="inlineStr">
        <is>
          <t>93398536</t>
        </is>
      </c>
      <c r="B189" s="7" t="inlineStr">
        <is>
          <t>PRESENCIAL REGIONAL</t>
        </is>
      </c>
      <c r="C189" s="7" t="inlineStr">
        <is>
          <t>JORGE ALBERTO MENDOZA PORTILLO</t>
        </is>
      </c>
      <c r="D189" s="7" t="inlineStr">
        <is>
          <t>OPERACIONES</t>
        </is>
      </c>
      <c r="E189" s="7" t="inlineStr">
        <is>
          <t>REGIONAL TOLIMA</t>
        </is>
      </c>
      <c r="F189" s="7" t="inlineStr">
        <is>
          <t>IBAGUÉ</t>
        </is>
      </c>
      <c r="G189" s="7" t="inlineStr">
        <is>
          <t>PRESENCIAL</t>
        </is>
      </c>
      <c r="H189" s="7" t="inlineStr">
        <is>
          <t>DOC AUX T&amp;T/N/TC/COM SOC Y PER/FUN.ACADE-ADMIN</t>
        </is>
      </c>
      <c r="I189" s="7" t="inlineStr">
        <is>
          <t>COMUNICACION SOCIAL Y PERIODISMO</t>
        </is>
      </c>
      <c r="J189" s="7" t="inlineStr">
        <is>
          <t>PLANTA</t>
        </is>
      </c>
      <c r="K189" s="7" t="inlineStr">
        <is>
          <t>CAMILO VARGAS</t>
        </is>
      </c>
      <c r="L189" s="7" t="inlineStr">
        <is>
          <t>SIN RESPUESTA</t>
        </is>
      </c>
      <c r="M189" s="7" t="inlineStr">
        <is>
          <t>Número sin servicio</t>
        </is>
      </c>
      <c r="N189" s="7" t="n">
        <v>3185697663</v>
      </c>
      <c r="O189" s="7" t="inlineStr">
        <is>
          <t>jorgealbertomendoza@gmail.com</t>
        </is>
      </c>
      <c r="P189" s="7" t="inlineStr">
        <is>
          <t>IBAGUE SEDE</t>
        </is>
      </c>
      <c r="Q189" s="7" t="inlineStr">
        <is>
          <t>BELLAS ARTES</t>
        </is>
      </c>
      <c r="R189" s="7" t="n">
        <v/>
      </c>
    </row>
    <row r="190" ht="20" customHeight="1">
      <c r="A190" s="3" t="inlineStr">
        <is>
          <t>1032444532</t>
        </is>
      </c>
      <c r="B190" s="4" t="inlineStr">
        <is>
          <t>PRESENCIAL BOGOTÁ</t>
        </is>
      </c>
      <c r="C190" s="4" t="inlineStr">
        <is>
          <t>HOLMAN ROMERO CHAPARRO</t>
        </is>
      </c>
      <c r="D190" s="4" t="inlineStr">
        <is>
          <t>OPERACIONES</t>
        </is>
      </c>
      <c r="E190" s="4" t="inlineStr">
        <is>
          <t>REGIONAL BOGOTA</t>
        </is>
      </c>
      <c r="F190" s="4" t="inlineStr">
        <is>
          <t>BOGOTA CENTRO</t>
        </is>
      </c>
      <c r="G190" s="4" t="inlineStr">
        <is>
          <t>PRESENCIAL</t>
        </is>
      </c>
      <c r="H190" s="4" t="inlineStr">
        <is>
          <t>DOCENTE ASIS/N/TC/COM SOC Y PER/FUN.ACADE-ADMIN</t>
        </is>
      </c>
      <c r="I190" s="4" t="inlineStr">
        <is>
          <t>COMUNICACION SOCIAL Y PERIODISMO</t>
        </is>
      </c>
      <c r="J190" s="4" t="inlineStr">
        <is>
          <t>PLANTA</t>
        </is>
      </c>
      <c r="K190" s="4" t="inlineStr">
        <is>
          <t>CAMILO VARGAS</t>
        </is>
      </c>
      <c r="L190" s="4" t="inlineStr">
        <is>
          <t>SIN RESPUESTA</t>
        </is>
      </c>
      <c r="M190" s="4" t="inlineStr">
        <is>
          <t>CORREO DE VOZ II</t>
        </is>
      </c>
      <c r="N190" s="4" t="n">
        <v>3124772190</v>
      </c>
      <c r="O190" s="4" t="inlineStr">
        <is>
          <t>HOLMANROMEROCHAPARRO@GMAIL.COM</t>
        </is>
      </c>
      <c r="P190" s="4" t="inlineStr">
        <is>
          <t>BTA SEDE F</t>
        </is>
      </c>
      <c r="Q190" s="4" t="inlineStr">
        <is>
          <t>BELLAS ARTES</t>
        </is>
      </c>
      <c r="R190" s="4" t="n">
        <v>303</v>
      </c>
    </row>
    <row r="191" ht="20" customHeight="1">
      <c r="A191" s="6" t="inlineStr">
        <is>
          <t>72264339</t>
        </is>
      </c>
      <c r="B191" s="7" t="inlineStr">
        <is>
          <t>PRESENCIAL BOGOTÁ</t>
        </is>
      </c>
      <c r="C191" s="7" t="inlineStr">
        <is>
          <t>YURY ALEXANDER MARBELLO HENAO</t>
        </is>
      </c>
      <c r="D191" s="7" t="inlineStr">
        <is>
          <t>OPERACIONES</t>
        </is>
      </c>
      <c r="E191" s="7" t="inlineStr">
        <is>
          <t>REGIONAL BOGOTA</t>
        </is>
      </c>
      <c r="F191" s="7" t="inlineStr">
        <is>
          <t>BOGOTA CENTRO</t>
        </is>
      </c>
      <c r="G191" s="7" t="inlineStr">
        <is>
          <t>PRESENCIAL</t>
        </is>
      </c>
      <c r="H191" s="7" t="inlineStr">
        <is>
          <t>DOCENTE ASIS/N/TC/COM SOC Y PER/FUN.ACADE-ADMIN</t>
        </is>
      </c>
      <c r="I191" s="7" t="inlineStr">
        <is>
          <t>COMUNICACION SOCIAL Y PERIODISMO</t>
        </is>
      </c>
      <c r="J191" s="7" t="inlineStr">
        <is>
          <t>PLANTA</t>
        </is>
      </c>
      <c r="K191" s="7" t="inlineStr">
        <is>
          <t>CAMILO VARGAS</t>
        </is>
      </c>
      <c r="L191" s="7" t="inlineStr">
        <is>
          <t>SIN RESPUESTA</t>
        </is>
      </c>
      <c r="M191" s="7" t="inlineStr">
        <is>
          <t>CORREO DE VOZ II</t>
        </is>
      </c>
      <c r="N191" s="7" t="n">
        <v>3024667157</v>
      </c>
      <c r="O191" s="7" t="inlineStr">
        <is>
          <t>yury.marbello@gmail.com</t>
        </is>
      </c>
      <c r="P191" s="7" t="inlineStr">
        <is>
          <t>BTA SEDE F</t>
        </is>
      </c>
      <c r="Q191" s="7" t="inlineStr">
        <is>
          <t>BELLAS ARTES</t>
        </is>
      </c>
      <c r="R191" s="7" t="n">
        <v>303</v>
      </c>
    </row>
    <row r="192" ht="20" customHeight="1">
      <c r="A192" s="3" t="inlineStr">
        <is>
          <t>1020720067</t>
        </is>
      </c>
      <c r="B192" s="4" t="inlineStr">
        <is>
          <t>PRESENCIAL BOGOTÁ</t>
        </is>
      </c>
      <c r="C192" s="4" t="inlineStr">
        <is>
          <t>JUAN ESCALLON DE LA TORRE</t>
        </is>
      </c>
      <c r="D192" s="4" t="inlineStr">
        <is>
          <t>OPERACIONES</t>
        </is>
      </c>
      <c r="E192" s="4" t="inlineStr">
        <is>
          <t>REGIONAL BOGOTA</t>
        </is>
      </c>
      <c r="F192" s="4" t="inlineStr">
        <is>
          <t>BOGOTA CENTRO</t>
        </is>
      </c>
      <c r="G192" s="4" t="inlineStr">
        <is>
          <t>PRESENCIAL</t>
        </is>
      </c>
      <c r="H192" s="4" t="inlineStr">
        <is>
          <t>DOCENTE ASOC/N/TC/COM SOC Y PER/FUN.ACADE-ADMIN</t>
        </is>
      </c>
      <c r="I192" s="4" t="inlineStr">
        <is>
          <t>COMUNICACION SOCIAL Y PERIODISMO</t>
        </is>
      </c>
      <c r="J192" s="4" t="inlineStr">
        <is>
          <t>PLANTA</t>
        </is>
      </c>
      <c r="K192" s="4" t="inlineStr">
        <is>
          <t>CAMILO VARGAS</t>
        </is>
      </c>
      <c r="L192" s="4" t="inlineStr">
        <is>
          <t>SIN RESPUESTA</t>
        </is>
      </c>
      <c r="M192" s="4" t="inlineStr">
        <is>
          <t>CORREO DE VOZ II</t>
        </is>
      </c>
      <c r="N192" s="4" t="n">
        <v>3124799498</v>
      </c>
      <c r="O192" s="4" t="inlineStr">
        <is>
          <t>juan.escallon@hotmail.com</t>
        </is>
      </c>
      <c r="P192" s="4" t="inlineStr">
        <is>
          <t>BTA SEDE F</t>
        </is>
      </c>
      <c r="Q192" s="4" t="inlineStr">
        <is>
          <t>BELLAS ARTES</t>
        </is>
      </c>
      <c r="R192" s="4" t="n">
        <v>303</v>
      </c>
    </row>
    <row r="193" ht="20" customHeight="1">
      <c r="A193" s="6" t="inlineStr">
        <is>
          <t>1018474208</t>
        </is>
      </c>
      <c r="B193" s="7" t="inlineStr">
        <is>
          <t>VIRTUAL</t>
        </is>
      </c>
      <c r="C193" s="7" t="inlineStr">
        <is>
          <t>NATALY SANCHEZ GUAL</t>
        </is>
      </c>
      <c r="D193" s="7" t="inlineStr">
        <is>
          <t>OPERACIONES</t>
        </is>
      </c>
      <c r="E193" s="7" t="inlineStr">
        <is>
          <t>REGIONAL CESAR</t>
        </is>
      </c>
      <c r="F193" s="7" t="inlineStr">
        <is>
          <t>VALLEDUPAR</t>
        </is>
      </c>
      <c r="G193" s="7" t="inlineStr">
        <is>
          <t>VIRTUAL</t>
        </is>
      </c>
      <c r="H193" s="7" t="inlineStr">
        <is>
          <t>DOC AUX T&amp;T/N/V/TC/COMU SOC Y PERI/FUN.ACADE-ADMIN</t>
        </is>
      </c>
      <c r="I193" s="7" t="inlineStr">
        <is>
          <t>COMUNICACION SOCIAL Y PERIODISMO</t>
        </is>
      </c>
      <c r="J193" s="7" t="inlineStr">
        <is>
          <t>PLANTA</t>
        </is>
      </c>
      <c r="K193" s="7" t="inlineStr">
        <is>
          <t>CAMILO VARGAS</t>
        </is>
      </c>
      <c r="L193" s="7" t="inlineStr">
        <is>
          <t>CONFIRMADO VIRTUAL</t>
        </is>
      </c>
      <c r="M193" s="7" t="n">
        <v/>
      </c>
      <c r="N193" s="7" t="n">
        <v>3024876242</v>
      </c>
      <c r="O193" s="7" t="inlineStr">
        <is>
          <t>nathgual1502@gmail.com</t>
        </is>
      </c>
      <c r="P193" s="7" t="inlineStr">
        <is>
          <t>VALLEDUPAR SEDE</t>
        </is>
      </c>
      <c r="Q193" s="7" t="inlineStr">
        <is>
          <t>BELLAS ARTES</t>
        </is>
      </c>
      <c r="R193" s="7" t="n">
        <v/>
      </c>
    </row>
    <row r="194" ht="20" customHeight="1">
      <c r="A194" s="3" t="inlineStr">
        <is>
          <t>1024533793</t>
        </is>
      </c>
      <c r="B194" s="4" t="inlineStr">
        <is>
          <t>PRESENCIAL BOGOTÁ</t>
        </is>
      </c>
      <c r="C194" s="4" t="inlineStr">
        <is>
          <t>JESUS ALBERTO TRIANA DIAZ</t>
        </is>
      </c>
      <c r="D194" s="4" t="inlineStr">
        <is>
          <t>OPERACIONES</t>
        </is>
      </c>
      <c r="E194" s="4" t="inlineStr">
        <is>
          <t>REGIONAL BOGOTA</t>
        </is>
      </c>
      <c r="F194" s="4" t="inlineStr">
        <is>
          <t>BOGOTA CENTRO</t>
        </is>
      </c>
      <c r="G194" s="4" t="inlineStr">
        <is>
          <t>PRESENCIAL</t>
        </is>
      </c>
      <c r="H194" s="4" t="inlineStr">
        <is>
          <t>DOCENTE AUX/N/TC/COM SOC Y PER/FUN.ACADE-ADMIN</t>
        </is>
      </c>
      <c r="I194" s="4" t="inlineStr">
        <is>
          <t>COMUNICACION SOCIAL Y PERIODISMO</t>
        </is>
      </c>
      <c r="J194" s="4" t="inlineStr">
        <is>
          <t>PLANTA</t>
        </is>
      </c>
      <c r="K194" s="4" t="inlineStr">
        <is>
          <t>CAMILO VARGAS</t>
        </is>
      </c>
      <c r="L194" s="4" t="inlineStr">
        <is>
          <t>SIN RESPUESTA</t>
        </is>
      </c>
      <c r="M194" s="4" t="inlineStr">
        <is>
          <t>CORREO DE VOZ II</t>
        </is>
      </c>
      <c r="N194" s="4" t="n">
        <v>3147360524</v>
      </c>
      <c r="O194" s="4" t="inlineStr">
        <is>
          <t>jesustriana2023@gmail.com</t>
        </is>
      </c>
      <c r="P194" s="4" t="inlineStr">
        <is>
          <t>BTA SEDE F</t>
        </is>
      </c>
      <c r="Q194" s="4" t="inlineStr">
        <is>
          <t>BELLAS ARTES</t>
        </is>
      </c>
      <c r="R194" s="4" t="n">
        <v>303</v>
      </c>
    </row>
    <row r="195" ht="20" customHeight="1">
      <c r="A195" s="6" t="inlineStr">
        <is>
          <t>1192775764</t>
        </is>
      </c>
      <c r="B195" s="7" t="inlineStr">
        <is>
          <t>PRESENCIAL REGIONAL</t>
        </is>
      </c>
      <c r="C195" s="7" t="inlineStr">
        <is>
          <t>ANGELA YUREINY ARIAS CAMPOS</t>
        </is>
      </c>
      <c r="D195" s="7" t="inlineStr">
        <is>
          <t>OPERACIONES</t>
        </is>
      </c>
      <c r="E195" s="7" t="inlineStr">
        <is>
          <t>REGIONAL TOLIMA</t>
        </is>
      </c>
      <c r="F195" s="7" t="inlineStr">
        <is>
          <t>IBAGUÉ</t>
        </is>
      </c>
      <c r="G195" s="7" t="inlineStr">
        <is>
          <t>VIRTUAL</t>
        </is>
      </c>
      <c r="H195" s="7" t="inlineStr">
        <is>
          <t>DOC AUX T&amp;T/N/V/TC/COMU SOC Y PERI/FUN.ACADE-ADMIN</t>
        </is>
      </c>
      <c r="I195" s="7" t="inlineStr">
        <is>
          <t>COMUNICACION SOCIAL Y PERIODISMO</t>
        </is>
      </c>
      <c r="J195" s="7" t="inlineStr">
        <is>
          <t>PLANTA</t>
        </is>
      </c>
      <c r="K195" s="7" t="inlineStr">
        <is>
          <t>CAMILO VARGAS</t>
        </is>
      </c>
      <c r="L195" s="7" t="inlineStr">
        <is>
          <t>CONFIRMADO PRESENCIAL</t>
        </is>
      </c>
      <c r="M195" s="7" t="n">
        <v/>
      </c>
      <c r="N195" s="7" t="n">
        <v>3222444377</v>
      </c>
      <c r="O195" s="7" t="inlineStr">
        <is>
          <t>angela.yac16@gmail.com</t>
        </is>
      </c>
      <c r="P195" s="7" t="inlineStr">
        <is>
          <t>IBAGUE SEDE</t>
        </is>
      </c>
      <c r="Q195" s="7" t="inlineStr">
        <is>
          <t>BELLAS ARTES</t>
        </is>
      </c>
      <c r="R195" s="7" t="n">
        <v/>
      </c>
    </row>
    <row r="196" ht="20" customHeight="1">
      <c r="A196" s="3" t="inlineStr">
        <is>
          <t>1075307060</t>
        </is>
      </c>
      <c r="B196" s="4" t="inlineStr">
        <is>
          <t>PRESENCIAL REGIONAL</t>
        </is>
      </c>
      <c r="C196" s="4" t="inlineStr">
        <is>
          <t>DANIEL FELIPE MEDINA OSSA</t>
        </is>
      </c>
      <c r="D196" s="4" t="inlineStr">
        <is>
          <t>OPERACIONES</t>
        </is>
      </c>
      <c r="E196" s="4" t="inlineStr">
        <is>
          <t>REGIONAL HUILA</t>
        </is>
      </c>
      <c r="F196" s="4" t="inlineStr">
        <is>
          <t>NEIVA</t>
        </is>
      </c>
      <c r="G196" s="4" t="inlineStr">
        <is>
          <t>PRESENCIAL</t>
        </is>
      </c>
      <c r="H196" s="4" t="inlineStr">
        <is>
          <t>DOC AUX T&amp;T/N/TC/COM SOC Y PER/FUN.ACADE-ADMIN</t>
        </is>
      </c>
      <c r="I196" s="4" t="inlineStr">
        <is>
          <t>COMUNICACION SOCIAL Y PERIODISMO</t>
        </is>
      </c>
      <c r="J196" s="4" t="inlineStr">
        <is>
          <t>PLANTA</t>
        </is>
      </c>
      <c r="K196" s="4" t="inlineStr">
        <is>
          <t>CAMILO VARGAS</t>
        </is>
      </c>
      <c r="L196" s="4" t="inlineStr">
        <is>
          <t>CONFIRMADO PRESENCIAL</t>
        </is>
      </c>
      <c r="M196" s="4" t="n">
        <v/>
      </c>
      <c r="N196" s="4" t="n">
        <v>3144553187</v>
      </c>
      <c r="O196" s="4" t="inlineStr">
        <is>
          <t>danielossa97@gmail.com</t>
        </is>
      </c>
      <c r="P196" s="4" t="inlineStr">
        <is>
          <t>NEIVA SEDE</t>
        </is>
      </c>
      <c r="Q196" s="4" t="inlineStr">
        <is>
          <t>BELLAS ARTES</t>
        </is>
      </c>
      <c r="R196" s="4" t="n">
        <v/>
      </c>
    </row>
    <row r="197" ht="20" customHeight="1">
      <c r="A197" s="6" t="inlineStr">
        <is>
          <t>1773567</t>
        </is>
      </c>
      <c r="B197" s="7" t="inlineStr">
        <is>
          <t>PRESENCIAL BOGOTÁ</t>
        </is>
      </c>
      <c r="C197" s="7" t="inlineStr">
        <is>
          <t>ABNER SANCHEZ YNOJOSA</t>
        </is>
      </c>
      <c r="D197" s="7" t="inlineStr">
        <is>
          <t>OPERACIONES</t>
        </is>
      </c>
      <c r="E197" s="7" t="inlineStr">
        <is>
          <t>REGIONAL BOGOTA</t>
        </is>
      </c>
      <c r="F197" s="7" t="inlineStr">
        <is>
          <t>BOGOTA CENTRO</t>
        </is>
      </c>
      <c r="G197" s="7" t="inlineStr">
        <is>
          <t>VIRTUAL</t>
        </is>
      </c>
      <c r="H197" s="7" t="inlineStr">
        <is>
          <t>DOC AUX T&amp;T/N/V/TC/COMU SOC Y PERI/FUN.ACADE-ADMIN</t>
        </is>
      </c>
      <c r="I197" s="7" t="inlineStr">
        <is>
          <t>COMUNICACION SOCIAL Y PERIODISMO</t>
        </is>
      </c>
      <c r="J197" s="7" t="inlineStr">
        <is>
          <t>PLANTA</t>
        </is>
      </c>
      <c r="K197" s="7" t="inlineStr">
        <is>
          <t>CAMILO VARGAS</t>
        </is>
      </c>
      <c r="L197" s="7" t="inlineStr">
        <is>
          <t>SIN RESPUESTA</t>
        </is>
      </c>
      <c r="M197" s="7" t="inlineStr">
        <is>
          <t>Número sin servicio</t>
        </is>
      </c>
      <c r="N197" s="7" t="n">
        <v>314484322</v>
      </c>
      <c r="O197" s="7" t="inlineStr">
        <is>
          <t>ABNERSANCHEZ1996@GMAIL.COM</t>
        </is>
      </c>
      <c r="P197" s="7" t="inlineStr">
        <is>
          <t>BTA SEDE A</t>
        </is>
      </c>
      <c r="Q197" s="7" t="inlineStr">
        <is>
          <t>BELLAS ARTES</t>
        </is>
      </c>
      <c r="R197" s="7" t="n">
        <v>303</v>
      </c>
    </row>
    <row r="198" ht="20" customHeight="1">
      <c r="A198" s="3" t="inlineStr">
        <is>
          <t>80791764</t>
        </is>
      </c>
      <c r="B198" s="4" t="inlineStr">
        <is>
          <t>PRESENCIAL BOGOTÁ</t>
        </is>
      </c>
      <c r="C198" s="4" t="inlineStr">
        <is>
          <t>EDUARDO ENRIQUE VILLAMIZAR AGUIRRE</t>
        </is>
      </c>
      <c r="D198" s="4" t="inlineStr">
        <is>
          <t>OPERACIONES</t>
        </is>
      </c>
      <c r="E198" s="4" t="inlineStr">
        <is>
          <t>REGIONAL BOGOTA</t>
        </is>
      </c>
      <c r="F198" s="4" t="inlineStr">
        <is>
          <t>BOGOTA CENTRO</t>
        </is>
      </c>
      <c r="G198" s="4" t="inlineStr">
        <is>
          <t>PRESENCIAL</t>
        </is>
      </c>
      <c r="H198" s="4" t="inlineStr">
        <is>
          <t>DOCENTE ASIS/N/TC/COM SOC Y PER/FUN.ACADE-ADMIN</t>
        </is>
      </c>
      <c r="I198" s="4" t="inlineStr">
        <is>
          <t>COMUNICACION SOCIAL Y PERIODISMO</t>
        </is>
      </c>
      <c r="J198" s="4" t="inlineStr">
        <is>
          <t>PLANTA</t>
        </is>
      </c>
      <c r="K198" s="4" t="inlineStr">
        <is>
          <t>CAMILO VARGAS</t>
        </is>
      </c>
      <c r="L198" s="4" t="inlineStr">
        <is>
          <t>CONFIRMADO PRESENCIAL</t>
        </is>
      </c>
      <c r="M198" s="4" t="n">
        <v/>
      </c>
      <c r="N198" s="4" t="n">
        <v>3236960527</v>
      </c>
      <c r="O198" s="4" t="inlineStr">
        <is>
          <t>eduardoevillamizar@gmail.com</t>
        </is>
      </c>
      <c r="P198" s="4" t="inlineStr">
        <is>
          <t>BTA SEDE F</t>
        </is>
      </c>
      <c r="Q198" s="4" t="inlineStr">
        <is>
          <t>BELLAS ARTES</t>
        </is>
      </c>
      <c r="R198" s="4" t="n">
        <v>303</v>
      </c>
    </row>
    <row r="199" ht="20" customHeight="1">
      <c r="A199" s="6" t="inlineStr">
        <is>
          <t>1075232168</t>
        </is>
      </c>
      <c r="B199" s="7" t="inlineStr">
        <is>
          <t>PRESENCIAL REGIONAL</t>
        </is>
      </c>
      <c r="C199" s="7" t="inlineStr">
        <is>
          <t>FRANCISCO JAVIER OCHOA ROA</t>
        </is>
      </c>
      <c r="D199" s="7" t="inlineStr">
        <is>
          <t>OPERACIONES</t>
        </is>
      </c>
      <c r="E199" s="7" t="inlineStr">
        <is>
          <t>REGIONAL HUILA</t>
        </is>
      </c>
      <c r="F199" s="7" t="inlineStr">
        <is>
          <t>NEIVA</t>
        </is>
      </c>
      <c r="G199" s="7" t="inlineStr">
        <is>
          <t>PRESENCIAL</t>
        </is>
      </c>
      <c r="H199" s="7" t="inlineStr">
        <is>
          <t>DOC AUX T&amp;T/N/TC/COM SOC Y PER/FUN.ACADE-ADMIN</t>
        </is>
      </c>
      <c r="I199" s="7" t="inlineStr">
        <is>
          <t>COMUNICACION SOCIAL Y PERIODISMO</t>
        </is>
      </c>
      <c r="J199" s="7" t="inlineStr">
        <is>
          <t>PLANTA</t>
        </is>
      </c>
      <c r="K199" s="7" t="inlineStr">
        <is>
          <t>CAMILO VARGAS</t>
        </is>
      </c>
      <c r="L199" s="7" t="inlineStr">
        <is>
          <t>CONFIRMADO PRESENCIAL</t>
        </is>
      </c>
      <c r="M199" s="7" t="n">
        <v/>
      </c>
      <c r="N199" s="7" t="n">
        <v>3204244350</v>
      </c>
      <c r="O199" s="7" t="inlineStr">
        <is>
          <t>javierochoa.roa@gmail.com</t>
        </is>
      </c>
      <c r="P199" s="7" t="inlineStr">
        <is>
          <t>NEIVA SEDE</t>
        </is>
      </c>
      <c r="Q199" s="7" t="inlineStr">
        <is>
          <t>BELLAS ARTES</t>
        </is>
      </c>
      <c r="R199" s="7" t="n">
        <v/>
      </c>
    </row>
    <row r="200" ht="20" customHeight="1">
      <c r="A200" s="3" t="inlineStr">
        <is>
          <t>1110583837</t>
        </is>
      </c>
      <c r="B200" s="4" t="inlineStr">
        <is>
          <t>PRESENCIAL REGIONAL</t>
        </is>
      </c>
      <c r="C200" s="4" t="inlineStr">
        <is>
          <t>DANNA VALENTINA PEREZ JARAMILLO</t>
        </is>
      </c>
      <c r="D200" s="4" t="inlineStr">
        <is>
          <t>OPERACIONES</t>
        </is>
      </c>
      <c r="E200" s="4" t="inlineStr">
        <is>
          <t>REGIONAL TOLIMA</t>
        </is>
      </c>
      <c r="F200" s="4" t="inlineStr">
        <is>
          <t>IBAGUÉ</t>
        </is>
      </c>
      <c r="G200" s="4" t="inlineStr">
        <is>
          <t>PRESENCIAL</t>
        </is>
      </c>
      <c r="H200" s="4" t="inlineStr">
        <is>
          <t>DOC AUX T&amp;T/N/TC/COM SOC Y PER/FUN.ACADE-ADMIN</t>
        </is>
      </c>
      <c r="I200" s="4" t="inlineStr">
        <is>
          <t>COMUNICACION SOCIAL Y PERIODISMO</t>
        </is>
      </c>
      <c r="J200" s="4" t="inlineStr">
        <is>
          <t>PLANTA</t>
        </is>
      </c>
      <c r="K200" s="4" t="inlineStr">
        <is>
          <t>CAMILO VARGAS</t>
        </is>
      </c>
      <c r="L200" s="4" t="inlineStr">
        <is>
          <t>CONFIRMADO PRESENCIAL</t>
        </is>
      </c>
      <c r="M200" s="4" t="n">
        <v/>
      </c>
      <c r="N200" s="4" t="n">
        <v>3175588265</v>
      </c>
      <c r="O200" s="4" t="inlineStr">
        <is>
          <t>DVALEN.JARAMILLO@GMAIL.COM</t>
        </is>
      </c>
      <c r="P200" s="4" t="inlineStr">
        <is>
          <t>IBAGUE SEDE</t>
        </is>
      </c>
      <c r="Q200" s="4" t="inlineStr">
        <is>
          <t>BELLAS ARTES</t>
        </is>
      </c>
      <c r="R200" s="4" t="n">
        <v/>
      </c>
    </row>
    <row r="201" ht="20" customHeight="1">
      <c r="A201" s="6" t="inlineStr">
        <is>
          <t>1082931770</t>
        </is>
      </c>
      <c r="B201" s="7" t="inlineStr">
        <is>
          <t>PRESENCIAL BOGOTÁ</t>
        </is>
      </c>
      <c r="C201" s="7" t="inlineStr">
        <is>
          <t>JUAN LUIS CAMARGO GRANADOS</t>
        </is>
      </c>
      <c r="D201" s="7" t="inlineStr">
        <is>
          <t>OPERACIONES</t>
        </is>
      </c>
      <c r="E201" s="7" t="inlineStr">
        <is>
          <t>REGIONAL BOGOTA</t>
        </is>
      </c>
      <c r="F201" s="7" t="inlineStr">
        <is>
          <t>BOGOTA CENTRO</t>
        </is>
      </c>
      <c r="G201" s="7" t="inlineStr">
        <is>
          <t>PRESENCIAL</t>
        </is>
      </c>
      <c r="H201" s="7" t="inlineStr">
        <is>
          <t>DOCENTE AUX/N/TC/COM SOC Y PER/FUN.ACADE-ADMIN</t>
        </is>
      </c>
      <c r="I201" s="7" t="inlineStr">
        <is>
          <t>COMUNICACION SOCIAL Y PERIODISMO</t>
        </is>
      </c>
      <c r="J201" s="7" t="inlineStr">
        <is>
          <t>PLANTA</t>
        </is>
      </c>
      <c r="K201" s="7" t="inlineStr">
        <is>
          <t>CAMILO VARGAS</t>
        </is>
      </c>
      <c r="L201" s="7" t="inlineStr">
        <is>
          <t>CONFIRMADO PRESENCIAL</t>
        </is>
      </c>
      <c r="M201" s="7" t="n">
        <v/>
      </c>
      <c r="N201" s="7" t="n">
        <v>3104545464</v>
      </c>
      <c r="O201" s="7" t="inlineStr">
        <is>
          <t>JUANLUISCAMARGO36@GMAIL.COM</t>
        </is>
      </c>
      <c r="P201" s="7" t="inlineStr">
        <is>
          <t>BTA SEDE F</t>
        </is>
      </c>
      <c r="Q201" s="7" t="inlineStr">
        <is>
          <t>BELLAS ARTES</t>
        </is>
      </c>
      <c r="R201" s="7" t="n">
        <v>303</v>
      </c>
    </row>
    <row r="202" ht="20" customHeight="1">
      <c r="A202" s="3" t="inlineStr">
        <is>
          <t>1233492600</t>
        </is>
      </c>
      <c r="B202" s="4" t="inlineStr">
        <is>
          <t>PRESENCIAL BOGOTÁ</t>
        </is>
      </c>
      <c r="C202" s="4" t="inlineStr">
        <is>
          <t>LENARD ANDRES CASTELLON RAMIREZ</t>
        </is>
      </c>
      <c r="D202" s="4" t="inlineStr">
        <is>
          <t>OPERACIONES</t>
        </is>
      </c>
      <c r="E202" s="4" t="inlineStr">
        <is>
          <t>REGIONAL BOGOTA</t>
        </is>
      </c>
      <c r="F202" s="4" t="inlineStr">
        <is>
          <t>BOGOTA CENTRO</t>
        </is>
      </c>
      <c r="G202" s="4" t="inlineStr">
        <is>
          <t>PRESENCIAL</t>
        </is>
      </c>
      <c r="H202" s="4" t="inlineStr">
        <is>
          <t>DOC AUX T&amp;T/N/TC/COM SOC Y PER/FUN.ACADE-ADMIN</t>
        </is>
      </c>
      <c r="I202" s="4" t="inlineStr">
        <is>
          <t>COMUNICACION SOCIAL Y PERIODISMO</t>
        </is>
      </c>
      <c r="J202" s="4" t="inlineStr">
        <is>
          <t>PLANTA</t>
        </is>
      </c>
      <c r="K202" s="4" t="inlineStr">
        <is>
          <t>CAMILO VARGAS</t>
        </is>
      </c>
      <c r="L202" s="4" t="inlineStr">
        <is>
          <t>CONFIRMADO PRESENCIAL</t>
        </is>
      </c>
      <c r="M202" s="4" t="n">
        <v/>
      </c>
      <c r="N202" s="4" t="n">
        <v>3172132300</v>
      </c>
      <c r="O202" s="4" t="inlineStr">
        <is>
          <t>LENARDDRAGON@GMAIL.COM</t>
        </is>
      </c>
      <c r="P202" s="4" t="inlineStr">
        <is>
          <t>BTA SEDE F</t>
        </is>
      </c>
      <c r="Q202" s="4" t="inlineStr">
        <is>
          <t>BELLAS ARTES</t>
        </is>
      </c>
      <c r="R202" s="4" t="n">
        <v>303</v>
      </c>
    </row>
    <row r="203" ht="20" customHeight="1">
      <c r="A203" s="6" t="inlineStr">
        <is>
          <t>1012420016</t>
        </is>
      </c>
      <c r="B203" s="7" t="inlineStr">
        <is>
          <t>PRESENCIAL BOGOTÁ</t>
        </is>
      </c>
      <c r="C203" s="7" t="inlineStr">
        <is>
          <t>VIVIANA ALEJANDRA BORJA MANCIPE</t>
        </is>
      </c>
      <c r="D203" s="7" t="inlineStr">
        <is>
          <t>OPERACIONES</t>
        </is>
      </c>
      <c r="E203" s="7" t="inlineStr">
        <is>
          <t>REGIONAL BOGOTA</t>
        </is>
      </c>
      <c r="F203" s="7" t="inlineStr">
        <is>
          <t>BOGOTA CENTRO</t>
        </is>
      </c>
      <c r="G203" s="7" t="inlineStr">
        <is>
          <t>VIRTUAL</t>
        </is>
      </c>
      <c r="H203" s="7" t="inlineStr">
        <is>
          <t>DOC ASIS/N/V/TC/COMU SOC Y PERI/FUN.ACADE-ADMIN</t>
        </is>
      </c>
      <c r="I203" s="7" t="inlineStr">
        <is>
          <t>COMUNICACION SOCIAL Y PERIODISMO</t>
        </is>
      </c>
      <c r="J203" s="7" t="inlineStr">
        <is>
          <t>PLANTA</t>
        </is>
      </c>
      <c r="K203" s="7" t="inlineStr">
        <is>
          <t>CAMILO VARGAS</t>
        </is>
      </c>
      <c r="L203" s="7" t="inlineStr">
        <is>
          <t>CONFIRMADO PRESENCIAL</t>
        </is>
      </c>
      <c r="M203" s="7" t="n">
        <v/>
      </c>
      <c r="N203" s="7" t="n">
        <v>3208764231</v>
      </c>
      <c r="O203" s="7" t="inlineStr">
        <is>
          <t>VBORJAMAN@GMAIL.COM</t>
        </is>
      </c>
      <c r="P203" s="7" t="inlineStr">
        <is>
          <t>BTA SEDE F</t>
        </is>
      </c>
      <c r="Q203" s="7" t="inlineStr">
        <is>
          <t>BELLAS ARTES</t>
        </is>
      </c>
      <c r="R203" s="7" t="n">
        <v>303</v>
      </c>
    </row>
    <row r="204" ht="20" customHeight="1">
      <c r="A204" s="3" t="inlineStr">
        <is>
          <t>1010227949</t>
        </is>
      </c>
      <c r="B204" s="4" t="inlineStr">
        <is>
          <t>PRESENCIAL BOGOTÁ</t>
        </is>
      </c>
      <c r="C204" s="4" t="inlineStr">
        <is>
          <t>HENRY ALEJANDRO PAEZ BALAGUERA</t>
        </is>
      </c>
      <c r="D204" s="4" t="inlineStr">
        <is>
          <t>OPERACIONES</t>
        </is>
      </c>
      <c r="E204" s="4" t="inlineStr">
        <is>
          <t>REGIONAL BOGOTA</t>
        </is>
      </c>
      <c r="F204" s="4" t="inlineStr">
        <is>
          <t>BOGOTA CENTRO</t>
        </is>
      </c>
      <c r="G204" s="4" t="inlineStr">
        <is>
          <t>PRESENCIAL</t>
        </is>
      </c>
      <c r="H204" s="4" t="inlineStr">
        <is>
          <t>DOCENTE ASIS/N/TC/COM SOC Y PER/FUN.ACADE-ADMIN</t>
        </is>
      </c>
      <c r="I204" s="4" t="inlineStr">
        <is>
          <t>COMUNICACION SOCIAL Y PERIODISMO</t>
        </is>
      </c>
      <c r="J204" s="4" t="inlineStr">
        <is>
          <t>PLANTA</t>
        </is>
      </c>
      <c r="K204" s="4" t="inlineStr">
        <is>
          <t>CAMILO VARGAS</t>
        </is>
      </c>
      <c r="L204" s="4" t="inlineStr">
        <is>
          <t>CONFIRMADO PRESENCIAL</t>
        </is>
      </c>
      <c r="M204" s="4" t="n">
        <v/>
      </c>
      <c r="N204" s="4" t="n">
        <v>3144033725</v>
      </c>
      <c r="O204" s="4" t="inlineStr">
        <is>
          <t>ALEJOPAEZ96@GMAIL.COM</t>
        </is>
      </c>
      <c r="P204" s="4" t="inlineStr">
        <is>
          <t>BTA SEDE F</t>
        </is>
      </c>
      <c r="Q204" s="4" t="inlineStr">
        <is>
          <t>BELLAS ARTES</t>
        </is>
      </c>
      <c r="R204" s="4" t="n">
        <v>303</v>
      </c>
    </row>
    <row r="205" ht="20" customHeight="1">
      <c r="A205" s="6" t="inlineStr">
        <is>
          <t>1010131353</t>
        </is>
      </c>
      <c r="B205" s="7" t="inlineStr">
        <is>
          <t>PRESENCIAL BOGOTÁ</t>
        </is>
      </c>
      <c r="C205" s="7" t="inlineStr">
        <is>
          <t>MIGUEL ANGEL BARBOSA VARGAS</t>
        </is>
      </c>
      <c r="D205" s="7" t="inlineStr">
        <is>
          <t>OPERACIONES</t>
        </is>
      </c>
      <c r="E205" s="7" t="inlineStr">
        <is>
          <t>REGIONAL BOGOTA</t>
        </is>
      </c>
      <c r="F205" s="7" t="inlineStr">
        <is>
          <t>BOGOTA CENTRO</t>
        </is>
      </c>
      <c r="G205" s="7" t="inlineStr">
        <is>
          <t>PRESENCIAL</t>
        </is>
      </c>
      <c r="H205" s="7" t="inlineStr">
        <is>
          <t>DOC AUX T&amp;T/N/TC/COM SOC Y PER/FUN.ACADE-ADMIN</t>
        </is>
      </c>
      <c r="I205" s="7" t="inlineStr">
        <is>
          <t>COMUNICACION SOCIAL Y PERIODISMO</t>
        </is>
      </c>
      <c r="J205" s="7" t="inlineStr">
        <is>
          <t>PLANTA</t>
        </is>
      </c>
      <c r="K205" s="7" t="inlineStr">
        <is>
          <t>CAMILO VARGAS</t>
        </is>
      </c>
      <c r="L205" s="7" t="inlineStr">
        <is>
          <t>CONFIRMADO PRESENCIAL</t>
        </is>
      </c>
      <c r="M205" s="7" t="n">
        <v/>
      </c>
      <c r="N205" s="7" t="n">
        <v>3106735442</v>
      </c>
      <c r="O205" s="7" t="inlineStr">
        <is>
          <t>miguelito2011.com@gmail.com</t>
        </is>
      </c>
      <c r="P205" s="7" t="inlineStr">
        <is>
          <t>BTA SEDE F</t>
        </is>
      </c>
      <c r="Q205" s="7" t="inlineStr">
        <is>
          <t>BELLAS ARTES</t>
        </is>
      </c>
      <c r="R205" s="7" t="n">
        <v>303</v>
      </c>
    </row>
    <row r="206" ht="20" customHeight="1">
      <c r="A206" s="3" t="inlineStr">
        <is>
          <t>1015436045</t>
        </is>
      </c>
      <c r="B206" s="4" t="inlineStr">
        <is>
          <t>PRESENCIAL REGIONAL</t>
        </is>
      </c>
      <c r="C206" s="4" t="inlineStr">
        <is>
          <t>MARIA EUGENIA DIAZ BONILLA</t>
        </is>
      </c>
      <c r="D206" s="4" t="inlineStr">
        <is>
          <t>OPERACIONES</t>
        </is>
      </c>
      <c r="E206" s="4" t="inlineStr">
        <is>
          <t>REGIONAL HUILA</t>
        </is>
      </c>
      <c r="F206" s="4" t="inlineStr">
        <is>
          <t>NEIVA</t>
        </is>
      </c>
      <c r="G206" s="4" t="inlineStr">
        <is>
          <t>PRESENCIAL</t>
        </is>
      </c>
      <c r="H206" s="4" t="inlineStr">
        <is>
          <t>DOC AUX T&amp;T/N/TC/COMU SOC Y PERI/FUN.ACA</t>
        </is>
      </c>
      <c r="I206" s="4" t="inlineStr">
        <is>
          <t>COMUNICACION SOCIAL Y PERIODISMO</t>
        </is>
      </c>
      <c r="J206" s="4" t="inlineStr">
        <is>
          <t>PLANTA</t>
        </is>
      </c>
      <c r="K206" s="4" t="inlineStr">
        <is>
          <t>CAMILO VARGAS</t>
        </is>
      </c>
      <c r="L206" s="4" t="inlineStr">
        <is>
          <t>CONFIRMADO PRESENCIAL</t>
        </is>
      </c>
      <c r="M206" s="4" t="n">
        <v/>
      </c>
      <c r="N206" s="4" t="n">
        <v>3118371019</v>
      </c>
      <c r="O206" s="4" t="inlineStr">
        <is>
          <t>marudiaz19@gmail.com</t>
        </is>
      </c>
      <c r="P206" s="4" t="inlineStr">
        <is>
          <t>NEIVA SEDE</t>
        </is>
      </c>
      <c r="Q206" s="4" t="inlineStr">
        <is>
          <t>BELLAS ARTES</t>
        </is>
      </c>
      <c r="R206" s="4" t="n">
        <v/>
      </c>
    </row>
    <row r="207" ht="20" customHeight="1">
      <c r="A207" s="6" t="inlineStr">
        <is>
          <t>1030588569</t>
        </is>
      </c>
      <c r="B207" s="7" t="inlineStr">
        <is>
          <t>PRESENCIAL BOGOTÁ</t>
        </is>
      </c>
      <c r="C207" s="7" t="inlineStr">
        <is>
          <t>CATHERIN FLOREZ FUENTES</t>
        </is>
      </c>
      <c r="D207" s="7" t="inlineStr">
        <is>
          <t>OPERACIONES</t>
        </is>
      </c>
      <c r="E207" s="7" t="inlineStr">
        <is>
          <t>REGIONAL BOGOTA</t>
        </is>
      </c>
      <c r="F207" s="7" t="inlineStr">
        <is>
          <t>BOGOTA CENTRO</t>
        </is>
      </c>
      <c r="G207" s="7" t="inlineStr">
        <is>
          <t>PRESENCIAL</t>
        </is>
      </c>
      <c r="H207" s="7" t="inlineStr">
        <is>
          <t>DOCENTE ASIS/N/TC/COM SOC Y PER/FUN.ACADE-ADMIN</t>
        </is>
      </c>
      <c r="I207" s="7" t="inlineStr">
        <is>
          <t>COMUNICACION SOCIAL Y PERIODISMO</t>
        </is>
      </c>
      <c r="J207" s="7" t="inlineStr">
        <is>
          <t>PLANTA</t>
        </is>
      </c>
      <c r="K207" s="7" t="inlineStr">
        <is>
          <t>CAMILO VARGAS</t>
        </is>
      </c>
      <c r="L207" s="7" t="inlineStr">
        <is>
          <t>CONFIRMADO PRESENCIAL</t>
        </is>
      </c>
      <c r="M207" s="7" t="n">
        <v/>
      </c>
      <c r="N207" s="7" t="n">
        <v>3213671054</v>
      </c>
      <c r="O207" s="7" t="inlineStr">
        <is>
          <t>catherinflorez@gmail.com</t>
        </is>
      </c>
      <c r="P207" s="7" t="inlineStr">
        <is>
          <t>BTA SEDE F</t>
        </is>
      </c>
      <c r="Q207" s="7" t="inlineStr">
        <is>
          <t>BELLAS ARTES</t>
        </is>
      </c>
      <c r="R207" s="7" t="n">
        <v>303</v>
      </c>
    </row>
    <row r="208" ht="20" customHeight="1">
      <c r="A208" s="3" t="inlineStr">
        <is>
          <t>1083006582</t>
        </is>
      </c>
      <c r="B208" s="4" t="inlineStr">
        <is>
          <t>VIRTUAL</t>
        </is>
      </c>
      <c r="C208" s="4" t="inlineStr">
        <is>
          <t>HEIDY SOFIA ARZUZA MORA</t>
        </is>
      </c>
      <c r="D208" s="4" t="inlineStr">
        <is>
          <t>OPERACIONES</t>
        </is>
      </c>
      <c r="E208" s="4" t="inlineStr">
        <is>
          <t>REGIONAL MAGDALENA</t>
        </is>
      </c>
      <c r="F208" s="4" t="inlineStr">
        <is>
          <t>SANTA MARTA</t>
        </is>
      </c>
      <c r="G208" s="4" t="inlineStr">
        <is>
          <t>PRESENCIAL</t>
        </is>
      </c>
      <c r="H208" s="4" t="inlineStr">
        <is>
          <t>DOCENTE AUX/N/TC/COM SOC Y PER/FUN.ACADE-ADMIN</t>
        </is>
      </c>
      <c r="I208" s="4" t="inlineStr">
        <is>
          <t>COMUNICACION SOCIAL Y PERIODISMO</t>
        </is>
      </c>
      <c r="J208" s="4" t="inlineStr">
        <is>
          <t>PLANTA</t>
        </is>
      </c>
      <c r="K208" s="4" t="inlineStr">
        <is>
          <t>CAMILO VARGAS</t>
        </is>
      </c>
      <c r="L208" s="4" t="inlineStr">
        <is>
          <t>CONFIRMADO PRESENCIAL</t>
        </is>
      </c>
      <c r="M208" s="4" t="n">
        <v/>
      </c>
      <c r="N208" s="4" t="n">
        <v>3006033747</v>
      </c>
      <c r="O208" s="4" t="inlineStr">
        <is>
          <t>sofiaarzuzamora@gmail.com</t>
        </is>
      </c>
      <c r="P208" s="4" t="inlineStr">
        <is>
          <t>SANTA MARTA SEDE</t>
        </is>
      </c>
      <c r="Q208" s="4" t="inlineStr">
        <is>
          <t>BELLAS ARTES</t>
        </is>
      </c>
      <c r="R208" s="4" t="n">
        <v/>
      </c>
    </row>
    <row r="209" ht="20" customHeight="1">
      <c r="A209" s="6" t="inlineStr">
        <is>
          <t>1005106691</t>
        </is>
      </c>
      <c r="B209" s="7" t="inlineStr">
        <is>
          <t>PRESENCIAL BOGOTÁ</t>
        </is>
      </c>
      <c r="C209" s="7" t="inlineStr">
        <is>
          <t>ANA MARIA MENA LOBO</t>
        </is>
      </c>
      <c r="D209" s="7" t="inlineStr">
        <is>
          <t>OPERACIONES</t>
        </is>
      </c>
      <c r="E209" s="7" t="inlineStr">
        <is>
          <t>REGIONAL BOGOTA</t>
        </is>
      </c>
      <c r="F209" s="7" t="inlineStr">
        <is>
          <t>BOGOTA CENTRO</t>
        </is>
      </c>
      <c r="G209" s="7" t="inlineStr">
        <is>
          <t>PRESENCIAL</t>
        </is>
      </c>
      <c r="H209" s="7" t="inlineStr">
        <is>
          <t>DOCENTE AUX/N/TC/COM SOC Y PER/FUN.ACADE-ADMIN</t>
        </is>
      </c>
      <c r="I209" s="7" t="inlineStr">
        <is>
          <t>COMUNICACION SOCIAL Y PERIODISMO</t>
        </is>
      </c>
      <c r="J209" s="7" t="inlineStr">
        <is>
          <t>PLANTA</t>
        </is>
      </c>
      <c r="K209" s="7" t="inlineStr">
        <is>
          <t>CAMILO VARGAS</t>
        </is>
      </c>
      <c r="L209" s="7" t="inlineStr">
        <is>
          <t>CONFIRMADO PRESENCIAL</t>
        </is>
      </c>
      <c r="M209" s="7" t="n">
        <v/>
      </c>
      <c r="N209" s="7" t="n">
        <v>3103128685</v>
      </c>
      <c r="O209" s="7" t="inlineStr">
        <is>
          <t>MARIAMENALOBO@GMAIL.COM</t>
        </is>
      </c>
      <c r="P209" s="7" t="inlineStr">
        <is>
          <t>BTA SEDE A</t>
        </is>
      </c>
      <c r="Q209" s="7" t="inlineStr">
        <is>
          <t>BELLAS ARTES</t>
        </is>
      </c>
      <c r="R209" s="7" t="n">
        <v>303</v>
      </c>
    </row>
    <row r="210" ht="20" customHeight="1">
      <c r="A210" s="3" t="inlineStr">
        <is>
          <t>1092345677</t>
        </is>
      </c>
      <c r="B210" s="4" t="inlineStr">
        <is>
          <t>PRESENCIAL BOGOTÁ</t>
        </is>
      </c>
      <c r="C210" s="4" t="inlineStr">
        <is>
          <t>ANDRES JULIAN CASTAÑEDA RINCON</t>
        </is>
      </c>
      <c r="D210" s="4" t="inlineStr">
        <is>
          <t>OPERACIONES</t>
        </is>
      </c>
      <c r="E210" s="4" t="inlineStr">
        <is>
          <t>REGIONAL BOGOTA</t>
        </is>
      </c>
      <c r="F210" s="4" t="inlineStr">
        <is>
          <t>BOGOTA CENTRO</t>
        </is>
      </c>
      <c r="G210" s="4" t="inlineStr">
        <is>
          <t>PRESENCIAL</t>
        </is>
      </c>
      <c r="H210" s="4" t="inlineStr">
        <is>
          <t>DOC AUX T&amp;T/N/TC/COM SOC Y PER/FUN.ACADE-ADMIN</t>
        </is>
      </c>
      <c r="I210" s="4" t="inlineStr">
        <is>
          <t>COMUNICACION SOCIAL Y PERIODISMO</t>
        </is>
      </c>
      <c r="J210" s="4" t="inlineStr">
        <is>
          <t>PLANTA</t>
        </is>
      </c>
      <c r="K210" s="4" t="inlineStr">
        <is>
          <t>CAMILO VARGAS</t>
        </is>
      </c>
      <c r="L210" s="4" t="inlineStr">
        <is>
          <t>CONFIRMADO PRESENCIAL</t>
        </is>
      </c>
      <c r="M210" s="4" t="n">
        <v/>
      </c>
      <c r="N210" s="4" t="n">
        <v>3238024545</v>
      </c>
      <c r="O210" s="4" t="inlineStr">
        <is>
          <t>juliancastanedar13@gmail.com</t>
        </is>
      </c>
      <c r="P210" s="4" t="inlineStr">
        <is>
          <t>BTA SEDE F</t>
        </is>
      </c>
      <c r="Q210" s="4" t="inlineStr">
        <is>
          <t>BELLAS ARTES</t>
        </is>
      </c>
      <c r="R210" s="4" t="n">
        <v>303</v>
      </c>
    </row>
    <row r="211" ht="20" customHeight="1">
      <c r="A211" s="6" t="inlineStr">
        <is>
          <t>1053785992</t>
        </is>
      </c>
      <c r="B211" s="7" t="inlineStr">
        <is>
          <t>PRESENCIAL BOGOTÁ</t>
        </is>
      </c>
      <c r="C211" s="7" t="inlineStr">
        <is>
          <t>MARCO FELIPE CALDERON GONZALEZ</t>
        </is>
      </c>
      <c r="D211" s="7" t="inlineStr">
        <is>
          <t>OPERACIONES</t>
        </is>
      </c>
      <c r="E211" s="7" t="inlineStr">
        <is>
          <t>REGIONAL BOGOTA</t>
        </is>
      </c>
      <c r="F211" s="7" t="inlineStr">
        <is>
          <t>BOGOTA CENTRO</t>
        </is>
      </c>
      <c r="G211" s="7" t="inlineStr">
        <is>
          <t>PRESENCIAL</t>
        </is>
      </c>
      <c r="H211" s="7" t="inlineStr">
        <is>
          <t>DOCENTE ASIS/N/TC/COM SOC Y PER/FUN.ACADE-ADMIN</t>
        </is>
      </c>
      <c r="I211" s="7" t="inlineStr">
        <is>
          <t>COMUNICACION SOCIAL Y PERIODISMO</t>
        </is>
      </c>
      <c r="J211" s="7" t="inlineStr">
        <is>
          <t>PLANTA</t>
        </is>
      </c>
      <c r="K211" s="7" t="inlineStr">
        <is>
          <t>CAMILO VARGAS</t>
        </is>
      </c>
      <c r="L211" s="7" t="inlineStr">
        <is>
          <t>CONFIRMADO PRESENCIAL</t>
        </is>
      </c>
      <c r="M211" s="7" t="n">
        <v/>
      </c>
      <c r="N211" s="7" t="n">
        <v>3147994858</v>
      </c>
      <c r="O211" s="7" t="inlineStr">
        <is>
          <t>MARCOFELIPEC01@GMAIL.COM</t>
        </is>
      </c>
      <c r="P211" s="7" t="inlineStr">
        <is>
          <t>BTA SEDE F</t>
        </is>
      </c>
      <c r="Q211" s="7" t="inlineStr">
        <is>
          <t>BELLAS ARTES</t>
        </is>
      </c>
      <c r="R211" s="7" t="n">
        <v>303</v>
      </c>
    </row>
    <row r="212" ht="20" customHeight="1">
      <c r="A212" s="3" t="inlineStr">
        <is>
          <t>1110563462</t>
        </is>
      </c>
      <c r="B212" s="4" t="inlineStr">
        <is>
          <t>PRESENCIAL REGIONAL</t>
        </is>
      </c>
      <c r="C212" s="4" t="inlineStr">
        <is>
          <t>IVAN DARIO GAMEZ CASTAÑO</t>
        </is>
      </c>
      <c r="D212" s="4" t="inlineStr">
        <is>
          <t>OPERACIONES</t>
        </is>
      </c>
      <c r="E212" s="4" t="inlineStr">
        <is>
          <t>REGIONAL TOLIMA</t>
        </is>
      </c>
      <c r="F212" s="4" t="inlineStr">
        <is>
          <t>IBAGUÉ</t>
        </is>
      </c>
      <c r="G212" s="4" t="inlineStr">
        <is>
          <t>PRESENCIAL</t>
        </is>
      </c>
      <c r="H212" s="4" t="inlineStr">
        <is>
          <t>DOCENTE AUX/N/TC/COM SOC Y PER/FUN.ACADE-ADMIN</t>
        </is>
      </c>
      <c r="I212" s="4" t="inlineStr">
        <is>
          <t>COMUNICACION SOCIAL Y PERIODISMO</t>
        </is>
      </c>
      <c r="J212" s="4" t="inlineStr">
        <is>
          <t>PLANTA</t>
        </is>
      </c>
      <c r="K212" s="4" t="inlineStr">
        <is>
          <t>CAMILO VARGAS</t>
        </is>
      </c>
      <c r="L212" s="4" t="inlineStr">
        <is>
          <t>CONFIRMADO PRESENCIAL</t>
        </is>
      </c>
      <c r="M212" s="4" t="n">
        <v/>
      </c>
      <c r="N212" s="4" t="n">
        <v>3166229066</v>
      </c>
      <c r="O212" s="4" t="inlineStr">
        <is>
          <t>IVANDGAMEZ@GMAIL.COM</t>
        </is>
      </c>
      <c r="P212" s="4" t="inlineStr">
        <is>
          <t>IBAGUE SEDE</t>
        </is>
      </c>
      <c r="Q212" s="4" t="inlineStr">
        <is>
          <t>BELLAS ARTES</t>
        </is>
      </c>
      <c r="R212" s="4" t="n">
        <v/>
      </c>
    </row>
    <row r="213" ht="20" customHeight="1">
      <c r="A213" s="6" t="inlineStr">
        <is>
          <t>19193748</t>
        </is>
      </c>
      <c r="B213" s="7" t="inlineStr">
        <is>
          <t>PRESENCIAL BOGOTÁ</t>
        </is>
      </c>
      <c r="C213" s="7" t="inlineStr">
        <is>
          <t>EDGAR EMILIO ARDILA ROJAS</t>
        </is>
      </c>
      <c r="D213" s="7" t="inlineStr">
        <is>
          <t>OPERACIONES</t>
        </is>
      </c>
      <c r="E213" s="7" t="inlineStr">
        <is>
          <t>REGIONAL BOGOTA</t>
        </is>
      </c>
      <c r="F213" s="7" t="inlineStr">
        <is>
          <t>BOGOTA CENTRO</t>
        </is>
      </c>
      <c r="G213" s="7" t="inlineStr">
        <is>
          <t>VIRTUAL</t>
        </is>
      </c>
      <c r="H213" s="7" t="inlineStr">
        <is>
          <t>DOC AUX/N/V/TC/CONTADURIA/PRACTICAS</t>
        </is>
      </c>
      <c r="I213" s="7" t="inlineStr">
        <is>
          <t>CONTADURIA PUBLICA</t>
        </is>
      </c>
      <c r="J213" s="7" t="inlineStr">
        <is>
          <t>PLANTA</t>
        </is>
      </c>
      <c r="K213" s="7" t="inlineStr">
        <is>
          <t>CAMILO VARGAS</t>
        </is>
      </c>
      <c r="L213" s="7" t="inlineStr">
        <is>
          <t>SIN RESPUESTA</t>
        </is>
      </c>
      <c r="M213" s="7" t="inlineStr">
        <is>
          <t>CORREO DE VOZ II</t>
        </is>
      </c>
      <c r="N213" s="7" t="n">
        <v>3152258251</v>
      </c>
      <c r="O213" s="7" t="inlineStr">
        <is>
          <t>eardila25_5@yahoo.com</t>
        </is>
      </c>
      <c r="P213" s="7" t="inlineStr">
        <is>
          <t>BTA SEDE L</t>
        </is>
      </c>
      <c r="Q213" s="7" t="inlineStr">
        <is>
          <t>NEGOCIOS</t>
        </is>
      </c>
      <c r="R213" s="7" t="n">
        <v>200</v>
      </c>
    </row>
    <row r="214" ht="20" customHeight="1">
      <c r="A214" s="3" t="inlineStr">
        <is>
          <t>93395781</t>
        </is>
      </c>
      <c r="B214" s="4" t="inlineStr">
        <is>
          <t>PRESENCIAL REGIONAL</t>
        </is>
      </c>
      <c r="C214" s="4" t="inlineStr">
        <is>
          <t>OSCAR ALBERTO TRUJILLO GOMEZ</t>
        </is>
      </c>
      <c r="D214" s="4" t="inlineStr">
        <is>
          <t>OPERACIONES</t>
        </is>
      </c>
      <c r="E214" s="4" t="inlineStr">
        <is>
          <t>REGIONAL TOLIMA</t>
        </is>
      </c>
      <c r="F214" s="4" t="inlineStr">
        <is>
          <t>IBAGUÉ</t>
        </is>
      </c>
      <c r="G214" s="4" t="inlineStr">
        <is>
          <t>PRESENCIAL</t>
        </is>
      </c>
      <c r="H214" s="4" t="inlineStr">
        <is>
          <t>DOCENTE ASIS/N/TC/CONT PUBL/FUN.ACADE-ADMIN</t>
        </is>
      </c>
      <c r="I214" s="4" t="inlineStr">
        <is>
          <t>CONTADURIA PUBLICA</t>
        </is>
      </c>
      <c r="J214" s="4" t="inlineStr">
        <is>
          <t>PLANTA</t>
        </is>
      </c>
      <c r="K214" s="4" t="inlineStr">
        <is>
          <t>CAMILO VARGAS</t>
        </is>
      </c>
      <c r="L214" s="4" t="inlineStr">
        <is>
          <t>CONFIRMADO PRESENCIAL</t>
        </is>
      </c>
      <c r="M214" s="4" t="n">
        <v/>
      </c>
      <c r="N214" s="4" t="n">
        <v>3173765327</v>
      </c>
      <c r="O214" s="4" t="inlineStr">
        <is>
          <t>oscar.04@hotmail.com</t>
        </is>
      </c>
      <c r="P214" s="4" t="inlineStr">
        <is>
          <t>IBAGUE SEDE</t>
        </is>
      </c>
      <c r="Q214" s="4" t="inlineStr">
        <is>
          <t>NEGOCIOS</t>
        </is>
      </c>
      <c r="R214" s="4" t="n">
        <v/>
      </c>
    </row>
    <row r="215" ht="20" customHeight="1">
      <c r="A215" s="6" t="inlineStr">
        <is>
          <t>60326987</t>
        </is>
      </c>
      <c r="B215" s="7" t="inlineStr">
        <is>
          <t>PRESENCIAL BOGOTÁ</t>
        </is>
      </c>
      <c r="C215" s="7" t="inlineStr">
        <is>
          <t>BLANCA HAYDEE MELO ISCALA</t>
        </is>
      </c>
      <c r="D215" s="7" t="inlineStr">
        <is>
          <t>OPERACIONES</t>
        </is>
      </c>
      <c r="E215" s="7" t="inlineStr">
        <is>
          <t>REGIONAL BOGOTA</t>
        </is>
      </c>
      <c r="F215" s="7" t="inlineStr">
        <is>
          <t>BOGOTA CENTRO</t>
        </is>
      </c>
      <c r="G215" s="7" t="inlineStr">
        <is>
          <t>VIRTUAL</t>
        </is>
      </c>
      <c r="H215" s="7" t="inlineStr">
        <is>
          <t>DOC ASIS/N/V/TC/CONTADURIA/FUN.ACADE-ADMIN</t>
        </is>
      </c>
      <c r="I215" s="7" t="inlineStr">
        <is>
          <t>CONTADURIA PUBLICA</t>
        </is>
      </c>
      <c r="J215" s="7" t="inlineStr">
        <is>
          <t>PLANTA</t>
        </is>
      </c>
      <c r="K215" s="7" t="inlineStr">
        <is>
          <t>CAMILO VARGAS</t>
        </is>
      </c>
      <c r="L215" s="7" t="inlineStr">
        <is>
          <t>SIN RESPUESTA</t>
        </is>
      </c>
      <c r="M215" s="7" t="inlineStr">
        <is>
          <t>CORREO DE VOZ II</t>
        </is>
      </c>
      <c r="N215" s="7" t="n">
        <v>3133072654</v>
      </c>
      <c r="O215" s="7" t="inlineStr">
        <is>
          <t>blancahaydee0219@gmail.com</t>
        </is>
      </c>
      <c r="P215" s="7" t="inlineStr">
        <is>
          <t>BTA SEDE L</t>
        </is>
      </c>
      <c r="Q215" s="7" t="inlineStr">
        <is>
          <t>NEGOCIOS</t>
        </is>
      </c>
      <c r="R215" s="7" t="n">
        <v>200</v>
      </c>
    </row>
    <row r="216" ht="20" customHeight="1">
      <c r="A216" s="3" t="inlineStr">
        <is>
          <t>1015424212</t>
        </is>
      </c>
      <c r="B216" s="4" t="inlineStr">
        <is>
          <t>PRESENCIAL BOGOTÁ</t>
        </is>
      </c>
      <c r="C216" s="4" t="inlineStr">
        <is>
          <t>LIZETH PAOLA MEDINA MORA</t>
        </is>
      </c>
      <c r="D216" s="4" t="inlineStr">
        <is>
          <t>OPERACIONES</t>
        </is>
      </c>
      <c r="E216" s="4" t="inlineStr">
        <is>
          <t>REGIONAL BOGOTA</t>
        </is>
      </c>
      <c r="F216" s="4" t="inlineStr">
        <is>
          <t>BOGOTA CENTRO</t>
        </is>
      </c>
      <c r="G216" s="4" t="inlineStr">
        <is>
          <t>VIRTUAL</t>
        </is>
      </c>
      <c r="H216" s="4" t="inlineStr">
        <is>
          <t>DOC AUX/N/V/TC/CONTADURIA/FUN.ACADE-ADMIN</t>
        </is>
      </c>
      <c r="I216" s="4" t="inlineStr">
        <is>
          <t>CONTADURIA PUBLICA</t>
        </is>
      </c>
      <c r="J216" s="4" t="inlineStr">
        <is>
          <t>PLANTA</t>
        </is>
      </c>
      <c r="K216" s="4" t="inlineStr">
        <is>
          <t>CAMILO VARGAS</t>
        </is>
      </c>
      <c r="L216" s="4" t="inlineStr">
        <is>
          <t>CONFIRMADO PRESENCIAL</t>
        </is>
      </c>
      <c r="M216" s="4" t="n">
        <v/>
      </c>
      <c r="N216" s="4" t="n">
        <v>3115102394</v>
      </c>
      <c r="O216" s="4" t="inlineStr">
        <is>
          <t>micontabilidadmedina@gmail.com</t>
        </is>
      </c>
      <c r="P216" s="4" t="inlineStr">
        <is>
          <t>BTA SEDE A</t>
        </is>
      </c>
      <c r="Q216" s="4" t="inlineStr">
        <is>
          <t>NEGOCIOS</t>
        </is>
      </c>
      <c r="R216" s="4" t="n">
        <v>200</v>
      </c>
    </row>
    <row r="217" ht="20" customHeight="1">
      <c r="A217" s="6" t="inlineStr">
        <is>
          <t>52285010</t>
        </is>
      </c>
      <c r="B217" s="7" t="inlineStr">
        <is>
          <t>PRESENCIAL BOGOTÁ</t>
        </is>
      </c>
      <c r="C217" s="7" t="inlineStr">
        <is>
          <t>SANDRA PATRICIA RODRIGUEZ GONZALEZ</t>
        </is>
      </c>
      <c r="D217" s="7" t="inlineStr">
        <is>
          <t>OPERACIONES</t>
        </is>
      </c>
      <c r="E217" s="7" t="inlineStr">
        <is>
          <t>REGIONAL BOGOTA</t>
        </is>
      </c>
      <c r="F217" s="7" t="inlineStr">
        <is>
          <t>BOGOTA CENTRO</t>
        </is>
      </c>
      <c r="G217" s="7" t="inlineStr">
        <is>
          <t>VIRTUAL</t>
        </is>
      </c>
      <c r="H217" s="7" t="inlineStr">
        <is>
          <t>DOC AUX/N/V/TC/CONTADURIA/FUN.ACADE-ADMIN</t>
        </is>
      </c>
      <c r="I217" s="7" t="inlineStr">
        <is>
          <t>CONTADURIA PUBLICA</t>
        </is>
      </c>
      <c r="J217" s="7" t="inlineStr">
        <is>
          <t>PLANTA</t>
        </is>
      </c>
      <c r="K217" s="7" t="inlineStr">
        <is>
          <t>CAMILO VARGAS</t>
        </is>
      </c>
      <c r="L217" s="7" t="inlineStr">
        <is>
          <t>SIN RESPUESTA</t>
        </is>
      </c>
      <c r="M217" s="7" t="inlineStr">
        <is>
          <t>CORREO DE VOZ II</t>
        </is>
      </c>
      <c r="N217" s="7" t="n">
        <v>3115486856</v>
      </c>
      <c r="O217" s="7" t="inlineStr">
        <is>
          <t>Paticorg84@gmail.com</t>
        </is>
      </c>
      <c r="P217" s="7" t="inlineStr">
        <is>
          <t>BTA SEDE A</t>
        </is>
      </c>
      <c r="Q217" s="7" t="inlineStr">
        <is>
          <t>NEGOCIOS</t>
        </is>
      </c>
      <c r="R217" s="7" t="n">
        <v>200</v>
      </c>
    </row>
    <row r="218" ht="20" customHeight="1">
      <c r="A218" s="3" t="inlineStr">
        <is>
          <t>1024527436</t>
        </is>
      </c>
      <c r="B218" s="4" t="inlineStr">
        <is>
          <t>PRESENCIAL BOGOTÁ</t>
        </is>
      </c>
      <c r="C218" s="4" t="inlineStr">
        <is>
          <t>INGRID VIVIANA CARRILLO HERNANDEZ</t>
        </is>
      </c>
      <c r="D218" s="4" t="inlineStr">
        <is>
          <t>OPERACIONES</t>
        </is>
      </c>
      <c r="E218" s="4" t="inlineStr">
        <is>
          <t>REGIONAL CUNDINAMARCA</t>
        </is>
      </c>
      <c r="F218" s="4" t="inlineStr">
        <is>
          <t>CHÍA</t>
        </is>
      </c>
      <c r="G218" s="4" t="inlineStr">
        <is>
          <t>VIRTUAL</t>
        </is>
      </c>
      <c r="H218" s="4" t="inlineStr">
        <is>
          <t>DOC AUX/N/V/MT/CONTADURIA</t>
        </is>
      </c>
      <c r="I218" s="4" t="inlineStr">
        <is>
          <t>CONTADURIA PUBLICA</t>
        </is>
      </c>
      <c r="J218" s="4" t="inlineStr">
        <is>
          <t>PLANTA</t>
        </is>
      </c>
      <c r="K218" s="4" t="inlineStr">
        <is>
          <t>CAMILO VARGAS</t>
        </is>
      </c>
      <c r="L218" s="4" t="inlineStr">
        <is>
          <t>SIN RESPUESTA</t>
        </is>
      </c>
      <c r="M218" s="4" t="inlineStr">
        <is>
          <t>CORREO DE VOZ II</t>
        </is>
      </c>
      <c r="N218" s="4" t="n">
        <v>3133436616</v>
      </c>
      <c r="O218" s="4" t="inlineStr">
        <is>
          <t>vivianacarrillo0211@gmail.com</t>
        </is>
      </c>
      <c r="P218" s="4" t="inlineStr">
        <is>
          <t>CHIA SEDE</t>
        </is>
      </c>
      <c r="Q218" s="4" t="inlineStr">
        <is>
          <t>NEGOCIOS</t>
        </is>
      </c>
      <c r="R218" s="4" t="n">
        <v/>
      </c>
    </row>
    <row r="219" ht="20" customHeight="1">
      <c r="A219" s="6" t="inlineStr">
        <is>
          <t>80897478</t>
        </is>
      </c>
      <c r="B219" s="7" t="inlineStr">
        <is>
          <t>PRESENCIAL BOGOTÁ</t>
        </is>
      </c>
      <c r="C219" s="7" t="inlineStr">
        <is>
          <t>NELSON ESTEBAN GOMEZ NOVOA</t>
        </is>
      </c>
      <c r="D219" s="7" t="inlineStr">
        <is>
          <t>OPERACIONES</t>
        </is>
      </c>
      <c r="E219" s="7" t="inlineStr">
        <is>
          <t>REGIONAL BOGOTA</t>
        </is>
      </c>
      <c r="F219" s="7" t="inlineStr">
        <is>
          <t>BOGOTA CENTRO</t>
        </is>
      </c>
      <c r="G219" s="7" t="inlineStr">
        <is>
          <t>VIRTUAL</t>
        </is>
      </c>
      <c r="H219" s="7" t="inlineStr">
        <is>
          <t>DOC AUX/N/V/MT/CONTADURIA</t>
        </is>
      </c>
      <c r="I219" s="7" t="inlineStr">
        <is>
          <t>CONTADURIA PUBLICA</t>
        </is>
      </c>
      <c r="J219" s="7" t="inlineStr">
        <is>
          <t>PLANTA</t>
        </is>
      </c>
      <c r="K219" s="7" t="inlineStr">
        <is>
          <t>CAMILO VARGAS</t>
        </is>
      </c>
      <c r="L219" s="7" t="inlineStr">
        <is>
          <t>CONFIRMADO PRESENCIAL</t>
        </is>
      </c>
      <c r="M219" s="7" t="n">
        <v/>
      </c>
      <c r="N219" s="7" t="n">
        <v>3144155338</v>
      </c>
      <c r="O219" s="7" t="inlineStr">
        <is>
          <t>gomezesteban37@hotmail.com</t>
        </is>
      </c>
      <c r="P219" s="7" t="inlineStr">
        <is>
          <t>BTA SEDE A</t>
        </is>
      </c>
      <c r="Q219" s="7" t="inlineStr">
        <is>
          <t>NEGOCIOS</t>
        </is>
      </c>
      <c r="R219" s="7" t="n">
        <v>200</v>
      </c>
    </row>
    <row r="220" ht="20" customHeight="1">
      <c r="A220" s="3" t="inlineStr">
        <is>
          <t>79554170</t>
        </is>
      </c>
      <c r="B220" s="4" t="inlineStr">
        <is>
          <t>PRESENCIAL BOGOTÁ</t>
        </is>
      </c>
      <c r="C220" s="4" t="inlineStr">
        <is>
          <t>MANUEL ANTONIO ROJAS HERNANDEZ</t>
        </is>
      </c>
      <c r="D220" s="4" t="inlineStr">
        <is>
          <t>OPERACIONES</t>
        </is>
      </c>
      <c r="E220" s="4" t="inlineStr">
        <is>
          <t>REGIONAL BOGOTA</t>
        </is>
      </c>
      <c r="F220" s="4" t="inlineStr">
        <is>
          <t>BOGOTA CENTRO</t>
        </is>
      </c>
      <c r="G220" s="4" t="inlineStr">
        <is>
          <t>VIRTUAL</t>
        </is>
      </c>
      <c r="H220" s="4" t="inlineStr">
        <is>
          <t>DOC ASIS/N/V/TC/CONTADURIA/FUN.ACADE-ADMIN</t>
        </is>
      </c>
      <c r="I220" s="4" t="inlineStr">
        <is>
          <t>CONTADURIA PUBLICA</t>
        </is>
      </c>
      <c r="J220" s="4" t="inlineStr">
        <is>
          <t>PLANTA</t>
        </is>
      </c>
      <c r="K220" s="4" t="inlineStr">
        <is>
          <t>CAMILO VARGAS</t>
        </is>
      </c>
      <c r="L220" s="4" t="inlineStr">
        <is>
          <t>CONFIRMADO PRESENCIAL</t>
        </is>
      </c>
      <c r="M220" s="4" t="n">
        <v/>
      </c>
      <c r="N220" s="4" t="n">
        <v>3157634561</v>
      </c>
      <c r="O220" s="4" t="inlineStr">
        <is>
          <t>manuroh1970@gmail.com</t>
        </is>
      </c>
      <c r="P220" s="4" t="inlineStr">
        <is>
          <t>BTA SEDE A</t>
        </is>
      </c>
      <c r="Q220" s="4" t="inlineStr">
        <is>
          <t>NEGOCIOS</t>
        </is>
      </c>
      <c r="R220" s="4" t="n">
        <v>200</v>
      </c>
    </row>
    <row r="221" ht="20" customHeight="1">
      <c r="A221" s="6" t="inlineStr">
        <is>
          <t>52490497</t>
        </is>
      </c>
      <c r="B221" s="7" t="inlineStr">
        <is>
          <t>PRESENCIAL BOGOTÁ</t>
        </is>
      </c>
      <c r="C221" s="7" t="inlineStr">
        <is>
          <t>NORMA ESPERANZA RODRIGUEZ GARZON</t>
        </is>
      </c>
      <c r="D221" s="7" t="inlineStr">
        <is>
          <t>OPERACIONES</t>
        </is>
      </c>
      <c r="E221" s="7" t="inlineStr">
        <is>
          <t>REGIONAL BOGOTA</t>
        </is>
      </c>
      <c r="F221" s="7" t="inlineStr">
        <is>
          <t>BOGOTA CENTRO</t>
        </is>
      </c>
      <c r="G221" s="7" t="inlineStr">
        <is>
          <t>VIRTUAL</t>
        </is>
      </c>
      <c r="H221" s="7" t="inlineStr">
        <is>
          <t>DOC ASIS/N/V/TC/CONTADURIA/FUN.ACADE-ADMIN</t>
        </is>
      </c>
      <c r="I221" s="7" t="inlineStr">
        <is>
          <t>CONTADURIA PUBLICA</t>
        </is>
      </c>
      <c r="J221" s="7" t="inlineStr">
        <is>
          <t>PLANTA</t>
        </is>
      </c>
      <c r="K221" s="7" t="inlineStr">
        <is>
          <t>CAMILO VARGAS</t>
        </is>
      </c>
      <c r="L221" s="7" t="inlineStr">
        <is>
          <t>CONFIRMADO PRESENCIAL</t>
        </is>
      </c>
      <c r="M221" s="7" t="n">
        <v/>
      </c>
      <c r="N221" s="7" t="n">
        <v>3228732061</v>
      </c>
      <c r="O221" s="7" t="inlineStr">
        <is>
          <t>nerg1216@hotmail.com</t>
        </is>
      </c>
      <c r="P221" s="7" t="inlineStr">
        <is>
          <t>BTA SEDE A</t>
        </is>
      </c>
      <c r="Q221" s="7" t="inlineStr">
        <is>
          <t>NEGOCIOS</t>
        </is>
      </c>
      <c r="R221" s="7" t="n">
        <v>200</v>
      </c>
    </row>
    <row r="222" ht="20" customHeight="1">
      <c r="A222" s="3" t="inlineStr">
        <is>
          <t>78024830</t>
        </is>
      </c>
      <c r="B222" s="4" t="inlineStr">
        <is>
          <t>PRESENCIAL REGIONAL</t>
        </is>
      </c>
      <c r="C222" s="4" t="inlineStr">
        <is>
          <t>EMERSON MANUEL CASTAÑO PATERNINA</t>
        </is>
      </c>
      <c r="D222" s="4" t="inlineStr">
        <is>
          <t>OPERACIONES</t>
        </is>
      </c>
      <c r="E222" s="4" t="inlineStr">
        <is>
          <t>REGIONAL CORDOBA</t>
        </is>
      </c>
      <c r="F222" s="4" t="inlineStr">
        <is>
          <t>MONTERIA</t>
        </is>
      </c>
      <c r="G222" s="4" t="inlineStr">
        <is>
          <t>PRESENCIAL</t>
        </is>
      </c>
      <c r="H222" s="4" t="inlineStr">
        <is>
          <t>DOCENTE ASIS/N/TC/CONT PUBL/FUN.ACADE-ADMIN</t>
        </is>
      </c>
      <c r="I222" s="4" t="inlineStr">
        <is>
          <t>CONTADURIA PUBLICA</t>
        </is>
      </c>
      <c r="J222" s="4" t="inlineStr">
        <is>
          <t>PLANTA</t>
        </is>
      </c>
      <c r="K222" s="4" t="inlineStr">
        <is>
          <t>CAMILO VARGAS</t>
        </is>
      </c>
      <c r="L222" s="4" t="inlineStr">
        <is>
          <t>CONFIRMADO PRESENCIAL</t>
        </is>
      </c>
      <c r="M222" s="4" t="n">
        <v/>
      </c>
      <c r="N222" s="4" t="n">
        <v>3218923270</v>
      </c>
      <c r="O222" s="4" t="inlineStr">
        <is>
          <t>CAS-PATER@HOTMAIL.COM</t>
        </is>
      </c>
      <c r="P222" s="4" t="inlineStr">
        <is>
          <t>MONTERIA SEDE</t>
        </is>
      </c>
      <c r="Q222" s="4" t="inlineStr">
        <is>
          <t>NEGOCIOS</t>
        </is>
      </c>
      <c r="R222" s="4" t="n">
        <v/>
      </c>
    </row>
    <row r="223" ht="20" customHeight="1">
      <c r="A223" s="6" t="inlineStr">
        <is>
          <t>65740443</t>
        </is>
      </c>
      <c r="B223" s="7" t="inlineStr">
        <is>
          <t>PRESENCIAL BOGOTÁ</t>
        </is>
      </c>
      <c r="C223" s="7" t="inlineStr">
        <is>
          <t>LILIANA PATRICIA DURAN BARBOSA</t>
        </is>
      </c>
      <c r="D223" s="7" t="inlineStr">
        <is>
          <t>OPERACIONES</t>
        </is>
      </c>
      <c r="E223" s="7" t="inlineStr">
        <is>
          <t>REGIONAL BOGOTA</t>
        </is>
      </c>
      <c r="F223" s="7" t="inlineStr">
        <is>
          <t>BOGOTA CENTRO</t>
        </is>
      </c>
      <c r="G223" s="7" t="inlineStr">
        <is>
          <t>VIRTUAL</t>
        </is>
      </c>
      <c r="H223" s="7" t="inlineStr">
        <is>
          <t>DOC AUX/N/V/TC/CONTADURIA/FUN.ACADE-ADMIN</t>
        </is>
      </c>
      <c r="I223" s="7" t="inlineStr">
        <is>
          <t>CONTADURIA PUBLICA</t>
        </is>
      </c>
      <c r="J223" s="7" t="inlineStr">
        <is>
          <t>PLANTA</t>
        </is>
      </c>
      <c r="K223" s="7" t="inlineStr">
        <is>
          <t>CAMILO VARGAS</t>
        </is>
      </c>
      <c r="L223" s="7" t="inlineStr">
        <is>
          <t>SIN RESPUESTA</t>
        </is>
      </c>
      <c r="M223" s="7" t="inlineStr">
        <is>
          <t>CORREO DE VOZ II</t>
        </is>
      </c>
      <c r="N223" s="7" t="n">
        <v>3245116916</v>
      </c>
      <c r="O223" s="7" t="inlineStr">
        <is>
          <t>liduran70@gmail.com</t>
        </is>
      </c>
      <c r="P223" s="7" t="inlineStr">
        <is>
          <t>BTA SEDE A</t>
        </is>
      </c>
      <c r="Q223" s="7" t="inlineStr">
        <is>
          <t>NEGOCIOS</t>
        </is>
      </c>
      <c r="R223" s="7" t="n">
        <v>200</v>
      </c>
    </row>
    <row r="224" ht="20" customHeight="1">
      <c r="A224" s="3" t="inlineStr">
        <is>
          <t>1024496587</t>
        </is>
      </c>
      <c r="B224" s="4" t="inlineStr">
        <is>
          <t>VIRTUAL</t>
        </is>
      </c>
      <c r="C224" s="4" t="inlineStr">
        <is>
          <t>JHONATAN LEONARDO ROBLES QUIÑONEZ</t>
        </is>
      </c>
      <c r="D224" s="4" t="inlineStr">
        <is>
          <t>OPERACIONES</t>
        </is>
      </c>
      <c r="E224" s="4" t="inlineStr">
        <is>
          <t>REGIONAL BOGOTA</t>
        </is>
      </c>
      <c r="F224" s="4" t="inlineStr">
        <is>
          <t>BOGOTA NORTE</t>
        </is>
      </c>
      <c r="G224" s="4" t="inlineStr">
        <is>
          <t>VIRTUAL</t>
        </is>
      </c>
      <c r="H224" s="4" t="inlineStr">
        <is>
          <t>DOC AUX T&amp;T/N/V/MT/CONTADURIA</t>
        </is>
      </c>
      <c r="I224" s="4" t="inlineStr">
        <is>
          <t>CONTADURIA PUBLICA</t>
        </is>
      </c>
      <c r="J224" s="4" t="inlineStr">
        <is>
          <t>PLANTA</t>
        </is>
      </c>
      <c r="K224" s="4" t="inlineStr">
        <is>
          <t>CAMILO VARGAS</t>
        </is>
      </c>
      <c r="L224" s="4" t="inlineStr">
        <is>
          <t>CONFIRMADO VIRTUAL</t>
        </is>
      </c>
      <c r="M224" s="4" t="n">
        <v/>
      </c>
      <c r="N224" s="4" t="n">
        <v>3003306718</v>
      </c>
      <c r="O224" s="4" t="inlineStr">
        <is>
          <t>JLROBLESCONTADOR01@GMAIL.COM</t>
        </is>
      </c>
      <c r="P224" s="4" t="inlineStr">
        <is>
          <t>BTA SEDE NORTE</t>
        </is>
      </c>
      <c r="Q224" s="4" t="inlineStr">
        <is>
          <t>NEGOCIOS</t>
        </is>
      </c>
      <c r="R224" s="4" t="n">
        <v>200</v>
      </c>
    </row>
    <row r="225" ht="20" customHeight="1">
      <c r="A225" s="6" t="inlineStr">
        <is>
          <t>80048433</t>
        </is>
      </c>
      <c r="B225" s="7" t="inlineStr">
        <is>
          <t>PRESENCIAL BOGOTÁ</t>
        </is>
      </c>
      <c r="C225" s="7" t="inlineStr">
        <is>
          <t>CESAR AUGUSTO SALAZAR ROJAS</t>
        </is>
      </c>
      <c r="D225" s="7" t="inlineStr">
        <is>
          <t>OPERACIONES</t>
        </is>
      </c>
      <c r="E225" s="7" t="inlineStr">
        <is>
          <t>REGIONAL BOGOTA</t>
        </is>
      </c>
      <c r="F225" s="7" t="inlineStr">
        <is>
          <t>BOGOTA CENTRO</t>
        </is>
      </c>
      <c r="G225" s="7" t="inlineStr">
        <is>
          <t>VIRTUAL</t>
        </is>
      </c>
      <c r="H225" s="7" t="inlineStr">
        <is>
          <t>DOC AUX/N/V/TC/CONTADURIA/FUN.ACADE-ADMIN</t>
        </is>
      </c>
      <c r="I225" s="7" t="inlineStr">
        <is>
          <t>CONTADURIA PUBLICA</t>
        </is>
      </c>
      <c r="J225" s="7" t="inlineStr">
        <is>
          <t>PLANTA</t>
        </is>
      </c>
      <c r="K225" s="7" t="inlineStr">
        <is>
          <t>CAMILO VARGAS</t>
        </is>
      </c>
      <c r="L225" s="7" t="inlineStr">
        <is>
          <t>SIN RESPUESTA</t>
        </is>
      </c>
      <c r="M225" s="7" t="inlineStr">
        <is>
          <t>CORREO DE VOZ II</t>
        </is>
      </c>
      <c r="N225" s="7" t="n">
        <v>3183285483</v>
      </c>
      <c r="O225" s="7" t="inlineStr">
        <is>
          <t>casala99@hotmail.com</t>
        </is>
      </c>
      <c r="P225" s="7" t="inlineStr">
        <is>
          <t>BTA SEDE A</t>
        </is>
      </c>
      <c r="Q225" s="7" t="inlineStr">
        <is>
          <t>NEGOCIOS</t>
        </is>
      </c>
      <c r="R225" s="7" t="n">
        <v>200</v>
      </c>
    </row>
    <row r="226" ht="20" customHeight="1">
      <c r="A226" s="3" t="inlineStr">
        <is>
          <t>39810178</t>
        </is>
      </c>
      <c r="B226" s="4" t="inlineStr">
        <is>
          <t>PRESENCIAL BOGOTÁ</t>
        </is>
      </c>
      <c r="C226" s="4" t="inlineStr">
        <is>
          <t>LUZ DARY LOPEZ ALBARRACÍN</t>
        </is>
      </c>
      <c r="D226" s="4" t="inlineStr">
        <is>
          <t>OPERACIONES</t>
        </is>
      </c>
      <c r="E226" s="4" t="inlineStr">
        <is>
          <t>REGIONAL CUNDINAMARCA</t>
        </is>
      </c>
      <c r="F226" s="4" t="inlineStr">
        <is>
          <t>CHÍA</t>
        </is>
      </c>
      <c r="G226" s="4" t="inlineStr">
        <is>
          <t>PRESENCIAL</t>
        </is>
      </c>
      <c r="H226" s="4" t="inlineStr">
        <is>
          <t>DOCENTE AUX/N/TC/CONT PUBL/FUN.ACADE-ADMIN</t>
        </is>
      </c>
      <c r="I226" s="4" t="inlineStr">
        <is>
          <t>CONTADURIA PUBLICA</t>
        </is>
      </c>
      <c r="J226" s="4" t="inlineStr">
        <is>
          <t>PLANTA</t>
        </is>
      </c>
      <c r="K226" s="4" t="inlineStr">
        <is>
          <t>CAMILO VARGAS</t>
        </is>
      </c>
      <c r="L226" s="4" t="inlineStr">
        <is>
          <t>CONFIRMADO PRESENCIAL</t>
        </is>
      </c>
      <c r="M226" s="4" t="n">
        <v/>
      </c>
      <c r="N226" s="4" t="n">
        <v>3155477556</v>
      </c>
      <c r="O226" s="4" t="inlineStr">
        <is>
          <t>lopezaluz999@hotmail.com</t>
        </is>
      </c>
      <c r="P226" s="4" t="inlineStr">
        <is>
          <t>CHIA SEDE</t>
        </is>
      </c>
      <c r="Q226" s="4" t="inlineStr">
        <is>
          <t>NEGOCIOS</t>
        </is>
      </c>
      <c r="R226" s="4" t="n">
        <v/>
      </c>
    </row>
    <row r="227" ht="20" customHeight="1">
      <c r="A227" s="6" t="inlineStr">
        <is>
          <t>1065879077</t>
        </is>
      </c>
      <c r="B227" s="7" t="inlineStr">
        <is>
          <t>VIRTUAL</t>
        </is>
      </c>
      <c r="C227" s="7" t="inlineStr">
        <is>
          <t>LUIS CARLOS MONTAÑO PLATA</t>
        </is>
      </c>
      <c r="D227" s="7" t="inlineStr">
        <is>
          <t>OPERACIONES</t>
        </is>
      </c>
      <c r="E227" s="7" t="inlineStr">
        <is>
          <t>REGIONAL CESAR</t>
        </is>
      </c>
      <c r="F227" s="7" t="inlineStr">
        <is>
          <t>VALLEDUPAR</t>
        </is>
      </c>
      <c r="G227" s="7" t="inlineStr">
        <is>
          <t>VIRTUAL</t>
        </is>
      </c>
      <c r="H227" s="7" t="inlineStr">
        <is>
          <t>DOC AUX/N/V/MT/CONTADURIA</t>
        </is>
      </c>
      <c r="I227" s="7" t="inlineStr">
        <is>
          <t>CONTADURIA PUBLICA</t>
        </is>
      </c>
      <c r="J227" s="7" t="inlineStr">
        <is>
          <t>PLANTA</t>
        </is>
      </c>
      <c r="K227" s="7" t="inlineStr">
        <is>
          <t>CAMILO VARGAS</t>
        </is>
      </c>
      <c r="L227" s="7" t="inlineStr">
        <is>
          <t>SIN RESPUESTA</t>
        </is>
      </c>
      <c r="M227" s="7" t="inlineStr">
        <is>
          <t>CORREO DE VOZ II</t>
        </is>
      </c>
      <c r="N227" s="7" t="n">
        <v>3124252805</v>
      </c>
      <c r="O227" s="7" t="inlineStr">
        <is>
          <t>lcarlosmp@hotmail.com</t>
        </is>
      </c>
      <c r="P227" s="7" t="inlineStr">
        <is>
          <t>VALLEDUPAR SEDE</t>
        </is>
      </c>
      <c r="Q227" s="7" t="inlineStr">
        <is>
          <t>NEGOCIOS</t>
        </is>
      </c>
      <c r="R227" s="7" t="n">
        <v/>
      </c>
    </row>
    <row r="228" ht="20" customHeight="1">
      <c r="A228" s="3" t="inlineStr">
        <is>
          <t>1015425219</t>
        </is>
      </c>
      <c r="B228" s="4" t="inlineStr">
        <is>
          <t>PRESENCIAL BOGOTÁ</t>
        </is>
      </c>
      <c r="C228" s="4" t="inlineStr">
        <is>
          <t>CINDY PAOLA ROMAN AMADO</t>
        </is>
      </c>
      <c r="D228" s="4" t="inlineStr">
        <is>
          <t>OPERACIONES</t>
        </is>
      </c>
      <c r="E228" s="4" t="inlineStr">
        <is>
          <t>REGIONAL BOGOTA</t>
        </is>
      </c>
      <c r="F228" s="4" t="inlineStr">
        <is>
          <t>BOGOTA CENTRO</t>
        </is>
      </c>
      <c r="G228" s="4" t="inlineStr">
        <is>
          <t>VIRTUAL</t>
        </is>
      </c>
      <c r="H228" s="4" t="inlineStr">
        <is>
          <t>DOC AUX/N/V/MT/CONTADURIA</t>
        </is>
      </c>
      <c r="I228" s="4" t="inlineStr">
        <is>
          <t>CONTADURIA PUBLICA</t>
        </is>
      </c>
      <c r="J228" s="4" t="inlineStr">
        <is>
          <t>PLANTA</t>
        </is>
      </c>
      <c r="K228" s="4" t="inlineStr">
        <is>
          <t>CAMILO VARGAS</t>
        </is>
      </c>
      <c r="L228" s="4" t="inlineStr">
        <is>
          <t>CONFIRMADO PRESENCIAL</t>
        </is>
      </c>
      <c r="M228" s="4" t="n">
        <v/>
      </c>
      <c r="N228" s="4" t="n">
        <v>3008492223</v>
      </c>
      <c r="O228" s="4" t="inlineStr">
        <is>
          <t>paolaroman.contadora@gmail.com</t>
        </is>
      </c>
      <c r="P228" s="4" t="inlineStr">
        <is>
          <t>BTA SEDE A</t>
        </is>
      </c>
      <c r="Q228" s="4" t="inlineStr">
        <is>
          <t>NEGOCIOS</t>
        </is>
      </c>
      <c r="R228" s="4" t="n">
        <v>200</v>
      </c>
    </row>
    <row r="229" ht="20" customHeight="1">
      <c r="A229" s="6" t="inlineStr">
        <is>
          <t>1014226860</t>
        </is>
      </c>
      <c r="B229" s="7" t="inlineStr">
        <is>
          <t>PRESENCIAL BOGOTÁ</t>
        </is>
      </c>
      <c r="C229" s="7" t="inlineStr">
        <is>
          <t>JOHAN ESTEBAN HERNANDEZ REYES</t>
        </is>
      </c>
      <c r="D229" s="7" t="inlineStr">
        <is>
          <t>OPERACIONES</t>
        </is>
      </c>
      <c r="E229" s="7" t="inlineStr">
        <is>
          <t>REGIONAL BOGOTA</t>
        </is>
      </c>
      <c r="F229" s="7" t="inlineStr">
        <is>
          <t>BOGOTA CENTRO</t>
        </is>
      </c>
      <c r="G229" s="7" t="inlineStr">
        <is>
          <t>PRESENCIAL</t>
        </is>
      </c>
      <c r="H229" s="7" t="inlineStr">
        <is>
          <t>DOCENTE AUX/N/TC/CONT PUBL/FUN.ACADE-ADMIN</t>
        </is>
      </c>
      <c r="I229" s="7" t="inlineStr">
        <is>
          <t>CONTADURIA PUBLICA</t>
        </is>
      </c>
      <c r="J229" s="7" t="inlineStr">
        <is>
          <t>PLANTA</t>
        </is>
      </c>
      <c r="K229" s="7" t="inlineStr">
        <is>
          <t>CAMILO VARGAS</t>
        </is>
      </c>
      <c r="L229" s="7" t="inlineStr">
        <is>
          <t>SIN RESPUESTA</t>
        </is>
      </c>
      <c r="M229" s="7" t="inlineStr">
        <is>
          <t>CORREO DE VOZ II</t>
        </is>
      </c>
      <c r="N229" s="7" t="n">
        <v>3118900934</v>
      </c>
      <c r="O229" s="7" t="inlineStr">
        <is>
          <t>j.h25@hotmail.com</t>
        </is>
      </c>
      <c r="P229" s="7" t="inlineStr">
        <is>
          <t>BTA SEDE D</t>
        </is>
      </c>
      <c r="Q229" s="7" t="inlineStr">
        <is>
          <t>NEGOCIOS</t>
        </is>
      </c>
      <c r="R229" s="7" t="n">
        <v>201</v>
      </c>
    </row>
    <row r="230" ht="20" customHeight="1">
      <c r="A230" s="3" t="inlineStr">
        <is>
          <t>1052384798</t>
        </is>
      </c>
      <c r="B230" s="4" t="inlineStr">
        <is>
          <t>PRESENCIAL BOGOTÁ</t>
        </is>
      </c>
      <c r="C230" s="4" t="inlineStr">
        <is>
          <t>DANILO IGNACIO CEPEDA PEREZ</t>
        </is>
      </c>
      <c r="D230" s="4" t="inlineStr">
        <is>
          <t>OPERACIONES</t>
        </is>
      </c>
      <c r="E230" s="4" t="inlineStr">
        <is>
          <t>REGIONAL BOGOTA</t>
        </is>
      </c>
      <c r="F230" s="4" t="inlineStr">
        <is>
          <t>BOGOTA CENTRO</t>
        </is>
      </c>
      <c r="G230" s="4" t="inlineStr">
        <is>
          <t>PRESENCIAL</t>
        </is>
      </c>
      <c r="H230" s="4" t="inlineStr">
        <is>
          <t>DOCENTE ASIS/N/MT-DERECHO</t>
        </is>
      </c>
      <c r="I230" s="4" t="inlineStr">
        <is>
          <t>DERECHO</t>
        </is>
      </c>
      <c r="J230" s="4" t="inlineStr">
        <is>
          <t>PLANTA</t>
        </is>
      </c>
      <c r="K230" s="4" t="inlineStr">
        <is>
          <t>CAMILO VARGAS</t>
        </is>
      </c>
      <c r="L230" s="4" t="inlineStr">
        <is>
          <t>CONFIRMADO PRESENCIAL</t>
        </is>
      </c>
      <c r="M230" s="4" t="n">
        <v/>
      </c>
      <c r="N230" s="4" t="n">
        <v>3134250221</v>
      </c>
      <c r="O230" s="4" t="inlineStr">
        <is>
          <t>danilocep31@gmail.com</t>
        </is>
      </c>
      <c r="P230" s="4" t="inlineStr">
        <is>
          <t>BTA SEDE D</t>
        </is>
      </c>
      <c r="Q230" s="4" t="inlineStr">
        <is>
          <t>NEGOCIOS</t>
        </is>
      </c>
      <c r="R230" s="4" t="n">
        <v>201</v>
      </c>
    </row>
    <row r="231" ht="20" customHeight="1">
      <c r="A231" s="6" t="inlineStr">
        <is>
          <t>1113640591</t>
        </is>
      </c>
      <c r="B231" s="7" t="inlineStr">
        <is>
          <t>PRESENCIAL BOGOTÁ</t>
        </is>
      </c>
      <c r="C231" s="7" t="inlineStr">
        <is>
          <t>DAMARIS GRANDA ARCE</t>
        </is>
      </c>
      <c r="D231" s="7" t="inlineStr">
        <is>
          <t>OPERACIONES</t>
        </is>
      </c>
      <c r="E231" s="7" t="inlineStr">
        <is>
          <t>REGIONAL BOGOTA</t>
        </is>
      </c>
      <c r="F231" s="7" t="inlineStr">
        <is>
          <t>BOGOTA CENTRO</t>
        </is>
      </c>
      <c r="G231" s="7" t="inlineStr">
        <is>
          <t>PRESENCIAL</t>
        </is>
      </c>
      <c r="H231" s="7" t="inlineStr">
        <is>
          <t>DOCENTE ASESOR EN DERECHO PÚBLICO</t>
        </is>
      </c>
      <c r="I231" s="7" t="inlineStr">
        <is>
          <t>DERECHO</t>
        </is>
      </c>
      <c r="J231" s="7" t="inlineStr">
        <is>
          <t>PLANTA</t>
        </is>
      </c>
      <c r="K231" s="7" t="inlineStr">
        <is>
          <t>CAMILO VARGAS</t>
        </is>
      </c>
      <c r="L231" s="7" t="inlineStr">
        <is>
          <t>CONFIRMADO PRESENCIAL</t>
        </is>
      </c>
      <c r="M231" s="7" t="n">
        <v/>
      </c>
      <c r="N231" s="7" t="n">
        <v>3188404178</v>
      </c>
      <c r="O231" s="7" t="inlineStr">
        <is>
          <t>damaris-granda@hotmail.com</t>
        </is>
      </c>
      <c r="P231" s="7" t="inlineStr">
        <is>
          <t>BTA SEDE F</t>
        </is>
      </c>
      <c r="Q231" s="7" t="inlineStr">
        <is>
          <t>NEGOCIOS</t>
        </is>
      </c>
      <c r="R231" s="7" t="n">
        <v>201</v>
      </c>
    </row>
    <row r="232" ht="20" customHeight="1">
      <c r="A232" s="3" t="inlineStr">
        <is>
          <t>14296488</t>
        </is>
      </c>
      <c r="B232" s="4" t="inlineStr">
        <is>
          <t>PRESENCIAL BOGOTÁ</t>
        </is>
      </c>
      <c r="C232" s="4" t="inlineStr">
        <is>
          <t>HECTOR ANIBAL CAMPOS DUQUE</t>
        </is>
      </c>
      <c r="D232" s="4" t="inlineStr">
        <is>
          <t>OPERACIONES</t>
        </is>
      </c>
      <c r="E232" s="4" t="inlineStr">
        <is>
          <t>REGIONAL BOGOTA</t>
        </is>
      </c>
      <c r="F232" s="4" t="inlineStr">
        <is>
          <t>BOGOTA CENTRO</t>
        </is>
      </c>
      <c r="G232" s="4" t="inlineStr">
        <is>
          <t>PRESENCIAL</t>
        </is>
      </c>
      <c r="H232" s="4" t="inlineStr">
        <is>
          <t>DOCENTE ASIS/N/TC/DERECHO/FUN.ACADE-ADMIN</t>
        </is>
      </c>
      <c r="I232" s="4" t="inlineStr">
        <is>
          <t>DERECHO</t>
        </is>
      </c>
      <c r="J232" s="4" t="inlineStr">
        <is>
          <t>PLANTA</t>
        </is>
      </c>
      <c r="K232" s="4" t="inlineStr">
        <is>
          <t>CAMILO VARGAS</t>
        </is>
      </c>
      <c r="L232" s="4" t="inlineStr">
        <is>
          <t>CONFIRMADO PRESENCIAL</t>
        </is>
      </c>
      <c r="M232" s="4" t="n">
        <v/>
      </c>
      <c r="N232" s="4" t="n">
        <v>3153345224</v>
      </c>
      <c r="O232" s="4" t="inlineStr">
        <is>
          <t>hyafabogados@gmail.com</t>
        </is>
      </c>
      <c r="P232" s="4" t="inlineStr">
        <is>
          <t>BTA SEDE F</t>
        </is>
      </c>
      <c r="Q232" s="4" t="inlineStr">
        <is>
          <t>NEGOCIOS</t>
        </is>
      </c>
      <c r="R232" s="4" t="n">
        <v>201</v>
      </c>
    </row>
    <row r="233" ht="20" customHeight="1">
      <c r="A233" s="6" t="inlineStr">
        <is>
          <t>93437511</t>
        </is>
      </c>
      <c r="B233" s="7" t="inlineStr">
        <is>
          <t>PRESENCIAL BOGOTÁ</t>
        </is>
      </c>
      <c r="C233" s="7" t="inlineStr">
        <is>
          <t>MARLON RODRIGUEZ CASTRO</t>
        </is>
      </c>
      <c r="D233" s="7" t="inlineStr">
        <is>
          <t>OPERACIONES</t>
        </is>
      </c>
      <c r="E233" s="7" t="inlineStr">
        <is>
          <t>REGIONAL BOGOTA</t>
        </is>
      </c>
      <c r="F233" s="7" t="inlineStr">
        <is>
          <t>BOGOTA CENTRO</t>
        </is>
      </c>
      <c r="G233" s="7" t="inlineStr">
        <is>
          <t>PRESENCIAL</t>
        </is>
      </c>
      <c r="H233" s="7" t="inlineStr">
        <is>
          <t>DOCENTE ASIS/N/TC/DERECHO/FUN.ACADE-ADMIN</t>
        </is>
      </c>
      <c r="I233" s="7" t="inlineStr">
        <is>
          <t>DERECHO</t>
        </is>
      </c>
      <c r="J233" s="7" t="inlineStr">
        <is>
          <t>PLANTA</t>
        </is>
      </c>
      <c r="K233" s="7" t="inlineStr">
        <is>
          <t>CAMILO VARGAS</t>
        </is>
      </c>
      <c r="L233" s="7" t="inlineStr">
        <is>
          <t>SIN RESPUESTA</t>
        </is>
      </c>
      <c r="M233" s="7" t="inlineStr">
        <is>
          <t>CORREO DE VOZ II</t>
        </is>
      </c>
      <c r="N233" s="7" t="n">
        <v>3142951276</v>
      </c>
      <c r="O233" s="7" t="inlineStr">
        <is>
          <t>STEVENROD.R960@GMAIL.COM</t>
        </is>
      </c>
      <c r="P233" s="7" t="inlineStr">
        <is>
          <t>BTA SEDE D</t>
        </is>
      </c>
      <c r="Q233" s="7" t="inlineStr">
        <is>
          <t>NEGOCIOS</t>
        </is>
      </c>
      <c r="R233" s="7" t="n">
        <v>201</v>
      </c>
    </row>
    <row r="234" ht="20" customHeight="1">
      <c r="A234" s="3" t="inlineStr">
        <is>
          <t>16463452</t>
        </is>
      </c>
      <c r="B234" s="4" t="inlineStr">
        <is>
          <t>PRESENCIAL BOGOTÁ</t>
        </is>
      </c>
      <c r="C234" s="4" t="inlineStr">
        <is>
          <t>JORGE ANDRES CHOIS MURIEL</t>
        </is>
      </c>
      <c r="D234" s="4" t="inlineStr">
        <is>
          <t>OPERACIONES</t>
        </is>
      </c>
      <c r="E234" s="4" t="inlineStr">
        <is>
          <t>REGIONAL BOGOTA</t>
        </is>
      </c>
      <c r="F234" s="4" t="inlineStr">
        <is>
          <t>BOGOTA CENTRO</t>
        </is>
      </c>
      <c r="G234" s="4" t="inlineStr">
        <is>
          <t>PRESENCIAL</t>
        </is>
      </c>
      <c r="H234" s="4" t="inlineStr">
        <is>
          <t>DOCENTE AUX/N/TC/DERECHO/FUN.ACADE-ADMIN</t>
        </is>
      </c>
      <c r="I234" s="4" t="inlineStr">
        <is>
          <t>DERECHO</t>
        </is>
      </c>
      <c r="J234" s="4" t="inlineStr">
        <is>
          <t>PLANTA</t>
        </is>
      </c>
      <c r="K234" s="4" t="inlineStr">
        <is>
          <t>CAMILO VARGAS</t>
        </is>
      </c>
      <c r="L234" s="4" t="inlineStr">
        <is>
          <t>CONFIRMADO PRESENCIAL</t>
        </is>
      </c>
      <c r="M234" s="4" t="n">
        <v/>
      </c>
      <c r="N234" s="4" t="n">
        <v>3235908142</v>
      </c>
      <c r="O234" s="4" t="inlineStr">
        <is>
          <t>JUAN-K19@HOTMAIL.COM</t>
        </is>
      </c>
      <c r="P234" s="4" t="inlineStr">
        <is>
          <t>BTA SEDE A</t>
        </is>
      </c>
      <c r="Q234" s="4" t="inlineStr">
        <is>
          <t>NEGOCIOS</t>
        </is>
      </c>
      <c r="R234" s="4" t="n">
        <v>201</v>
      </c>
    </row>
    <row r="235" ht="20" customHeight="1">
      <c r="A235" s="6" t="inlineStr">
        <is>
          <t>1010165156</t>
        </is>
      </c>
      <c r="B235" s="7" t="inlineStr">
        <is>
          <t>PRESENCIAL BOGOTÁ</t>
        </is>
      </c>
      <c r="C235" s="7" t="inlineStr">
        <is>
          <t>JAIRO ANDRES VELA TIBOCHA</t>
        </is>
      </c>
      <c r="D235" s="7" t="inlineStr">
        <is>
          <t>OPERACIONES</t>
        </is>
      </c>
      <c r="E235" s="7" t="inlineStr">
        <is>
          <t>REGIONAL BOGOTA</t>
        </is>
      </c>
      <c r="F235" s="7" t="inlineStr">
        <is>
          <t>BOGOTA CENTRO</t>
        </is>
      </c>
      <c r="G235" s="7" t="inlineStr">
        <is>
          <t>VIRTUAL</t>
        </is>
      </c>
      <c r="H235" s="7" t="inlineStr">
        <is>
          <t>DOC AUX T&amp;T/N/V/TC/DIR PROD ME AUD/PROYE</t>
        </is>
      </c>
      <c r="I235" s="7" t="inlineStr">
        <is>
          <t>DIRECCION Y PRODUCCION DE MEDIOS AUDIOVISUALES</t>
        </is>
      </c>
      <c r="J235" s="7" t="inlineStr">
        <is>
          <t>PLANTA</t>
        </is>
      </c>
      <c r="K235" s="7" t="inlineStr">
        <is>
          <t>CAMILO VARGAS</t>
        </is>
      </c>
      <c r="L235" s="7" t="inlineStr">
        <is>
          <t>CONFIRMADO PRESENCIAL</t>
        </is>
      </c>
      <c r="M235" s="7" t="n">
        <v/>
      </c>
      <c r="N235" s="7" t="n">
        <v>3162794393</v>
      </c>
      <c r="O235" s="7" t="inlineStr">
        <is>
          <t>andresvelatibocha@gmail.com</t>
        </is>
      </c>
      <c r="P235" s="7" t="inlineStr">
        <is>
          <t>BTA SEDE A</t>
        </is>
      </c>
      <c r="Q235" s="7" t="inlineStr">
        <is>
          <t>BELLAS ARTES</t>
        </is>
      </c>
      <c r="R235" s="7" t="n">
        <v>303</v>
      </c>
    </row>
    <row r="236" ht="20" customHeight="1">
      <c r="A236" s="3" t="inlineStr">
        <is>
          <t>79875537</t>
        </is>
      </c>
      <c r="B236" s="4" t="inlineStr">
        <is>
          <t>PRESENCIAL BOGOTÁ</t>
        </is>
      </c>
      <c r="C236" s="4" t="inlineStr">
        <is>
          <t>RAFAEL ANDRES BRIÑEZ LOZADA</t>
        </is>
      </c>
      <c r="D236" s="4" t="inlineStr">
        <is>
          <t>OPERACIONES</t>
        </is>
      </c>
      <c r="E236" s="4" t="inlineStr">
        <is>
          <t>REGIONAL BOGOTA</t>
        </is>
      </c>
      <c r="F236" s="4" t="inlineStr">
        <is>
          <t>BOGOTA CENTRO</t>
        </is>
      </c>
      <c r="G236" s="4" t="inlineStr">
        <is>
          <t>PRESENCIAL</t>
        </is>
      </c>
      <c r="H236" s="4" t="inlineStr">
        <is>
          <t>DOCENTE AUX/N/TC/DIR PROD ME AUD/FUN.ACADE-ADMIN</t>
        </is>
      </c>
      <c r="I236" s="4" t="inlineStr">
        <is>
          <t>DIRECCION Y PRODUCCION DE MEDIOS AUDIOVISUALES</t>
        </is>
      </c>
      <c r="J236" s="4" t="inlineStr">
        <is>
          <t>PLANTA</t>
        </is>
      </c>
      <c r="K236" s="4" t="inlineStr">
        <is>
          <t>CAMILO VARGAS</t>
        </is>
      </c>
      <c r="L236" s="4" t="inlineStr">
        <is>
          <t>SIN RESPUESTA</t>
        </is>
      </c>
      <c r="M236" s="4" t="inlineStr">
        <is>
          <t>CORREO DE VOZ II</t>
        </is>
      </c>
      <c r="N236" s="4" t="n">
        <v>3208288036</v>
      </c>
      <c r="O236" s="4" t="inlineStr">
        <is>
          <t>ralphbeer08@yahoo.com</t>
        </is>
      </c>
      <c r="P236" s="4" t="inlineStr">
        <is>
          <t>BTA SEDE F</t>
        </is>
      </c>
      <c r="Q236" s="4" t="inlineStr">
        <is>
          <t>BELLAS ARTES</t>
        </is>
      </c>
      <c r="R236" s="4" t="n">
        <v>400</v>
      </c>
    </row>
    <row r="237" ht="20" customHeight="1">
      <c r="A237" s="6" t="inlineStr">
        <is>
          <t>79797858</t>
        </is>
      </c>
      <c r="B237" s="7" t="inlineStr">
        <is>
          <t>PRESENCIAL BOGOTÁ</t>
        </is>
      </c>
      <c r="C237" s="7" t="inlineStr">
        <is>
          <t>JUAN CARLOS GÓMEZ VARÓN</t>
        </is>
      </c>
      <c r="D237" s="7" t="inlineStr">
        <is>
          <t>OPERACIONES</t>
        </is>
      </c>
      <c r="E237" s="7" t="inlineStr">
        <is>
          <t>REGIONAL BOGOTA</t>
        </is>
      </c>
      <c r="F237" s="7" t="inlineStr">
        <is>
          <t>BOGOTA CENTRO</t>
        </is>
      </c>
      <c r="G237" s="7" t="inlineStr">
        <is>
          <t>VIRTUAL</t>
        </is>
      </c>
      <c r="H237" s="7" t="inlineStr">
        <is>
          <t>DOC AUX/N/V/TC/DIR PROD ME AUD/FUN.A</t>
        </is>
      </c>
      <c r="I237" s="7" t="inlineStr">
        <is>
          <t>DIRECCION Y PRODUCCION DE MEDIOS AUDIOVISUALES</t>
        </is>
      </c>
      <c r="J237" s="7" t="inlineStr">
        <is>
          <t>PLANTA</t>
        </is>
      </c>
      <c r="K237" s="7" t="inlineStr">
        <is>
          <t>CAMILO VARGAS</t>
        </is>
      </c>
      <c r="L237" s="7" t="inlineStr">
        <is>
          <t>CONFIRMADO PRESENCIAL</t>
        </is>
      </c>
      <c r="M237" s="7" t="n">
        <v/>
      </c>
      <c r="N237" s="7" t="n">
        <v>3152663203</v>
      </c>
      <c r="O237" s="7" t="inlineStr">
        <is>
          <t>gova78@yahoo.com</t>
        </is>
      </c>
      <c r="P237" s="7" t="inlineStr">
        <is>
          <t>BTA SEDE A</t>
        </is>
      </c>
      <c r="Q237" s="7" t="inlineStr">
        <is>
          <t>BELLAS ARTES</t>
        </is>
      </c>
      <c r="R237" s="7" t="n">
        <v>400</v>
      </c>
    </row>
    <row r="238" ht="20" customHeight="1">
      <c r="A238" s="3" t="inlineStr">
        <is>
          <t>1014279349</t>
        </is>
      </c>
      <c r="B238" s="4" t="inlineStr">
        <is>
          <t>PRESENCIAL BOGOTÁ</t>
        </is>
      </c>
      <c r="C238" s="4" t="inlineStr">
        <is>
          <t>ERIKA JISSETH MEDINA SALAZAR</t>
        </is>
      </c>
      <c r="D238" s="4" t="inlineStr">
        <is>
          <t>OPERACIONES</t>
        </is>
      </c>
      <c r="E238" s="4" t="inlineStr">
        <is>
          <t>REGIONAL BOGOTA</t>
        </is>
      </c>
      <c r="F238" s="4" t="inlineStr">
        <is>
          <t>BOGOTA CENTRO</t>
        </is>
      </c>
      <c r="G238" s="4" t="inlineStr">
        <is>
          <t>VIRTUAL</t>
        </is>
      </c>
      <c r="H238" s="4" t="inlineStr">
        <is>
          <t>DOC AUX T&amp;T/N/V/TC/DIR PROD ME AUD/FUN.ACADE-ADMIN</t>
        </is>
      </c>
      <c r="I238" s="4" t="inlineStr">
        <is>
          <t>DIRECCION Y PRODUCCION DE MEDIOS AUDIOVISUALES</t>
        </is>
      </c>
      <c r="J238" s="4" t="inlineStr">
        <is>
          <t>PLANTA</t>
        </is>
      </c>
      <c r="K238" s="4" t="inlineStr">
        <is>
          <t>CAMILO VARGAS</t>
        </is>
      </c>
      <c r="L238" s="4" t="inlineStr">
        <is>
          <t>SIN RESPUESTA</t>
        </is>
      </c>
      <c r="M238" s="4" t="inlineStr">
        <is>
          <t>CORREO DE VOZ II</t>
        </is>
      </c>
      <c r="N238" s="4" t="n">
        <v>3167011279</v>
      </c>
      <c r="O238" s="4" t="inlineStr">
        <is>
          <t>medinasalazarerika@gmail.com</t>
        </is>
      </c>
      <c r="P238" s="4" t="inlineStr">
        <is>
          <t>BTA SEDE A</t>
        </is>
      </c>
      <c r="Q238" s="4" t="inlineStr">
        <is>
          <t>BELLAS ARTES</t>
        </is>
      </c>
      <c r="R238" s="4" t="n">
        <v>400</v>
      </c>
    </row>
    <row r="239" ht="20" customHeight="1">
      <c r="A239" s="6" t="inlineStr">
        <is>
          <t>1024522663</t>
        </is>
      </c>
      <c r="B239" s="7" t="inlineStr">
        <is>
          <t>PRESENCIAL BOGOTÁ</t>
        </is>
      </c>
      <c r="C239" s="7" t="inlineStr">
        <is>
          <t>VICTOR ANDRES LANCHEROS ARIAS</t>
        </is>
      </c>
      <c r="D239" s="7" t="inlineStr">
        <is>
          <t>OPERACIONES</t>
        </is>
      </c>
      <c r="E239" s="7" t="inlineStr">
        <is>
          <t>REGIONAL BOGOTA</t>
        </is>
      </c>
      <c r="F239" s="7" t="inlineStr">
        <is>
          <t>BOGOTA CENTRO</t>
        </is>
      </c>
      <c r="G239" s="7" t="inlineStr">
        <is>
          <t>VIRTUAL</t>
        </is>
      </c>
      <c r="H239" s="7" t="inlineStr">
        <is>
          <t>DOC AUX T&amp;T/N/V/TC/DIR PROD ME AUD/FUN.ACADE-ADMIN</t>
        </is>
      </c>
      <c r="I239" s="7" t="inlineStr">
        <is>
          <t>DIRECCION Y PRODUCCION DE MEDIOS AUDIOVISUALES</t>
        </is>
      </c>
      <c r="J239" s="7" t="inlineStr">
        <is>
          <t>PLANTA</t>
        </is>
      </c>
      <c r="K239" s="7" t="inlineStr">
        <is>
          <t>CAMILO VARGAS</t>
        </is>
      </c>
      <c r="L239" s="7" t="inlineStr">
        <is>
          <t>SIN RESPUESTA</t>
        </is>
      </c>
      <c r="M239" s="7" t="inlineStr">
        <is>
          <t>CORREO DE VOZ II</t>
        </is>
      </c>
      <c r="N239" s="7" t="n">
        <v>3504025660</v>
      </c>
      <c r="O239" s="7" t="inlineStr">
        <is>
          <t>vlancherosarias@gmail.com</t>
        </is>
      </c>
      <c r="P239" s="7" t="inlineStr">
        <is>
          <t>BTA SEDE A</t>
        </is>
      </c>
      <c r="Q239" s="7" t="inlineStr">
        <is>
          <t>BELLAS ARTES</t>
        </is>
      </c>
      <c r="R239" s="7" t="n">
        <v>400</v>
      </c>
    </row>
    <row r="240" ht="20" customHeight="1">
      <c r="A240" s="3" t="inlineStr">
        <is>
          <t>1010178247</t>
        </is>
      </c>
      <c r="B240" s="4" t="inlineStr">
        <is>
          <t>PRESENCIAL BOGOTÁ</t>
        </is>
      </c>
      <c r="C240" s="4" t="inlineStr">
        <is>
          <t>JUAN SEBASTIAN HOYOS BUCHELI</t>
        </is>
      </c>
      <c r="D240" s="4" t="inlineStr">
        <is>
          <t>OPERACIONES</t>
        </is>
      </c>
      <c r="E240" s="4" t="inlineStr">
        <is>
          <t>REGIONAL BOGOTA</t>
        </is>
      </c>
      <c r="F240" s="4" t="inlineStr">
        <is>
          <t>BOGOTA CENTRO</t>
        </is>
      </c>
      <c r="G240" s="4" t="inlineStr">
        <is>
          <t>PRESENCIAL</t>
        </is>
      </c>
      <c r="H240" s="4" t="inlineStr">
        <is>
          <t>DOCENTE ASIS/N/TC/DIR PROD ME AUD/FUN.ACADE-ADMIN</t>
        </is>
      </c>
      <c r="I240" s="4" t="inlineStr">
        <is>
          <t>DIRECCION Y PRODUCCION DE MEDIOS AUDIOVISUALES</t>
        </is>
      </c>
      <c r="J240" s="4" t="inlineStr">
        <is>
          <t>PLANTA</t>
        </is>
      </c>
      <c r="K240" s="4" t="inlineStr">
        <is>
          <t>CAMILO VARGAS</t>
        </is>
      </c>
      <c r="L240" s="4" t="inlineStr">
        <is>
          <t>CONFIRMADO PRESENCIAL</t>
        </is>
      </c>
      <c r="M240" s="4" t="n">
        <v/>
      </c>
      <c r="N240" s="4" t="n">
        <v>3194492274</v>
      </c>
      <c r="O240" s="4" t="inlineStr">
        <is>
          <t>JSHBCINE@GMAIL.COM</t>
        </is>
      </c>
      <c r="P240" s="4" t="inlineStr">
        <is>
          <t>BTA SEDE A</t>
        </is>
      </c>
      <c r="Q240" s="4" t="inlineStr">
        <is>
          <t>BELLAS ARTES</t>
        </is>
      </c>
      <c r="R240" s="4" t="n">
        <v>400</v>
      </c>
    </row>
    <row r="241" ht="20" customHeight="1">
      <c r="A241" s="6" t="inlineStr">
        <is>
          <t>1013662906</t>
        </is>
      </c>
      <c r="B241" s="7" t="inlineStr">
        <is>
          <t>PRESENCIAL BOGOTÁ</t>
        </is>
      </c>
      <c r="C241" s="7" t="inlineStr">
        <is>
          <t>JOSE ARNOLD LOPEZ HERNANDEZ</t>
        </is>
      </c>
      <c r="D241" s="7" t="inlineStr">
        <is>
          <t>OPERACIONES</t>
        </is>
      </c>
      <c r="E241" s="7" t="inlineStr">
        <is>
          <t>REGIONAL BOGOTA</t>
        </is>
      </c>
      <c r="F241" s="7" t="inlineStr">
        <is>
          <t>BOGOTA CENTRO</t>
        </is>
      </c>
      <c r="G241" s="7" t="inlineStr">
        <is>
          <t>PRESENCIAL</t>
        </is>
      </c>
      <c r="H241" s="7" t="inlineStr">
        <is>
          <t>DOCENTE ASIS/N/TC/DIR PROD ME AUD/FUN.ACADE-ADMIN</t>
        </is>
      </c>
      <c r="I241" s="7" t="inlineStr">
        <is>
          <t>DIRECCION Y PRODUCCION DE MEDIOS AUDIOVISUALES</t>
        </is>
      </c>
      <c r="J241" s="7" t="inlineStr">
        <is>
          <t>PLANTA</t>
        </is>
      </c>
      <c r="K241" s="7" t="inlineStr">
        <is>
          <t>CAMILO VARGAS</t>
        </is>
      </c>
      <c r="L241" s="7" t="inlineStr">
        <is>
          <t>CONFIRMADO PRESENCIAL</t>
        </is>
      </c>
      <c r="M241" s="7" t="n">
        <v/>
      </c>
      <c r="N241" s="7" t="n">
        <v>3212485289</v>
      </c>
      <c r="O241" s="7" t="inlineStr">
        <is>
          <t>jalhg47@gmail.com</t>
        </is>
      </c>
      <c r="P241" s="7" t="inlineStr">
        <is>
          <t>BTA SEDE F</t>
        </is>
      </c>
      <c r="Q241" s="7" t="inlineStr">
        <is>
          <t>BELLAS ARTES</t>
        </is>
      </c>
      <c r="R241" s="7" t="n">
        <v>400</v>
      </c>
    </row>
    <row r="242" ht="20" customHeight="1">
      <c r="A242" s="3" t="inlineStr">
        <is>
          <t>1030653098</t>
        </is>
      </c>
      <c r="B242" s="4" t="inlineStr">
        <is>
          <t>PRESENCIAL BOGOTÁ</t>
        </is>
      </c>
      <c r="C242" s="4" t="inlineStr">
        <is>
          <t>PAULA DANIELA MORENO QUIROGA</t>
        </is>
      </c>
      <c r="D242" s="4" t="inlineStr">
        <is>
          <t>OPERACIONES</t>
        </is>
      </c>
      <c r="E242" s="4" t="inlineStr">
        <is>
          <t>REGIONAL BOGOTA</t>
        </is>
      </c>
      <c r="F242" s="4" t="inlineStr">
        <is>
          <t>BOGOTA CENTRO</t>
        </is>
      </c>
      <c r="G242" s="4" t="inlineStr">
        <is>
          <t>VIRTUAL</t>
        </is>
      </c>
      <c r="H242" s="4" t="inlineStr">
        <is>
          <t>DOC AUX T&amp;T/N/V/TC/DIR PROD ME AUD/FUN.ACADE-ADMIN</t>
        </is>
      </c>
      <c r="I242" s="4" t="inlineStr">
        <is>
          <t>DIRECCION Y PRODUCCION DE MEDIOS AUDIOVISUALES</t>
        </is>
      </c>
      <c r="J242" s="4" t="inlineStr">
        <is>
          <t>PLANTA</t>
        </is>
      </c>
      <c r="K242" s="4" t="inlineStr">
        <is>
          <t>PAULA OSORIO</t>
        </is>
      </c>
      <c r="L242" s="4" t="inlineStr">
        <is>
          <t>CONFIRMADO PRESENCIAL</t>
        </is>
      </c>
      <c r="M242" s="4" t="n">
        <v/>
      </c>
      <c r="N242" s="4" t="n">
        <v>3053553207</v>
      </c>
      <c r="O242" s="4" t="inlineStr">
        <is>
          <t>daniq_2303@hotmail.com</t>
        </is>
      </c>
      <c r="P242" s="4" t="inlineStr">
        <is>
          <t>BTA SEDE A</t>
        </is>
      </c>
      <c r="Q242" s="4" t="inlineStr">
        <is>
          <t>BELLAS ARTES</t>
        </is>
      </c>
      <c r="R242" s="4" t="n">
        <v>400</v>
      </c>
    </row>
    <row r="243" ht="20" customHeight="1">
      <c r="A243" s="6" t="inlineStr">
        <is>
          <t>80350939</t>
        </is>
      </c>
      <c r="B243" s="7" t="inlineStr">
        <is>
          <t>PRESENCIAL BOGOTÁ</t>
        </is>
      </c>
      <c r="C243" s="7" t="inlineStr">
        <is>
          <t>ANGEL ALBERTO ALVAREZ TORRES</t>
        </is>
      </c>
      <c r="D243" s="7" t="inlineStr">
        <is>
          <t>OPERACIONES</t>
        </is>
      </c>
      <c r="E243" s="7" t="inlineStr">
        <is>
          <t>REGIONAL BOGOTA</t>
        </is>
      </c>
      <c r="F243" s="7" t="inlineStr">
        <is>
          <t>BOGOTA CENTRO</t>
        </is>
      </c>
      <c r="G243" s="7" t="inlineStr">
        <is>
          <t>VIRTUAL</t>
        </is>
      </c>
      <c r="H243" s="7" t="inlineStr">
        <is>
          <t>DOC AUX T&amp;T/N/V/TC/DIR PROD ME AUD/FUN.ACADE-ADMIN</t>
        </is>
      </c>
      <c r="I243" s="7" t="inlineStr">
        <is>
          <t>DIRECCION Y PRODUCCION DE MEDIOS AUDIOVISUALES</t>
        </is>
      </c>
      <c r="J243" s="7" t="inlineStr">
        <is>
          <t>PLANTA</t>
        </is>
      </c>
      <c r="K243" s="7" t="inlineStr">
        <is>
          <t>PAULA OSORIO</t>
        </is>
      </c>
      <c r="L243" s="7" t="inlineStr">
        <is>
          <t>CONFIRMADO PRESENCIAL</t>
        </is>
      </c>
      <c r="M243" s="7" t="n">
        <v/>
      </c>
      <c r="N243" s="7" t="n">
        <v>3024977887</v>
      </c>
      <c r="O243" s="7" t="inlineStr">
        <is>
          <t>angelomon21@gmail.com</t>
        </is>
      </c>
      <c r="P243" s="7" t="inlineStr">
        <is>
          <t>BTA SEDE A</t>
        </is>
      </c>
      <c r="Q243" s="7" t="inlineStr">
        <is>
          <t>BELLAS ARTES</t>
        </is>
      </c>
      <c r="R243" s="7" t="n">
        <v>400</v>
      </c>
    </row>
    <row r="244" ht="20" customHeight="1">
      <c r="A244" s="3" t="inlineStr">
        <is>
          <t>1018497058</t>
        </is>
      </c>
      <c r="B244" s="4" t="inlineStr">
        <is>
          <t>PRESENCIAL BOGOTÁ</t>
        </is>
      </c>
      <c r="C244" s="4" t="inlineStr">
        <is>
          <t>MIGUEL ANGEL RINCON ANDRADE</t>
        </is>
      </c>
      <c r="D244" s="4" t="inlineStr">
        <is>
          <t>OPERACIONES</t>
        </is>
      </c>
      <c r="E244" s="4" t="inlineStr">
        <is>
          <t>REGIONAL BOGOTA</t>
        </is>
      </c>
      <c r="F244" s="4" t="inlineStr">
        <is>
          <t>BOGOTA CENTRO</t>
        </is>
      </c>
      <c r="G244" s="4" t="inlineStr">
        <is>
          <t>VIRTUAL</t>
        </is>
      </c>
      <c r="H244" s="4" t="inlineStr">
        <is>
          <t>DOC AUX T&amp;T/N/V/TC/DIR PROD ME AUD/FUN.ACADE-ADMIN</t>
        </is>
      </c>
      <c r="I244" s="4" t="inlineStr">
        <is>
          <t>DIRECCION Y PRODUCCION DE MEDIOS AUDIOVISUALES</t>
        </is>
      </c>
      <c r="J244" s="4" t="inlineStr">
        <is>
          <t>PLANTA</t>
        </is>
      </c>
      <c r="K244" s="4" t="inlineStr">
        <is>
          <t>PAULA OSORIO</t>
        </is>
      </c>
      <c r="L244" s="4" t="inlineStr">
        <is>
          <t>SIN RESPUESTA</t>
        </is>
      </c>
      <c r="M244" s="4" t="inlineStr">
        <is>
          <t>Correo de voz</t>
        </is>
      </c>
      <c r="N244" s="4" t="n">
        <v>3118443810</v>
      </c>
      <c r="O244" s="4" t="inlineStr">
        <is>
          <t>6miguel9angel@gmail.com</t>
        </is>
      </c>
      <c r="P244" s="4" t="inlineStr">
        <is>
          <t>BTA SEDE A</t>
        </is>
      </c>
      <c r="Q244" s="4" t="inlineStr">
        <is>
          <t>BELLAS ARTES</t>
        </is>
      </c>
      <c r="R244" s="4" t="n">
        <v>400</v>
      </c>
    </row>
    <row r="245" ht="20" customHeight="1">
      <c r="A245" s="6" t="inlineStr">
        <is>
          <t>1019066088</t>
        </is>
      </c>
      <c r="B245" s="7" t="inlineStr">
        <is>
          <t>PRESENCIAL BOGOTÁ</t>
        </is>
      </c>
      <c r="C245" s="7" t="inlineStr">
        <is>
          <t>DIEGO FERNANDO DELGADO CUELLAR</t>
        </is>
      </c>
      <c r="D245" s="7" t="inlineStr">
        <is>
          <t>OPERACIONES</t>
        </is>
      </c>
      <c r="E245" s="7" t="inlineStr">
        <is>
          <t>REGIONAL BOGOTA</t>
        </is>
      </c>
      <c r="F245" s="7" t="inlineStr">
        <is>
          <t>BOGOTA CENTRO</t>
        </is>
      </c>
      <c r="G245" s="7" t="inlineStr">
        <is>
          <t>VIRTUAL</t>
        </is>
      </c>
      <c r="H245" s="7" t="inlineStr">
        <is>
          <t>DOC AUX T&amp;T/N/V/TC/DIR PROD ME AUD/FUN.ACADE-ADMIN</t>
        </is>
      </c>
      <c r="I245" s="7" t="inlineStr">
        <is>
          <t>DIRECCION Y PRODUCCION DE MEDIOS AUDIOVISUALES</t>
        </is>
      </c>
      <c r="J245" s="7" t="inlineStr">
        <is>
          <t>PLANTA</t>
        </is>
      </c>
      <c r="K245" s="7" t="inlineStr">
        <is>
          <t>PAULA OSORIO</t>
        </is>
      </c>
      <c r="L245" s="7" t="inlineStr">
        <is>
          <t>CONFIRMADO PRESENCIAL</t>
        </is>
      </c>
      <c r="M245" s="7" t="n">
        <v/>
      </c>
      <c r="N245" s="7" t="n">
        <v>3106786833</v>
      </c>
      <c r="O245" s="7" t="inlineStr">
        <is>
          <t>dloudnes@gmail.com</t>
        </is>
      </c>
      <c r="P245" s="7" t="inlineStr">
        <is>
          <t>BTA SEDE A</t>
        </is>
      </c>
      <c r="Q245" s="7" t="inlineStr">
        <is>
          <t>BELLAS ARTES</t>
        </is>
      </c>
      <c r="R245" s="7" t="n">
        <v>400</v>
      </c>
    </row>
    <row r="246" ht="20" customHeight="1">
      <c r="A246" s="3" t="inlineStr">
        <is>
          <t>1023890926</t>
        </is>
      </c>
      <c r="B246" s="4" t="inlineStr">
        <is>
          <t>PRESENCIAL BOGOTÁ</t>
        </is>
      </c>
      <c r="C246" s="4" t="inlineStr">
        <is>
          <t>MAURICIO ENRIQUE RAMOS BOHORQUEZ</t>
        </is>
      </c>
      <c r="D246" s="4" t="inlineStr">
        <is>
          <t>OPERACIONES</t>
        </is>
      </c>
      <c r="E246" s="4" t="inlineStr">
        <is>
          <t>REGIONAL BOGOTA</t>
        </is>
      </c>
      <c r="F246" s="4" t="inlineStr">
        <is>
          <t>BOGOTA CENTRO</t>
        </is>
      </c>
      <c r="G246" s="4" t="inlineStr">
        <is>
          <t>PRESENCIAL</t>
        </is>
      </c>
      <c r="H246" s="4" t="inlineStr">
        <is>
          <t>DOC AUX T&amp;T/N/TC/DIR PROD ME AUD/FUN.ACADE-ADMIN</t>
        </is>
      </c>
      <c r="I246" s="4" t="inlineStr">
        <is>
          <t>DIRECCION Y PRODUCCION DE MEDIOS AUDIOVISUALES</t>
        </is>
      </c>
      <c r="J246" s="4" t="inlineStr">
        <is>
          <t>PLANTA</t>
        </is>
      </c>
      <c r="K246" s="4" t="inlineStr">
        <is>
          <t>PAULA OSORIO</t>
        </is>
      </c>
      <c r="L246" s="4" t="inlineStr">
        <is>
          <t>CONFIRMADO PRESENCIAL</t>
        </is>
      </c>
      <c r="M246" s="4" t="n">
        <v/>
      </c>
      <c r="N246" s="4" t="n">
        <v>3015002603</v>
      </c>
      <c r="O246" s="4" t="inlineStr">
        <is>
          <t>MAURORAMOS07@GMAIL.COM</t>
        </is>
      </c>
      <c r="P246" s="4" t="inlineStr">
        <is>
          <t>BTA SEDE F</t>
        </is>
      </c>
      <c r="Q246" s="4" t="inlineStr">
        <is>
          <t>BELLAS ARTES</t>
        </is>
      </c>
      <c r="R246" s="4" t="n">
        <v>400</v>
      </c>
    </row>
    <row r="247" ht="20" customHeight="1">
      <c r="A247" s="6" t="inlineStr">
        <is>
          <t>1026306580</t>
        </is>
      </c>
      <c r="B247" s="7" t="inlineStr">
        <is>
          <t>PRESENCIAL BOGOTÁ</t>
        </is>
      </c>
      <c r="C247" s="7" t="inlineStr">
        <is>
          <t>SEBASTIAN RODRIGUEZ PEÑA</t>
        </is>
      </c>
      <c r="D247" s="7" t="inlineStr">
        <is>
          <t>OPERACIONES</t>
        </is>
      </c>
      <c r="E247" s="7" t="inlineStr">
        <is>
          <t>REGIONAL BOGOTA</t>
        </is>
      </c>
      <c r="F247" s="7" t="inlineStr">
        <is>
          <t>BOGOTA CENTRO</t>
        </is>
      </c>
      <c r="G247" s="7" t="inlineStr">
        <is>
          <t>PRESENCIAL</t>
        </is>
      </c>
      <c r="H247" s="7" t="inlineStr">
        <is>
          <t>DOC AUX T&amp;T/N/TC/DIR PROD ME AUD/FUN.ACADE-ADMIN</t>
        </is>
      </c>
      <c r="I247" s="7" t="inlineStr">
        <is>
          <t>DIRECCION Y PRODUCCION DE MEDIOS AUDIOVISUALES</t>
        </is>
      </c>
      <c r="J247" s="7" t="inlineStr">
        <is>
          <t>PLANTA</t>
        </is>
      </c>
      <c r="K247" s="7" t="inlineStr">
        <is>
          <t>PAULA OSORIO</t>
        </is>
      </c>
      <c r="L247" s="7" t="inlineStr">
        <is>
          <t>CONFIRMADO PRESENCIAL</t>
        </is>
      </c>
      <c r="M247" s="7" t="n">
        <v/>
      </c>
      <c r="N247" s="7" t="n">
        <v>3194504680</v>
      </c>
      <c r="O247" s="7" t="inlineStr">
        <is>
          <t>quimbaru@gmail.com</t>
        </is>
      </c>
      <c r="P247" s="7" t="inlineStr">
        <is>
          <t>BTA SEDE A</t>
        </is>
      </c>
      <c r="Q247" s="7" t="inlineStr">
        <is>
          <t>BELLAS ARTES</t>
        </is>
      </c>
      <c r="R247" s="7" t="n">
        <v>400</v>
      </c>
    </row>
    <row r="248" ht="20" customHeight="1">
      <c r="A248" s="3" t="inlineStr">
        <is>
          <t>1010235173</t>
        </is>
      </c>
      <c r="B248" s="4" t="inlineStr">
        <is>
          <t>PRESENCIAL BOGOTÁ</t>
        </is>
      </c>
      <c r="C248" s="4" t="inlineStr">
        <is>
          <t>GABRIELA VALENTINA BOHORQUEZ PIÑEROS</t>
        </is>
      </c>
      <c r="D248" s="4" t="inlineStr">
        <is>
          <t>OPERACIONES</t>
        </is>
      </c>
      <c r="E248" s="4" t="inlineStr">
        <is>
          <t>REGIONAL BOGOTA</t>
        </is>
      </c>
      <c r="F248" s="4" t="inlineStr">
        <is>
          <t>BOGOTA CENTRO</t>
        </is>
      </c>
      <c r="G248" s="4" t="inlineStr">
        <is>
          <t>VIRTUAL</t>
        </is>
      </c>
      <c r="H248" s="4" t="inlineStr">
        <is>
          <t>DOC ASIS/N/V/TC/DIR PROD ME AUD/FUN.ACA</t>
        </is>
      </c>
      <c r="I248" s="4" t="inlineStr">
        <is>
          <t>DIRECCION Y PRODUCCION DE MEDIOS AUDIOVISUALES</t>
        </is>
      </c>
      <c r="J248" s="4" t="inlineStr">
        <is>
          <t>PLANTA</t>
        </is>
      </c>
      <c r="K248" s="4" t="inlineStr">
        <is>
          <t>PAULA OSORIO</t>
        </is>
      </c>
      <c r="L248" s="4" t="inlineStr">
        <is>
          <t>SIN RESPUESTA</t>
        </is>
      </c>
      <c r="M248" s="4" t="inlineStr">
        <is>
          <t>Correo de voz</t>
        </is>
      </c>
      <c r="N248" s="4" t="n">
        <v>3183417635</v>
      </c>
      <c r="O248" s="4" t="inlineStr">
        <is>
          <t>gabrielabohorquezp@gmail.com</t>
        </is>
      </c>
      <c r="P248" s="4" t="inlineStr">
        <is>
          <t>BTA SEDE A</t>
        </is>
      </c>
      <c r="Q248" s="4" t="inlineStr">
        <is>
          <t>BELLAS ARTES</t>
        </is>
      </c>
      <c r="R248" s="4" t="n">
        <v>400</v>
      </c>
    </row>
    <row r="249" ht="20" customHeight="1">
      <c r="A249" s="6" t="inlineStr">
        <is>
          <t>1015398231</t>
        </is>
      </c>
      <c r="B249" s="7" t="inlineStr">
        <is>
          <t>PRESENCIAL BOGOTÁ</t>
        </is>
      </c>
      <c r="C249" s="7" t="inlineStr">
        <is>
          <t>JUAN CAMILO JARAMILLO USCATEGUI</t>
        </is>
      </c>
      <c r="D249" s="7" t="inlineStr">
        <is>
          <t>OPERACIONES</t>
        </is>
      </c>
      <c r="E249" s="7" t="inlineStr">
        <is>
          <t>REGIONAL BOGOTA</t>
        </is>
      </c>
      <c r="F249" s="7" t="inlineStr">
        <is>
          <t>BOGOTA CENTRO</t>
        </is>
      </c>
      <c r="G249" s="7" t="inlineStr">
        <is>
          <t>PRESENCIAL</t>
        </is>
      </c>
      <c r="H249" s="7" t="inlineStr">
        <is>
          <t>DOC AUX T&amp;T/N/TC/DIR PROD ME AUD/FUN.ACADE-ADMIN</t>
        </is>
      </c>
      <c r="I249" s="7" t="inlineStr">
        <is>
          <t>DIRECCION Y PRODUCCION DE MEDIOS AUDIOVISUALES</t>
        </is>
      </c>
      <c r="J249" s="7" t="inlineStr">
        <is>
          <t>PLANTA</t>
        </is>
      </c>
      <c r="K249" s="7" t="inlineStr">
        <is>
          <t>PAULA OSORIO</t>
        </is>
      </c>
      <c r="L249" s="7" t="inlineStr">
        <is>
          <t>SIN RESPUESTA</t>
        </is>
      </c>
      <c r="M249" s="7" t="inlineStr">
        <is>
          <t>Correo de voz</t>
        </is>
      </c>
      <c r="N249" s="7" t="n">
        <v>3016592319</v>
      </c>
      <c r="O249" s="7" t="inlineStr">
        <is>
          <t>juanjaus@hotmail.com</t>
        </is>
      </c>
      <c r="P249" s="7" t="inlineStr">
        <is>
          <t>BTA SEDE F</t>
        </is>
      </c>
      <c r="Q249" s="7" t="inlineStr">
        <is>
          <t>BELLAS ARTES</t>
        </is>
      </c>
      <c r="R249" s="7" t="n">
        <v>400</v>
      </c>
    </row>
    <row r="250" ht="20" customHeight="1">
      <c r="A250" s="3" t="inlineStr">
        <is>
          <t>11185974</t>
        </is>
      </c>
      <c r="B250" s="4" t="inlineStr">
        <is>
          <t>PRESENCIAL BOGOTÁ</t>
        </is>
      </c>
      <c r="C250" s="4" t="inlineStr">
        <is>
          <t>ALEXANDRE OSUNA TIJARO</t>
        </is>
      </c>
      <c r="D250" s="4" t="inlineStr">
        <is>
          <t>OPERACIONES</t>
        </is>
      </c>
      <c r="E250" s="4" t="inlineStr">
        <is>
          <t>REGIONAL BOGOTA</t>
        </is>
      </c>
      <c r="F250" s="4" t="inlineStr">
        <is>
          <t>BOGOTA CENTRO</t>
        </is>
      </c>
      <c r="G250" s="4" t="inlineStr">
        <is>
          <t>PRESENCIAL</t>
        </is>
      </c>
      <c r="H250" s="4" t="inlineStr">
        <is>
          <t>DOCENTE ASIS/N/TC/DIR PROD ME AUD/FUN.ACADE-ADMIN</t>
        </is>
      </c>
      <c r="I250" s="4" t="inlineStr">
        <is>
          <t>DIRECCION Y PRODUCCION DE MEDIOS AUDIOVISUALES</t>
        </is>
      </c>
      <c r="J250" s="4" t="inlineStr">
        <is>
          <t>PLANTA</t>
        </is>
      </c>
      <c r="K250" s="4" t="inlineStr">
        <is>
          <t>PAULA OSORIO</t>
        </is>
      </c>
      <c r="L250" s="4" t="inlineStr">
        <is>
          <t>CONFIRMADO PRESENCIAL</t>
        </is>
      </c>
      <c r="M250" s="4" t="n">
        <v/>
      </c>
      <c r="N250" s="4" t="n">
        <v>3118097522</v>
      </c>
      <c r="O250" s="4" t="inlineStr">
        <is>
          <t>ALEXANDREOSUNAT@GMAIL.COM</t>
        </is>
      </c>
      <c r="P250" s="4" t="inlineStr">
        <is>
          <t>BTA SEDE F</t>
        </is>
      </c>
      <c r="Q250" s="4" t="inlineStr">
        <is>
          <t>BELLAS ARTES</t>
        </is>
      </c>
      <c r="R250" s="4" t="n">
        <v>400</v>
      </c>
    </row>
    <row r="251" ht="20" customHeight="1">
      <c r="A251" s="6" t="inlineStr">
        <is>
          <t>1020806074</t>
        </is>
      </c>
      <c r="B251" s="7" t="inlineStr">
        <is>
          <t>PRESENCIAL BOGOTÁ</t>
        </is>
      </c>
      <c r="C251" s="7" t="inlineStr">
        <is>
          <t>NICOLAS ENRIQUE MARTINEZ BARRERO</t>
        </is>
      </c>
      <c r="D251" s="7" t="inlineStr">
        <is>
          <t>OPERACIONES</t>
        </is>
      </c>
      <c r="E251" s="7" t="inlineStr">
        <is>
          <t>REGIONAL BOGOTA</t>
        </is>
      </c>
      <c r="F251" s="7" t="inlineStr">
        <is>
          <t>BOGOTA CENTRO</t>
        </is>
      </c>
      <c r="G251" s="7" t="inlineStr">
        <is>
          <t>VIRTUAL</t>
        </is>
      </c>
      <c r="H251" s="7" t="inlineStr">
        <is>
          <t>DOC AUX T&amp;T/N/V/TC/DIR PROD ME AUD/FUN.ACADE-ADMIN</t>
        </is>
      </c>
      <c r="I251" s="7" t="inlineStr">
        <is>
          <t>DIRECCION Y PRODUCCION DE MEDIOS AUDIOVISUALES</t>
        </is>
      </c>
      <c r="J251" s="7" t="inlineStr">
        <is>
          <t>PLANTA</t>
        </is>
      </c>
      <c r="K251" s="7" t="inlineStr">
        <is>
          <t>PAULA OSORIO</t>
        </is>
      </c>
      <c r="L251" s="7" t="inlineStr">
        <is>
          <t>SIN RESPUESTA</t>
        </is>
      </c>
      <c r="M251" s="7" t="inlineStr">
        <is>
          <t>Correo de voz</t>
        </is>
      </c>
      <c r="N251" s="7" t="n">
        <v>3112408483</v>
      </c>
      <c r="O251" s="7" t="inlineStr">
        <is>
          <t>nemartinezba@gmail.com</t>
        </is>
      </c>
      <c r="P251" s="7" t="inlineStr">
        <is>
          <t>BTA SEDE A</t>
        </is>
      </c>
      <c r="Q251" s="7" t="inlineStr">
        <is>
          <t>BELLAS ARTES</t>
        </is>
      </c>
      <c r="R251" s="7" t="n">
        <v>400</v>
      </c>
    </row>
    <row r="252" ht="20" customHeight="1">
      <c r="A252" s="3" t="inlineStr">
        <is>
          <t>88031423</t>
        </is>
      </c>
      <c r="B252" s="4" t="inlineStr">
        <is>
          <t>PRESENCIAL BOGOTÁ</t>
        </is>
      </c>
      <c r="C252" s="4" t="inlineStr">
        <is>
          <t>ELKIN MAURICIO TARAZONA BLANCO</t>
        </is>
      </c>
      <c r="D252" s="4" t="inlineStr">
        <is>
          <t>OPERACIONES</t>
        </is>
      </c>
      <c r="E252" s="4" t="inlineStr">
        <is>
          <t>REGIONAL BOGOTA</t>
        </is>
      </c>
      <c r="F252" s="4" t="inlineStr">
        <is>
          <t>BOGOTA CENTRO</t>
        </is>
      </c>
      <c r="G252" s="4" t="inlineStr">
        <is>
          <t>PRESENCIAL</t>
        </is>
      </c>
      <c r="H252" s="4" t="inlineStr">
        <is>
          <t>DOC AUX T&amp;T/N/TC/DIR PROD ME AUD/FUN.ACADE-ADMIN</t>
        </is>
      </c>
      <c r="I252" s="4" t="inlineStr">
        <is>
          <t>DIRECCION Y PRODUCCION DE MEDIOS AUDIOVISUALES</t>
        </is>
      </c>
      <c r="J252" s="4" t="inlineStr">
        <is>
          <t>PLANTA</t>
        </is>
      </c>
      <c r="K252" s="4" t="inlineStr">
        <is>
          <t>PAULA OSORIO</t>
        </is>
      </c>
      <c r="L252" s="4" t="inlineStr">
        <is>
          <t>SIN RESPUESTA</t>
        </is>
      </c>
      <c r="M252" s="4" t="inlineStr">
        <is>
          <t>Correo de voz</t>
        </is>
      </c>
      <c r="N252" s="4" t="n">
        <v>3237991445</v>
      </c>
      <c r="O252" s="4" t="inlineStr">
        <is>
          <t>mao.tarazona316@gmail.com</t>
        </is>
      </c>
      <c r="P252" s="4" t="inlineStr">
        <is>
          <t>BTA SEDE F</t>
        </is>
      </c>
      <c r="Q252" s="4" t="inlineStr">
        <is>
          <t>BELLAS ARTES</t>
        </is>
      </c>
      <c r="R252" s="4" t="n">
        <v>400</v>
      </c>
    </row>
    <row r="253" ht="20" customHeight="1">
      <c r="A253" s="6" t="inlineStr">
        <is>
          <t>1010238909</t>
        </is>
      </c>
      <c r="B253" s="7" t="inlineStr">
        <is>
          <t>PRESENCIAL BOGOTÁ</t>
        </is>
      </c>
      <c r="C253" s="7" t="inlineStr">
        <is>
          <t>JEISSON SNEIDER NOVOA RAMIREZ</t>
        </is>
      </c>
      <c r="D253" s="7" t="inlineStr">
        <is>
          <t>OPERACIONES</t>
        </is>
      </c>
      <c r="E253" s="7" t="inlineStr">
        <is>
          <t>REGIONAL BOGOTA</t>
        </is>
      </c>
      <c r="F253" s="7" t="inlineStr">
        <is>
          <t>BOGOTA CENTRO</t>
        </is>
      </c>
      <c r="G253" s="7" t="inlineStr">
        <is>
          <t>VIRTUAL</t>
        </is>
      </c>
      <c r="H253" s="7" t="inlineStr">
        <is>
          <t>DOC AUX T&amp;T/N/V/TC/DIR PROD ME AUD/FUN.ACADE-ADMIN</t>
        </is>
      </c>
      <c r="I253" s="7" t="inlineStr">
        <is>
          <t>DIRECCION Y PRODUCCION DE MEDIOS AUDIOVISUALES</t>
        </is>
      </c>
      <c r="J253" s="7" t="inlineStr">
        <is>
          <t>PLANTA</t>
        </is>
      </c>
      <c r="K253" s="7" t="inlineStr">
        <is>
          <t>PAULA OSORIO</t>
        </is>
      </c>
      <c r="L253" s="7" t="inlineStr">
        <is>
          <t>SIN RESPUESTA</t>
        </is>
      </c>
      <c r="M253" s="7" t="inlineStr">
        <is>
          <t>Correo de voz</t>
        </is>
      </c>
      <c r="N253" s="7" t="n">
        <v>3233334765</v>
      </c>
      <c r="O253" s="7" t="inlineStr">
        <is>
          <t>JEISSONSNEIDERN@GMAIL.COM</t>
        </is>
      </c>
      <c r="P253" s="7" t="inlineStr">
        <is>
          <t>BTA SEDE A</t>
        </is>
      </c>
      <c r="Q253" s="7" t="inlineStr">
        <is>
          <t>BELLAS ARTES</t>
        </is>
      </c>
      <c r="R253" s="7" t="n">
        <v>400</v>
      </c>
    </row>
    <row r="254" ht="20" customHeight="1">
      <c r="A254" s="3" t="inlineStr">
        <is>
          <t>1023933470</t>
        </is>
      </c>
      <c r="B254" s="4" t="inlineStr">
        <is>
          <t>PRESENCIAL BOGOTÁ</t>
        </is>
      </c>
      <c r="C254" s="4" t="inlineStr">
        <is>
          <t>INGRID MARCELA AVILA GUERRERO</t>
        </is>
      </c>
      <c r="D254" s="4" t="inlineStr">
        <is>
          <t>OPERACIONES</t>
        </is>
      </c>
      <c r="E254" s="4" t="inlineStr">
        <is>
          <t>REGIONAL BOGOTA</t>
        </is>
      </c>
      <c r="F254" s="4" t="inlineStr">
        <is>
          <t>BOGOTA CENTRO</t>
        </is>
      </c>
      <c r="G254" s="4" t="inlineStr">
        <is>
          <t>VIRTUAL</t>
        </is>
      </c>
      <c r="H254" s="4" t="inlineStr">
        <is>
          <t>DOC AUX T&amp;T/N/V/TC/DIR PROD ME AUD/FUN.ACADE-ADMIN</t>
        </is>
      </c>
      <c r="I254" s="4" t="inlineStr">
        <is>
          <t>DIRECCION Y PRODUCCION DE MEDIOS AUDIOVISUALES</t>
        </is>
      </c>
      <c r="J254" s="4" t="inlineStr">
        <is>
          <t>PLANTA</t>
        </is>
      </c>
      <c r="K254" s="4" t="inlineStr">
        <is>
          <t>PAULA OSORIO</t>
        </is>
      </c>
      <c r="L254" s="4" t="inlineStr">
        <is>
          <t>DESVINCULACIÓN</t>
        </is>
      </c>
      <c r="M254" s="4" t="inlineStr">
        <is>
          <t>Desvinculación</t>
        </is>
      </c>
      <c r="N254" s="4" t="n">
        <v>3118870157</v>
      </c>
      <c r="O254" s="4" t="inlineStr">
        <is>
          <t>maravilafilm@gmail.com</t>
        </is>
      </c>
      <c r="P254" s="4" t="inlineStr">
        <is>
          <t>BTA SEDE A</t>
        </is>
      </c>
      <c r="Q254" s="4" t="inlineStr">
        <is>
          <t>BELLAS ARTES</t>
        </is>
      </c>
      <c r="R254" s="4" t="n">
        <v>400</v>
      </c>
    </row>
    <row r="255" ht="20" customHeight="1">
      <c r="A255" s="6" t="inlineStr">
        <is>
          <t>1020809095</t>
        </is>
      </c>
      <c r="B255" s="7" t="inlineStr">
        <is>
          <t>PRESENCIAL BOGOTÁ</t>
        </is>
      </c>
      <c r="C255" s="7" t="inlineStr">
        <is>
          <t>DANIEL FELIPE MORENO MENDOZA</t>
        </is>
      </c>
      <c r="D255" s="7" t="inlineStr">
        <is>
          <t>OPERACIONES</t>
        </is>
      </c>
      <c r="E255" s="7" t="inlineStr">
        <is>
          <t>REGIONAL BOGOTA</t>
        </is>
      </c>
      <c r="F255" s="7" t="inlineStr">
        <is>
          <t>BOGOTA CENTRO</t>
        </is>
      </c>
      <c r="G255" s="7" t="inlineStr">
        <is>
          <t>VIRTUAL</t>
        </is>
      </c>
      <c r="H255" s="7" t="inlineStr">
        <is>
          <t>DOC ASIS/N/V/TC/DIR PROD ME AUD/FUN.ACA</t>
        </is>
      </c>
      <c r="I255" s="7" t="inlineStr">
        <is>
          <t>DIRECCION Y PRODUCCION DE MEDIOS AUDIOVISUALES</t>
        </is>
      </c>
      <c r="J255" s="7" t="inlineStr">
        <is>
          <t>PLANTA</t>
        </is>
      </c>
      <c r="K255" s="7" t="inlineStr">
        <is>
          <t>PAULA OSORIO</t>
        </is>
      </c>
      <c r="L255" s="7" t="inlineStr">
        <is>
          <t>SIN RESPUESTA</t>
        </is>
      </c>
      <c r="M255" s="7" t="inlineStr">
        <is>
          <t>Correo de voz</t>
        </is>
      </c>
      <c r="N255" s="7" t="n">
        <v>3174048001</v>
      </c>
      <c r="O255" s="7" t="inlineStr">
        <is>
          <t>danielfelipe95@gmail.com</t>
        </is>
      </c>
      <c r="P255" s="7" t="inlineStr">
        <is>
          <t>BTA SEDE A</t>
        </is>
      </c>
      <c r="Q255" s="7" t="inlineStr">
        <is>
          <t>BELLAS ARTES</t>
        </is>
      </c>
      <c r="R255" s="7" t="n">
        <v>400</v>
      </c>
    </row>
    <row r="256" ht="20" customHeight="1">
      <c r="A256" s="3" t="inlineStr">
        <is>
          <t>1193559475</t>
        </is>
      </c>
      <c r="B256" s="4" t="inlineStr">
        <is>
          <t>PRESENCIAL BOGOTÁ</t>
        </is>
      </c>
      <c r="C256" s="4" t="inlineStr">
        <is>
          <t>JULIAN FELIPE BERNAL PEREZ</t>
        </is>
      </c>
      <c r="D256" s="4" t="inlineStr">
        <is>
          <t>OPERACIONES</t>
        </is>
      </c>
      <c r="E256" s="4" t="inlineStr">
        <is>
          <t>REGIONAL BOGOTA</t>
        </is>
      </c>
      <c r="F256" s="4" t="inlineStr">
        <is>
          <t>BOGOTA CENTRO</t>
        </is>
      </c>
      <c r="G256" s="4" t="inlineStr">
        <is>
          <t>PRESENCIAL</t>
        </is>
      </c>
      <c r="H256" s="4" t="inlineStr">
        <is>
          <t>DOC AUX T&amp;T/N/TC/DIR PROD ME AUD/FUN.ACADE-ADMIN</t>
        </is>
      </c>
      <c r="I256" s="4" t="inlineStr">
        <is>
          <t>DIRECCION Y PRODUCCION DE MEDIOS AUDIOVISUALES</t>
        </is>
      </c>
      <c r="J256" s="4" t="inlineStr">
        <is>
          <t>PLANTA</t>
        </is>
      </c>
      <c r="K256" s="4" t="inlineStr">
        <is>
          <t>PAULA OSORIO</t>
        </is>
      </c>
      <c r="L256" s="4" t="inlineStr">
        <is>
          <t>CONFIRMADO PRESENCIAL</t>
        </is>
      </c>
      <c r="M256" s="4" t="n">
        <v/>
      </c>
      <c r="N256" s="4" t="n">
        <v>3046218173</v>
      </c>
      <c r="O256" s="4" t="inlineStr">
        <is>
          <t>BERNALJULIAN1306@GMAIL.COM</t>
        </is>
      </c>
      <c r="P256" s="4" t="inlineStr">
        <is>
          <t>BTA SEDE F</t>
        </is>
      </c>
      <c r="Q256" s="4" t="inlineStr">
        <is>
          <t>BELLAS ARTES</t>
        </is>
      </c>
      <c r="R256" s="4" t="n">
        <v>400</v>
      </c>
    </row>
    <row r="257" ht="20" customHeight="1">
      <c r="A257" s="6" t="inlineStr">
        <is>
          <t>1100623755</t>
        </is>
      </c>
      <c r="B257" s="7" t="inlineStr">
        <is>
          <t>PRESENCIAL REGIONAL</t>
        </is>
      </c>
      <c r="C257" s="7" t="inlineStr">
        <is>
          <t>TONY FRANCISCO SIERRA AGUAS</t>
        </is>
      </c>
      <c r="D257" s="7" t="inlineStr">
        <is>
          <t>OPERACIONES</t>
        </is>
      </c>
      <c r="E257" s="7" t="inlineStr">
        <is>
          <t>REGIONAL SUCRE</t>
        </is>
      </c>
      <c r="F257" s="7" t="inlineStr">
        <is>
          <t>SINCELEJO</t>
        </is>
      </c>
      <c r="G257" s="7" t="inlineStr">
        <is>
          <t>VIRTUAL</t>
        </is>
      </c>
      <c r="H257" s="7" t="inlineStr">
        <is>
          <t>DOC ASIS/N/V/TC/DIR PROD ME AUD/FUN.ACA</t>
        </is>
      </c>
      <c r="I257" s="7" t="inlineStr">
        <is>
          <t>DIRECCION Y PRODUCCION DE MEDIOS AUDIOVISUALES</t>
        </is>
      </c>
      <c r="J257" s="7" t="inlineStr">
        <is>
          <t>PLANTA</t>
        </is>
      </c>
      <c r="K257" s="7" t="inlineStr">
        <is>
          <t>PAULA OSORIO</t>
        </is>
      </c>
      <c r="L257" s="7" t="inlineStr">
        <is>
          <t>CONFIRMADO PRESENCIAL</t>
        </is>
      </c>
      <c r="M257" s="7" t="n">
        <v/>
      </c>
      <c r="N257" s="7" t="n">
        <v>3022691063</v>
      </c>
      <c r="O257" s="7" t="inlineStr">
        <is>
          <t>tonyrtv16@gmail.com</t>
        </is>
      </c>
      <c r="P257" s="7" t="inlineStr">
        <is>
          <t>SINCELEJO SEDE</t>
        </is>
      </c>
      <c r="Q257" s="7" t="inlineStr">
        <is>
          <t>BELLAS ARTES</t>
        </is>
      </c>
      <c r="R257" s="7" t="n">
        <v/>
      </c>
    </row>
    <row r="258" ht="20" customHeight="1">
      <c r="A258" s="3" t="inlineStr">
        <is>
          <t>1098785431</t>
        </is>
      </c>
      <c r="B258" s="4" t="inlineStr">
        <is>
          <t>VIRTUAL</t>
        </is>
      </c>
      <c r="C258" s="4" t="inlineStr">
        <is>
          <t>JUAN PABLO CASTRO QUINTERO</t>
        </is>
      </c>
      <c r="D258" s="4" t="inlineStr">
        <is>
          <t>OPERACIONES</t>
        </is>
      </c>
      <c r="E258" s="4" t="inlineStr">
        <is>
          <t>REGIONAL SANTANDER</t>
        </is>
      </c>
      <c r="F258" s="4" t="inlineStr">
        <is>
          <t>BUCARAMANGA</t>
        </is>
      </c>
      <c r="G258" s="4" t="inlineStr">
        <is>
          <t>VIRTUAL</t>
        </is>
      </c>
      <c r="H258" s="4" t="inlineStr">
        <is>
          <t>DOC AUX T&amp;T/N/V/TC/DIR PROD ME AUD/FUN.ACADE-ADMIN</t>
        </is>
      </c>
      <c r="I258" s="4" t="inlineStr">
        <is>
          <t>DIRECCION Y PRODUCCION DE MEDIOS AUDIOVISUALES</t>
        </is>
      </c>
      <c r="J258" s="4" t="inlineStr">
        <is>
          <t>PLANTA</t>
        </is>
      </c>
      <c r="K258" s="4" t="inlineStr">
        <is>
          <t>PAULA OSORIO</t>
        </is>
      </c>
      <c r="L258" s="4" t="inlineStr">
        <is>
          <t>CONFIRMADO VIRTUAL</t>
        </is>
      </c>
      <c r="M258" s="4" t="n">
        <v/>
      </c>
      <c r="N258" s="4" t="n">
        <v>3133297984</v>
      </c>
      <c r="O258" s="4" t="inlineStr">
        <is>
          <t>juanpablocastroq13@gmail.com</t>
        </is>
      </c>
      <c r="P258" s="4" t="inlineStr">
        <is>
          <t>BGA SEDE</t>
        </is>
      </c>
      <c r="Q258" s="4" t="inlineStr">
        <is>
          <t>BELLAS ARTES</t>
        </is>
      </c>
      <c r="R258" s="4" t="n">
        <v/>
      </c>
    </row>
    <row r="259" ht="20" customHeight="1">
      <c r="A259" s="6" t="inlineStr">
        <is>
          <t>1016059909</t>
        </is>
      </c>
      <c r="B259" s="7" t="inlineStr">
        <is>
          <t>PRESENCIAL BOGOTÁ</t>
        </is>
      </c>
      <c r="C259" s="7" t="inlineStr">
        <is>
          <t>JORGE ANDRES TRUJILLO CASTRO</t>
        </is>
      </c>
      <c r="D259" s="7" t="inlineStr">
        <is>
          <t>OPERACIONES</t>
        </is>
      </c>
      <c r="E259" s="7" t="inlineStr">
        <is>
          <t>REGIONAL BOGOTA</t>
        </is>
      </c>
      <c r="F259" s="7" t="inlineStr">
        <is>
          <t>BOGOTA CENTRO</t>
        </is>
      </c>
      <c r="G259" s="7" t="inlineStr">
        <is>
          <t>PRESENCIAL</t>
        </is>
      </c>
      <c r="H259" s="7" t="inlineStr">
        <is>
          <t>DOCENTE ASIS/N/TC/DIR PROD ME AUD/FUN.ACADE-ADMIN</t>
        </is>
      </c>
      <c r="I259" s="7" t="inlineStr">
        <is>
          <t>DIRECCION Y PRODUCCION DE MEDIOS AUDIOVISUALES</t>
        </is>
      </c>
      <c r="J259" s="7" t="inlineStr">
        <is>
          <t>PLANTA</t>
        </is>
      </c>
      <c r="K259" s="7" t="inlineStr">
        <is>
          <t>PAULA OSORIO</t>
        </is>
      </c>
      <c r="L259" s="7" t="inlineStr">
        <is>
          <t>DESVINCULACIÓN</t>
        </is>
      </c>
      <c r="M259" s="7" t="inlineStr">
        <is>
          <t>Desvinculado 28/07/2026</t>
        </is>
      </c>
      <c r="N259" s="7" t="n">
        <v>3175531307</v>
      </c>
      <c r="O259" s="7" t="inlineStr">
        <is>
          <t>jorgetrujillo.993@gmail.com</t>
        </is>
      </c>
      <c r="P259" s="7" t="inlineStr">
        <is>
          <t>BTA SEDE F</t>
        </is>
      </c>
      <c r="Q259" s="7" t="inlineStr">
        <is>
          <t>BELLAS ARTES</t>
        </is>
      </c>
      <c r="R259" s="7" t="n">
        <v>400</v>
      </c>
    </row>
    <row r="260" ht="20" customHeight="1">
      <c r="A260" s="3" t="inlineStr">
        <is>
          <t>1031135049</t>
        </is>
      </c>
      <c r="B260" s="4" t="inlineStr">
        <is>
          <t>PRESENCIAL BOGOTÁ</t>
        </is>
      </c>
      <c r="C260" s="4" t="inlineStr">
        <is>
          <t>HECTOR SNEYDER MARTINEZ PEREIRA</t>
        </is>
      </c>
      <c r="D260" s="4" t="inlineStr">
        <is>
          <t>OPERACIONES</t>
        </is>
      </c>
      <c r="E260" s="4" t="inlineStr">
        <is>
          <t>REGIONAL BOGOTA</t>
        </is>
      </c>
      <c r="F260" s="4" t="inlineStr">
        <is>
          <t>BOGOTA CENTRO</t>
        </is>
      </c>
      <c r="G260" s="4" t="inlineStr">
        <is>
          <t>PRESENCIAL</t>
        </is>
      </c>
      <c r="H260" s="4" t="inlineStr">
        <is>
          <t>DOC AUX T&amp;T/N/TC/DIR PROD ME AUD/FUN.ACADE-ADMIN</t>
        </is>
      </c>
      <c r="I260" s="4" t="inlineStr">
        <is>
          <t>DIRECCION Y PRODUCCION DE MEDIOS AUDIOVISUALES</t>
        </is>
      </c>
      <c r="J260" s="4" t="inlineStr">
        <is>
          <t>PLANTA</t>
        </is>
      </c>
      <c r="K260" s="4" t="inlineStr">
        <is>
          <t>PAULA OSORIO</t>
        </is>
      </c>
      <c r="L260" s="4" t="inlineStr">
        <is>
          <t>CONFIRMADO PRESENCIAL</t>
        </is>
      </c>
      <c r="M260" s="4" t="n">
        <v/>
      </c>
      <c r="N260" s="4" t="n">
        <v>3204305121</v>
      </c>
      <c r="O260" s="4" t="inlineStr">
        <is>
          <t>litio09@hotmail.com</t>
        </is>
      </c>
      <c r="P260" s="4" t="inlineStr">
        <is>
          <t>BTA SEDE F</t>
        </is>
      </c>
      <c r="Q260" s="4" t="inlineStr">
        <is>
          <t>BELLAS ARTES</t>
        </is>
      </c>
      <c r="R260" s="4" t="n">
        <v>400</v>
      </c>
    </row>
    <row r="261" ht="20" customHeight="1">
      <c r="A261" s="6" t="inlineStr">
        <is>
          <t>79223706</t>
        </is>
      </c>
      <c r="B261" s="7" t="inlineStr">
        <is>
          <t>PRESENCIAL BOGOTÁ</t>
        </is>
      </c>
      <c r="C261" s="7" t="inlineStr">
        <is>
          <t>CARLOS ANDRES GARRIDO MESA</t>
        </is>
      </c>
      <c r="D261" s="7" t="inlineStr">
        <is>
          <t>OPERACIONES</t>
        </is>
      </c>
      <c r="E261" s="7" t="inlineStr">
        <is>
          <t>REGIONAL BOGOTA</t>
        </is>
      </c>
      <c r="F261" s="7" t="inlineStr">
        <is>
          <t>BOGOTA CENTRO</t>
        </is>
      </c>
      <c r="G261" s="7" t="inlineStr">
        <is>
          <t>VIRTUAL</t>
        </is>
      </c>
      <c r="H261" s="7" t="inlineStr">
        <is>
          <t>DOC AUX T&amp;T/N/V/TC/DIR PROD ME AUD/FUN.ACADE-ADMIN</t>
        </is>
      </c>
      <c r="I261" s="7" t="inlineStr">
        <is>
          <t>DIRECCION Y PRODUCCION DE MEDIOS AUDIOVISUALES</t>
        </is>
      </c>
      <c r="J261" s="7" t="inlineStr">
        <is>
          <t>PLANTA</t>
        </is>
      </c>
      <c r="K261" s="7" t="inlineStr">
        <is>
          <t>PAULA OSORIO</t>
        </is>
      </c>
      <c r="L261" s="7" t="inlineStr">
        <is>
          <t>CONFIRMADO PRESENCIAL</t>
        </is>
      </c>
      <c r="M261" s="7" t="n">
        <v/>
      </c>
      <c r="N261" s="7" t="n">
        <v>3212041383</v>
      </c>
      <c r="O261" s="7" t="inlineStr">
        <is>
          <t>ANDRESGARRIDO041@GMAIL.COM</t>
        </is>
      </c>
      <c r="P261" s="7" t="inlineStr">
        <is>
          <t>BTA SEDE A</t>
        </is>
      </c>
      <c r="Q261" s="7" t="inlineStr">
        <is>
          <t>BELLAS ARTES</t>
        </is>
      </c>
      <c r="R261" s="7" t="n">
        <v>400</v>
      </c>
    </row>
    <row r="262" ht="20" customHeight="1">
      <c r="A262" s="3" t="inlineStr">
        <is>
          <t>1022431893</t>
        </is>
      </c>
      <c r="B262" s="4" t="inlineStr">
        <is>
          <t>PRESENCIAL BOGOTÁ</t>
        </is>
      </c>
      <c r="C262" s="4" t="inlineStr">
        <is>
          <t>CAMILO ANDRES HERNANDEZ SANDOVAL</t>
        </is>
      </c>
      <c r="D262" s="4" t="inlineStr">
        <is>
          <t>OPERACIONES</t>
        </is>
      </c>
      <c r="E262" s="4" t="inlineStr">
        <is>
          <t>REGIONAL BOGOTA</t>
        </is>
      </c>
      <c r="F262" s="4" t="inlineStr">
        <is>
          <t>BOGOTA CENTRO</t>
        </is>
      </c>
      <c r="G262" s="4" t="inlineStr">
        <is>
          <t>PRESENCIAL</t>
        </is>
      </c>
      <c r="H262" s="4" t="inlineStr">
        <is>
          <t>DOC AUX T&amp;T/N/TC/DIR PROD ME AUD/FUN.ACADE-ADMIN</t>
        </is>
      </c>
      <c r="I262" s="4" t="inlineStr">
        <is>
          <t>DIRECCION Y PRODUCCION DE MEDIOS AUDIOVISUALES</t>
        </is>
      </c>
      <c r="J262" s="4" t="inlineStr">
        <is>
          <t>PLANTA</t>
        </is>
      </c>
      <c r="K262" s="4" t="inlineStr">
        <is>
          <t>PAULA OSORIO</t>
        </is>
      </c>
      <c r="L262" s="4" t="inlineStr">
        <is>
          <t>CONFIRMADO PRESENCIAL</t>
        </is>
      </c>
      <c r="M262" s="4" t="n">
        <v/>
      </c>
      <c r="N262" s="4" t="n">
        <v>3028276875</v>
      </c>
      <c r="O262" s="4" t="inlineStr">
        <is>
          <t>CAMILOAHERNANDEZ97@HOTMAIL.COM</t>
        </is>
      </c>
      <c r="P262" s="4" t="inlineStr">
        <is>
          <t>BTA SEDE F</t>
        </is>
      </c>
      <c r="Q262" s="4" t="inlineStr">
        <is>
          <t>BELLAS ARTES</t>
        </is>
      </c>
      <c r="R262" s="4" t="n">
        <v>400</v>
      </c>
    </row>
    <row r="263" ht="20" customHeight="1">
      <c r="A263" s="6" t="inlineStr">
        <is>
          <t>80812606</t>
        </is>
      </c>
      <c r="B263" s="7" t="inlineStr">
        <is>
          <t>PRESENCIAL BOGOTÁ</t>
        </is>
      </c>
      <c r="C263" s="7" t="inlineStr">
        <is>
          <t>MIGUEL ERNESTO SANDINO MARTINEZ</t>
        </is>
      </c>
      <c r="D263" s="7" t="inlineStr">
        <is>
          <t>OPERACIONES</t>
        </is>
      </c>
      <c r="E263" s="7" t="inlineStr">
        <is>
          <t>REGIONAL BOGOTA</t>
        </is>
      </c>
      <c r="F263" s="7" t="inlineStr">
        <is>
          <t>BOGOTA CENTRO</t>
        </is>
      </c>
      <c r="G263" s="7" t="inlineStr">
        <is>
          <t>PRESENCIAL</t>
        </is>
      </c>
      <c r="H263" s="7" t="inlineStr">
        <is>
          <t>DOCENTE ASIS/N/TC/DIR PROD ME AUD/FUN.ACADE-ADMIN</t>
        </is>
      </c>
      <c r="I263" s="7" t="inlineStr">
        <is>
          <t>DIRECCION Y PRODUCCION DE MEDIOS AUDIOVISUALES</t>
        </is>
      </c>
      <c r="J263" s="7" t="inlineStr">
        <is>
          <t>PLANTA</t>
        </is>
      </c>
      <c r="K263" s="7" t="inlineStr">
        <is>
          <t>PAULA OSORIO</t>
        </is>
      </c>
      <c r="L263" s="7" t="inlineStr">
        <is>
          <t>SIN RESPUESTA</t>
        </is>
      </c>
      <c r="M263" s="7" t="inlineStr">
        <is>
          <t>Correo de Voz</t>
        </is>
      </c>
      <c r="N263" s="7" t="n">
        <v>3193608481</v>
      </c>
      <c r="O263" s="7" t="inlineStr">
        <is>
          <t>MIGUESANDINO85@GMAIL.COM</t>
        </is>
      </c>
      <c r="P263" s="7" t="inlineStr">
        <is>
          <t>BTA SEDE F</t>
        </is>
      </c>
      <c r="Q263" s="7" t="inlineStr">
        <is>
          <t>BELLAS ARTES</t>
        </is>
      </c>
      <c r="R263" s="7" t="n">
        <v>400</v>
      </c>
    </row>
    <row r="264" ht="20" customHeight="1">
      <c r="A264" s="3" t="inlineStr">
        <is>
          <t>80099289</t>
        </is>
      </c>
      <c r="B264" s="4" t="inlineStr">
        <is>
          <t>PRESENCIAL BOGOTÁ</t>
        </is>
      </c>
      <c r="C264" s="4" t="inlineStr">
        <is>
          <t>ANDRES JULIAN SOTELO GUTIERREZ</t>
        </is>
      </c>
      <c r="D264" s="4" t="inlineStr">
        <is>
          <t>OPERACIONES</t>
        </is>
      </c>
      <c r="E264" s="4" t="inlineStr">
        <is>
          <t>REGIONAL BOGOTA</t>
        </is>
      </c>
      <c r="F264" s="4" t="inlineStr">
        <is>
          <t>BOGOTA CENTRO</t>
        </is>
      </c>
      <c r="G264" s="4" t="inlineStr">
        <is>
          <t>PRESENCIAL</t>
        </is>
      </c>
      <c r="H264" s="4" t="inlineStr">
        <is>
          <t>DOC AUX T&amp;T/N/TC/DIS GRAFICO/FUN.ACADE-ADMIN</t>
        </is>
      </c>
      <c r="I264" s="4" t="inlineStr">
        <is>
          <t>DISEÑO GRAFICO</t>
        </is>
      </c>
      <c r="J264" s="4" t="inlineStr">
        <is>
          <t>PLANTA</t>
        </is>
      </c>
      <c r="K264" s="4" t="inlineStr">
        <is>
          <t>PAULA OSORIO</t>
        </is>
      </c>
      <c r="L264" s="4" t="inlineStr">
        <is>
          <t>CONFIRMADO PRESENCIAL</t>
        </is>
      </c>
      <c r="M264" s="4" t="n">
        <v/>
      </c>
      <c r="N264" s="4" t="n">
        <v>3124669253</v>
      </c>
      <c r="O264" s="4" t="inlineStr">
        <is>
          <t>soteloandres1@gmail.com</t>
        </is>
      </c>
      <c r="P264" s="4" t="inlineStr">
        <is>
          <t>BTA SEDE F</t>
        </is>
      </c>
      <c r="Q264" s="4" t="inlineStr">
        <is>
          <t>BELLAS ARTES</t>
        </is>
      </c>
      <c r="R264" s="4" t="n">
        <v>401</v>
      </c>
    </row>
    <row r="265" ht="20" customHeight="1">
      <c r="A265" s="6" t="inlineStr">
        <is>
          <t>79732034</t>
        </is>
      </c>
      <c r="B265" s="7" t="inlineStr">
        <is>
          <t>PRESENCIAL BOGOTÁ</t>
        </is>
      </c>
      <c r="C265" s="7" t="inlineStr">
        <is>
          <t>RICARDO BARONA DUQUE</t>
        </is>
      </c>
      <c r="D265" s="7" t="inlineStr">
        <is>
          <t>OPERACIONES</t>
        </is>
      </c>
      <c r="E265" s="7" t="inlineStr">
        <is>
          <t>REGIONAL BOGOTA</t>
        </is>
      </c>
      <c r="F265" s="7" t="inlineStr">
        <is>
          <t>BOGOTA CENTRO</t>
        </is>
      </c>
      <c r="G265" s="7" t="inlineStr">
        <is>
          <t>PRESENCIAL</t>
        </is>
      </c>
      <c r="H265" s="7" t="inlineStr">
        <is>
          <t>DOCENTE ASIS/N/TC/DIS GRAFICO/FUN.ACADE-ADMIN</t>
        </is>
      </c>
      <c r="I265" s="7" t="inlineStr">
        <is>
          <t>DISEÑO GRAFICO</t>
        </is>
      </c>
      <c r="J265" s="7" t="inlineStr">
        <is>
          <t>PLANTA</t>
        </is>
      </c>
      <c r="K265" s="7" t="inlineStr">
        <is>
          <t>PAULA OSORIO</t>
        </is>
      </c>
      <c r="L265" s="7" t="inlineStr">
        <is>
          <t>CONFIRMADO PRESENCIAL</t>
        </is>
      </c>
      <c r="M265" s="7" t="n">
        <v/>
      </c>
      <c r="N265" s="7" t="n">
        <v>3003636139</v>
      </c>
      <c r="O265" s="7" t="inlineStr">
        <is>
          <t>ricardobaronaduque@gmail.com</t>
        </is>
      </c>
      <c r="P265" s="7" t="inlineStr">
        <is>
          <t>BTA SEDE F</t>
        </is>
      </c>
      <c r="Q265" s="7" t="inlineStr">
        <is>
          <t>BELLAS ARTES</t>
        </is>
      </c>
      <c r="R265" s="7" t="n">
        <v>401</v>
      </c>
    </row>
    <row r="266" ht="20" customHeight="1">
      <c r="A266" s="3" t="inlineStr">
        <is>
          <t>79329745</t>
        </is>
      </c>
      <c r="B266" s="4" t="inlineStr">
        <is>
          <t>PRESENCIAL BOGOTÁ</t>
        </is>
      </c>
      <c r="C266" s="4" t="inlineStr">
        <is>
          <t>LUIS RODRIGO CARDOZO POLANIA</t>
        </is>
      </c>
      <c r="D266" s="4" t="inlineStr">
        <is>
          <t>OPERACIONES</t>
        </is>
      </c>
      <c r="E266" s="4" t="inlineStr">
        <is>
          <t>REGIONAL BOGOTA</t>
        </is>
      </c>
      <c r="F266" s="4" t="inlineStr">
        <is>
          <t>BOGOTA CENTRO</t>
        </is>
      </c>
      <c r="G266" s="4" t="inlineStr">
        <is>
          <t>PRESENCIAL</t>
        </is>
      </c>
      <c r="H266" s="4" t="inlineStr">
        <is>
          <t>DOCENTE ASIS/N/TC/DIS GRAFICO/FUN.ACADE-ADMIN</t>
        </is>
      </c>
      <c r="I266" s="4" t="inlineStr">
        <is>
          <t>DISEÑO GRAFICO</t>
        </is>
      </c>
      <c r="J266" s="4" t="inlineStr">
        <is>
          <t>PLANTA</t>
        </is>
      </c>
      <c r="K266" s="4" t="inlineStr">
        <is>
          <t>PAULA OSORIO</t>
        </is>
      </c>
      <c r="L266" s="4" t="inlineStr">
        <is>
          <t>CONFIRMADO PRESENCIAL</t>
        </is>
      </c>
      <c r="M266" s="4" t="n">
        <v/>
      </c>
      <c r="N266" s="4" t="n">
        <v>3172351844</v>
      </c>
      <c r="O266" s="4" t="inlineStr">
        <is>
          <t>proferoca@gmail.com</t>
        </is>
      </c>
      <c r="P266" s="4" t="inlineStr">
        <is>
          <t>BTA SEDE F</t>
        </is>
      </c>
      <c r="Q266" s="4" t="inlineStr">
        <is>
          <t>BELLAS ARTES</t>
        </is>
      </c>
      <c r="R266" s="4" t="n">
        <v>401</v>
      </c>
    </row>
    <row r="267" ht="20" customHeight="1">
      <c r="A267" s="6" t="inlineStr">
        <is>
          <t>52365713</t>
        </is>
      </c>
      <c r="B267" s="7" t="inlineStr">
        <is>
          <t>PRESENCIAL BOGOTÁ</t>
        </is>
      </c>
      <c r="C267" s="7" t="inlineStr">
        <is>
          <t>ERIKA ROCIO ROMERO ORJUELA</t>
        </is>
      </c>
      <c r="D267" s="7" t="inlineStr">
        <is>
          <t>OPERACIONES</t>
        </is>
      </c>
      <c r="E267" s="7" t="inlineStr">
        <is>
          <t>REGIONAL BOGOTA</t>
        </is>
      </c>
      <c r="F267" s="7" t="inlineStr">
        <is>
          <t>BOGOTA CENTRO</t>
        </is>
      </c>
      <c r="G267" s="7" t="inlineStr">
        <is>
          <t>PRESENCIAL</t>
        </is>
      </c>
      <c r="H267" s="7" t="inlineStr">
        <is>
          <t>DOC AUX T&amp;T/N/TC/DIS GRAFICO/FUN.ACADE-ADMIN</t>
        </is>
      </c>
      <c r="I267" s="7" t="inlineStr">
        <is>
          <t>DISEÑO GRAFICO</t>
        </is>
      </c>
      <c r="J267" s="7" t="inlineStr">
        <is>
          <t>PLANTA</t>
        </is>
      </c>
      <c r="K267" s="7" t="inlineStr">
        <is>
          <t>PAULA OSORIO</t>
        </is>
      </c>
      <c r="L267" s="7" t="inlineStr">
        <is>
          <t>CONFIRMADO PRESENCIAL</t>
        </is>
      </c>
      <c r="M267" s="7" t="n">
        <v/>
      </c>
      <c r="N267" s="7" t="n">
        <v>3163670141</v>
      </c>
      <c r="O267" s="7" t="inlineStr">
        <is>
          <t>ahgatavioleta@gmail.com</t>
        </is>
      </c>
      <c r="P267" s="7" t="inlineStr">
        <is>
          <t>BTA SEDE F</t>
        </is>
      </c>
      <c r="Q267" s="7" t="inlineStr">
        <is>
          <t>BELLAS ARTES</t>
        </is>
      </c>
      <c r="R267" s="7" t="n">
        <v>401</v>
      </c>
    </row>
    <row r="268" ht="20" customHeight="1">
      <c r="A268" s="3" t="inlineStr">
        <is>
          <t>79311606</t>
        </is>
      </c>
      <c r="B268" s="4" t="inlineStr">
        <is>
          <t>PRESENCIAL BOGOTÁ</t>
        </is>
      </c>
      <c r="C268" s="4" t="inlineStr">
        <is>
          <t>EDGAR ALBERTO RODRIGUEZ SANCHEZ</t>
        </is>
      </c>
      <c r="D268" s="4" t="inlineStr">
        <is>
          <t>OPERACIONES</t>
        </is>
      </c>
      <c r="E268" s="4" t="inlineStr">
        <is>
          <t>REGIONAL BOGOTA</t>
        </is>
      </c>
      <c r="F268" s="4" t="inlineStr">
        <is>
          <t>BOGOTA CENTRO</t>
        </is>
      </c>
      <c r="G268" s="4" t="inlineStr">
        <is>
          <t>PRESENCIAL</t>
        </is>
      </c>
      <c r="H268" s="4" t="inlineStr">
        <is>
          <t>DOCENTE ASIS/N/TC/DIS GRAFICO/FUN.ACADE-ADMIN</t>
        </is>
      </c>
      <c r="I268" s="4" t="inlineStr">
        <is>
          <t>DISEÑO GRAFICO</t>
        </is>
      </c>
      <c r="J268" s="4" t="inlineStr">
        <is>
          <t>PLANTA</t>
        </is>
      </c>
      <c r="K268" s="4" t="inlineStr">
        <is>
          <t>PAULA OSORIO</t>
        </is>
      </c>
      <c r="L268" s="4" t="inlineStr">
        <is>
          <t>CONFIRMADO PRESENCIAL</t>
        </is>
      </c>
      <c r="M268" s="4" t="n">
        <v/>
      </c>
      <c r="N268" s="4" t="n">
        <v>3124628184</v>
      </c>
      <c r="O268" s="4" t="inlineStr">
        <is>
          <t>profealberto12@gmail.com</t>
        </is>
      </c>
      <c r="P268" s="4" t="inlineStr">
        <is>
          <t>BTA SEDE F</t>
        </is>
      </c>
      <c r="Q268" s="4" t="inlineStr">
        <is>
          <t>BELLAS ARTES</t>
        </is>
      </c>
      <c r="R268" s="4" t="n">
        <v>401</v>
      </c>
    </row>
    <row r="269" ht="20" customHeight="1">
      <c r="A269" s="6" t="inlineStr">
        <is>
          <t>79908489</t>
        </is>
      </c>
      <c r="B269" s="7" t="inlineStr">
        <is>
          <t>PRESENCIAL BOGOTÁ</t>
        </is>
      </c>
      <c r="C269" s="7" t="inlineStr">
        <is>
          <t>DANILO ALEJANDRO RIVERA PLATA</t>
        </is>
      </c>
      <c r="D269" s="7" t="inlineStr">
        <is>
          <t>OPERACIONES</t>
        </is>
      </c>
      <c r="E269" s="7" t="inlineStr">
        <is>
          <t>REGIONAL BOGOTA</t>
        </is>
      </c>
      <c r="F269" s="7" t="inlineStr">
        <is>
          <t>BOGOTA CENTRO</t>
        </is>
      </c>
      <c r="G269" s="7" t="inlineStr">
        <is>
          <t>PRESENCIAL</t>
        </is>
      </c>
      <c r="H269" s="7" t="inlineStr">
        <is>
          <t>DOCENTE ASOC/N/TC/DIS GRAFICO/PROYECCION</t>
        </is>
      </c>
      <c r="I269" s="7" t="inlineStr">
        <is>
          <t>DISEÑO GRAFICO</t>
        </is>
      </c>
      <c r="J269" s="7" t="inlineStr">
        <is>
          <t>PLANTA</t>
        </is>
      </c>
      <c r="K269" s="7" t="inlineStr">
        <is>
          <t>PAULA OSORIO</t>
        </is>
      </c>
      <c r="L269" s="7" t="inlineStr">
        <is>
          <t>CONFIRMADO PRESENCIAL</t>
        </is>
      </c>
      <c r="M269" s="7" t="n">
        <v/>
      </c>
      <c r="N269" s="7" t="n">
        <v>3123824352</v>
      </c>
      <c r="O269" s="7" t="inlineStr">
        <is>
          <t>azulsable@gmail.com</t>
        </is>
      </c>
      <c r="P269" s="7" t="inlineStr">
        <is>
          <t>BTA SEDE F</t>
        </is>
      </c>
      <c r="Q269" s="7" t="inlineStr">
        <is>
          <t>BELLAS ARTES</t>
        </is>
      </c>
      <c r="R269" s="7" t="n">
        <v>401</v>
      </c>
    </row>
    <row r="270" ht="20" customHeight="1">
      <c r="A270" s="3" t="inlineStr">
        <is>
          <t>80497374</t>
        </is>
      </c>
      <c r="B270" s="4" t="inlineStr">
        <is>
          <t>PRESENCIAL BOGOTÁ</t>
        </is>
      </c>
      <c r="C270" s="4" t="inlineStr">
        <is>
          <t>JOSE GERARDO MARTINEZ LUENGAS</t>
        </is>
      </c>
      <c r="D270" s="4" t="inlineStr">
        <is>
          <t>OPERACIONES</t>
        </is>
      </c>
      <c r="E270" s="4" t="inlineStr">
        <is>
          <t>REGIONAL BOGOTA</t>
        </is>
      </c>
      <c r="F270" s="4" t="inlineStr">
        <is>
          <t>BOGOTA CENTRO</t>
        </is>
      </c>
      <c r="G270" s="4" t="inlineStr">
        <is>
          <t>PRESENCIAL</t>
        </is>
      </c>
      <c r="H270" s="4" t="inlineStr">
        <is>
          <t>DOCENTE ASIS/N/TC/DIS GRAFICO/FUN.ACADE-ADMIN</t>
        </is>
      </c>
      <c r="I270" s="4" t="inlineStr">
        <is>
          <t>DISEÑO GRAFICO</t>
        </is>
      </c>
      <c r="J270" s="4" t="inlineStr">
        <is>
          <t>PLANTA</t>
        </is>
      </c>
      <c r="K270" s="4" t="inlineStr">
        <is>
          <t>PAULA OSORIO</t>
        </is>
      </c>
      <c r="L270" s="4" t="inlineStr">
        <is>
          <t>CONFIRMADO PRESENCIAL</t>
        </is>
      </c>
      <c r="M270" s="4" t="n">
        <v/>
      </c>
      <c r="N270" s="4" t="n">
        <v>3003192557</v>
      </c>
      <c r="O270" s="4" t="inlineStr">
        <is>
          <t>gerardo_mart@yahoo.com</t>
        </is>
      </c>
      <c r="P270" s="4" t="inlineStr">
        <is>
          <t>BTA SEDE F</t>
        </is>
      </c>
      <c r="Q270" s="4" t="inlineStr">
        <is>
          <t>BELLAS ARTES</t>
        </is>
      </c>
      <c r="R270" s="4" t="n">
        <v>401</v>
      </c>
    </row>
    <row r="271" ht="20" customHeight="1">
      <c r="A271" s="6" t="inlineStr">
        <is>
          <t>1023024759</t>
        </is>
      </c>
      <c r="B271" s="7" t="inlineStr">
        <is>
          <t>PRESENCIAL BOGOTÁ</t>
        </is>
      </c>
      <c r="C271" s="7" t="inlineStr">
        <is>
          <t>BEBSY DANIELA MARTINEZ GONZALEZ</t>
        </is>
      </c>
      <c r="D271" s="7" t="inlineStr">
        <is>
          <t>OPERACIONES</t>
        </is>
      </c>
      <c r="E271" s="7" t="inlineStr">
        <is>
          <t>REGIONAL BOGOTA</t>
        </is>
      </c>
      <c r="F271" s="7" t="inlineStr">
        <is>
          <t>BOGOTA CENTRO</t>
        </is>
      </c>
      <c r="G271" s="7" t="inlineStr">
        <is>
          <t>PRESENCIAL</t>
        </is>
      </c>
      <c r="H271" s="7" t="inlineStr">
        <is>
          <t>DOC AUX T&amp;T/N/TC/DIS GRAFICO/FUN.ACADE-ADMIN</t>
        </is>
      </c>
      <c r="I271" s="7" t="inlineStr">
        <is>
          <t>DISEÑO GRAFICO</t>
        </is>
      </c>
      <c r="J271" s="7" t="inlineStr">
        <is>
          <t>PLANTA</t>
        </is>
      </c>
      <c r="K271" s="7" t="inlineStr">
        <is>
          <t>PAULA OSORIO</t>
        </is>
      </c>
      <c r="L271" s="7" t="inlineStr">
        <is>
          <t>CONFIRMADO PRESENCIAL</t>
        </is>
      </c>
      <c r="M271" s="7" t="n">
        <v/>
      </c>
      <c r="N271" s="7" t="n">
        <v>3102947300</v>
      </c>
      <c r="O271" s="7" t="inlineStr">
        <is>
          <t>daniela.martinezmc0409@gmail.com</t>
        </is>
      </c>
      <c r="P271" s="7" t="inlineStr">
        <is>
          <t>BTA SEDE F</t>
        </is>
      </c>
      <c r="Q271" s="7" t="inlineStr">
        <is>
          <t>BELLAS ARTES</t>
        </is>
      </c>
      <c r="R271" s="7" t="n">
        <v>401</v>
      </c>
    </row>
    <row r="272" ht="20" customHeight="1">
      <c r="A272" s="3" t="inlineStr">
        <is>
          <t>79956497</t>
        </is>
      </c>
      <c r="B272" s="4" t="inlineStr">
        <is>
          <t>PRESENCIAL BOGOTÁ</t>
        </is>
      </c>
      <c r="C272" s="4" t="inlineStr">
        <is>
          <t>JORGE ALBERTO ACUÑA CASTILLO</t>
        </is>
      </c>
      <c r="D272" s="4" t="inlineStr">
        <is>
          <t>OPERACIONES</t>
        </is>
      </c>
      <c r="E272" s="4" t="inlineStr">
        <is>
          <t>REGIONAL BOGOTA</t>
        </is>
      </c>
      <c r="F272" s="4" t="inlineStr">
        <is>
          <t>BOGOTA CENTRO</t>
        </is>
      </c>
      <c r="G272" s="4" t="inlineStr">
        <is>
          <t>PRESENCIAL</t>
        </is>
      </c>
      <c r="H272" s="4" t="inlineStr">
        <is>
          <t>DOCENTE ASOC/N/TC/DIS GRAFICO/FUN.ACADE-ADMIN</t>
        </is>
      </c>
      <c r="I272" s="4" t="inlineStr">
        <is>
          <t>DISEÑO GRAFICO</t>
        </is>
      </c>
      <c r="J272" s="4" t="inlineStr">
        <is>
          <t>PLANTA</t>
        </is>
      </c>
      <c r="K272" s="4" t="inlineStr">
        <is>
          <t>PAULA OSORIO</t>
        </is>
      </c>
      <c r="L272" s="4" t="inlineStr">
        <is>
          <t>SIN RESPUESTA</t>
        </is>
      </c>
      <c r="M272" s="4" t="inlineStr">
        <is>
          <t>Número sin servicio</t>
        </is>
      </c>
      <c r="N272" s="4" t="n">
        <v>3134255573</v>
      </c>
      <c r="O272" s="4" t="inlineStr">
        <is>
          <t>jorge.acuna@gmail.com</t>
        </is>
      </c>
      <c r="P272" s="4" t="inlineStr">
        <is>
          <t>BTA SEDE F</t>
        </is>
      </c>
      <c r="Q272" s="4" t="inlineStr">
        <is>
          <t>BELLAS ARTES</t>
        </is>
      </c>
      <c r="R272" s="4" t="n">
        <v>401</v>
      </c>
    </row>
    <row r="273" ht="20" customHeight="1">
      <c r="A273" s="6" t="inlineStr">
        <is>
          <t>1110522157</t>
        </is>
      </c>
      <c r="B273" s="7" t="inlineStr">
        <is>
          <t>PRESENCIAL REGIONAL</t>
        </is>
      </c>
      <c r="C273" s="7" t="inlineStr">
        <is>
          <t>JUAN FELIPE ARANA MACHADO</t>
        </is>
      </c>
      <c r="D273" s="7" t="inlineStr">
        <is>
          <t>OPERACIONES</t>
        </is>
      </c>
      <c r="E273" s="7" t="inlineStr">
        <is>
          <t>REGIONAL TOLIMA</t>
        </is>
      </c>
      <c r="F273" s="7" t="inlineStr">
        <is>
          <t>IBAGUÉ</t>
        </is>
      </c>
      <c r="G273" s="7" t="inlineStr">
        <is>
          <t>PRESENCIAL</t>
        </is>
      </c>
      <c r="H273" s="7" t="inlineStr">
        <is>
          <t>DOC AUX T&amp;T/N/TC/DIS GRAFICO/FUN.ACADE-ADMIN</t>
        </is>
      </c>
      <c r="I273" s="7" t="inlineStr">
        <is>
          <t>DISEÑO GRAFICO</t>
        </is>
      </c>
      <c r="J273" s="7" t="inlineStr">
        <is>
          <t>PLANTA</t>
        </is>
      </c>
      <c r="K273" s="7" t="inlineStr">
        <is>
          <t>PAULA OSORIO</t>
        </is>
      </c>
      <c r="L273" s="7" t="inlineStr">
        <is>
          <t>CONFIRMADO PRESENCIAL</t>
        </is>
      </c>
      <c r="M273" s="7" t="n">
        <v/>
      </c>
      <c r="N273" s="7" t="n">
        <v>3185148150</v>
      </c>
      <c r="O273" s="7" t="inlineStr">
        <is>
          <t>jaranamachado@gmail.com</t>
        </is>
      </c>
      <c r="P273" s="7" t="inlineStr">
        <is>
          <t>IBAGUE SEDE</t>
        </is>
      </c>
      <c r="Q273" s="7" t="inlineStr">
        <is>
          <t>BELLAS ARTES</t>
        </is>
      </c>
      <c r="R273" s="7" t="n">
        <v/>
      </c>
    </row>
    <row r="274" ht="20" customHeight="1">
      <c r="A274" s="3" t="inlineStr">
        <is>
          <t>1010194126</t>
        </is>
      </c>
      <c r="B274" s="4" t="inlineStr">
        <is>
          <t>VIRTUAL</t>
        </is>
      </c>
      <c r="C274" s="4" t="inlineStr">
        <is>
          <t>JESSICA MOLANO RODRIGUEZ</t>
        </is>
      </c>
      <c r="D274" s="4" t="inlineStr">
        <is>
          <t>OPERACIONES</t>
        </is>
      </c>
      <c r="E274" s="4" t="inlineStr">
        <is>
          <t>REGIONAL BOGOTA</t>
        </is>
      </c>
      <c r="F274" s="4" t="inlineStr">
        <is>
          <t>BOGOTA CENTRO</t>
        </is>
      </c>
      <c r="G274" s="4" t="inlineStr">
        <is>
          <t>VIRTUAL</t>
        </is>
      </c>
      <c r="H274" s="4" t="inlineStr">
        <is>
          <t>DOC AUX/N/V/MT/DIS GRAFICO</t>
        </is>
      </c>
      <c r="I274" s="4" t="inlineStr">
        <is>
          <t>DISEÑO GRAFICO</t>
        </is>
      </c>
      <c r="J274" s="4" t="inlineStr">
        <is>
          <t>PLANTA</t>
        </is>
      </c>
      <c r="K274" s="4" t="inlineStr">
        <is>
          <t>PAULA OSORIO</t>
        </is>
      </c>
      <c r="L274" s="4" t="inlineStr">
        <is>
          <t>CONFIRMADO VIRTUAL</t>
        </is>
      </c>
      <c r="M274" s="4" t="n">
        <v/>
      </c>
      <c r="N274" s="4" t="n">
        <v>3232839396</v>
      </c>
      <c r="O274" s="4" t="inlineStr">
        <is>
          <t>jesmolano.r@gmail.com</t>
        </is>
      </c>
      <c r="P274" s="4" t="inlineStr">
        <is>
          <t>BTA SEDE A</t>
        </is>
      </c>
      <c r="Q274" s="4" t="inlineStr">
        <is>
          <t>BELLAS ARTES</t>
        </is>
      </c>
      <c r="R274" s="4" t="n">
        <v>401</v>
      </c>
    </row>
    <row r="275" ht="20" customHeight="1">
      <c r="A275" s="6" t="inlineStr">
        <is>
          <t>7188686</t>
        </is>
      </c>
      <c r="B275" s="7" t="inlineStr">
        <is>
          <t>PRESENCIAL BOGOTÁ</t>
        </is>
      </c>
      <c r="C275" s="7" t="inlineStr">
        <is>
          <t>JOSE LUIS MEDINA PUENTES</t>
        </is>
      </c>
      <c r="D275" s="7" t="inlineStr">
        <is>
          <t>OPERACIONES</t>
        </is>
      </c>
      <c r="E275" s="7" t="inlineStr">
        <is>
          <t>REGIONAL BOGOTA</t>
        </is>
      </c>
      <c r="F275" s="7" t="inlineStr">
        <is>
          <t>BOGOTA CENTRO</t>
        </is>
      </c>
      <c r="G275" s="7" t="inlineStr">
        <is>
          <t>VIRTUAL</t>
        </is>
      </c>
      <c r="H275" s="7" t="inlineStr">
        <is>
          <t>DOC AUX/N/V/TC/DIS GRAFICO/FUN.ACADE-ADM</t>
        </is>
      </c>
      <c r="I275" s="7" t="inlineStr">
        <is>
          <t>DISEÑO GRAFICO</t>
        </is>
      </c>
      <c r="J275" s="7" t="inlineStr">
        <is>
          <t>PLANTA</t>
        </is>
      </c>
      <c r="K275" s="7" t="inlineStr">
        <is>
          <t>PAULA OSORIO</t>
        </is>
      </c>
      <c r="L275" s="7" t="inlineStr">
        <is>
          <t>CONFIRMADO PRESENCIAL</t>
        </is>
      </c>
      <c r="M275" s="7" t="n">
        <v/>
      </c>
      <c r="N275" s="7" t="n">
        <v>3134088147</v>
      </c>
      <c r="O275" s="7" t="inlineStr">
        <is>
          <t>joseluismedinapuentes@hotmail.com</t>
        </is>
      </c>
      <c r="P275" s="7" t="inlineStr">
        <is>
          <t>BTA SEDE A</t>
        </is>
      </c>
      <c r="Q275" s="7" t="inlineStr">
        <is>
          <t>BELLAS ARTES</t>
        </is>
      </c>
      <c r="R275" s="7" t="n">
        <v>401</v>
      </c>
    </row>
    <row r="276" ht="20" customHeight="1">
      <c r="A276" s="3" t="inlineStr">
        <is>
          <t>53044000</t>
        </is>
      </c>
      <c r="B276" s="4" t="inlineStr">
        <is>
          <t>PRESENCIAL BOGOTÁ</t>
        </is>
      </c>
      <c r="C276" s="4" t="inlineStr">
        <is>
          <t>KELLY JOHANNA SIERRA RODRIGUEZ</t>
        </is>
      </c>
      <c r="D276" s="4" t="inlineStr">
        <is>
          <t>OPERACIONES</t>
        </is>
      </c>
      <c r="E276" s="4" t="inlineStr">
        <is>
          <t>REGIONAL BOGOTA</t>
        </is>
      </c>
      <c r="F276" s="4" t="inlineStr">
        <is>
          <t>BOGOTA CENTRO</t>
        </is>
      </c>
      <c r="G276" s="4" t="inlineStr">
        <is>
          <t>PRESENCIAL</t>
        </is>
      </c>
      <c r="H276" s="4" t="inlineStr">
        <is>
          <t>DOC AUX T&amp;T/N/TC/DIS GRAFICO/FUN.ACADE-ADMIN</t>
        </is>
      </c>
      <c r="I276" s="4" t="inlineStr">
        <is>
          <t>DISEÑO GRAFICO</t>
        </is>
      </c>
      <c r="J276" s="4" t="inlineStr">
        <is>
          <t>PLANTA</t>
        </is>
      </c>
      <c r="K276" s="4" t="inlineStr">
        <is>
          <t>PAULA OSORIO</t>
        </is>
      </c>
      <c r="L276" s="4" t="inlineStr">
        <is>
          <t>CONFIRMADO PRESENCIAL</t>
        </is>
      </c>
      <c r="M276" s="4" t="n">
        <v/>
      </c>
      <c r="N276" s="4" t="n">
        <v>3223738497</v>
      </c>
      <c r="O276" s="4" t="inlineStr">
        <is>
          <t>nanitak@gmail.com</t>
        </is>
      </c>
      <c r="P276" s="4" t="inlineStr">
        <is>
          <t>BTA SEDE F</t>
        </is>
      </c>
      <c r="Q276" s="4" t="inlineStr">
        <is>
          <t>BELLAS ARTES</t>
        </is>
      </c>
      <c r="R276" s="4" t="n">
        <v>401</v>
      </c>
    </row>
    <row r="277" ht="20" customHeight="1">
      <c r="A277" s="6" t="inlineStr">
        <is>
          <t>1234641523</t>
        </is>
      </c>
      <c r="B277" s="7" t="inlineStr">
        <is>
          <t>PRESENCIAL REGIONAL</t>
        </is>
      </c>
      <c r="C277" s="7" t="inlineStr">
        <is>
          <t>LAURA MARIANA RUBIO QUINTERO</t>
        </is>
      </c>
      <c r="D277" s="7" t="inlineStr">
        <is>
          <t>OPERACIONES</t>
        </is>
      </c>
      <c r="E277" s="7" t="inlineStr">
        <is>
          <t>REGIONAL TOLIMA</t>
        </is>
      </c>
      <c r="F277" s="7" t="inlineStr">
        <is>
          <t>IBAGUÉ</t>
        </is>
      </c>
      <c r="G277" s="7" t="inlineStr">
        <is>
          <t>PRESENCIAL</t>
        </is>
      </c>
      <c r="H277" s="7" t="inlineStr">
        <is>
          <t>DOC AUX T&amp;T/N/TC/DIS GRAFICO/FUN.ACADE-ADMIN</t>
        </is>
      </c>
      <c r="I277" s="7" t="inlineStr">
        <is>
          <t>DISEÑO GRAFICO</t>
        </is>
      </c>
      <c r="J277" s="7" t="inlineStr">
        <is>
          <t>PLANTA</t>
        </is>
      </c>
      <c r="K277" s="7" t="inlineStr">
        <is>
          <t>PAULA OSORIO</t>
        </is>
      </c>
      <c r="L277" s="7" t="inlineStr">
        <is>
          <t>SIN RESPUESTA</t>
        </is>
      </c>
      <c r="M277" s="7" t="inlineStr">
        <is>
          <t>Correo de voz</t>
        </is>
      </c>
      <c r="N277" s="7" t="n">
        <v>3108132038</v>
      </c>
      <c r="O277" s="7" t="inlineStr">
        <is>
          <t>laurismariana@gmail.com</t>
        </is>
      </c>
      <c r="P277" s="7" t="inlineStr">
        <is>
          <t>IBAGUE SEDE</t>
        </is>
      </c>
      <c r="Q277" s="7" t="inlineStr">
        <is>
          <t>BELLAS ARTES</t>
        </is>
      </c>
      <c r="R277" s="7" t="n">
        <v/>
      </c>
    </row>
    <row r="278" ht="20" customHeight="1">
      <c r="A278" s="3" t="inlineStr">
        <is>
          <t>1128481659</t>
        </is>
      </c>
      <c r="B278" s="4" t="inlineStr">
        <is>
          <t>VIRTUAL</t>
        </is>
      </c>
      <c r="C278" s="4" t="inlineStr">
        <is>
          <t>LIZETH VANESSA MARTINEZ PALACIO</t>
        </is>
      </c>
      <c r="D278" s="4" t="inlineStr">
        <is>
          <t>OPERACIONES</t>
        </is>
      </c>
      <c r="E278" s="4" t="inlineStr">
        <is>
          <t>REGIONAL BOGOTA</t>
        </is>
      </c>
      <c r="F278" s="4" t="inlineStr">
        <is>
          <t>BOGOTA CENTRO</t>
        </is>
      </c>
      <c r="G278" s="4" t="inlineStr">
        <is>
          <t>VIRTUAL</t>
        </is>
      </c>
      <c r="H278" s="4" t="inlineStr">
        <is>
          <t>DOC AUX T&amp;T/N/V/MT/DIS GRAFICO</t>
        </is>
      </c>
      <c r="I278" s="4" t="inlineStr">
        <is>
          <t>DISEÑO GRAFICO</t>
        </is>
      </c>
      <c r="J278" s="4" t="inlineStr">
        <is>
          <t>PLANTA</t>
        </is>
      </c>
      <c r="K278" s="4" t="inlineStr">
        <is>
          <t>PAULA OSORIO</t>
        </is>
      </c>
      <c r="L278" s="4" t="inlineStr">
        <is>
          <t>CONFIRMADO VIRTUAL</t>
        </is>
      </c>
      <c r="M278" s="4" t="n">
        <v/>
      </c>
      <c r="N278" s="4" t="n">
        <v>3053076064</v>
      </c>
      <c r="O278" s="4" t="inlineStr">
        <is>
          <t>lizetharock@gmail.com</t>
        </is>
      </c>
      <c r="P278" s="4" t="inlineStr">
        <is>
          <t>BTA SEDE A</t>
        </is>
      </c>
      <c r="Q278" s="4" t="inlineStr">
        <is>
          <t>BELLAS ARTES</t>
        </is>
      </c>
      <c r="R278" s="4" t="n">
        <v>401</v>
      </c>
    </row>
    <row r="279" ht="20" customHeight="1">
      <c r="A279" s="6" t="inlineStr">
        <is>
          <t>79876824</t>
        </is>
      </c>
      <c r="B279" s="7" t="inlineStr">
        <is>
          <t>PRESENCIAL REGIONAL</t>
        </is>
      </c>
      <c r="C279" s="7" t="inlineStr">
        <is>
          <t>OSCAR JAVIER SANDOVAL RODRIGUEZ</t>
        </is>
      </c>
      <c r="D279" s="7" t="inlineStr">
        <is>
          <t>OPERACIONES</t>
        </is>
      </c>
      <c r="E279" s="7" t="inlineStr">
        <is>
          <t>REGIONAL TOLIMA</t>
        </is>
      </c>
      <c r="F279" s="7" t="inlineStr">
        <is>
          <t>IBAGUÉ</t>
        </is>
      </c>
      <c r="G279" s="7" t="inlineStr">
        <is>
          <t>PRESENCIAL</t>
        </is>
      </c>
      <c r="H279" s="7" t="inlineStr">
        <is>
          <t>DOCENTE ASOC/N/TC/DIS GRAFICO/FUN.ACADE-ADMIN</t>
        </is>
      </c>
      <c r="I279" s="7" t="inlineStr">
        <is>
          <t>DISEÑO GRAFICO</t>
        </is>
      </c>
      <c r="J279" s="7" t="inlineStr">
        <is>
          <t>PLANTA</t>
        </is>
      </c>
      <c r="K279" s="7" t="inlineStr">
        <is>
          <t>PAULA OSORIO</t>
        </is>
      </c>
      <c r="L279" s="7" t="inlineStr">
        <is>
          <t>CONFIRMADO PRESENCIAL</t>
        </is>
      </c>
      <c r="M279" s="7" t="n">
        <v/>
      </c>
      <c r="N279" s="7" t="n">
        <v>3002413055</v>
      </c>
      <c r="O279" s="7" t="inlineStr">
        <is>
          <t>placard@hotmail.com</t>
        </is>
      </c>
      <c r="P279" s="7" t="inlineStr">
        <is>
          <t>IBAGUE SEDE</t>
        </is>
      </c>
      <c r="Q279" s="7" t="inlineStr">
        <is>
          <t>BELLAS ARTES</t>
        </is>
      </c>
      <c r="R279" s="7" t="n">
        <v/>
      </c>
    </row>
    <row r="280" ht="20" customHeight="1">
      <c r="A280" s="3" t="inlineStr">
        <is>
          <t>1083025676</t>
        </is>
      </c>
      <c r="B280" s="4" t="inlineStr">
        <is>
          <t>VIRTUAL</t>
        </is>
      </c>
      <c r="C280" s="4" t="inlineStr">
        <is>
          <t>ANA MARIA PEREZ ARITAMA</t>
        </is>
      </c>
      <c r="D280" s="4" t="inlineStr">
        <is>
          <t>OPERACIONES</t>
        </is>
      </c>
      <c r="E280" s="4" t="inlineStr">
        <is>
          <t>REGIONAL MAGDALENA</t>
        </is>
      </c>
      <c r="F280" s="4" t="inlineStr">
        <is>
          <t>SANTA MARTA</t>
        </is>
      </c>
      <c r="G280" s="4" t="inlineStr">
        <is>
          <t>PRESENCIAL</t>
        </is>
      </c>
      <c r="H280" s="4" t="inlineStr">
        <is>
          <t>DOCENTE AUX/N/TC/DIS GRAFICO/FUN.ACADE-ADMIN</t>
        </is>
      </c>
      <c r="I280" s="4" t="inlineStr">
        <is>
          <t>DISEÑO GRAFICO</t>
        </is>
      </c>
      <c r="J280" s="4" t="inlineStr">
        <is>
          <t>PLANTA</t>
        </is>
      </c>
      <c r="K280" s="4" t="inlineStr">
        <is>
          <t>PAULA OSORIO</t>
        </is>
      </c>
      <c r="L280" s="4" t="inlineStr">
        <is>
          <t>PENDIENTE POR CONFIRMAR</t>
        </is>
      </c>
      <c r="M280" s="4" t="n">
        <v/>
      </c>
      <c r="N280" s="4" t="n">
        <v>3046282362</v>
      </c>
      <c r="O280" s="4" t="inlineStr">
        <is>
          <t>anaprez97@gmail.com</t>
        </is>
      </c>
      <c r="P280" s="4" t="inlineStr">
        <is>
          <t>SANTA MARTA SEDE</t>
        </is>
      </c>
      <c r="Q280" s="4" t="inlineStr">
        <is>
          <t>BELLAS ARTES</t>
        </is>
      </c>
      <c r="R280" s="4" t="n">
        <v/>
      </c>
    </row>
    <row r="281" ht="20" customHeight="1">
      <c r="A281" s="6" t="inlineStr">
        <is>
          <t>1000588659</t>
        </is>
      </c>
      <c r="B281" s="7" t="inlineStr">
        <is>
          <t>PRESENCIAL BOGOTÁ</t>
        </is>
      </c>
      <c r="C281" s="7" t="inlineStr">
        <is>
          <t>DAVID STIVEN PEREZ BOHORQUEZ</t>
        </is>
      </c>
      <c r="D281" s="7" t="inlineStr">
        <is>
          <t>OPERACIONES</t>
        </is>
      </c>
      <c r="E281" s="7" t="inlineStr">
        <is>
          <t>REGIONAL BOGOTA</t>
        </is>
      </c>
      <c r="F281" s="7" t="inlineStr">
        <is>
          <t>BOGOTA CENTRO</t>
        </is>
      </c>
      <c r="G281" s="7" t="inlineStr">
        <is>
          <t>PRESENCIAL</t>
        </is>
      </c>
      <c r="H281" s="7" t="inlineStr">
        <is>
          <t>DOC AUX T&amp;T/N/TC/DIS GRAFICO/FUN.ACADE-ADMIN</t>
        </is>
      </c>
      <c r="I281" s="7" t="inlineStr">
        <is>
          <t>DISEÑO GRAFICO</t>
        </is>
      </c>
      <c r="J281" s="7" t="inlineStr">
        <is>
          <t>PLANTA</t>
        </is>
      </c>
      <c r="K281" s="7" t="inlineStr">
        <is>
          <t>PAULA OSORIO</t>
        </is>
      </c>
      <c r="L281" s="7" t="inlineStr">
        <is>
          <t>SIN RESPUESTA</t>
        </is>
      </c>
      <c r="M281" s="7" t="inlineStr">
        <is>
          <t>Correo de voz</t>
        </is>
      </c>
      <c r="N281" s="7" t="n">
        <v>3134340640</v>
      </c>
      <c r="O281" s="7" t="inlineStr">
        <is>
          <t>Alex08dgn@gmail.com</t>
        </is>
      </c>
      <c r="P281" s="7" t="inlineStr">
        <is>
          <t>BTA SEDE F</t>
        </is>
      </c>
      <c r="Q281" s="7" t="inlineStr">
        <is>
          <t>BELLAS ARTES</t>
        </is>
      </c>
      <c r="R281" s="7" t="n">
        <v>401</v>
      </c>
    </row>
    <row r="282" ht="20" customHeight="1">
      <c r="A282" s="3" t="inlineStr">
        <is>
          <t>1012356467</t>
        </is>
      </c>
      <c r="B282" s="4" t="inlineStr">
        <is>
          <t>PRESENCIAL REGIONAL</t>
        </is>
      </c>
      <c r="C282" s="4" t="inlineStr">
        <is>
          <t>CARLOS IVAN ABREU AVELLANEDA</t>
        </is>
      </c>
      <c r="D282" s="4" t="inlineStr">
        <is>
          <t>OPERACIONES</t>
        </is>
      </c>
      <c r="E282" s="4" t="inlineStr">
        <is>
          <t>REGIONAL TOLIMA</t>
        </is>
      </c>
      <c r="F282" s="4" t="inlineStr">
        <is>
          <t>IBAGUÉ</t>
        </is>
      </c>
      <c r="G282" s="4" t="inlineStr">
        <is>
          <t>PRESENCIAL</t>
        </is>
      </c>
      <c r="H282" s="4" t="inlineStr">
        <is>
          <t>DOC AUX T&amp;T/N/TC/DIS GRAFICO/FUN.ACADE-ADMIN</t>
        </is>
      </c>
      <c r="I282" s="4" t="inlineStr">
        <is>
          <t>DISEÑO GRAFICO</t>
        </is>
      </c>
      <c r="J282" s="4" t="inlineStr">
        <is>
          <t>PLANTA</t>
        </is>
      </c>
      <c r="K282" s="4" t="inlineStr">
        <is>
          <t>PAULA OSORIO</t>
        </is>
      </c>
      <c r="L282" s="4" t="inlineStr">
        <is>
          <t>SIN RESPUESTA</t>
        </is>
      </c>
      <c r="M282" s="4" t="inlineStr">
        <is>
          <t>Correo de voz</t>
        </is>
      </c>
      <c r="N282" s="4" t="n">
        <v>3157090176</v>
      </c>
      <c r="O282" s="4" t="inlineStr">
        <is>
          <t>abreu456@hotmail.com</t>
        </is>
      </c>
      <c r="P282" s="4" t="inlineStr">
        <is>
          <t>IBAGUE SEDE</t>
        </is>
      </c>
      <c r="Q282" s="4" t="inlineStr">
        <is>
          <t>BELLAS ARTES</t>
        </is>
      </c>
      <c r="R282" s="4" t="n">
        <v/>
      </c>
    </row>
    <row r="283" ht="20" customHeight="1">
      <c r="A283" s="6" t="inlineStr">
        <is>
          <t>1030554542</t>
        </is>
      </c>
      <c r="B283" s="7" t="inlineStr">
        <is>
          <t>PRESENCIAL BOGOTÁ</t>
        </is>
      </c>
      <c r="C283" s="7" t="inlineStr">
        <is>
          <t>DIEGO ANDRES FANDIÑO PRIETO</t>
        </is>
      </c>
      <c r="D283" s="7" t="inlineStr">
        <is>
          <t>OPERACIONES</t>
        </is>
      </c>
      <c r="E283" s="7" t="inlineStr">
        <is>
          <t>REGIONAL BOGOTA</t>
        </is>
      </c>
      <c r="F283" s="7" t="inlineStr">
        <is>
          <t>BOGOTA CENTRO</t>
        </is>
      </c>
      <c r="G283" s="7" t="inlineStr">
        <is>
          <t>VIRTUAL</t>
        </is>
      </c>
      <c r="H283" s="7" t="inlineStr">
        <is>
          <t>DOC ASIS/N/V/TC/DIS GRAFI/FUN.ACADE-A</t>
        </is>
      </c>
      <c r="I283" s="7" t="inlineStr">
        <is>
          <t>DISEÑO GRAFICO</t>
        </is>
      </c>
      <c r="J283" s="7" t="inlineStr">
        <is>
          <t>PLANTA</t>
        </is>
      </c>
      <c r="K283" s="7" t="inlineStr">
        <is>
          <t>PAULA OSORIO</t>
        </is>
      </c>
      <c r="L283" s="7" t="inlineStr">
        <is>
          <t>CONFIRMADO PRESENCIAL</t>
        </is>
      </c>
      <c r="M283" s="7" t="n">
        <v/>
      </c>
      <c r="N283" s="7" t="n">
        <v>3059114552</v>
      </c>
      <c r="O283" s="7" t="inlineStr">
        <is>
          <t>fandino.diego@gmail.com</t>
        </is>
      </c>
      <c r="P283" s="7" t="inlineStr">
        <is>
          <t>BTA SEDE A</t>
        </is>
      </c>
      <c r="Q283" s="7" t="inlineStr">
        <is>
          <t>BELLAS ARTES</t>
        </is>
      </c>
      <c r="R283" s="7" t="n">
        <v>401</v>
      </c>
    </row>
    <row r="284" ht="20" customHeight="1">
      <c r="A284" s="3" t="inlineStr">
        <is>
          <t>1110459403</t>
        </is>
      </c>
      <c r="B284" s="4" t="inlineStr">
        <is>
          <t>PRESENCIAL REGIONAL</t>
        </is>
      </c>
      <c r="C284" s="4" t="inlineStr">
        <is>
          <t>CESAR AUGUSTO CALDERON VILLAMIL</t>
        </is>
      </c>
      <c r="D284" s="4" t="inlineStr">
        <is>
          <t>OPERACIONES</t>
        </is>
      </c>
      <c r="E284" s="4" t="inlineStr">
        <is>
          <t>REGIONAL TOLIMA</t>
        </is>
      </c>
      <c r="F284" s="4" t="inlineStr">
        <is>
          <t>IBAGUÉ</t>
        </is>
      </c>
      <c r="G284" s="4" t="inlineStr">
        <is>
          <t>PRESENCIAL</t>
        </is>
      </c>
      <c r="H284" s="4" t="inlineStr">
        <is>
          <t>DOCENTE ASIS/N/TC/DIS GRAFICO/FUN.ACADE-ADMIN</t>
        </is>
      </c>
      <c r="I284" s="4" t="inlineStr">
        <is>
          <t>DISEÑO GRAFICO</t>
        </is>
      </c>
      <c r="J284" s="4" t="inlineStr">
        <is>
          <t>PLANTA</t>
        </is>
      </c>
      <c r="K284" s="4" t="inlineStr">
        <is>
          <t>PAULA OSORIO</t>
        </is>
      </c>
      <c r="L284" s="4" t="inlineStr">
        <is>
          <t>CONFIRMADO PRESENCIAL</t>
        </is>
      </c>
      <c r="M284" s="4" t="n">
        <v/>
      </c>
      <c r="N284" s="4" t="n">
        <v>3133086957</v>
      </c>
      <c r="O284" s="4" t="inlineStr">
        <is>
          <t>ccalderon19v@hotmail.com</t>
        </is>
      </c>
      <c r="P284" s="4" t="inlineStr">
        <is>
          <t>IBAGUE SEDE</t>
        </is>
      </c>
      <c r="Q284" s="4" t="inlineStr">
        <is>
          <t>BELLAS ARTES</t>
        </is>
      </c>
      <c r="R284" s="4" t="n">
        <v/>
      </c>
    </row>
    <row r="285" ht="20" customHeight="1">
      <c r="A285" s="6" t="inlineStr">
        <is>
          <t>1053799856</t>
        </is>
      </c>
      <c r="B285" s="7" t="inlineStr">
        <is>
          <t>VIRTUAL</t>
        </is>
      </c>
      <c r="C285" s="7" t="inlineStr">
        <is>
          <t>JAIME EDUARDO TRUJILLO MARULANDA</t>
        </is>
      </c>
      <c r="D285" s="7" t="inlineStr">
        <is>
          <t>OPERACIONES</t>
        </is>
      </c>
      <c r="E285" s="7" t="inlineStr">
        <is>
          <t>REGIONAL RISARALDA</t>
        </is>
      </c>
      <c r="F285" s="7" t="inlineStr">
        <is>
          <t>PEREIRA</t>
        </is>
      </c>
      <c r="G285" s="7" t="inlineStr">
        <is>
          <t>VIRTUAL</t>
        </is>
      </c>
      <c r="H285" s="7" t="inlineStr">
        <is>
          <t>DOC AUX T&amp;T/N/V/MT/DIS GRAFICO</t>
        </is>
      </c>
      <c r="I285" s="7" t="inlineStr">
        <is>
          <t>DISEÑO GRAFICO</t>
        </is>
      </c>
      <c r="J285" s="7" t="inlineStr">
        <is>
          <t>PLANTA</t>
        </is>
      </c>
      <c r="K285" s="7" t="inlineStr">
        <is>
          <t>PAULA OSORIO</t>
        </is>
      </c>
      <c r="L285" s="7" t="inlineStr">
        <is>
          <t>CONFIRMADO VIRTUAL</t>
        </is>
      </c>
      <c r="M285" s="7" t="n">
        <v/>
      </c>
      <c r="N285" s="7" t="n">
        <v>3104601050</v>
      </c>
      <c r="O285" s="7" t="inlineStr">
        <is>
          <t>trujillomarulandajota@gmail.com</t>
        </is>
      </c>
      <c r="P285" s="7" t="inlineStr">
        <is>
          <t>PEREIRA SEDE</t>
        </is>
      </c>
      <c r="Q285" s="7" t="inlineStr">
        <is>
          <t>BELLAS ARTES</t>
        </is>
      </c>
      <c r="R285" s="7" t="n">
        <v/>
      </c>
    </row>
    <row r="286" ht="20" customHeight="1">
      <c r="A286" s="3" t="inlineStr">
        <is>
          <t>1019137252</t>
        </is>
      </c>
      <c r="B286" s="4" t="inlineStr">
        <is>
          <t>PRESENCIAL BOGOTÁ</t>
        </is>
      </c>
      <c r="C286" s="4" t="inlineStr">
        <is>
          <t>KAREN LIZETH TORRES TOLOZA</t>
        </is>
      </c>
      <c r="D286" s="4" t="inlineStr">
        <is>
          <t>OPERACIONES</t>
        </is>
      </c>
      <c r="E286" s="4" t="inlineStr">
        <is>
          <t>REGIONAL BOGOTA</t>
        </is>
      </c>
      <c r="F286" s="4" t="inlineStr">
        <is>
          <t>BOGOTA CENTRO</t>
        </is>
      </c>
      <c r="G286" s="4" t="inlineStr">
        <is>
          <t>PRESENCIAL</t>
        </is>
      </c>
      <c r="H286" s="4" t="inlineStr">
        <is>
          <t>DOCENTE ASIS/N/TC/DIS GRAFICO/FUN.ACADE-ADMIN</t>
        </is>
      </c>
      <c r="I286" s="4" t="inlineStr">
        <is>
          <t>DISEÑO GRAFICO</t>
        </is>
      </c>
      <c r="J286" s="4" t="inlineStr">
        <is>
          <t>PLANTA</t>
        </is>
      </c>
      <c r="K286" s="4" t="inlineStr">
        <is>
          <t>PAULA OSORIO</t>
        </is>
      </c>
      <c r="L286" s="4" t="inlineStr">
        <is>
          <t>CONFIRMADO PRESENCIAL</t>
        </is>
      </c>
      <c r="M286" s="4" t="n">
        <v/>
      </c>
      <c r="N286" s="4" t="n">
        <v>3223798754</v>
      </c>
      <c r="O286" s="4" t="inlineStr">
        <is>
          <t>ktorrestoloza@gmail.com</t>
        </is>
      </c>
      <c r="P286" s="4" t="inlineStr">
        <is>
          <t>BTA SEDE F</t>
        </is>
      </c>
      <c r="Q286" s="4" t="inlineStr">
        <is>
          <t>BELLAS ARTES</t>
        </is>
      </c>
      <c r="R286" s="4" t="n">
        <v>401</v>
      </c>
    </row>
    <row r="287" ht="20" customHeight="1">
      <c r="A287" s="6" t="inlineStr">
        <is>
          <t>52210313</t>
        </is>
      </c>
      <c r="B287" s="7" t="inlineStr">
        <is>
          <t>PRESENCIAL BOGOTÁ</t>
        </is>
      </c>
      <c r="C287" s="7" t="inlineStr">
        <is>
          <t>LIDIA ESPERANZA ALVIRA GOMEZ</t>
        </is>
      </c>
      <c r="D287" s="7" t="inlineStr">
        <is>
          <t>OPERACIONES</t>
        </is>
      </c>
      <c r="E287" s="7" t="inlineStr">
        <is>
          <t>REGIONAL BOGOTA</t>
        </is>
      </c>
      <c r="F287" s="7" t="inlineStr">
        <is>
          <t>BOGOTA CENTRO</t>
        </is>
      </c>
      <c r="G287" s="7" t="inlineStr">
        <is>
          <t>PRESENCIAL</t>
        </is>
      </c>
      <c r="H287" s="7" t="inlineStr">
        <is>
          <t>DOCENTE ASOC/N/TC/DIS PROD MOD/FUN.ACADE-ADMIN</t>
        </is>
      </c>
      <c r="I287" s="7" t="inlineStr">
        <is>
          <t>DISEÑO Y PRODUCCION DE MODAS</t>
        </is>
      </c>
      <c r="J287" s="7" t="inlineStr">
        <is>
          <t>PLANTA</t>
        </is>
      </c>
      <c r="K287" s="7" t="inlineStr">
        <is>
          <t>PAULA OSORIO</t>
        </is>
      </c>
      <c r="L287" s="7" t="inlineStr">
        <is>
          <t>CONFIRMADO PRESENCIAL</t>
        </is>
      </c>
      <c r="M287" s="7" t="n">
        <v/>
      </c>
      <c r="N287" s="7" t="n">
        <v>3115378697</v>
      </c>
      <c r="O287" s="7" t="inlineStr">
        <is>
          <t>femina.ea@gmail.com</t>
        </is>
      </c>
      <c r="P287" s="7" t="inlineStr">
        <is>
          <t>BTA SEDE F</t>
        </is>
      </c>
      <c r="Q287" s="7" t="inlineStr">
        <is>
          <t>BELLAS ARTES</t>
        </is>
      </c>
      <c r="R287" s="7" t="n">
        <v>401</v>
      </c>
    </row>
    <row r="288" ht="20" customHeight="1">
      <c r="A288" s="3" t="inlineStr">
        <is>
          <t>52530370</t>
        </is>
      </c>
      <c r="B288" s="4" t="inlineStr">
        <is>
          <t>PRESENCIAL BOGOTÁ</t>
        </is>
      </c>
      <c r="C288" s="4" t="inlineStr">
        <is>
          <t>DEISSY YOLIMA RODRIGUEZ RODRIGUEZ</t>
        </is>
      </c>
      <c r="D288" s="4" t="inlineStr">
        <is>
          <t>OPERACIONES</t>
        </is>
      </c>
      <c r="E288" s="4" t="inlineStr">
        <is>
          <t>REGIONAL BOGOTA</t>
        </is>
      </c>
      <c r="F288" s="4" t="inlineStr">
        <is>
          <t>BOGOTA CENTRO</t>
        </is>
      </c>
      <c r="G288" s="4" t="inlineStr">
        <is>
          <t>VIRTUAL</t>
        </is>
      </c>
      <c r="H288" s="4" t="inlineStr">
        <is>
          <t>DOCENTE ASIS/N/V/TC/DIS PROD MOD/FUN.ACA</t>
        </is>
      </c>
      <c r="I288" s="4" t="inlineStr">
        <is>
          <t>DISEÑO Y PRODUCCION DE MODAS</t>
        </is>
      </c>
      <c r="J288" s="4" t="inlineStr">
        <is>
          <t>PLANTA</t>
        </is>
      </c>
      <c r="K288" s="4" t="inlineStr">
        <is>
          <t>PAULA OSORIO</t>
        </is>
      </c>
      <c r="L288" s="4" t="inlineStr">
        <is>
          <t>CONFIRMADO PRESENCIAL</t>
        </is>
      </c>
      <c r="M288" s="4" t="n">
        <v/>
      </c>
      <c r="N288" s="4" t="n">
        <v>3178622966</v>
      </c>
      <c r="O288" s="4" t="inlineStr">
        <is>
          <t>deyrod29@gmail.com</t>
        </is>
      </c>
      <c r="P288" s="4" t="inlineStr">
        <is>
          <t>BTA SEDE F</t>
        </is>
      </c>
      <c r="Q288" s="4" t="inlineStr">
        <is>
          <t>BELLAS ARTES</t>
        </is>
      </c>
      <c r="R288" s="4" t="n">
        <v>401</v>
      </c>
    </row>
    <row r="289" ht="20" customHeight="1">
      <c r="A289" s="6" t="inlineStr">
        <is>
          <t>1082936017</t>
        </is>
      </c>
      <c r="B289" s="7" t="inlineStr">
        <is>
          <t>VIRTUAL</t>
        </is>
      </c>
      <c r="C289" s="7" t="inlineStr">
        <is>
          <t>MARTHA ROCIO LARA RODRIGUEZ</t>
        </is>
      </c>
      <c r="D289" s="7" t="inlineStr">
        <is>
          <t>OPERACIONES</t>
        </is>
      </c>
      <c r="E289" s="7" t="inlineStr">
        <is>
          <t>REGIONAL MAGDALENA</t>
        </is>
      </c>
      <c r="F289" s="7" t="inlineStr">
        <is>
          <t>SANTA MARTA</t>
        </is>
      </c>
      <c r="G289" s="7" t="inlineStr">
        <is>
          <t>PRESENCIAL</t>
        </is>
      </c>
      <c r="H289" s="7" t="inlineStr">
        <is>
          <t>DOCENTE AUX/N/TC/DIS PROD MOD/FUN.ACADE-ADMIN</t>
        </is>
      </c>
      <c r="I289" s="7" t="inlineStr">
        <is>
          <t>DISEÑO Y PRODUCCION DE MODAS</t>
        </is>
      </c>
      <c r="J289" s="7" t="inlineStr">
        <is>
          <t>PLANTA</t>
        </is>
      </c>
      <c r="K289" s="7" t="inlineStr">
        <is>
          <t>PAULA OSORIO</t>
        </is>
      </c>
      <c r="L289" s="7" t="inlineStr">
        <is>
          <t>PENDIENTE POR CONFIRMAR</t>
        </is>
      </c>
      <c r="M289" s="7" t="n">
        <v/>
      </c>
      <c r="N289" s="7" t="n">
        <v>3007467991</v>
      </c>
      <c r="O289" s="7" t="inlineStr">
        <is>
          <t>martik.dg.sm@gmail.com</t>
        </is>
      </c>
      <c r="P289" s="7" t="inlineStr">
        <is>
          <t>SANTA MARTA SEDE</t>
        </is>
      </c>
      <c r="Q289" s="7" t="inlineStr">
        <is>
          <t>BELLAS ARTES</t>
        </is>
      </c>
      <c r="R289" s="7" t="n">
        <v/>
      </c>
    </row>
    <row r="290" ht="20" customHeight="1">
      <c r="A290" s="3" t="inlineStr">
        <is>
          <t>1023908278</t>
        </is>
      </c>
      <c r="B290" s="4" t="inlineStr">
        <is>
          <t>PRESENCIAL BOGOTÁ</t>
        </is>
      </c>
      <c r="C290" s="4" t="inlineStr">
        <is>
          <t>LAURA NATALI AREVALO LARA</t>
        </is>
      </c>
      <c r="D290" s="4" t="inlineStr">
        <is>
          <t>OPERACIONES</t>
        </is>
      </c>
      <c r="E290" s="4" t="inlineStr">
        <is>
          <t>REGIONAL BOGOTA</t>
        </is>
      </c>
      <c r="F290" s="4" t="inlineStr">
        <is>
          <t>BOGOTA CENTRO</t>
        </is>
      </c>
      <c r="G290" s="4" t="inlineStr">
        <is>
          <t>PRESENCIAL</t>
        </is>
      </c>
      <c r="H290" s="4" t="inlineStr">
        <is>
          <t>DOCENTE ASIS/N/TC/DIS PROD MOD/FUN.ACADE-ADMIN</t>
        </is>
      </c>
      <c r="I290" s="4" t="inlineStr">
        <is>
          <t>DISEÑO Y PRODUCCION DE MODAS</t>
        </is>
      </c>
      <c r="J290" s="4" t="inlineStr">
        <is>
          <t>PLANTA</t>
        </is>
      </c>
      <c r="K290" s="4" t="inlineStr">
        <is>
          <t>PAULA OSORIO</t>
        </is>
      </c>
      <c r="L290" s="4" t="inlineStr">
        <is>
          <t>CONFIRMADO PRESENCIAL</t>
        </is>
      </c>
      <c r="M290" s="4" t="n">
        <v/>
      </c>
      <c r="N290" s="4" t="n">
        <v>3133549956</v>
      </c>
      <c r="O290" s="4" t="inlineStr">
        <is>
          <t>laurarevalodsng@gmail.com</t>
        </is>
      </c>
      <c r="P290" s="4" t="inlineStr">
        <is>
          <t>BTA SEDE F</t>
        </is>
      </c>
      <c r="Q290" s="4" t="inlineStr">
        <is>
          <t>BELLAS ARTES</t>
        </is>
      </c>
      <c r="R290" s="4" t="n">
        <v>401</v>
      </c>
    </row>
    <row r="291" ht="20" customHeight="1">
      <c r="A291" s="6" t="inlineStr">
        <is>
          <t>1032404011</t>
        </is>
      </c>
      <c r="B291" s="7" t="inlineStr">
        <is>
          <t>PRESENCIAL BOGOTÁ</t>
        </is>
      </c>
      <c r="C291" s="7" t="inlineStr">
        <is>
          <t>LINA ANDREA PEDRAZA ZIPA</t>
        </is>
      </c>
      <c r="D291" s="7" t="inlineStr">
        <is>
          <t>OPERACIONES</t>
        </is>
      </c>
      <c r="E291" s="7" t="inlineStr">
        <is>
          <t>REGIONAL BOGOTA</t>
        </is>
      </c>
      <c r="F291" s="7" t="inlineStr">
        <is>
          <t>BOGOTA CENTRO</t>
        </is>
      </c>
      <c r="G291" s="7" t="inlineStr">
        <is>
          <t>PRESENCIAL</t>
        </is>
      </c>
      <c r="H291" s="7" t="inlineStr">
        <is>
          <t>DOCENTE AUX/N/TC/DIS PROD MOD/PROYECTOS</t>
        </is>
      </c>
      <c r="I291" s="7" t="inlineStr">
        <is>
          <t>DISEÑO Y PRODUCCION DE MODAS</t>
        </is>
      </c>
      <c r="J291" s="7" t="inlineStr">
        <is>
          <t>PLANTA</t>
        </is>
      </c>
      <c r="K291" s="7" t="inlineStr">
        <is>
          <t>PAULA OSORIO</t>
        </is>
      </c>
      <c r="L291" s="7" t="inlineStr">
        <is>
          <t>CONFIRMADO PRESENCIAL</t>
        </is>
      </c>
      <c r="M291" s="7" t="n">
        <v/>
      </c>
      <c r="N291" s="7" t="n">
        <v>3138862125</v>
      </c>
      <c r="O291" s="7" t="inlineStr">
        <is>
          <t>andrea9140@hotmail.com</t>
        </is>
      </c>
      <c r="P291" s="7" t="inlineStr">
        <is>
          <t>BTA SEDE F</t>
        </is>
      </c>
      <c r="Q291" s="7" t="inlineStr">
        <is>
          <t>BELLAS ARTES</t>
        </is>
      </c>
      <c r="R291" s="7" t="n">
        <v>401</v>
      </c>
    </row>
    <row r="292" ht="20" customHeight="1">
      <c r="A292" s="3" t="inlineStr">
        <is>
          <t>1022387200</t>
        </is>
      </c>
      <c r="B292" s="4" t="inlineStr">
        <is>
          <t>PRESENCIAL BOGOTÁ</t>
        </is>
      </c>
      <c r="C292" s="4" t="inlineStr">
        <is>
          <t>INGRID SHIRLEY PARDO MUÑOZ</t>
        </is>
      </c>
      <c r="D292" s="4" t="inlineStr">
        <is>
          <t>OPERACIONES</t>
        </is>
      </c>
      <c r="E292" s="4" t="inlineStr">
        <is>
          <t>REGIONAL BOGOTA</t>
        </is>
      </c>
      <c r="F292" s="4" t="inlineStr">
        <is>
          <t>BOGOTA CENTRO</t>
        </is>
      </c>
      <c r="G292" s="4" t="inlineStr">
        <is>
          <t>PRESENCIAL</t>
        </is>
      </c>
      <c r="H292" s="4" t="inlineStr">
        <is>
          <t>DOC AUX T&amp;T/N/TC/DIS PROD MOD/FUN.ACADE-ADMIN</t>
        </is>
      </c>
      <c r="I292" s="4" t="inlineStr">
        <is>
          <t>DISEÑO Y PRODUCCION DE MODAS</t>
        </is>
      </c>
      <c r="J292" s="4" t="inlineStr">
        <is>
          <t>PLANTA</t>
        </is>
      </c>
      <c r="K292" s="4" t="inlineStr">
        <is>
          <t>PAULA OSORIO</t>
        </is>
      </c>
      <c r="L292" s="4" t="inlineStr">
        <is>
          <t>CONFIRMADO PRESENCIAL</t>
        </is>
      </c>
      <c r="M292" s="4" t="n">
        <v/>
      </c>
      <c r="N292" s="4" t="n">
        <v>3218241852</v>
      </c>
      <c r="O292" s="4" t="inlineStr">
        <is>
          <t>shirleypardoo89@gmail.com</t>
        </is>
      </c>
      <c r="P292" s="4" t="inlineStr">
        <is>
          <t>BTA SEDE F</t>
        </is>
      </c>
      <c r="Q292" s="4" t="inlineStr">
        <is>
          <t>BELLAS ARTES</t>
        </is>
      </c>
      <c r="R292" s="4" t="n">
        <v>401</v>
      </c>
    </row>
    <row r="293" ht="20" customHeight="1">
      <c r="A293" s="6" t="inlineStr">
        <is>
          <t>1006131020</t>
        </is>
      </c>
      <c r="B293" s="7" t="inlineStr">
        <is>
          <t>PRESENCIAL REGIONAL</t>
        </is>
      </c>
      <c r="C293" s="7" t="inlineStr">
        <is>
          <t>JAIDER EMILIO LOPEZ SANCHEZ</t>
        </is>
      </c>
      <c r="D293" s="7" t="inlineStr">
        <is>
          <t>OPERACIONES</t>
        </is>
      </c>
      <c r="E293" s="7" t="inlineStr">
        <is>
          <t>REGIONAL TOLIMA</t>
        </is>
      </c>
      <c r="F293" s="7" t="inlineStr">
        <is>
          <t>IBAGUÉ</t>
        </is>
      </c>
      <c r="G293" s="7" t="inlineStr">
        <is>
          <t>PRESENCIAL</t>
        </is>
      </c>
      <c r="H293" s="7" t="inlineStr">
        <is>
          <t>DOC AUX T&amp;T/N/TC/DIS PROD MOD/FUN.ACADE-ADMIN</t>
        </is>
      </c>
      <c r="I293" s="7" t="inlineStr">
        <is>
          <t>DISEÑO Y PRODUCCION DE MODAS</t>
        </is>
      </c>
      <c r="J293" s="7" t="inlineStr">
        <is>
          <t>PLANTA</t>
        </is>
      </c>
      <c r="K293" s="7" t="inlineStr">
        <is>
          <t>PAULA OSORIO</t>
        </is>
      </c>
      <c r="L293" s="7" t="inlineStr">
        <is>
          <t>CONFIRMADO PRESENCIAL</t>
        </is>
      </c>
      <c r="M293" s="7" t="n">
        <v/>
      </c>
      <c r="N293" s="7" t="n">
        <v>3168505269</v>
      </c>
      <c r="O293" s="7" t="inlineStr">
        <is>
          <t>jaisanchezph@gmail.com</t>
        </is>
      </c>
      <c r="P293" s="7" t="inlineStr">
        <is>
          <t>IBAGUE SEDE</t>
        </is>
      </c>
      <c r="Q293" s="7" t="inlineStr">
        <is>
          <t>BELLAS ARTES</t>
        </is>
      </c>
      <c r="R293" s="7" t="n">
        <v/>
      </c>
    </row>
    <row r="294" ht="20" customHeight="1">
      <c r="A294" s="3" t="inlineStr">
        <is>
          <t>1022418409</t>
        </is>
      </c>
      <c r="B294" s="4" t="inlineStr">
        <is>
          <t>PRESENCIAL BOGOTÁ</t>
        </is>
      </c>
      <c r="C294" s="4" t="inlineStr">
        <is>
          <t>LAURA YINETH HILARION JIMENEZ</t>
        </is>
      </c>
      <c r="D294" s="4" t="inlineStr">
        <is>
          <t>OPERACIONES</t>
        </is>
      </c>
      <c r="E294" s="4" t="inlineStr">
        <is>
          <t>REGIONAL BOGOTA</t>
        </is>
      </c>
      <c r="F294" s="4" t="inlineStr">
        <is>
          <t>BOGOTA CENTRO</t>
        </is>
      </c>
      <c r="G294" s="4" t="inlineStr">
        <is>
          <t>PRESENCIAL</t>
        </is>
      </c>
      <c r="H294" s="4" t="inlineStr">
        <is>
          <t>DOC AUX T&amp;T/N/TC/DIS PROD MOD/FUN.ACADE-ADMIN</t>
        </is>
      </c>
      <c r="I294" s="4" t="inlineStr">
        <is>
          <t>DISEÑO Y PRODUCCION DE MODAS</t>
        </is>
      </c>
      <c r="J294" s="4" t="inlineStr">
        <is>
          <t>PLANTA</t>
        </is>
      </c>
      <c r="K294" s="4" t="inlineStr">
        <is>
          <t>PAULA OSORIO</t>
        </is>
      </c>
      <c r="L294" s="4" t="inlineStr">
        <is>
          <t>CONFIRMADO PRESENCIAL</t>
        </is>
      </c>
      <c r="M294" s="4" t="n">
        <v/>
      </c>
      <c r="N294" s="4" t="n">
        <v>3188335945</v>
      </c>
      <c r="O294" s="4" t="inlineStr">
        <is>
          <t>laurahilarionj@gmail.com</t>
        </is>
      </c>
      <c r="P294" s="4" t="inlineStr">
        <is>
          <t>BTA SEDE F</t>
        </is>
      </c>
      <c r="Q294" s="4" t="inlineStr">
        <is>
          <t>BELLAS ARTES</t>
        </is>
      </c>
      <c r="R294" s="4" t="n">
        <v>401</v>
      </c>
    </row>
    <row r="295" ht="20" customHeight="1">
      <c r="A295" s="6" t="inlineStr">
        <is>
          <t>1014241485</t>
        </is>
      </c>
      <c r="B295" s="7" t="inlineStr">
        <is>
          <t>PRESENCIAL BOGOTÁ</t>
        </is>
      </c>
      <c r="C295" s="7" t="inlineStr">
        <is>
          <t>ERWIN LEONARDO PEÑA VELASCO</t>
        </is>
      </c>
      <c r="D295" s="7" t="inlineStr">
        <is>
          <t>OPERACIONES</t>
        </is>
      </c>
      <c r="E295" s="7" t="inlineStr">
        <is>
          <t>REGIONAL BOGOTA</t>
        </is>
      </c>
      <c r="F295" s="7" t="inlineStr">
        <is>
          <t>BOGOTA CENTRO</t>
        </is>
      </c>
      <c r="G295" s="7" t="inlineStr">
        <is>
          <t>PRESENCIAL</t>
        </is>
      </c>
      <c r="H295" s="7" t="inlineStr">
        <is>
          <t>DOCENTE AUX/N/TC/DIS PROD MOD/FUN.ACADE-ADMIN</t>
        </is>
      </c>
      <c r="I295" s="7" t="inlineStr">
        <is>
          <t>DISEÑO Y PRODUCCION DE MODAS</t>
        </is>
      </c>
      <c r="J295" s="7" t="inlineStr">
        <is>
          <t>PLANTA</t>
        </is>
      </c>
      <c r="K295" s="7" t="inlineStr">
        <is>
          <t>PAULA OSORIO</t>
        </is>
      </c>
      <c r="L295" s="7" t="inlineStr">
        <is>
          <t>CONFIRMADO PRESENCIAL</t>
        </is>
      </c>
      <c r="M295" s="7" t="n">
        <v/>
      </c>
      <c r="N295" s="7" t="n">
        <v>3118655153</v>
      </c>
      <c r="O295" s="7" t="inlineStr">
        <is>
          <t>erwinlpv@gmail.com</t>
        </is>
      </c>
      <c r="P295" s="7" t="inlineStr">
        <is>
          <t>BTA SEDE F</t>
        </is>
      </c>
      <c r="Q295" s="7" t="inlineStr">
        <is>
          <t>BELLAS ARTES</t>
        </is>
      </c>
      <c r="R295" s="7" t="n">
        <v>401</v>
      </c>
    </row>
    <row r="296" ht="20" customHeight="1">
      <c r="A296" s="3" t="inlineStr">
        <is>
          <t>1012363348</t>
        </is>
      </c>
      <c r="B296" s="4" t="inlineStr">
        <is>
          <t>PRESENCIAL BOGOTÁ</t>
        </is>
      </c>
      <c r="C296" s="4" t="inlineStr">
        <is>
          <t>ERIKA GINEY TIQUE CATAÑO</t>
        </is>
      </c>
      <c r="D296" s="4" t="inlineStr">
        <is>
          <t>OPERACIONES</t>
        </is>
      </c>
      <c r="E296" s="4" t="inlineStr">
        <is>
          <t>REGIONAL BOGOTA</t>
        </is>
      </c>
      <c r="F296" s="4" t="inlineStr">
        <is>
          <t>BOGOTA CENTRO</t>
        </is>
      </c>
      <c r="G296" s="4" t="inlineStr">
        <is>
          <t>PRESENCIAL</t>
        </is>
      </c>
      <c r="H296" s="4" t="inlineStr">
        <is>
          <t>DOCENTE AUX/N/TC/DIS PROD MOD/FUN.ACADE-ADMIN</t>
        </is>
      </c>
      <c r="I296" s="4" t="inlineStr">
        <is>
          <t>DISEÑO Y PRODUCCION DE MODAS</t>
        </is>
      </c>
      <c r="J296" s="4" t="inlineStr">
        <is>
          <t>PLANTA</t>
        </is>
      </c>
      <c r="K296" s="4" t="inlineStr">
        <is>
          <t>PAULA OSORIO</t>
        </is>
      </c>
      <c r="L296" s="4" t="inlineStr">
        <is>
          <t>CONFIRMADO PRESENCIAL</t>
        </is>
      </c>
      <c r="M296" s="4" t="n">
        <v/>
      </c>
      <c r="N296" s="4" t="n">
        <v>3107949918</v>
      </c>
      <c r="O296" s="4" t="inlineStr">
        <is>
          <t>erikatique90@gmail.com</t>
        </is>
      </c>
      <c r="P296" s="4" t="inlineStr">
        <is>
          <t>BTA SEDE F</t>
        </is>
      </c>
      <c r="Q296" s="4" t="inlineStr">
        <is>
          <t>BELLAS ARTES</t>
        </is>
      </c>
      <c r="R296" s="4" t="n">
        <v>401</v>
      </c>
    </row>
    <row r="297" ht="20" customHeight="1">
      <c r="A297" s="6" t="inlineStr">
        <is>
          <t>1022332404</t>
        </is>
      </c>
      <c r="B297" s="7" t="inlineStr">
        <is>
          <t>PRESENCIAL BOGOTÁ</t>
        </is>
      </c>
      <c r="C297" s="7" t="inlineStr">
        <is>
          <t>ANDREA MILENA GONZALEZ</t>
        </is>
      </c>
      <c r="D297" s="7" t="inlineStr">
        <is>
          <t>OPERACIONES</t>
        </is>
      </c>
      <c r="E297" s="7" t="inlineStr">
        <is>
          <t>REGIONAL BOGOTA</t>
        </is>
      </c>
      <c r="F297" s="7" t="inlineStr">
        <is>
          <t>BOGOTA CENTRO</t>
        </is>
      </c>
      <c r="G297" s="7" t="inlineStr">
        <is>
          <t>PRESENCIAL</t>
        </is>
      </c>
      <c r="H297" s="7" t="inlineStr">
        <is>
          <t>DOC AUX T&amp;T/N/TC/DIS PROD MOD/FUN.ACADE-ADMIN</t>
        </is>
      </c>
      <c r="I297" s="7" t="inlineStr">
        <is>
          <t>DISEÑO Y PRODUCCION DE MODAS</t>
        </is>
      </c>
      <c r="J297" s="7" t="inlineStr">
        <is>
          <t>PLANTA</t>
        </is>
      </c>
      <c r="K297" s="7" t="inlineStr">
        <is>
          <t>PAULA OSORIO</t>
        </is>
      </c>
      <c r="L297" s="7" t="inlineStr">
        <is>
          <t>CONFIRMADO PRESENCIAL</t>
        </is>
      </c>
      <c r="M297" s="7" t="n">
        <v/>
      </c>
      <c r="N297" s="7" t="n">
        <v>3215334944</v>
      </c>
      <c r="O297" s="7" t="inlineStr">
        <is>
          <t>andreair,ag54@gmail,com</t>
        </is>
      </c>
      <c r="P297" s="7" t="inlineStr">
        <is>
          <t>BTA SEDE F</t>
        </is>
      </c>
      <c r="Q297" s="7" t="inlineStr">
        <is>
          <t>BELLAS ARTES</t>
        </is>
      </c>
      <c r="R297" s="7" t="n">
        <v>401</v>
      </c>
    </row>
    <row r="298" ht="20" customHeight="1">
      <c r="A298" s="3" t="inlineStr">
        <is>
          <t>60364287</t>
        </is>
      </c>
      <c r="B298" s="4" t="inlineStr">
        <is>
          <t>VIRTUAL</t>
        </is>
      </c>
      <c r="C298" s="4" t="inlineStr">
        <is>
          <t>ALEJANDRINA RINCON ACEVEDO</t>
        </is>
      </c>
      <c r="D298" s="4" t="inlineStr">
        <is>
          <t>OPERACIONES</t>
        </is>
      </c>
      <c r="E298" s="4" t="inlineStr">
        <is>
          <t>REGIONAL MAGDALENA</t>
        </is>
      </c>
      <c r="F298" s="4" t="inlineStr">
        <is>
          <t>SANTA MARTA</t>
        </is>
      </c>
      <c r="G298" s="4" t="inlineStr">
        <is>
          <t>PRESENCIAL</t>
        </is>
      </c>
      <c r="H298" s="4" t="inlineStr">
        <is>
          <t>DOC AUX T&amp;T/N/TC/DIS PROD MOD/FUN.ACADE-ADMIN</t>
        </is>
      </c>
      <c r="I298" s="4" t="inlineStr">
        <is>
          <t>DISEÑO Y PRODUCCION DE MODAS</t>
        </is>
      </c>
      <c r="J298" s="4" t="inlineStr">
        <is>
          <t>PLANTA</t>
        </is>
      </c>
      <c r="K298" s="4" t="inlineStr">
        <is>
          <t>PAULA OSORIO</t>
        </is>
      </c>
      <c r="L298" s="4" t="inlineStr">
        <is>
          <t>PENDIENTE POR CONFIRMAR</t>
        </is>
      </c>
      <c r="M298" s="4" t="n">
        <v/>
      </c>
      <c r="N298" s="4" t="n">
        <v>3124099362</v>
      </c>
      <c r="O298" s="4" t="inlineStr">
        <is>
          <t>alejandrina_acevedo@cun.edu.co</t>
        </is>
      </c>
      <c r="P298" s="4" t="inlineStr">
        <is>
          <t>SANTA MARTA SEDE</t>
        </is>
      </c>
      <c r="Q298" s="4" t="inlineStr">
        <is>
          <t>BELLAS ARTES</t>
        </is>
      </c>
      <c r="R298" s="4" t="n">
        <v/>
      </c>
    </row>
    <row r="299" ht="20" customHeight="1">
      <c r="A299" s="6" t="inlineStr">
        <is>
          <t>1014280203</t>
        </is>
      </c>
      <c r="B299" s="7" t="inlineStr">
        <is>
          <t>PRESENCIAL BOGOTÁ</t>
        </is>
      </c>
      <c r="C299" s="7" t="inlineStr">
        <is>
          <t>ANDRÉS FELIPE FORERO SEDANO</t>
        </is>
      </c>
      <c r="D299" s="7" t="inlineStr">
        <is>
          <t>OPERACIONES</t>
        </is>
      </c>
      <c r="E299" s="7" t="inlineStr">
        <is>
          <t>REGIONAL BOGOTA</t>
        </is>
      </c>
      <c r="F299" s="7" t="inlineStr">
        <is>
          <t>BOGOTA CENTRO</t>
        </is>
      </c>
      <c r="G299" s="7" t="inlineStr">
        <is>
          <t>PRESENCIAL</t>
        </is>
      </c>
      <c r="H299" s="7" t="inlineStr">
        <is>
          <t>DOCENTE AUX/N/TC/DIS PROD MOD/FUN.ACADE-ADMIN</t>
        </is>
      </c>
      <c r="I299" s="7" t="inlineStr">
        <is>
          <t>DISEÑO Y PRODUCCION DE MODAS</t>
        </is>
      </c>
      <c r="J299" s="7" t="inlineStr">
        <is>
          <t>PLANTA</t>
        </is>
      </c>
      <c r="K299" s="7" t="inlineStr">
        <is>
          <t>PAULA OSORIO</t>
        </is>
      </c>
      <c r="L299" s="7" t="inlineStr">
        <is>
          <t>CONFIRMADO PRESENCIAL</t>
        </is>
      </c>
      <c r="M299" s="7" t="n">
        <v/>
      </c>
      <c r="N299" s="7" t="n">
        <v>3045400331</v>
      </c>
      <c r="O299" s="7" t="inlineStr">
        <is>
          <t>andreesforero@gmail.com</t>
        </is>
      </c>
      <c r="P299" s="7" t="inlineStr">
        <is>
          <t>BTA SEDE F</t>
        </is>
      </c>
      <c r="Q299" s="7" t="inlineStr">
        <is>
          <t>BELLAS ARTES</t>
        </is>
      </c>
      <c r="R299" s="7" t="n">
        <v>401</v>
      </c>
    </row>
    <row r="300" ht="20" customHeight="1">
      <c r="A300" s="3" t="inlineStr">
        <is>
          <t>1110538380</t>
        </is>
      </c>
      <c r="B300" s="4" t="inlineStr">
        <is>
          <t>PRESENCIAL REGIONAL</t>
        </is>
      </c>
      <c r="C300" s="4" t="inlineStr">
        <is>
          <t>ZAYRA YULIANA ARIAS PAEZ</t>
        </is>
      </c>
      <c r="D300" s="4" t="inlineStr">
        <is>
          <t>OPERACIONES</t>
        </is>
      </c>
      <c r="E300" s="4" t="inlineStr">
        <is>
          <t>REGIONAL TOLIMA</t>
        </is>
      </c>
      <c r="F300" s="4" t="inlineStr">
        <is>
          <t>IBAGUÉ</t>
        </is>
      </c>
      <c r="G300" s="4" t="inlineStr">
        <is>
          <t>PRESENCIAL</t>
        </is>
      </c>
      <c r="H300" s="4" t="inlineStr">
        <is>
          <t>DOCENTE AUX/N/TC/DIS PROD MOD/FUN.ACADE-ADMIN</t>
        </is>
      </c>
      <c r="I300" s="4" t="inlineStr">
        <is>
          <t>DISEÑO Y PRODUCCION DE MODAS</t>
        </is>
      </c>
      <c r="J300" s="4" t="inlineStr">
        <is>
          <t>PLANTA</t>
        </is>
      </c>
      <c r="K300" s="4" t="inlineStr">
        <is>
          <t>PAULA OSORIO</t>
        </is>
      </c>
      <c r="L300" s="4" t="inlineStr">
        <is>
          <t>SIN RESPUESTA</t>
        </is>
      </c>
      <c r="M300" s="4" t="inlineStr">
        <is>
          <t>Correo de voz</t>
        </is>
      </c>
      <c r="N300" s="4" t="n">
        <v>3185415447</v>
      </c>
      <c r="O300" s="4" t="inlineStr">
        <is>
          <t>ZYAP04@GMAIL.COM</t>
        </is>
      </c>
      <c r="P300" s="4" t="inlineStr">
        <is>
          <t>IBAGUE SEDE</t>
        </is>
      </c>
      <c r="Q300" s="4" t="inlineStr">
        <is>
          <t>BELLAS ARTES</t>
        </is>
      </c>
      <c r="R300" s="4" t="n">
        <v/>
      </c>
    </row>
    <row r="301" ht="20" customHeight="1">
      <c r="A301" s="6" t="inlineStr">
        <is>
          <t>53008218</t>
        </is>
      </c>
      <c r="B301" s="7" t="inlineStr">
        <is>
          <t>PRESENCIAL REGIONAL</t>
        </is>
      </c>
      <c r="C301" s="7" t="inlineStr">
        <is>
          <t>DIANA PAOLA OVIEDO BARBOSA</t>
        </is>
      </c>
      <c r="D301" s="7" t="inlineStr">
        <is>
          <t>OPERACIONES</t>
        </is>
      </c>
      <c r="E301" s="7" t="inlineStr">
        <is>
          <t>REGIONAL TOLIMA</t>
        </is>
      </c>
      <c r="F301" s="7" t="inlineStr">
        <is>
          <t>IBAGUÉ</t>
        </is>
      </c>
      <c r="G301" s="7" t="inlineStr">
        <is>
          <t>PRESENCIAL</t>
        </is>
      </c>
      <c r="H301" s="7" t="inlineStr">
        <is>
          <t>DOCENTE AUX/N/TC/DIS PROD MOD/FUN.ACADE-ADMIN</t>
        </is>
      </c>
      <c r="I301" s="7" t="inlineStr">
        <is>
          <t>DISEÑO Y PRODUCCION DE MODAS</t>
        </is>
      </c>
      <c r="J301" s="7" t="inlineStr">
        <is>
          <t>PLANTA</t>
        </is>
      </c>
      <c r="K301" s="7" t="inlineStr">
        <is>
          <t>PAULA OSORIO</t>
        </is>
      </c>
      <c r="L301" s="7" t="inlineStr">
        <is>
          <t>CONFIRMADO PRESENCIAL</t>
        </is>
      </c>
      <c r="M301" s="7" t="n">
        <v/>
      </c>
      <c r="N301" s="7" t="n">
        <v>3137761670</v>
      </c>
      <c r="O301" s="7" t="inlineStr">
        <is>
          <t>dianaoviedo65@gmail.com</t>
        </is>
      </c>
      <c r="P301" s="7" t="inlineStr">
        <is>
          <t>IBAGUE SEDE</t>
        </is>
      </c>
      <c r="Q301" s="7" t="inlineStr">
        <is>
          <t>BELLAS ARTES</t>
        </is>
      </c>
      <c r="R301" s="7" t="n">
        <v/>
      </c>
    </row>
    <row r="302" ht="20" customHeight="1">
      <c r="A302" s="3" t="inlineStr">
        <is>
          <t>1033769811</t>
        </is>
      </c>
      <c r="B302" s="4" t="inlineStr">
        <is>
          <t>PRESENCIAL BOGOTÁ</t>
        </is>
      </c>
      <c r="C302" s="4" t="inlineStr">
        <is>
          <t>ALISON JULIETH CALDERON AMAYA</t>
        </is>
      </c>
      <c r="D302" s="4" t="inlineStr">
        <is>
          <t>OPERACIONES</t>
        </is>
      </c>
      <c r="E302" s="4" t="inlineStr">
        <is>
          <t>REGIONAL BOGOTA</t>
        </is>
      </c>
      <c r="F302" s="4" t="inlineStr">
        <is>
          <t>BOGOTA CENTRO</t>
        </is>
      </c>
      <c r="G302" s="4" t="inlineStr">
        <is>
          <t>PRESENCIAL</t>
        </is>
      </c>
      <c r="H302" s="4" t="inlineStr">
        <is>
          <t>DOCENTE AUX/N/TC/DIS PROD MOD/FUN.ACADE-ADMIN</t>
        </is>
      </c>
      <c r="I302" s="4" t="inlineStr">
        <is>
          <t>DISEÑO Y PRODUCCION DE MODAS</t>
        </is>
      </c>
      <c r="J302" s="4" t="inlineStr">
        <is>
          <t>PLANTA</t>
        </is>
      </c>
      <c r="K302" s="4" t="inlineStr">
        <is>
          <t>PAULA OSORIO</t>
        </is>
      </c>
      <c r="L302" s="4" t="inlineStr">
        <is>
          <t>CONFIRMADO PRESENCIAL</t>
        </is>
      </c>
      <c r="M302" s="4" t="n">
        <v/>
      </c>
      <c r="N302" s="4" t="n">
        <v>3203318655</v>
      </c>
      <c r="O302" s="4" t="inlineStr">
        <is>
          <t>alisoncalderon00@gmail.com</t>
        </is>
      </c>
      <c r="P302" s="4" t="inlineStr">
        <is>
          <t>BTA SEDE F</t>
        </is>
      </c>
      <c r="Q302" s="4" t="inlineStr">
        <is>
          <t>BELLAS ARTES</t>
        </is>
      </c>
      <c r="R302" s="4" t="n">
        <v>401</v>
      </c>
    </row>
    <row r="303" ht="20" customHeight="1">
      <c r="A303" s="6" t="inlineStr">
        <is>
          <t>1015447699</t>
        </is>
      </c>
      <c r="B303" s="7" t="inlineStr">
        <is>
          <t>PRESENCIAL BOGOTÁ</t>
        </is>
      </c>
      <c r="C303" s="7" t="inlineStr">
        <is>
          <t>NATHALIA VANESSA CHACON BERNAL</t>
        </is>
      </c>
      <c r="D303" s="7" t="inlineStr">
        <is>
          <t>OPERACIONES</t>
        </is>
      </c>
      <c r="E303" s="7" t="inlineStr">
        <is>
          <t>REGIONAL BOGOTA</t>
        </is>
      </c>
      <c r="F303" s="7" t="inlineStr">
        <is>
          <t>BOGOTA CENTRO</t>
        </is>
      </c>
      <c r="G303" s="7" t="inlineStr">
        <is>
          <t>PRESENCIAL</t>
        </is>
      </c>
      <c r="H303" s="7" t="inlineStr">
        <is>
          <t>DOC AUX T&amp;T/N/TC/DIS PROD MOD/PROYECCIO</t>
        </is>
      </c>
      <c r="I303" s="7" t="inlineStr">
        <is>
          <t>DISEÑO Y PRODUCCION DE MODAS</t>
        </is>
      </c>
      <c r="J303" s="7" t="inlineStr">
        <is>
          <t>PLANTA</t>
        </is>
      </c>
      <c r="K303" s="7" t="inlineStr">
        <is>
          <t>PAULA OSORIO</t>
        </is>
      </c>
      <c r="L303" s="7" t="inlineStr">
        <is>
          <t>CONFIRMADO PRESENCIAL</t>
        </is>
      </c>
      <c r="M303" s="7" t="n">
        <v/>
      </c>
      <c r="N303" s="7" t="inlineStr">
        <is>
          <t>320 8088307</t>
        </is>
      </c>
      <c r="O303" s="7" t="inlineStr">
        <is>
          <t>nathaliachaconb@gmail.com</t>
        </is>
      </c>
      <c r="P303" s="7" t="inlineStr">
        <is>
          <t>BTA SEDE F</t>
        </is>
      </c>
      <c r="Q303" s="7" t="inlineStr">
        <is>
          <t>BELLAS ARTES</t>
        </is>
      </c>
      <c r="R303" s="7" t="n">
        <v>401</v>
      </c>
    </row>
    <row r="304" ht="20" customHeight="1">
      <c r="A304" s="3" t="inlineStr">
        <is>
          <t>52362834</t>
        </is>
      </c>
      <c r="B304" s="4" t="inlineStr">
        <is>
          <t>PRESENCIAL BOGOTÁ</t>
        </is>
      </c>
      <c r="C304" s="4" t="inlineStr">
        <is>
          <t>YUDY ANGELICA RINCON GARCIA</t>
        </is>
      </c>
      <c r="D304" s="4" t="inlineStr">
        <is>
          <t>OPERACIONES</t>
        </is>
      </c>
      <c r="E304" s="4" t="inlineStr">
        <is>
          <t>REGIONAL BOGOTA</t>
        </is>
      </c>
      <c r="F304" s="4" t="inlineStr">
        <is>
          <t>BOGOTA CENTRO</t>
        </is>
      </c>
      <c r="G304" s="4" t="inlineStr">
        <is>
          <t>PRESENCIAL</t>
        </is>
      </c>
      <c r="H304" s="4" t="inlineStr">
        <is>
          <t>DOCENTE ASIS/N/TC/DIS PROD MOD/PROYECTOS</t>
        </is>
      </c>
      <c r="I304" s="4" t="inlineStr">
        <is>
          <t>DISEÑO Y PRODUCCION DE MODAS</t>
        </is>
      </c>
      <c r="J304" s="4" t="inlineStr">
        <is>
          <t>PLANTA</t>
        </is>
      </c>
      <c r="K304" s="4" t="inlineStr">
        <is>
          <t>PAULA OSORIO</t>
        </is>
      </c>
      <c r="L304" s="4" t="inlineStr">
        <is>
          <t>CONFIRMADO PRESENCIAL</t>
        </is>
      </c>
      <c r="M304" s="4" t="n">
        <v/>
      </c>
      <c r="N304" s="4" t="n">
        <v>3114739656</v>
      </c>
      <c r="O304" s="4" t="inlineStr">
        <is>
          <t>angelitarincong@hotmail.com</t>
        </is>
      </c>
      <c r="P304" s="4" t="inlineStr">
        <is>
          <t>BTA SEDE F</t>
        </is>
      </c>
      <c r="Q304" s="4" t="inlineStr">
        <is>
          <t>BELLAS ARTES</t>
        </is>
      </c>
      <c r="R304" s="4" t="n">
        <v>401</v>
      </c>
    </row>
    <row r="305" ht="20" customHeight="1">
      <c r="A305" s="6" t="inlineStr">
        <is>
          <t>1234639178</t>
        </is>
      </c>
      <c r="B305" s="7" t="inlineStr">
        <is>
          <t>PRESENCIAL REGIONAL</t>
        </is>
      </c>
      <c r="C305" s="7" t="inlineStr">
        <is>
          <t>ANGIE CAROLINA SALDARRIAGA BONILLA</t>
        </is>
      </c>
      <c r="D305" s="7" t="inlineStr">
        <is>
          <t>OPERACIONES</t>
        </is>
      </c>
      <c r="E305" s="7" t="inlineStr">
        <is>
          <t>REGIONAL TOLIMA</t>
        </is>
      </c>
      <c r="F305" s="7" t="inlineStr">
        <is>
          <t>IBAGUÉ</t>
        </is>
      </c>
      <c r="G305" s="7" t="inlineStr">
        <is>
          <t>PRESENCIAL</t>
        </is>
      </c>
      <c r="H305" s="7" t="inlineStr">
        <is>
          <t>DOC AUX T&amp;T/N/TC/DIS PROD MOD/FUN.ACADE-ADMIN</t>
        </is>
      </c>
      <c r="I305" s="7" t="inlineStr">
        <is>
          <t>DISEÑO Y PRODUCCION DE MODAS</t>
        </is>
      </c>
      <c r="J305" s="7" t="inlineStr">
        <is>
          <t>PLANTA</t>
        </is>
      </c>
      <c r="K305" s="7" t="inlineStr">
        <is>
          <t>PAULA OSORIO</t>
        </is>
      </c>
      <c r="L305" s="7" t="inlineStr">
        <is>
          <t>CONFIRMADO PRESENCIAL</t>
        </is>
      </c>
      <c r="M305" s="7" t="n">
        <v/>
      </c>
      <c r="N305" s="7" t="n">
        <v>3185745283</v>
      </c>
      <c r="O305" s="7" t="inlineStr">
        <is>
          <t>Carolinasaldarriagabonilla@gmail.com</t>
        </is>
      </c>
      <c r="P305" s="7" t="inlineStr">
        <is>
          <t>IBAGUE SEDE</t>
        </is>
      </c>
      <c r="Q305" s="7" t="inlineStr">
        <is>
          <t>BELLAS ARTES</t>
        </is>
      </c>
      <c r="R305" s="7" t="n">
        <v/>
      </c>
    </row>
    <row r="306" ht="20" customHeight="1">
      <c r="A306" s="3" t="inlineStr">
        <is>
          <t>1110597584</t>
        </is>
      </c>
      <c r="B306" s="4" t="inlineStr">
        <is>
          <t>PRESENCIAL REGIONAL</t>
        </is>
      </c>
      <c r="C306" s="4" t="inlineStr">
        <is>
          <t>MARIA JOSE PEREZ PACHECO</t>
        </is>
      </c>
      <c r="D306" s="4" t="inlineStr">
        <is>
          <t>OPERACIONES</t>
        </is>
      </c>
      <c r="E306" s="4" t="inlineStr">
        <is>
          <t>REGIONAL TOLIMA</t>
        </is>
      </c>
      <c r="F306" s="4" t="inlineStr">
        <is>
          <t>IBAGUÉ</t>
        </is>
      </c>
      <c r="G306" s="4" t="inlineStr">
        <is>
          <t>PRESENCIAL</t>
        </is>
      </c>
      <c r="H306" s="4" t="inlineStr">
        <is>
          <t>DOC AUX T&amp;T/N/TC/DIS PROD MOD/FUN.ACADE-ADMIN</t>
        </is>
      </c>
      <c r="I306" s="4" t="inlineStr">
        <is>
          <t>DISEÑO Y PRODUCCION DE MODAS</t>
        </is>
      </c>
      <c r="J306" s="4" t="inlineStr">
        <is>
          <t>PLANTA</t>
        </is>
      </c>
      <c r="K306" s="4" t="inlineStr">
        <is>
          <t>PAULA OSORIO</t>
        </is>
      </c>
      <c r="L306" s="4" t="inlineStr">
        <is>
          <t>SIN RESPUESTA</t>
        </is>
      </c>
      <c r="M306" s="4" t="inlineStr">
        <is>
          <t>Correo de voz</t>
        </is>
      </c>
      <c r="N306" s="4" t="n">
        <v>3112006386</v>
      </c>
      <c r="O306" s="4" t="inlineStr">
        <is>
          <t>mariaj1204@hotmail.com</t>
        </is>
      </c>
      <c r="P306" s="4" t="inlineStr">
        <is>
          <t>IBAGUE SEDE</t>
        </is>
      </c>
      <c r="Q306" s="4" t="inlineStr">
        <is>
          <t>BELLAS ARTES</t>
        </is>
      </c>
      <c r="R306" s="4" t="n">
        <v/>
      </c>
    </row>
    <row r="307" ht="20" customHeight="1">
      <c r="A307" s="6" t="inlineStr">
        <is>
          <t>52786398</t>
        </is>
      </c>
      <c r="B307" s="7" t="inlineStr">
        <is>
          <t>PRESENCIAL BOGOTÁ</t>
        </is>
      </c>
      <c r="C307" s="7" t="inlineStr">
        <is>
          <t>DIANA PATRICIA GONZALEZ AVENDAÑO</t>
        </is>
      </c>
      <c r="D307" s="7" t="inlineStr">
        <is>
          <t>OPERACIONES</t>
        </is>
      </c>
      <c r="E307" s="7" t="inlineStr">
        <is>
          <t>REGIONAL BOGOTA</t>
        </is>
      </c>
      <c r="F307" s="7" t="inlineStr">
        <is>
          <t>BOGOTA CENTRO</t>
        </is>
      </c>
      <c r="G307" s="7" t="inlineStr">
        <is>
          <t>PRESENCIAL</t>
        </is>
      </c>
      <c r="H307" s="7" t="inlineStr">
        <is>
          <t>DOC AUX T&amp;T/N/TC/DIS PROD MOD/FUN.ACADE-ADMIN</t>
        </is>
      </c>
      <c r="I307" s="7" t="inlineStr">
        <is>
          <t>DISEÑO Y PRODUCCION DE MODAS</t>
        </is>
      </c>
      <c r="J307" s="7" t="inlineStr">
        <is>
          <t>PLANTA</t>
        </is>
      </c>
      <c r="K307" s="7" t="inlineStr">
        <is>
          <t>PAULA OSORIO</t>
        </is>
      </c>
      <c r="L307" s="7" t="inlineStr">
        <is>
          <t>CONFIRMADO PRESENCIAL</t>
        </is>
      </c>
      <c r="M307" s="7" t="n">
        <v/>
      </c>
      <c r="N307" s="7" t="n">
        <v>3228898820</v>
      </c>
      <c r="O307" s="7" t="inlineStr">
        <is>
          <t>dpga29@gmail.com</t>
        </is>
      </c>
      <c r="P307" s="7" t="inlineStr">
        <is>
          <t>BTA SEDE F</t>
        </is>
      </c>
      <c r="Q307" s="7" t="inlineStr">
        <is>
          <t>BELLAS ARTES</t>
        </is>
      </c>
      <c r="R307" s="7" t="n">
        <v>401</v>
      </c>
    </row>
    <row r="308" ht="20" customHeight="1">
      <c r="A308" s="3" t="inlineStr">
        <is>
          <t>1017273754</t>
        </is>
      </c>
      <c r="B308" s="4" t="inlineStr">
        <is>
          <t>PRESENCIAL REGIONAL</t>
        </is>
      </c>
      <c r="C308" s="4" t="inlineStr">
        <is>
          <t>LAURA GONZALEZ ALBANES</t>
        </is>
      </c>
      <c r="D308" s="4" t="inlineStr">
        <is>
          <t>OPERACIONES</t>
        </is>
      </c>
      <c r="E308" s="4" t="inlineStr">
        <is>
          <t>REGIONAL ANTIOQUIA</t>
        </is>
      </c>
      <c r="F308" s="4" t="inlineStr">
        <is>
          <t>MEDELLIN</t>
        </is>
      </c>
      <c r="G308" s="4" t="inlineStr">
        <is>
          <t>PRESENCIAL</t>
        </is>
      </c>
      <c r="H308" s="4" t="inlineStr">
        <is>
          <t>DOC AUX T&amp;T/N/TC/DIS PROD MOD/FUN.ACADE-ADMIN</t>
        </is>
      </c>
      <c r="I308" s="4" t="inlineStr">
        <is>
          <t>DISEÑO Y PRODUCCION DE MODAS</t>
        </is>
      </c>
      <c r="J308" s="4" t="inlineStr">
        <is>
          <t>PLANTA</t>
        </is>
      </c>
      <c r="K308" s="4" t="inlineStr">
        <is>
          <t>PAULA OSORIO</t>
        </is>
      </c>
      <c r="L308" s="4" t="inlineStr">
        <is>
          <t>CONFIRMADO PRESENCIAL</t>
        </is>
      </c>
      <c r="M308" s="4" t="inlineStr">
        <is>
          <t>Correo de voz</t>
        </is>
      </c>
      <c r="N308" s="4" t="n">
        <v>3045489895</v>
      </c>
      <c r="O308" s="4" t="inlineStr">
        <is>
          <t>LAURAGONZALEZALBANES@GMAIL.COM</t>
        </is>
      </c>
      <c r="P308" s="4" t="inlineStr">
        <is>
          <t>MEDELLIN SEDE</t>
        </is>
      </c>
      <c r="Q308" s="4" t="inlineStr">
        <is>
          <t>BELLAS ARTES</t>
        </is>
      </c>
      <c r="R308" s="4" t="n">
        <v/>
      </c>
    </row>
    <row r="309" ht="20" customHeight="1">
      <c r="A309" s="6" t="inlineStr">
        <is>
          <t>1032443752</t>
        </is>
      </c>
      <c r="B309" s="7" t="inlineStr">
        <is>
          <t>PRESENCIAL BOGOTÁ</t>
        </is>
      </c>
      <c r="C309" s="7" t="inlineStr">
        <is>
          <t>SANDRA MILENA LARA RODRIGUEZ</t>
        </is>
      </c>
      <c r="D309" s="7" t="inlineStr">
        <is>
          <t>OPERACIONES</t>
        </is>
      </c>
      <c r="E309" s="7" t="inlineStr">
        <is>
          <t>REGIONAL BOGOTA</t>
        </is>
      </c>
      <c r="F309" s="7" t="inlineStr">
        <is>
          <t>BOGOTA CENTRO</t>
        </is>
      </c>
      <c r="G309" s="7" t="inlineStr">
        <is>
          <t>PRESENCIAL</t>
        </is>
      </c>
      <c r="H309" s="7" t="inlineStr">
        <is>
          <t>DOC AUX T&amp;T/N/TC/DIS PROD MOD/FUN.ACADE-ADMIN</t>
        </is>
      </c>
      <c r="I309" s="7" t="inlineStr">
        <is>
          <t>DISEÑO Y PRODUCCION DE MODAS</t>
        </is>
      </c>
      <c r="J309" s="7" t="inlineStr">
        <is>
          <t>PLANTA</t>
        </is>
      </c>
      <c r="K309" s="7" t="inlineStr">
        <is>
          <t>PAULA OSORIO</t>
        </is>
      </c>
      <c r="L309" s="7" t="inlineStr">
        <is>
          <t>CONFIRMADO PRESENCIAL</t>
        </is>
      </c>
      <c r="M309" s="7" t="n">
        <v/>
      </c>
      <c r="N309" s="7" t="n">
        <v>3505251121</v>
      </c>
      <c r="O309" s="7" t="inlineStr">
        <is>
          <t>MILENA.LARA.KAINOS@GMAIL.COM</t>
        </is>
      </c>
      <c r="P309" s="7" t="inlineStr">
        <is>
          <t>BTA SEDE F</t>
        </is>
      </c>
      <c r="Q309" s="7" t="inlineStr">
        <is>
          <t>BELLAS ARTES</t>
        </is>
      </c>
      <c r="R309" s="7" t="n">
        <v>401</v>
      </c>
    </row>
    <row r="310" ht="20" customHeight="1">
      <c r="A310" s="3" t="inlineStr">
        <is>
          <t>1000939795</t>
        </is>
      </c>
      <c r="B310" s="4" t="inlineStr">
        <is>
          <t>PRESENCIAL BOGOTÁ</t>
        </is>
      </c>
      <c r="C310" s="4" t="inlineStr">
        <is>
          <t>LUZ ANGELA NIÑO CASALLAS</t>
        </is>
      </c>
      <c r="D310" s="4" t="inlineStr">
        <is>
          <t>OPERACIONES</t>
        </is>
      </c>
      <c r="E310" s="4" t="inlineStr">
        <is>
          <t>REGIONAL BOGOTA</t>
        </is>
      </c>
      <c r="F310" s="4" t="inlineStr">
        <is>
          <t>BOGOTA CENTRO</t>
        </is>
      </c>
      <c r="G310" s="4" t="inlineStr">
        <is>
          <t>PRESENCIAL</t>
        </is>
      </c>
      <c r="H310" s="4" t="inlineStr">
        <is>
          <t>DOC AUX T&amp;T/N/TC/DIS PROD MOD/FUN.ACADE-ADMIN</t>
        </is>
      </c>
      <c r="I310" s="4" t="inlineStr">
        <is>
          <t>DISEÑO Y PRODUCCION DE MODAS</t>
        </is>
      </c>
      <c r="J310" s="4" t="inlineStr">
        <is>
          <t>PLANTA</t>
        </is>
      </c>
      <c r="K310" s="4" t="inlineStr">
        <is>
          <t>PAULA OSORIO</t>
        </is>
      </c>
      <c r="L310" s="4" t="inlineStr">
        <is>
          <t>CONFIRMADO PRESENCIAL</t>
        </is>
      </c>
      <c r="M310" s="4" t="n">
        <v/>
      </c>
      <c r="N310" s="4" t="n">
        <v>3057531698</v>
      </c>
      <c r="O310" s="4" t="inlineStr">
        <is>
          <t>luzninocasa@gmail.com</t>
        </is>
      </c>
      <c r="P310" s="4" t="inlineStr">
        <is>
          <t>BTA SEDE F</t>
        </is>
      </c>
      <c r="Q310" s="4" t="inlineStr">
        <is>
          <t>BELLAS ARTES</t>
        </is>
      </c>
      <c r="R310" s="4" t="n">
        <v>401</v>
      </c>
    </row>
    <row r="311" ht="20" customHeight="1">
      <c r="A311" s="6" t="inlineStr">
        <is>
          <t>1014271256</t>
        </is>
      </c>
      <c r="B311" s="7" t="inlineStr">
        <is>
          <t>PRESENCIAL BOGOTÁ</t>
        </is>
      </c>
      <c r="C311" s="7" t="inlineStr">
        <is>
          <t>JUAN FELIPE MONROY MEDINA</t>
        </is>
      </c>
      <c r="D311" s="7" t="inlineStr">
        <is>
          <t>OPERACIONES</t>
        </is>
      </c>
      <c r="E311" s="7" t="inlineStr">
        <is>
          <t>REGIONAL BOGOTA</t>
        </is>
      </c>
      <c r="F311" s="7" t="inlineStr">
        <is>
          <t>BOGOTA CENTRO</t>
        </is>
      </c>
      <c r="G311" s="7" t="inlineStr">
        <is>
          <t>PRESENCIAL</t>
        </is>
      </c>
      <c r="H311" s="7" t="inlineStr">
        <is>
          <t>DOC AUX T&amp;T/N/TC/DIS PROD MOD/FUN.ACADE-ADMIN</t>
        </is>
      </c>
      <c r="I311" s="7" t="inlineStr">
        <is>
          <t>DISEÑO Y PRODUCCION DE MODAS</t>
        </is>
      </c>
      <c r="J311" s="7" t="inlineStr">
        <is>
          <t>PLANTA</t>
        </is>
      </c>
      <c r="K311" s="7" t="inlineStr">
        <is>
          <t>PAULA OSORIO</t>
        </is>
      </c>
      <c r="L311" s="7" t="inlineStr">
        <is>
          <t>CONFIRMADO PRESENCIAL</t>
        </is>
      </c>
      <c r="M311" s="7" t="n">
        <v/>
      </c>
      <c r="N311" s="7" t="n">
        <v>3193958058</v>
      </c>
      <c r="O311" s="7" t="inlineStr">
        <is>
          <t>Jfmonroyme@gmail.com</t>
        </is>
      </c>
      <c r="P311" s="7" t="inlineStr">
        <is>
          <t>BTA SEDE F</t>
        </is>
      </c>
      <c r="Q311" s="7" t="inlineStr">
        <is>
          <t>BELLAS ARTES</t>
        </is>
      </c>
      <c r="R311" s="7" t="n">
        <v>401</v>
      </c>
    </row>
    <row r="312" ht="20" customHeight="1">
      <c r="A312" s="3" t="inlineStr">
        <is>
          <t>1018420536</t>
        </is>
      </c>
      <c r="B312" s="4" t="inlineStr">
        <is>
          <t>PRESENCIAL BOGOTÁ</t>
        </is>
      </c>
      <c r="C312" s="4" t="inlineStr">
        <is>
          <t>GINA MILENA RODRIGUEZ RODRIGUEZ</t>
        </is>
      </c>
      <c r="D312" s="4" t="inlineStr">
        <is>
          <t>OPERACIONES</t>
        </is>
      </c>
      <c r="E312" s="4" t="inlineStr">
        <is>
          <t>REGIONAL BOGOTA</t>
        </is>
      </c>
      <c r="F312" s="4" t="inlineStr">
        <is>
          <t>BOGOTA CENTRO</t>
        </is>
      </c>
      <c r="G312" s="4" t="inlineStr">
        <is>
          <t>PRESENCIAL</t>
        </is>
      </c>
      <c r="H312" s="4" t="inlineStr">
        <is>
          <t>DOC AUX T&amp;T/N/TC/DIS PROD MOD/FUN.ACADE-ADMIN</t>
        </is>
      </c>
      <c r="I312" s="4" t="inlineStr">
        <is>
          <t>DISEÑO Y PRODUCCION DE MODAS</t>
        </is>
      </c>
      <c r="J312" s="4" t="inlineStr">
        <is>
          <t>PLANTA</t>
        </is>
      </c>
      <c r="K312" s="4" t="inlineStr">
        <is>
          <t>PAULA OSORIO</t>
        </is>
      </c>
      <c r="L312" s="4" t="inlineStr">
        <is>
          <t>SIN RESPUESTA</t>
        </is>
      </c>
      <c r="M312" s="4" t="inlineStr">
        <is>
          <t>Correo de voz</t>
        </is>
      </c>
      <c r="N312" s="4" t="n">
        <v>3108692201</v>
      </c>
      <c r="O312" s="4" t="inlineStr">
        <is>
          <t>gina.rdisenadora@gmail.com</t>
        </is>
      </c>
      <c r="P312" s="4" t="inlineStr">
        <is>
          <t>BTA SEDE F</t>
        </is>
      </c>
      <c r="Q312" s="4" t="inlineStr">
        <is>
          <t>BELLAS ARTES</t>
        </is>
      </c>
      <c r="R312" s="4" t="n">
        <v>401</v>
      </c>
    </row>
    <row r="313" ht="20" customHeight="1">
      <c r="A313" s="6" t="inlineStr">
        <is>
          <t>1019117268</t>
        </is>
      </c>
      <c r="B313" s="7" t="inlineStr">
        <is>
          <t>PRESENCIAL BOGOTÁ</t>
        </is>
      </c>
      <c r="C313" s="7" t="inlineStr">
        <is>
          <t>ANGIE KATERINE LEZAMA VILLAMIL</t>
        </is>
      </c>
      <c r="D313" s="7" t="inlineStr">
        <is>
          <t>OPERACIONES</t>
        </is>
      </c>
      <c r="E313" s="7" t="inlineStr">
        <is>
          <t>REGIONAL BOGOTA</t>
        </is>
      </c>
      <c r="F313" s="7" t="inlineStr">
        <is>
          <t>BOGOTA CENTRO</t>
        </is>
      </c>
      <c r="G313" s="7" t="inlineStr">
        <is>
          <t>PRESENCIAL</t>
        </is>
      </c>
      <c r="H313" s="7" t="inlineStr">
        <is>
          <t>DOC AUX T&amp;T/N/TC/DIS PROD MOD/FUN.ACADE-ADMIN</t>
        </is>
      </c>
      <c r="I313" s="7" t="inlineStr">
        <is>
          <t>DISEÑO Y PRODUCCION DE MODAS</t>
        </is>
      </c>
      <c r="J313" s="7" t="inlineStr">
        <is>
          <t>PLANTA</t>
        </is>
      </c>
      <c r="K313" s="7" t="inlineStr">
        <is>
          <t>PAULA OSORIO</t>
        </is>
      </c>
      <c r="L313" s="7" t="inlineStr">
        <is>
          <t>CONFIRMADO PRESENCIAL</t>
        </is>
      </c>
      <c r="M313" s="7" t="n">
        <v/>
      </c>
      <c r="N313" s="7" t="n">
        <v>3112806264</v>
      </c>
      <c r="O313" s="7" t="inlineStr">
        <is>
          <t>angie.lezamavi@gmail.com</t>
        </is>
      </c>
      <c r="P313" s="7" t="inlineStr">
        <is>
          <t>BTA SEDE F</t>
        </is>
      </c>
      <c r="Q313" s="7" t="inlineStr">
        <is>
          <t>BELLAS ARTES</t>
        </is>
      </c>
      <c r="R313" s="7" t="n">
        <v>401</v>
      </c>
    </row>
    <row r="314" ht="20" customHeight="1">
      <c r="A314" s="3" t="inlineStr">
        <is>
          <t>1018456035</t>
        </is>
      </c>
      <c r="B314" s="4" t="inlineStr">
        <is>
          <t>PRESENCIAL BOGOTÁ</t>
        </is>
      </c>
      <c r="C314" s="4" t="inlineStr">
        <is>
          <t>LUISA FERNANDA MORA CORDERO</t>
        </is>
      </c>
      <c r="D314" s="4" t="inlineStr">
        <is>
          <t>OPERACIONES</t>
        </is>
      </c>
      <c r="E314" s="4" t="inlineStr">
        <is>
          <t>REGIONAL BOGOTA</t>
        </is>
      </c>
      <c r="F314" s="4" t="inlineStr">
        <is>
          <t>BOGOTA CENTRO</t>
        </is>
      </c>
      <c r="G314" s="4" t="inlineStr">
        <is>
          <t>PRESENCIAL</t>
        </is>
      </c>
      <c r="H314" s="4" t="inlineStr">
        <is>
          <t>DOC AUX T&amp;T/N/TC/DIS PROD MOD/FUN.ACADE-ADMIN</t>
        </is>
      </c>
      <c r="I314" s="4" t="inlineStr">
        <is>
          <t>DISEÑO Y PRODUCCION DE MODAS</t>
        </is>
      </c>
      <c r="J314" s="4" t="inlineStr">
        <is>
          <t>PLANTA</t>
        </is>
      </c>
      <c r="K314" s="4" t="inlineStr">
        <is>
          <t>PAULA OSORIO</t>
        </is>
      </c>
      <c r="L314" s="4" t="inlineStr">
        <is>
          <t>SIN RESPUESTA</t>
        </is>
      </c>
      <c r="M314" s="4" t="inlineStr">
        <is>
          <t>Correo de voz</t>
        </is>
      </c>
      <c r="N314" s="4" t="n">
        <v>3112467473</v>
      </c>
      <c r="O314" s="4" t="inlineStr">
        <is>
          <t>LUNANDA16@GMAIL.COM</t>
        </is>
      </c>
      <c r="P314" s="4" t="inlineStr">
        <is>
          <t>BTA SEDE F</t>
        </is>
      </c>
      <c r="Q314" s="4" t="inlineStr">
        <is>
          <t>BELLAS ARTES</t>
        </is>
      </c>
      <c r="R314" s="4" t="n">
        <v>401</v>
      </c>
    </row>
    <row r="315" ht="20" customHeight="1">
      <c r="A315" s="6" t="inlineStr">
        <is>
          <t>1012431075</t>
        </is>
      </c>
      <c r="B315" s="7" t="inlineStr">
        <is>
          <t>PRESENCIAL BOGOTÁ</t>
        </is>
      </c>
      <c r="C315" s="7" t="inlineStr">
        <is>
          <t>JESSICA DAYANI CIFUENTES CIFUENTES</t>
        </is>
      </c>
      <c r="D315" s="7" t="inlineStr">
        <is>
          <t>OPERACIONES</t>
        </is>
      </c>
      <c r="E315" s="7" t="inlineStr">
        <is>
          <t>REGIONAL BOGOTA</t>
        </is>
      </c>
      <c r="F315" s="7" t="inlineStr">
        <is>
          <t>BOGOTA CENTRO</t>
        </is>
      </c>
      <c r="G315" s="7" t="inlineStr">
        <is>
          <t>PRESENCIAL</t>
        </is>
      </c>
      <c r="H315" s="7" t="inlineStr">
        <is>
          <t>DOC AUX T&amp;T/N/TC/DIS PROD MOD/FUN.ACADE-ADMIN</t>
        </is>
      </c>
      <c r="I315" s="7" t="inlineStr">
        <is>
          <t>DISEÑO Y PRODUCCION DE MODAS</t>
        </is>
      </c>
      <c r="J315" s="7" t="inlineStr">
        <is>
          <t>PLANTA</t>
        </is>
      </c>
      <c r="K315" s="7" t="inlineStr">
        <is>
          <t>PAULA OSORIO</t>
        </is>
      </c>
      <c r="L315" s="7" t="inlineStr">
        <is>
          <t>CONFIRMADO PRESENCIAL</t>
        </is>
      </c>
      <c r="M315" s="7" t="n">
        <v/>
      </c>
      <c r="N315" s="7" t="n">
        <v>3045624178</v>
      </c>
      <c r="O315" s="7" t="inlineStr">
        <is>
          <t>jessicacifuentes555@gmail.com</t>
        </is>
      </c>
      <c r="P315" s="7" t="inlineStr">
        <is>
          <t>BTA SEDE F</t>
        </is>
      </c>
      <c r="Q315" s="7" t="inlineStr">
        <is>
          <t>BELLAS ARTES</t>
        </is>
      </c>
      <c r="R315" s="7" t="n">
        <v>401</v>
      </c>
    </row>
    <row r="316" ht="20" customHeight="1">
      <c r="A316" s="3" t="inlineStr">
        <is>
          <t>1110471471</t>
        </is>
      </c>
      <c r="B316" s="4" t="inlineStr">
        <is>
          <t>PRESENCIAL REGIONAL</t>
        </is>
      </c>
      <c r="C316" s="4" t="inlineStr">
        <is>
          <t>DIANA PATRICIA CASTAÑEDA MANJARRES</t>
        </is>
      </c>
      <c r="D316" s="4" t="inlineStr">
        <is>
          <t>OPERACIONES</t>
        </is>
      </c>
      <c r="E316" s="4" t="inlineStr">
        <is>
          <t>REGIONAL TOLIMA</t>
        </is>
      </c>
      <c r="F316" s="4" t="inlineStr">
        <is>
          <t>IBAGUÉ</t>
        </is>
      </c>
      <c r="G316" s="4" t="inlineStr">
        <is>
          <t>PRESENCIAL</t>
        </is>
      </c>
      <c r="H316" s="4" t="inlineStr">
        <is>
          <t>DOC AUX T&amp;T/N/TC/DIS PROD MOD/FUN.ACADE-ADMIN</t>
        </is>
      </c>
      <c r="I316" s="4" t="inlineStr">
        <is>
          <t>DISEÑO Y PRODUCCION DE MODAS</t>
        </is>
      </c>
      <c r="J316" s="4" t="inlineStr">
        <is>
          <t>PLANTA</t>
        </is>
      </c>
      <c r="K316" s="4" t="inlineStr">
        <is>
          <t>PAULA OSORIO</t>
        </is>
      </c>
      <c r="L316" s="4" t="inlineStr">
        <is>
          <t>CONFIRMADO PRESENCIAL</t>
        </is>
      </c>
      <c r="M316" s="4" t="n">
        <v/>
      </c>
      <c r="N316" s="4" t="n">
        <v>3188775881</v>
      </c>
      <c r="O316" s="4" t="inlineStr">
        <is>
          <t>DIANACAST0704@GMAIL.COM</t>
        </is>
      </c>
      <c r="P316" s="4" t="inlineStr">
        <is>
          <t>IBAGUE SEDE</t>
        </is>
      </c>
      <c r="Q316" s="4" t="inlineStr">
        <is>
          <t>BELLAS ARTES</t>
        </is>
      </c>
      <c r="R316" s="4" t="n">
        <v/>
      </c>
    </row>
    <row r="317" ht="20" customHeight="1">
      <c r="A317" s="6" t="inlineStr">
        <is>
          <t>1110488811</t>
        </is>
      </c>
      <c r="B317" s="7" t="inlineStr">
        <is>
          <t>PRESENCIAL REGIONAL</t>
        </is>
      </c>
      <c r="C317" s="7" t="inlineStr">
        <is>
          <t>LUISA FERNANDA ARANGO LOMBANA</t>
        </is>
      </c>
      <c r="D317" s="7" t="inlineStr">
        <is>
          <t>OPERACIONES</t>
        </is>
      </c>
      <c r="E317" s="7" t="inlineStr">
        <is>
          <t>REGIONAL TOLIMA</t>
        </is>
      </c>
      <c r="F317" s="7" t="inlineStr">
        <is>
          <t>IBAGUÉ</t>
        </is>
      </c>
      <c r="G317" s="7" t="inlineStr">
        <is>
          <t>PRESENCIAL</t>
        </is>
      </c>
      <c r="H317" s="7" t="inlineStr">
        <is>
          <t>DOC AUX T&amp;T/N/TC/DIS PROD MOD/FUN.ACADE-ADMIN</t>
        </is>
      </c>
      <c r="I317" s="7" t="inlineStr">
        <is>
          <t>DISEÑO Y PRODUCCION DE MODAS</t>
        </is>
      </c>
      <c r="J317" s="7" t="inlineStr">
        <is>
          <t>PLANTA</t>
        </is>
      </c>
      <c r="K317" s="7" t="inlineStr">
        <is>
          <t>PAULA OSORIO</t>
        </is>
      </c>
      <c r="L317" s="7" t="inlineStr">
        <is>
          <t>CONFIRMADO PRESENCIAL</t>
        </is>
      </c>
      <c r="M317" s="7" t="n">
        <v/>
      </c>
      <c r="N317" s="7" t="n">
        <v>3118507096</v>
      </c>
      <c r="O317" s="7" t="inlineStr">
        <is>
          <t>LFAL8909@hotmail.com</t>
        </is>
      </c>
      <c r="P317" s="7" t="inlineStr">
        <is>
          <t>IBAGUE SEDE</t>
        </is>
      </c>
      <c r="Q317" s="7" t="inlineStr">
        <is>
          <t>BELLAS ARTES</t>
        </is>
      </c>
      <c r="R317" s="7" t="n">
        <v/>
      </c>
    </row>
    <row r="318" ht="20" customHeight="1">
      <c r="A318" s="3" t="inlineStr">
        <is>
          <t>1000588583</t>
        </is>
      </c>
      <c r="B318" s="4" t="inlineStr">
        <is>
          <t>PRESENCIAL REGIONAL</t>
        </is>
      </c>
      <c r="C318" s="4" t="inlineStr">
        <is>
          <t>ANDREA CAROLINA ORTIZ BONILLA</t>
        </is>
      </c>
      <c r="D318" s="4" t="inlineStr">
        <is>
          <t>OPERACIONES</t>
        </is>
      </c>
      <c r="E318" s="4" t="inlineStr">
        <is>
          <t>REGIONAL HUILA</t>
        </is>
      </c>
      <c r="F318" s="4" t="inlineStr">
        <is>
          <t>NEIVA</t>
        </is>
      </c>
      <c r="G318" s="4" t="inlineStr">
        <is>
          <t>PRESENCIAL</t>
        </is>
      </c>
      <c r="H318" s="4" t="inlineStr">
        <is>
          <t>DOC AUX T&amp;T/N/TC/DIS PROD MOD/FUN.ACADE-ADMIN</t>
        </is>
      </c>
      <c r="I318" s="4" t="inlineStr">
        <is>
          <t>DISEÑO Y PRODUCCION DE MODAS</t>
        </is>
      </c>
      <c r="J318" s="4" t="inlineStr">
        <is>
          <t>PLANTA</t>
        </is>
      </c>
      <c r="K318" s="4" t="inlineStr">
        <is>
          <t>PAULA OSORIO</t>
        </is>
      </c>
      <c r="L318" s="4" t="inlineStr">
        <is>
          <t>CONFIRMADO PRESENCIAL</t>
        </is>
      </c>
      <c r="M318" s="4" t="n">
        <v/>
      </c>
      <c r="N318" s="4" t="n">
        <v>3162867652</v>
      </c>
      <c r="O318" s="4" t="inlineStr">
        <is>
          <t>CAROTIZ2000@GMAIL.COM</t>
        </is>
      </c>
      <c r="P318" s="4" t="inlineStr">
        <is>
          <t>NEIVA SEDE</t>
        </is>
      </c>
      <c r="Q318" s="4" t="inlineStr">
        <is>
          <t>BELLAS ARTES</t>
        </is>
      </c>
      <c r="R318" s="4" t="n">
        <v/>
      </c>
    </row>
    <row r="319" ht="20" customHeight="1">
      <c r="A319" s="6" t="inlineStr">
        <is>
          <t>53077309</t>
        </is>
      </c>
      <c r="B319" s="7" t="inlineStr">
        <is>
          <t>PRESENCIAL BOGOTÁ</t>
        </is>
      </c>
      <c r="C319" s="7" t="inlineStr">
        <is>
          <t>LINDA DIANA BUSTOS PARRA</t>
        </is>
      </c>
      <c r="D319" s="7" t="inlineStr">
        <is>
          <t>OPERACIONES</t>
        </is>
      </c>
      <c r="E319" s="7" t="inlineStr">
        <is>
          <t>REGIONAL BOGOTA</t>
        </is>
      </c>
      <c r="F319" s="7" t="inlineStr">
        <is>
          <t>BOGOTA CENTRO</t>
        </is>
      </c>
      <c r="G319" s="7" t="inlineStr">
        <is>
          <t>PRESENCIAL</t>
        </is>
      </c>
      <c r="H319" s="7" t="inlineStr">
        <is>
          <t>DOCENTE ASIS/N/TC/EMPRENDIMIE/FUN.ACADE-ADMIN</t>
        </is>
      </c>
      <c r="I319" s="7" t="inlineStr">
        <is>
          <t>EMPRENDIMIENTO</t>
        </is>
      </c>
      <c r="J319" s="7" t="inlineStr">
        <is>
          <t>PLANTA</t>
        </is>
      </c>
      <c r="K319" s="7" t="inlineStr">
        <is>
          <t>PAULA OSORIO</t>
        </is>
      </c>
      <c r="L319" s="7" t="inlineStr">
        <is>
          <t>CONFIRMADO PRESENCIAL</t>
        </is>
      </c>
      <c r="M319" s="7" t="n">
        <v/>
      </c>
      <c r="N319" s="7" t="n">
        <v>3014597902</v>
      </c>
      <c r="O319" s="7" t="inlineStr">
        <is>
          <t>dianabustos77@hotmail.com</t>
        </is>
      </c>
      <c r="P319" s="7" t="inlineStr">
        <is>
          <t>BTA SEDE N</t>
        </is>
      </c>
      <c r="Q319" s="7" t="inlineStr">
        <is>
          <t>TRANSVERSALES</t>
        </is>
      </c>
      <c r="R319" s="7" t="n">
        <v>700</v>
      </c>
    </row>
    <row r="320" ht="20" customHeight="1">
      <c r="A320" s="3" t="inlineStr">
        <is>
          <t>53907629</t>
        </is>
      </c>
      <c r="B320" s="4" t="inlineStr">
        <is>
          <t>PRESENCIAL BOGOTÁ</t>
        </is>
      </c>
      <c r="C320" s="4" t="inlineStr">
        <is>
          <t>LILIANA SANCHEZ CLOPATOFSKY</t>
        </is>
      </c>
      <c r="D320" s="4" t="inlineStr">
        <is>
          <t>OPERACIONES</t>
        </is>
      </c>
      <c r="E320" s="4" t="inlineStr">
        <is>
          <t>REGIONAL BOGOTA</t>
        </is>
      </c>
      <c r="F320" s="4" t="inlineStr">
        <is>
          <t>BOGOTA CENTRO</t>
        </is>
      </c>
      <c r="G320" s="4" t="inlineStr">
        <is>
          <t>VIRTUAL</t>
        </is>
      </c>
      <c r="H320" s="4" t="inlineStr">
        <is>
          <t>DOC ASIS/N/V/TC/EMPRENDIMIENTO/FUN.ACADE-ADMIN</t>
        </is>
      </c>
      <c r="I320" s="4" t="inlineStr">
        <is>
          <t>EMPRENDIMIENTO</t>
        </is>
      </c>
      <c r="J320" s="4" t="inlineStr">
        <is>
          <t>PLANTA</t>
        </is>
      </c>
      <c r="K320" s="4" t="inlineStr">
        <is>
          <t>PAULA OSORIO</t>
        </is>
      </c>
      <c r="L320" s="4" t="inlineStr">
        <is>
          <t>SIN RESPUESTA</t>
        </is>
      </c>
      <c r="M320" s="4" t="inlineStr">
        <is>
          <t>Correo de voz</t>
        </is>
      </c>
      <c r="N320" s="4" t="n">
        <v>3105746516</v>
      </c>
      <c r="O320" s="4" t="inlineStr">
        <is>
          <t>LILISC@HOTMAIL.COM</t>
        </is>
      </c>
      <c r="P320" s="4" t="inlineStr">
        <is>
          <t>BTA SEDE A</t>
        </is>
      </c>
      <c r="Q320" s="4" t="inlineStr">
        <is>
          <t>TRANSVERSALES</t>
        </is>
      </c>
      <c r="R320" s="4" t="n">
        <v>700</v>
      </c>
    </row>
    <row r="321" ht="20" customHeight="1">
      <c r="A321" s="6" t="inlineStr">
        <is>
          <t>79218737</t>
        </is>
      </c>
      <c r="B321" s="7" t="inlineStr">
        <is>
          <t>VIRTUAL</t>
        </is>
      </c>
      <c r="C321" s="7" t="inlineStr">
        <is>
          <t>OSCAR JAVIER MORENO MARTINEZ</t>
        </is>
      </c>
      <c r="D321" s="7" t="inlineStr">
        <is>
          <t>OPERACIONES</t>
        </is>
      </c>
      <c r="E321" s="7" t="inlineStr">
        <is>
          <t>REGIONAL QUINDIO</t>
        </is>
      </c>
      <c r="F321" s="7" t="inlineStr">
        <is>
          <t>ARMENIA</t>
        </is>
      </c>
      <c r="G321" s="7" t="inlineStr">
        <is>
          <t>PRESENCIAL</t>
        </is>
      </c>
      <c r="H321" s="7" t="inlineStr">
        <is>
          <t>DOCENTE AUX/N/TC/EMPRENDIMIE/PROYECCION</t>
        </is>
      </c>
      <c r="I321" s="7" t="inlineStr">
        <is>
          <t>EMPRENDIMIENTO</t>
        </is>
      </c>
      <c r="J321" s="7" t="inlineStr">
        <is>
          <t>PLANTA</t>
        </is>
      </c>
      <c r="K321" s="7" t="inlineStr">
        <is>
          <t>PAULA OSORIO</t>
        </is>
      </c>
      <c r="L321" s="7" t="inlineStr">
        <is>
          <t>SIN RESPUESTA</t>
        </is>
      </c>
      <c r="M321" s="7" t="inlineStr">
        <is>
          <t>Correo de voz</t>
        </is>
      </c>
      <c r="N321" s="7" t="n">
        <v>3174992177</v>
      </c>
      <c r="O321" s="7" t="inlineStr">
        <is>
          <t>osjamo.737@hotmail.com</t>
        </is>
      </c>
      <c r="P321" s="7" t="inlineStr">
        <is>
          <t>ARMENIA SEDE</t>
        </is>
      </c>
      <c r="Q321" s="7" t="inlineStr">
        <is>
          <t>TRANSVERSALES</t>
        </is>
      </c>
      <c r="R321" s="7" t="n">
        <v/>
      </c>
    </row>
    <row r="322" ht="20" customHeight="1">
      <c r="A322" s="3" t="inlineStr">
        <is>
          <t>1018472248</t>
        </is>
      </c>
      <c r="B322" s="4" t="inlineStr">
        <is>
          <t>PRESENCIAL BOGOTÁ</t>
        </is>
      </c>
      <c r="C322" s="4" t="inlineStr">
        <is>
          <t>JULIO CESAR SANCHEZ AREVALO</t>
        </is>
      </c>
      <c r="D322" s="4" t="inlineStr">
        <is>
          <t>OPERACIONES</t>
        </is>
      </c>
      <c r="E322" s="4" t="inlineStr">
        <is>
          <t>REGIONAL BOGOTA</t>
        </is>
      </c>
      <c r="F322" s="4" t="inlineStr">
        <is>
          <t>BOGOTA CENTRO</t>
        </is>
      </c>
      <c r="G322" s="4" t="inlineStr">
        <is>
          <t>VIRTUAL</t>
        </is>
      </c>
      <c r="H322" s="4" t="inlineStr">
        <is>
          <t>DOC AUX T&amp;T/N/V/TC/EMPRENDIMIENTO/FUN.ACADE-ADMIN</t>
        </is>
      </c>
      <c r="I322" s="4" t="inlineStr">
        <is>
          <t>EMPRENDIMIENTO</t>
        </is>
      </c>
      <c r="J322" s="4" t="inlineStr">
        <is>
          <t>PLANTA</t>
        </is>
      </c>
      <c r="K322" s="4" t="inlineStr">
        <is>
          <t>MONICA SANCHEZ</t>
        </is>
      </c>
      <c r="L322" s="4" t="inlineStr">
        <is>
          <t>CONFIRMADO PRESENCIAL</t>
        </is>
      </c>
      <c r="M322" s="4" t="n">
        <v/>
      </c>
      <c r="N322" s="4" t="n">
        <v>3223890599</v>
      </c>
      <c r="O322" s="4" t="inlineStr">
        <is>
          <t>JUCSANCHEZAR@UNAL.EDU.CO</t>
        </is>
      </c>
      <c r="P322" s="4" t="inlineStr">
        <is>
          <t>BTA SEDE A</t>
        </is>
      </c>
      <c r="Q322" s="4" t="inlineStr">
        <is>
          <t>TRANSVERSALES</t>
        </is>
      </c>
      <c r="R322" s="4" t="n">
        <v>700</v>
      </c>
    </row>
    <row r="323" ht="20" customHeight="1">
      <c r="A323" s="6" t="inlineStr">
        <is>
          <t>52963300</t>
        </is>
      </c>
      <c r="B323" s="7" t="inlineStr">
        <is>
          <t>VIRTUAL</t>
        </is>
      </c>
      <c r="C323" s="7" t="inlineStr">
        <is>
          <t>PIEDAD FRANCO AGUDELO</t>
        </is>
      </c>
      <c r="D323" s="7" t="inlineStr">
        <is>
          <t>OPERACIONES</t>
        </is>
      </c>
      <c r="E323" s="7" t="inlineStr">
        <is>
          <t>REGIONAL META</t>
        </is>
      </c>
      <c r="F323" s="7" t="inlineStr">
        <is>
          <t>VILLAVICENCIO</t>
        </is>
      </c>
      <c r="G323" s="7" t="inlineStr">
        <is>
          <t>VIRTUAL</t>
        </is>
      </c>
      <c r="H323" s="7" t="inlineStr">
        <is>
          <t>DOCENTE AUX/N/V/TC/EMPRENDIMIE/FUN.ACADE-ADMIN</t>
        </is>
      </c>
      <c r="I323" s="7" t="inlineStr">
        <is>
          <t>EMPRENDIMIENTO</t>
        </is>
      </c>
      <c r="J323" s="7" t="inlineStr">
        <is>
          <t>PLANTA</t>
        </is>
      </c>
      <c r="K323" s="7" t="inlineStr">
        <is>
          <t>MONICA SANCHEZ</t>
        </is>
      </c>
      <c r="L323" s="7" t="inlineStr">
        <is>
          <t>CONFIRMADO VIRTUAL</t>
        </is>
      </c>
      <c r="M323" s="7" t="n">
        <v/>
      </c>
      <c r="N323" s="7" t="n">
        <v>3106282908</v>
      </c>
      <c r="O323" s="7" t="inlineStr">
        <is>
          <t>piedadfranco@gmail.com</t>
        </is>
      </c>
      <c r="P323" s="7" t="inlineStr">
        <is>
          <t>VILLAVICENCIO SEDE</t>
        </is>
      </c>
      <c r="Q323" s="7" t="inlineStr">
        <is>
          <t>TRANSVERSALES</t>
        </is>
      </c>
      <c r="R323" s="7" t="n">
        <v/>
      </c>
    </row>
    <row r="324" ht="20" customHeight="1">
      <c r="A324" s="3" t="inlineStr">
        <is>
          <t>1100392179</t>
        </is>
      </c>
      <c r="B324" s="4" t="inlineStr">
        <is>
          <t>PRESENCIAL REGIONAL</t>
        </is>
      </c>
      <c r="C324" s="4" t="inlineStr">
        <is>
          <t>WILMER DE JESUS PARODIS HERRERA</t>
        </is>
      </c>
      <c r="D324" s="4" t="inlineStr">
        <is>
          <t>OPERACIONES</t>
        </is>
      </c>
      <c r="E324" s="4" t="inlineStr">
        <is>
          <t>REGIONAL SUCRE</t>
        </is>
      </c>
      <c r="F324" s="4" t="inlineStr">
        <is>
          <t>SINCELEJO</t>
        </is>
      </c>
      <c r="G324" s="4" t="inlineStr">
        <is>
          <t>VIRTUAL</t>
        </is>
      </c>
      <c r="H324" s="4" t="inlineStr">
        <is>
          <t>DOC ASIS/N/V/TC/EMPRENDIMIENTO/PROYE. AC</t>
        </is>
      </c>
      <c r="I324" s="4" t="inlineStr">
        <is>
          <t>EMPRENDIMIENTO</t>
        </is>
      </c>
      <c r="J324" s="4" t="inlineStr">
        <is>
          <t>PLANTA</t>
        </is>
      </c>
      <c r="K324" s="4" t="inlineStr">
        <is>
          <t>MONICA SANCHEZ</t>
        </is>
      </c>
      <c r="L324" s="4" t="inlineStr">
        <is>
          <t>SIN RESPUESTA</t>
        </is>
      </c>
      <c r="M324" s="4" t="n">
        <v/>
      </c>
      <c r="N324" s="4" t="n">
        <v>3008621223</v>
      </c>
      <c r="O324" s="4" t="inlineStr">
        <is>
          <t>wilpah35@hotmail.com</t>
        </is>
      </c>
      <c r="P324" s="4" t="inlineStr">
        <is>
          <t>SINCELEJO SEDE</t>
        </is>
      </c>
      <c r="Q324" s="4" t="inlineStr">
        <is>
          <t>TRANSVERSALES</t>
        </is>
      </c>
      <c r="R324" s="4" t="n">
        <v/>
      </c>
    </row>
    <row r="325" ht="20" customHeight="1">
      <c r="A325" s="6" t="inlineStr">
        <is>
          <t>52412273</t>
        </is>
      </c>
      <c r="B325" s="7" t="inlineStr">
        <is>
          <t>PRESENCIAL BOGOTÁ</t>
        </is>
      </c>
      <c r="C325" s="7" t="inlineStr">
        <is>
          <t>MELVY CRISTIANI RIVERA</t>
        </is>
      </c>
      <c r="D325" s="7" t="inlineStr">
        <is>
          <t>OPERACIONES</t>
        </is>
      </c>
      <c r="E325" s="7" t="inlineStr">
        <is>
          <t>REGIONAL BOGOTA</t>
        </is>
      </c>
      <c r="F325" s="7" t="inlineStr">
        <is>
          <t>BOGOTA CENTRO</t>
        </is>
      </c>
      <c r="G325" s="7" t="inlineStr">
        <is>
          <t>PRESENCIAL</t>
        </is>
      </c>
      <c r="H325" s="7" t="inlineStr">
        <is>
          <t>DOC ASIS/N/TC/EMPRENDIMIENTO/PROYECTOS A</t>
        </is>
      </c>
      <c r="I325" s="7" t="inlineStr">
        <is>
          <t>EMPRENDIMIENTO</t>
        </is>
      </c>
      <c r="J325" s="7" t="inlineStr">
        <is>
          <t>PLANTA</t>
        </is>
      </c>
      <c r="K325" s="7" t="inlineStr">
        <is>
          <t>MONICA SANCHEZ</t>
        </is>
      </c>
      <c r="L325" s="7" t="inlineStr">
        <is>
          <t>SIN RESPUESTA</t>
        </is>
      </c>
      <c r="M325" s="7" t="n">
        <v/>
      </c>
      <c r="N325" s="7" t="n">
        <v>3108001405</v>
      </c>
      <c r="O325" s="7" t="inlineStr">
        <is>
          <t>melcristiani@yahoo.com</t>
        </is>
      </c>
      <c r="P325" s="7" t="inlineStr">
        <is>
          <t>BTA SEDE N</t>
        </is>
      </c>
      <c r="Q325" s="7" t="inlineStr">
        <is>
          <t>TRANSVERSALES</t>
        </is>
      </c>
      <c r="R325" s="7" t="n">
        <v>700</v>
      </c>
    </row>
    <row r="326" ht="20" customHeight="1">
      <c r="A326" s="3" t="inlineStr">
        <is>
          <t>52837924</t>
        </is>
      </c>
      <c r="B326" s="4" t="inlineStr">
        <is>
          <t>VIRTUAL</t>
        </is>
      </c>
      <c r="C326" s="4" t="inlineStr">
        <is>
          <t>IVETTE VÉLEZ RUIZ</t>
        </is>
      </c>
      <c r="D326" s="4" t="inlineStr">
        <is>
          <t>OPERACIONES</t>
        </is>
      </c>
      <c r="E326" s="4" t="inlineStr">
        <is>
          <t>REGIONAL VALLE DELCAUCA</t>
        </is>
      </c>
      <c r="F326" s="4" t="inlineStr">
        <is>
          <t>BUENAVENTURA</t>
        </is>
      </c>
      <c r="G326" s="4" t="inlineStr">
        <is>
          <t>VIRTUAL</t>
        </is>
      </c>
      <c r="H326" s="4" t="inlineStr">
        <is>
          <t>DOC ASIS/N/V/TC/EMPRENDIMIENTO/PROYE. AC</t>
        </is>
      </c>
      <c r="I326" s="4" t="inlineStr">
        <is>
          <t>EMPRENDIMIENTO</t>
        </is>
      </c>
      <c r="J326" s="4" t="inlineStr">
        <is>
          <t>PLANTA</t>
        </is>
      </c>
      <c r="K326" s="4" t="inlineStr">
        <is>
          <t>MONICA SANCHEZ</t>
        </is>
      </c>
      <c r="L326" s="4" t="inlineStr">
        <is>
          <t>SIN RESPUESTA</t>
        </is>
      </c>
      <c r="M326" s="4" t="n">
        <v/>
      </c>
      <c r="N326" s="4" t="n">
        <v>3507666418</v>
      </c>
      <c r="O326" s="4" t="inlineStr">
        <is>
          <t>ivveru@gmail.com</t>
        </is>
      </c>
      <c r="P326" s="4" t="inlineStr">
        <is>
          <t>BUENAVENTURA SEDE</t>
        </is>
      </c>
      <c r="Q326" s="4" t="inlineStr">
        <is>
          <t>TRANSVERSALES</t>
        </is>
      </c>
      <c r="R326" s="4" t="n">
        <v/>
      </c>
    </row>
    <row r="327" ht="20" customHeight="1">
      <c r="A327" s="6" t="inlineStr">
        <is>
          <t>1075676262</t>
        </is>
      </c>
      <c r="B327" s="7" t="inlineStr">
        <is>
          <t>PRESENCIAL BOGOTÁ</t>
        </is>
      </c>
      <c r="C327" s="7" t="inlineStr">
        <is>
          <t>DANIELA TORRES ESPINOSA</t>
        </is>
      </c>
      <c r="D327" s="7" t="inlineStr">
        <is>
          <t>OPERACIONES</t>
        </is>
      </c>
      <c r="E327" s="7" t="inlineStr">
        <is>
          <t>REGIONAL BOGOTA</t>
        </is>
      </c>
      <c r="F327" s="7" t="inlineStr">
        <is>
          <t>BOGOTA CENTRO</t>
        </is>
      </c>
      <c r="G327" s="7" t="inlineStr">
        <is>
          <t>VIRTUAL</t>
        </is>
      </c>
      <c r="H327" s="7" t="inlineStr">
        <is>
          <t>DOC ASIS/N/V/TC/EMPRENDIMIENTO/FUN.ACADE-ADMIN</t>
        </is>
      </c>
      <c r="I327" s="7" t="inlineStr">
        <is>
          <t>EMPRENDIMIENTO</t>
        </is>
      </c>
      <c r="J327" s="7" t="inlineStr">
        <is>
          <t>PLANTA</t>
        </is>
      </c>
      <c r="K327" s="7" t="inlineStr">
        <is>
          <t>MONICA SANCHEZ</t>
        </is>
      </c>
      <c r="L327" s="7" t="inlineStr">
        <is>
          <t>SIN RESPUESTA</t>
        </is>
      </c>
      <c r="M327" s="7" t="n">
        <v/>
      </c>
      <c r="N327" s="7" t="n">
        <v>3138364022</v>
      </c>
      <c r="O327" s="7" t="inlineStr">
        <is>
          <t>danielatorrese95@gmail.com</t>
        </is>
      </c>
      <c r="P327" s="7" t="inlineStr">
        <is>
          <t>BTA SEDE A</t>
        </is>
      </c>
      <c r="Q327" s="7" t="inlineStr">
        <is>
          <t>TRANSVERSALES</t>
        </is>
      </c>
      <c r="R327" s="7" t="n">
        <v>700</v>
      </c>
    </row>
    <row r="328" ht="20" customHeight="1">
      <c r="A328" s="3" t="inlineStr">
        <is>
          <t>1015452586</t>
        </is>
      </c>
      <c r="B328" s="4" t="inlineStr">
        <is>
          <t>PRESENCIAL BOGOTÁ</t>
        </is>
      </c>
      <c r="C328" s="4" t="inlineStr">
        <is>
          <t>GERMAN STEVEN SARMIENTO TRIVIÑO</t>
        </is>
      </c>
      <c r="D328" s="4" t="inlineStr">
        <is>
          <t>OPERACIONES</t>
        </is>
      </c>
      <c r="E328" s="4" t="inlineStr">
        <is>
          <t>REGIONAL BOGOTA</t>
        </is>
      </c>
      <c r="F328" s="4" t="inlineStr">
        <is>
          <t>BOGOTA CENTRO</t>
        </is>
      </c>
      <c r="G328" s="4" t="inlineStr">
        <is>
          <t>VIRTUAL</t>
        </is>
      </c>
      <c r="H328" s="4" t="inlineStr">
        <is>
          <t>DOC ASIS/N/V/TC/EMPRENDIMIENTO/FUN.ACADE-ADMIN</t>
        </is>
      </c>
      <c r="I328" s="4" t="inlineStr">
        <is>
          <t>EMPRENDIMIENTO</t>
        </is>
      </c>
      <c r="J328" s="4" t="inlineStr">
        <is>
          <t>PLANTA</t>
        </is>
      </c>
      <c r="K328" s="4" t="inlineStr">
        <is>
          <t>MONICA SANCHEZ</t>
        </is>
      </c>
      <c r="L328" s="4" t="inlineStr">
        <is>
          <t>CONFIRMADO PRESENCIAL</t>
        </is>
      </c>
      <c r="M328" s="4" t="n">
        <v/>
      </c>
      <c r="N328" s="4" t="n">
        <v>3506112483</v>
      </c>
      <c r="O328" s="4" t="inlineStr">
        <is>
          <t>germansteven95@gmail.com</t>
        </is>
      </c>
      <c r="P328" s="4" t="inlineStr">
        <is>
          <t>BTA SEDE A</t>
        </is>
      </c>
      <c r="Q328" s="4" t="inlineStr">
        <is>
          <t>TRANSVERSALES</t>
        </is>
      </c>
      <c r="R328" s="4" t="n">
        <v>700</v>
      </c>
    </row>
    <row r="329" ht="20" customHeight="1">
      <c r="A329" s="6" t="inlineStr">
        <is>
          <t>1024586459</t>
        </is>
      </c>
      <c r="B329" s="7" t="inlineStr">
        <is>
          <t>PRESENCIAL BOGOTÁ</t>
        </is>
      </c>
      <c r="C329" s="7" t="inlineStr">
        <is>
          <t>LAURA DANIELA MANOSALVA FLOREZ</t>
        </is>
      </c>
      <c r="D329" s="7" t="inlineStr">
        <is>
          <t>OPERACIONES</t>
        </is>
      </c>
      <c r="E329" s="7" t="inlineStr">
        <is>
          <t>REGIONAL BOGOTA</t>
        </is>
      </c>
      <c r="F329" s="7" t="inlineStr">
        <is>
          <t>BOGOTA CENTRO</t>
        </is>
      </c>
      <c r="G329" s="7" t="inlineStr">
        <is>
          <t>PRESENCIAL</t>
        </is>
      </c>
      <c r="H329" s="7" t="inlineStr">
        <is>
          <t>DOCENTE ASIS/N/TC/EMPRENDIMIE/FUN.ACADE-ADMIN</t>
        </is>
      </c>
      <c r="I329" s="7" t="inlineStr">
        <is>
          <t>EMPRENDIMIENTO</t>
        </is>
      </c>
      <c r="J329" s="7" t="inlineStr">
        <is>
          <t>PLANTA</t>
        </is>
      </c>
      <c r="K329" s="7" t="inlineStr">
        <is>
          <t>MONICA SANCHEZ</t>
        </is>
      </c>
      <c r="L329" s="7" t="inlineStr">
        <is>
          <t>CONFIRMADO PRESENCIAL</t>
        </is>
      </c>
      <c r="M329" s="7" t="n">
        <v/>
      </c>
      <c r="N329" s="7" t="n">
        <v>3155862084</v>
      </c>
      <c r="O329" s="7" t="inlineStr">
        <is>
          <t>ldmanosalvaf@gmail.com</t>
        </is>
      </c>
      <c r="P329" s="7" t="inlineStr">
        <is>
          <t>BTA SEDE A</t>
        </is>
      </c>
      <c r="Q329" s="7" t="inlineStr">
        <is>
          <t>TRANSVERSALES</t>
        </is>
      </c>
      <c r="R329" s="7" t="n">
        <v>702</v>
      </c>
    </row>
    <row r="330" ht="20" customHeight="1">
      <c r="A330" s="3" t="inlineStr">
        <is>
          <t>1115071345</t>
        </is>
      </c>
      <c r="B330" s="4" t="inlineStr">
        <is>
          <t>VIRTUAL</t>
        </is>
      </c>
      <c r="C330" s="4" t="inlineStr">
        <is>
          <t>JEFFRY JASSAN LOZANO GARCIA</t>
        </is>
      </c>
      <c r="D330" s="4" t="inlineStr">
        <is>
          <t>OPERACIONES</t>
        </is>
      </c>
      <c r="E330" s="4" t="inlineStr">
        <is>
          <t>REGIONAL VALLE DELCAUCA</t>
        </is>
      </c>
      <c r="F330" s="4" t="inlineStr">
        <is>
          <t>BUENAVENTURA</t>
        </is>
      </c>
      <c r="G330" s="4" t="inlineStr">
        <is>
          <t>VIRTUAL</t>
        </is>
      </c>
      <c r="H330" s="4" t="inlineStr">
        <is>
          <t>DOC ASIS/N/V/TC/EMPRENDIMIENTO/FUN.ACADE-ADMIN</t>
        </is>
      </c>
      <c r="I330" s="4" t="inlineStr">
        <is>
          <t>EMPRENDIMIENTO</t>
        </is>
      </c>
      <c r="J330" s="4" t="inlineStr">
        <is>
          <t>PLANTA</t>
        </is>
      </c>
      <c r="K330" s="4" t="inlineStr">
        <is>
          <t>MONICA SANCHEZ</t>
        </is>
      </c>
      <c r="L330" s="4" t="inlineStr">
        <is>
          <t>CONFIRMADO VIRTUAL</t>
        </is>
      </c>
      <c r="M330" s="4" t="n">
        <v/>
      </c>
      <c r="N330" s="4" t="n">
        <v>3014228398</v>
      </c>
      <c r="O330" s="4" t="inlineStr">
        <is>
          <t>jeffreygarcia_10@hotmail.com</t>
        </is>
      </c>
      <c r="P330" s="4" t="inlineStr">
        <is>
          <t>BUENAVENTURA SEDE</t>
        </is>
      </c>
      <c r="Q330" s="4" t="inlineStr">
        <is>
          <t>TRANSVERSALES</t>
        </is>
      </c>
      <c r="R330" s="4" t="n">
        <v/>
      </c>
    </row>
    <row r="331" ht="20" customHeight="1">
      <c r="A331" s="6" t="inlineStr">
        <is>
          <t>7711528</t>
        </is>
      </c>
      <c r="B331" s="7" t="inlineStr">
        <is>
          <t>VIRTUAL</t>
        </is>
      </c>
      <c r="C331" s="7" t="inlineStr">
        <is>
          <t>ANDREW RAMON MONJE</t>
        </is>
      </c>
      <c r="D331" s="7" t="inlineStr">
        <is>
          <t>OPERACIONES</t>
        </is>
      </c>
      <c r="E331" s="7" t="inlineStr">
        <is>
          <t>REGIONAL HUILA</t>
        </is>
      </c>
      <c r="F331" s="7" t="inlineStr">
        <is>
          <t>NEIVA</t>
        </is>
      </c>
      <c r="G331" s="7" t="inlineStr">
        <is>
          <t>VIRTUAL</t>
        </is>
      </c>
      <c r="H331" s="7" t="inlineStr">
        <is>
          <t>DOC ASIS/N/V/TC/EMPRENDIMIENTO/FUN.ACADE-ADMIN</t>
        </is>
      </c>
      <c r="I331" s="7" t="inlineStr">
        <is>
          <t>EMPRENDIMIENTO</t>
        </is>
      </c>
      <c r="J331" s="7" t="inlineStr">
        <is>
          <t>PLANTA</t>
        </is>
      </c>
      <c r="K331" s="7" t="inlineStr">
        <is>
          <t>MONICA SANCHEZ</t>
        </is>
      </c>
      <c r="L331" s="7" t="inlineStr">
        <is>
          <t>CONFIRMADO VIRTUAL</t>
        </is>
      </c>
      <c r="M331" s="7" t="n">
        <v/>
      </c>
      <c r="N331" s="7" t="n">
        <v>3115853850</v>
      </c>
      <c r="O331" s="7" t="inlineStr">
        <is>
          <t>andrewra@hotmail.com</t>
        </is>
      </c>
      <c r="P331" s="7" t="inlineStr">
        <is>
          <t>NEIVA SEDE</t>
        </is>
      </c>
      <c r="Q331" s="7" t="inlineStr">
        <is>
          <t>TRANSVERSALES</t>
        </is>
      </c>
      <c r="R331" s="7" t="n">
        <v/>
      </c>
    </row>
    <row r="332" ht="20" customHeight="1">
      <c r="A332" s="3" t="inlineStr">
        <is>
          <t>1113646018</t>
        </is>
      </c>
      <c r="B332" s="4" t="inlineStr">
        <is>
          <t>VIRTUAL</t>
        </is>
      </c>
      <c r="C332" s="4" t="inlineStr">
        <is>
          <t>YAMID SANCHEZ LASPRILLA</t>
        </is>
      </c>
      <c r="D332" s="4" t="inlineStr">
        <is>
          <t>OPERACIONES</t>
        </is>
      </c>
      <c r="E332" s="4" t="inlineStr">
        <is>
          <t>REGIONAL VALLE DELCAUCA</t>
        </is>
      </c>
      <c r="F332" s="4" t="inlineStr">
        <is>
          <t>BUENAVENTURA</t>
        </is>
      </c>
      <c r="G332" s="4" t="inlineStr">
        <is>
          <t>VIRTUAL</t>
        </is>
      </c>
      <c r="H332" s="4" t="inlineStr">
        <is>
          <t>DOC AUX T&amp;T/N/V/TC/EMPRENDIMIENTO/FUN.ACADE-ADMIN</t>
        </is>
      </c>
      <c r="I332" s="4" t="inlineStr">
        <is>
          <t>EMPRENDIMIENTO</t>
        </is>
      </c>
      <c r="J332" s="4" t="inlineStr">
        <is>
          <t>PLANTA</t>
        </is>
      </c>
      <c r="K332" s="4" t="inlineStr">
        <is>
          <t>MONICA SANCHEZ</t>
        </is>
      </c>
      <c r="L332" s="4" t="inlineStr">
        <is>
          <t>CONFIRMADO PRESENCIAL</t>
        </is>
      </c>
      <c r="M332" s="4" t="n">
        <v/>
      </c>
      <c r="N332" s="4" t="n">
        <v>3108296724</v>
      </c>
      <c r="O332" s="4" t="inlineStr">
        <is>
          <t>YAMID.SANCHEZ@GMAIL.COM</t>
        </is>
      </c>
      <c r="P332" s="4" t="inlineStr">
        <is>
          <t>BUENAVENTURA SEDE</t>
        </is>
      </c>
      <c r="Q332" s="4" t="inlineStr">
        <is>
          <t>TRANSVERSALES</t>
        </is>
      </c>
      <c r="R332" s="4" t="n">
        <v/>
      </c>
    </row>
    <row r="333" ht="20" customHeight="1">
      <c r="A333" s="6" t="inlineStr">
        <is>
          <t>1140863887</t>
        </is>
      </c>
      <c r="B333" s="7" t="inlineStr">
        <is>
          <t>PRESENCIAL REGIONAL</t>
        </is>
      </c>
      <c r="C333" s="7" t="inlineStr">
        <is>
          <t>NICOLE NATHALY ARROYO SANCHEZ</t>
        </is>
      </c>
      <c r="D333" s="7" t="inlineStr">
        <is>
          <t>OPERACIONES</t>
        </is>
      </c>
      <c r="E333" s="7" t="inlineStr">
        <is>
          <t>REGIONAL ATLANTICO</t>
        </is>
      </c>
      <c r="F333" s="7" t="inlineStr">
        <is>
          <t>BARRANQUILLA</t>
        </is>
      </c>
      <c r="G333" s="7" t="inlineStr">
        <is>
          <t>PRESENCIAL</t>
        </is>
      </c>
      <c r="H333" s="7" t="inlineStr">
        <is>
          <t>DOCENTE AUX/N/TC/EMPRENDIMIE/FUN.ACADE-ADMIN</t>
        </is>
      </c>
      <c r="I333" s="7" t="inlineStr">
        <is>
          <t>EMPRENDIMIENTO</t>
        </is>
      </c>
      <c r="J333" s="7" t="inlineStr">
        <is>
          <t>PLANTA</t>
        </is>
      </c>
      <c r="K333" s="7" t="inlineStr">
        <is>
          <t>MONICA SANCHEZ</t>
        </is>
      </c>
      <c r="L333" s="7" t="inlineStr">
        <is>
          <t>SIN RESPUESTA</t>
        </is>
      </c>
      <c r="M333" s="7" t="n">
        <v/>
      </c>
      <c r="N333" s="7" t="n">
        <v>3116853569</v>
      </c>
      <c r="O333" s="7" t="inlineStr">
        <is>
          <t>nicolearroyo07@gmail.com</t>
        </is>
      </c>
      <c r="P333" s="7" t="inlineStr">
        <is>
          <t>BQUILLA SEDE</t>
        </is>
      </c>
      <c r="Q333" s="7" t="inlineStr">
        <is>
          <t>TRANSVERSALES</t>
        </is>
      </c>
      <c r="R333" s="7" t="n">
        <v/>
      </c>
    </row>
    <row r="334" ht="20" customHeight="1">
      <c r="A334" s="3" t="inlineStr">
        <is>
          <t>80793106</t>
        </is>
      </c>
      <c r="B334" s="4" t="inlineStr">
        <is>
          <t>PRESENCIAL BOGOTÁ</t>
        </is>
      </c>
      <c r="C334" s="4" t="inlineStr">
        <is>
          <t>ENRIQUE RINCON PRIETO</t>
        </is>
      </c>
      <c r="D334" s="4" t="inlineStr">
        <is>
          <t>OPERACIONES</t>
        </is>
      </c>
      <c r="E334" s="4" t="inlineStr">
        <is>
          <t>REGIONAL BOGOTA</t>
        </is>
      </c>
      <c r="F334" s="4" t="inlineStr">
        <is>
          <t>BOGOTA CENTRO</t>
        </is>
      </c>
      <c r="G334" s="4" t="inlineStr">
        <is>
          <t>PRESENCIAL</t>
        </is>
      </c>
      <c r="H334" s="4" t="inlineStr">
        <is>
          <t>DOCENTE ASIS/N/TC/EMPRENDIMIE/FUN.ACADE-ADMIN</t>
        </is>
      </c>
      <c r="I334" s="4" t="inlineStr">
        <is>
          <t>EMPRENDIMIENTO</t>
        </is>
      </c>
      <c r="J334" s="4" t="inlineStr">
        <is>
          <t>PLANTA</t>
        </is>
      </c>
      <c r="K334" s="4" t="inlineStr">
        <is>
          <t>MONICA SANCHEZ</t>
        </is>
      </c>
      <c r="L334" s="4" t="inlineStr">
        <is>
          <t>SIN RESPUESTA</t>
        </is>
      </c>
      <c r="M334" s="4" t="n">
        <v/>
      </c>
      <c r="N334" s="4" t="n">
        <v>3208164603</v>
      </c>
      <c r="O334" s="4" t="inlineStr">
        <is>
          <t>enriquerinconprieto@gmail.com</t>
        </is>
      </c>
      <c r="P334" s="4" t="inlineStr">
        <is>
          <t>BTA SEDE A</t>
        </is>
      </c>
      <c r="Q334" s="4" t="inlineStr">
        <is>
          <t>TRANSVERSALES</t>
        </is>
      </c>
      <c r="R334" s="4" t="n">
        <v>702</v>
      </c>
    </row>
    <row r="335" ht="20" customHeight="1">
      <c r="A335" s="6" t="inlineStr">
        <is>
          <t>1016031612</t>
        </is>
      </c>
      <c r="B335" s="7" t="inlineStr">
        <is>
          <t>PRESENCIAL BOGOTÁ</t>
        </is>
      </c>
      <c r="C335" s="7" t="inlineStr">
        <is>
          <t>DIANA FERNANDA VARGAS BERNAL</t>
        </is>
      </c>
      <c r="D335" s="7" t="inlineStr">
        <is>
          <t>OPERACIONES</t>
        </is>
      </c>
      <c r="E335" s="7" t="inlineStr">
        <is>
          <t>REGIONAL BOGOTA</t>
        </is>
      </c>
      <c r="F335" s="7" t="inlineStr">
        <is>
          <t>BOGOTA CENTRO</t>
        </is>
      </c>
      <c r="G335" s="7" t="inlineStr">
        <is>
          <t>VIRTUAL</t>
        </is>
      </c>
      <c r="H335" s="7" t="inlineStr">
        <is>
          <t>DOCENTE AUX/N/V/TC/EMPRENDIMIE/FUN.ACADE-ADMIN</t>
        </is>
      </c>
      <c r="I335" s="7" t="inlineStr">
        <is>
          <t>EMPRENDIMIENTO</t>
        </is>
      </c>
      <c r="J335" s="7" t="inlineStr">
        <is>
          <t>PLANTA</t>
        </is>
      </c>
      <c r="K335" s="7" t="inlineStr">
        <is>
          <t>MONICA SANCHEZ</t>
        </is>
      </c>
      <c r="L335" s="7" t="inlineStr">
        <is>
          <t>SIN RESPUESTA</t>
        </is>
      </c>
      <c r="M335" s="7" t="n">
        <v/>
      </c>
      <c r="N335" s="7" t="n">
        <v>3118922867</v>
      </c>
      <c r="O335" s="7" t="inlineStr">
        <is>
          <t>dfernanda06@gmail.com</t>
        </is>
      </c>
      <c r="P335" s="7" t="inlineStr">
        <is>
          <t>BTA SEDE A</t>
        </is>
      </c>
      <c r="Q335" s="7" t="inlineStr">
        <is>
          <t>TRANSVERSALES</t>
        </is>
      </c>
      <c r="R335" s="7" t="n">
        <v>702</v>
      </c>
    </row>
    <row r="336" ht="20" customHeight="1">
      <c r="A336" s="3" t="inlineStr">
        <is>
          <t>1049651609</t>
        </is>
      </c>
      <c r="B336" s="4" t="inlineStr">
        <is>
          <t>VIRTUAL</t>
        </is>
      </c>
      <c r="C336" s="4" t="inlineStr">
        <is>
          <t>YARIMA KATHERIN JIMENEZ OLARTE</t>
        </is>
      </c>
      <c r="D336" s="4" t="inlineStr">
        <is>
          <t>OPERACIONES</t>
        </is>
      </c>
      <c r="E336" s="4" t="inlineStr">
        <is>
          <t>REGIONAL BOYACA</t>
        </is>
      </c>
      <c r="F336" s="4" t="inlineStr">
        <is>
          <t>TUNJA</t>
        </is>
      </c>
      <c r="G336" s="4" t="inlineStr">
        <is>
          <t>VIRTUAL</t>
        </is>
      </c>
      <c r="H336" s="4" t="inlineStr">
        <is>
          <t>DOCENTE AUX/N/V/TC/EMPRENDIMIE/PROYECT A</t>
        </is>
      </c>
      <c r="I336" s="4" t="inlineStr">
        <is>
          <t>EMPRENDIMIENTO</t>
        </is>
      </c>
      <c r="J336" s="4" t="inlineStr">
        <is>
          <t>PLANTA</t>
        </is>
      </c>
      <c r="K336" s="4" t="inlineStr">
        <is>
          <t>MONICA SANCHEZ</t>
        </is>
      </c>
      <c r="L336" s="4" t="inlineStr">
        <is>
          <t>CONFIRMADO VIRTUAL</t>
        </is>
      </c>
      <c r="M336" s="4" t="n">
        <v/>
      </c>
      <c r="N336" s="4" t="n">
        <v>3203838206</v>
      </c>
      <c r="O336" s="4" t="inlineStr">
        <is>
          <t>kjkatherin@gmail.com</t>
        </is>
      </c>
      <c r="P336" s="4" t="inlineStr">
        <is>
          <t>TUNJA SEDE</t>
        </is>
      </c>
      <c r="Q336" s="4" t="inlineStr">
        <is>
          <t>TRANSVERSALES</t>
        </is>
      </c>
      <c r="R336" s="4" t="n">
        <v/>
      </c>
    </row>
    <row r="337" ht="20" customHeight="1">
      <c r="A337" s="6" t="inlineStr">
        <is>
          <t>72260936</t>
        </is>
      </c>
      <c r="B337" s="7" t="inlineStr">
        <is>
          <t>VIRTUAL</t>
        </is>
      </c>
      <c r="C337" s="7" t="inlineStr">
        <is>
          <t>JAIRO RUBEN MACIAS VERA</t>
        </is>
      </c>
      <c r="D337" s="7" t="inlineStr">
        <is>
          <t>OPERACIONES</t>
        </is>
      </c>
      <c r="E337" s="7" t="inlineStr">
        <is>
          <t>REGIONAL SANTANDER</t>
        </is>
      </c>
      <c r="F337" s="7" t="inlineStr">
        <is>
          <t>BUCARAMANGA</t>
        </is>
      </c>
      <c r="G337" s="7" t="inlineStr">
        <is>
          <t>VIRTUAL</t>
        </is>
      </c>
      <c r="H337" s="7" t="inlineStr">
        <is>
          <t>DOCENTE AUX/N/V/TC/EMPRENDIMIE/FUN.ACADE-ADMIN</t>
        </is>
      </c>
      <c r="I337" s="7" t="inlineStr">
        <is>
          <t>EMPRENDIMIENTO</t>
        </is>
      </c>
      <c r="J337" s="7" t="inlineStr">
        <is>
          <t>PLANTA</t>
        </is>
      </c>
      <c r="K337" s="7" t="inlineStr">
        <is>
          <t>MONICA SANCHEZ</t>
        </is>
      </c>
      <c r="L337" s="7" t="inlineStr">
        <is>
          <t>CONFIRMADO VIRTUAL</t>
        </is>
      </c>
      <c r="M337" s="7" t="n">
        <v/>
      </c>
      <c r="N337" s="7" t="n">
        <v>3007375760</v>
      </c>
      <c r="O337" s="7" t="inlineStr">
        <is>
          <t>maciasverajairo@gmail.com</t>
        </is>
      </c>
      <c r="P337" s="7" t="inlineStr">
        <is>
          <t>BGA SEDE</t>
        </is>
      </c>
      <c r="Q337" s="7" t="inlineStr">
        <is>
          <t>TRANSVERSALES</t>
        </is>
      </c>
      <c r="R337" s="7" t="n">
        <v/>
      </c>
    </row>
    <row r="338" ht="20" customHeight="1">
      <c r="A338" s="3" t="inlineStr">
        <is>
          <t>1017129321</t>
        </is>
      </c>
      <c r="B338" s="4" t="inlineStr">
        <is>
          <t>PRESENCIAL REGIONAL</t>
        </is>
      </c>
      <c r="C338" s="4" t="inlineStr">
        <is>
          <t>SANTIAGO GALEANO ALARCA</t>
        </is>
      </c>
      <c r="D338" s="4" t="inlineStr">
        <is>
          <t>OPERACIONES</t>
        </is>
      </c>
      <c r="E338" s="4" t="inlineStr">
        <is>
          <t>REGIONAL ANTIOQUIA</t>
        </is>
      </c>
      <c r="F338" s="4" t="inlineStr">
        <is>
          <t>MEDELLIN</t>
        </is>
      </c>
      <c r="G338" s="4" t="inlineStr">
        <is>
          <t>VIRTUAL</t>
        </is>
      </c>
      <c r="H338" s="4" t="inlineStr">
        <is>
          <t>DOCENTE AUX/N/V/TC/EMPRENDIMIE/FUN.ACADE-ADMIN</t>
        </is>
      </c>
      <c r="I338" s="4" t="inlineStr">
        <is>
          <t>EMPRENDIMIENTO</t>
        </is>
      </c>
      <c r="J338" s="4" t="inlineStr">
        <is>
          <t>PLANTA</t>
        </is>
      </c>
      <c r="K338" s="4" t="inlineStr">
        <is>
          <t>MONICA SANCHEZ</t>
        </is>
      </c>
      <c r="L338" s="4" t="inlineStr">
        <is>
          <t>SIN RESPUESTA</t>
        </is>
      </c>
      <c r="M338" s="4" t="n">
        <v/>
      </c>
      <c r="N338" s="4" t="n">
        <v>3006293693</v>
      </c>
      <c r="O338" s="4" t="inlineStr">
        <is>
          <t>sgaleano2011@hotmail.com</t>
        </is>
      </c>
      <c r="P338" s="4" t="inlineStr">
        <is>
          <t>MEDELLIN SEDE</t>
        </is>
      </c>
      <c r="Q338" s="4" t="inlineStr">
        <is>
          <t>TRANSVERSALES</t>
        </is>
      </c>
      <c r="R338" s="4" t="n">
        <v/>
      </c>
    </row>
    <row r="339" ht="20" customHeight="1">
      <c r="A339" s="6" t="inlineStr">
        <is>
          <t>1020843461</t>
        </is>
      </c>
      <c r="B339" s="7" t="inlineStr">
        <is>
          <t>PRESENCIAL BOGOTÁ</t>
        </is>
      </c>
      <c r="C339" s="7" t="inlineStr">
        <is>
          <t>SARAH LIA PRIETO RODRIGUEZ</t>
        </is>
      </c>
      <c r="D339" s="7" t="inlineStr">
        <is>
          <t>OPERACIONES</t>
        </is>
      </c>
      <c r="E339" s="7" t="inlineStr">
        <is>
          <t>REGIONAL BOGOTA</t>
        </is>
      </c>
      <c r="F339" s="7" t="inlineStr">
        <is>
          <t>BOGOTA CENTRO</t>
        </is>
      </c>
      <c r="G339" s="7" t="inlineStr">
        <is>
          <t>VIRTUAL</t>
        </is>
      </c>
      <c r="H339" s="7" t="inlineStr">
        <is>
          <t>DOC AUX/N/V/TC/EMPRENDIMIE/FUN.ACADE-ADMIN</t>
        </is>
      </c>
      <c r="I339" s="7" t="inlineStr">
        <is>
          <t>EMPRENDIMIENTO</t>
        </is>
      </c>
      <c r="J339" s="7" t="inlineStr">
        <is>
          <t>PLANTA</t>
        </is>
      </c>
      <c r="K339" s="7" t="inlineStr">
        <is>
          <t>MONICA SANCHEZ</t>
        </is>
      </c>
      <c r="L339" s="7" t="inlineStr">
        <is>
          <t>SIN RESPUESTA</t>
        </is>
      </c>
      <c r="M339" s="7" t="n">
        <v/>
      </c>
      <c r="N339" s="7" t="n">
        <v>3227101789</v>
      </c>
      <c r="O339" s="7" t="inlineStr">
        <is>
          <t>oaprietos022@gmail.com</t>
        </is>
      </c>
      <c r="P339" s="7" t="inlineStr">
        <is>
          <t>BTA SEDE A</t>
        </is>
      </c>
      <c r="Q339" s="7" t="inlineStr">
        <is>
          <t>TRANSVERSALES</t>
        </is>
      </c>
      <c r="R339" s="7" t="n">
        <v>702</v>
      </c>
    </row>
    <row r="340" ht="20" customHeight="1">
      <c r="A340" s="3" t="inlineStr">
        <is>
          <t>1036621162</t>
        </is>
      </c>
      <c r="B340" s="4" t="inlineStr">
        <is>
          <t>PRESENCIAL BOGOTÁ</t>
        </is>
      </c>
      <c r="C340" s="4" t="inlineStr">
        <is>
          <t>LUIS EDUARDO CASTILLO MARTINEZ</t>
        </is>
      </c>
      <c r="D340" s="4" t="inlineStr">
        <is>
          <t>OPERACIONES</t>
        </is>
      </c>
      <c r="E340" s="4" t="inlineStr">
        <is>
          <t>REGIONAL BOGOTA</t>
        </is>
      </c>
      <c r="F340" s="4" t="inlineStr">
        <is>
          <t>BOGOTA CENTRO</t>
        </is>
      </c>
      <c r="G340" s="4" t="inlineStr">
        <is>
          <t>VIRTUAL</t>
        </is>
      </c>
      <c r="H340" s="4" t="inlineStr">
        <is>
          <t>DOC AUX T&amp;T/N/V/TC/EMPRENDIMIENTO/FUN.ACADE-ADMIN</t>
        </is>
      </c>
      <c r="I340" s="4" t="inlineStr">
        <is>
          <t>EMPRENDIMIENTO</t>
        </is>
      </c>
      <c r="J340" s="4" t="inlineStr">
        <is>
          <t>PLANTA</t>
        </is>
      </c>
      <c r="K340" s="4" t="inlineStr">
        <is>
          <t>MONICA SANCHEZ</t>
        </is>
      </c>
      <c r="L340" s="4" t="inlineStr">
        <is>
          <t>CONFIRMADO PRESENCIAL</t>
        </is>
      </c>
      <c r="M340" s="4" t="n">
        <v/>
      </c>
      <c r="N340" s="4" t="n">
        <v>3168307651</v>
      </c>
      <c r="O340" s="4" t="inlineStr">
        <is>
          <t>cmluiseduardo2@gmail.com</t>
        </is>
      </c>
      <c r="P340" s="4" t="inlineStr">
        <is>
          <t>BTA SEDE A</t>
        </is>
      </c>
      <c r="Q340" s="4" t="inlineStr">
        <is>
          <t>TRANSVERSALES</t>
        </is>
      </c>
      <c r="R340" s="4" t="n">
        <v>702</v>
      </c>
    </row>
    <row r="341" ht="20" customHeight="1">
      <c r="A341" s="6" t="inlineStr">
        <is>
          <t>1032481595</t>
        </is>
      </c>
      <c r="B341" s="7" t="inlineStr">
        <is>
          <t>PRESENCIAL BOGOTÁ</t>
        </is>
      </c>
      <c r="C341" s="7" t="inlineStr">
        <is>
          <t>JONNY ALEXANDER UMAÑA GUEVARA</t>
        </is>
      </c>
      <c r="D341" s="7" t="inlineStr">
        <is>
          <t>OPERACIONES</t>
        </is>
      </c>
      <c r="E341" s="7" t="inlineStr">
        <is>
          <t>REGIONAL BOGOTA</t>
        </is>
      </c>
      <c r="F341" s="7" t="inlineStr">
        <is>
          <t>BOGOTA CENTRO</t>
        </is>
      </c>
      <c r="G341" s="7" t="inlineStr">
        <is>
          <t>VIRTUAL</t>
        </is>
      </c>
      <c r="H341" s="7" t="inlineStr">
        <is>
          <t>DOC AUX T&amp;T/N/V/TC/EMPRENDIMIENTO/FUN.ACADE-ADMIN</t>
        </is>
      </c>
      <c r="I341" s="7" t="inlineStr">
        <is>
          <t>EMPRENDIMIENTO</t>
        </is>
      </c>
      <c r="J341" s="7" t="inlineStr">
        <is>
          <t>PLANTA</t>
        </is>
      </c>
      <c r="K341" s="7" t="inlineStr">
        <is>
          <t>MONICA SANCHEZ</t>
        </is>
      </c>
      <c r="L341" s="7" t="inlineStr">
        <is>
          <t>CONFIRMADO PRESENCIAL</t>
        </is>
      </c>
      <c r="M341" s="7" t="n">
        <v/>
      </c>
      <c r="N341" s="7" t="n">
        <v>3106793704</v>
      </c>
      <c r="O341" s="7" t="inlineStr">
        <is>
          <t>ingjonnyug@gmail.com</t>
        </is>
      </c>
      <c r="P341" s="7" t="inlineStr">
        <is>
          <t>BTA SEDE A</t>
        </is>
      </c>
      <c r="Q341" s="7" t="inlineStr">
        <is>
          <t>TRANSVERSALES</t>
        </is>
      </c>
      <c r="R341" s="7" t="n">
        <v>702</v>
      </c>
    </row>
    <row r="342" ht="20" customHeight="1">
      <c r="A342" s="3" t="inlineStr">
        <is>
          <t>94457537</t>
        </is>
      </c>
      <c r="B342" s="4" t="inlineStr">
        <is>
          <t>PRESENCIAL BOGOTÁ</t>
        </is>
      </c>
      <c r="C342" s="4" t="inlineStr">
        <is>
          <t>JHON ALEXANDER GONZALEZ DORADO</t>
        </is>
      </c>
      <c r="D342" s="4" t="inlineStr">
        <is>
          <t>OPERACIONES</t>
        </is>
      </c>
      <c r="E342" s="4" t="inlineStr">
        <is>
          <t>REGIONAL BOGOTA</t>
        </is>
      </c>
      <c r="F342" s="4" t="inlineStr">
        <is>
          <t>BOGOTA CENTRO</t>
        </is>
      </c>
      <c r="G342" s="4" t="inlineStr">
        <is>
          <t>VIRTUAL</t>
        </is>
      </c>
      <c r="H342" s="4" t="inlineStr">
        <is>
          <t>DOC ASIS/N/V/TC/EMPRENDIMIENTO/FUN.ACADE-ADMIN</t>
        </is>
      </c>
      <c r="I342" s="4" t="inlineStr">
        <is>
          <t>EMPRENDIMIENTO</t>
        </is>
      </c>
      <c r="J342" s="4" t="inlineStr">
        <is>
          <t>PLANTA</t>
        </is>
      </c>
      <c r="K342" s="4" t="inlineStr">
        <is>
          <t>MONICA SANCHEZ</t>
        </is>
      </c>
      <c r="L342" s="4" t="inlineStr">
        <is>
          <t>SIN RESPUESTA</t>
        </is>
      </c>
      <c r="M342" s="4" t="n">
        <v/>
      </c>
      <c r="N342" s="4" t="n">
        <v>3123666157</v>
      </c>
      <c r="O342" s="4" t="inlineStr">
        <is>
          <t>jhon.gonzalezdo@gmail.com</t>
        </is>
      </c>
      <c r="P342" s="4" t="inlineStr">
        <is>
          <t>BTA SEDE G</t>
        </is>
      </c>
      <c r="Q342" s="4" t="inlineStr">
        <is>
          <t>TRANSVERSALES</t>
        </is>
      </c>
      <c r="R342" s="4" t="n">
        <v>702</v>
      </c>
    </row>
    <row r="343" ht="20" customHeight="1">
      <c r="A343" s="6" t="inlineStr">
        <is>
          <t>1030665047</t>
        </is>
      </c>
      <c r="B343" s="7" t="inlineStr">
        <is>
          <t>PRESENCIAL BOGOTÁ</t>
        </is>
      </c>
      <c r="C343" s="7" t="inlineStr">
        <is>
          <t>TATIANA BAZZANI MENDOZA</t>
        </is>
      </c>
      <c r="D343" s="7" t="inlineStr">
        <is>
          <t>OPERACIONES</t>
        </is>
      </c>
      <c r="E343" s="7" t="inlineStr">
        <is>
          <t>REGIONAL BOGOTA</t>
        </is>
      </c>
      <c r="F343" s="7" t="inlineStr">
        <is>
          <t>BOGOTA CENTRO</t>
        </is>
      </c>
      <c r="G343" s="7" t="inlineStr">
        <is>
          <t>PRESENCIAL</t>
        </is>
      </c>
      <c r="H343" s="7" t="inlineStr">
        <is>
          <t>DOCENTE AUX/N/TC/EMPRENDIMIE/FUN.ACADE-ADMIN</t>
        </is>
      </c>
      <c r="I343" s="7" t="inlineStr">
        <is>
          <t>EMPRENDIMIENTO</t>
        </is>
      </c>
      <c r="J343" s="7" t="inlineStr">
        <is>
          <t>PLANTA</t>
        </is>
      </c>
      <c r="K343" s="7" t="inlineStr">
        <is>
          <t>MONICA SANCHEZ</t>
        </is>
      </c>
      <c r="L343" s="7" t="inlineStr">
        <is>
          <t>CONFIRMADO PRESENCIAL</t>
        </is>
      </c>
      <c r="M343" s="7" t="n">
        <v/>
      </c>
      <c r="N343" s="7" t="n">
        <v>3202362143</v>
      </c>
      <c r="O343" s="7" t="inlineStr">
        <is>
          <t>TATIANA.BM1222@GMAIL.COM</t>
        </is>
      </c>
      <c r="P343" s="7" t="inlineStr">
        <is>
          <t>BTA SEDE A</t>
        </is>
      </c>
      <c r="Q343" s="7" t="inlineStr">
        <is>
          <t>TRANSVERSALES</t>
        </is>
      </c>
      <c r="R343" s="7" t="n">
        <v>702</v>
      </c>
    </row>
    <row r="344" ht="20" customHeight="1">
      <c r="A344" s="3" t="inlineStr">
        <is>
          <t>1140844526</t>
        </is>
      </c>
      <c r="B344" s="4" t="inlineStr">
        <is>
          <t>PRESENCIAL REGIONAL</t>
        </is>
      </c>
      <c r="C344" s="4" t="inlineStr">
        <is>
          <t>JORGE ARTURO MENDOZA PERALTA</t>
        </is>
      </c>
      <c r="D344" s="4" t="inlineStr">
        <is>
          <t>OPERACIONES</t>
        </is>
      </c>
      <c r="E344" s="4" t="inlineStr">
        <is>
          <t>REGIONAL ATLANTICO</t>
        </is>
      </c>
      <c r="F344" s="4" t="inlineStr">
        <is>
          <t>BARRANQUILLA</t>
        </is>
      </c>
      <c r="G344" s="4" t="inlineStr">
        <is>
          <t>VIRTUAL</t>
        </is>
      </c>
      <c r="H344" s="4" t="inlineStr">
        <is>
          <t>DOC ASIS/N/V/TC/EMPRENDIMIENTO/FUN.ACADE-ADMIN</t>
        </is>
      </c>
      <c r="I344" s="4" t="inlineStr">
        <is>
          <t>EMPRENDIMIENTO</t>
        </is>
      </c>
      <c r="J344" s="4" t="inlineStr">
        <is>
          <t>PLANTA</t>
        </is>
      </c>
      <c r="K344" s="4" t="inlineStr">
        <is>
          <t>MONICA SANCHEZ</t>
        </is>
      </c>
      <c r="L344" s="4" t="inlineStr">
        <is>
          <t>CONFIRMADO PRESENCIAL</t>
        </is>
      </c>
      <c r="M344" s="4" t="n">
        <v/>
      </c>
      <c r="N344" s="4" t="n">
        <v>3006688991</v>
      </c>
      <c r="O344" s="4" t="inlineStr">
        <is>
          <t>jmendozap@outlook.es</t>
        </is>
      </c>
      <c r="P344" s="4" t="inlineStr">
        <is>
          <t>BQUILLA SEDE</t>
        </is>
      </c>
      <c r="Q344" s="4" t="inlineStr">
        <is>
          <t>TRANSVERSALES</t>
        </is>
      </c>
      <c r="R344" s="4" t="n">
        <v/>
      </c>
    </row>
    <row r="345" ht="20" customHeight="1">
      <c r="A345" s="6" t="inlineStr">
        <is>
          <t>1101758672</t>
        </is>
      </c>
      <c r="B345" s="7" t="inlineStr">
        <is>
          <t>VIRTUAL</t>
        </is>
      </c>
      <c r="C345" s="7" t="inlineStr">
        <is>
          <t>MARIA FERNANDA MATEUS ARIZA</t>
        </is>
      </c>
      <c r="D345" s="7" t="inlineStr">
        <is>
          <t>OPERACIONES</t>
        </is>
      </c>
      <c r="E345" s="7" t="inlineStr">
        <is>
          <t>REGIONAL SANTANDER</t>
        </is>
      </c>
      <c r="F345" s="7" t="inlineStr">
        <is>
          <t>BUCARAMANGA</t>
        </is>
      </c>
      <c r="G345" s="7" t="inlineStr">
        <is>
          <t>VIRTUAL</t>
        </is>
      </c>
      <c r="H345" s="7" t="inlineStr">
        <is>
          <t>DOC AUX T&amp;T/N/V/TC/EMPRENDIMIENTO/PROYECTO</t>
        </is>
      </c>
      <c r="I345" s="7" t="inlineStr">
        <is>
          <t>EMPRENDIMIENTO</t>
        </is>
      </c>
      <c r="J345" s="7" t="inlineStr">
        <is>
          <t>PLANTA</t>
        </is>
      </c>
      <c r="K345" s="7" t="inlineStr">
        <is>
          <t>MONICA SANCHEZ</t>
        </is>
      </c>
      <c r="L345" s="7" t="inlineStr">
        <is>
          <t>SIN RESPUESTA</t>
        </is>
      </c>
      <c r="M345" s="7" t="n">
        <v/>
      </c>
      <c r="N345" s="7" t="n">
        <v>3123735932</v>
      </c>
      <c r="O345" s="7" t="inlineStr">
        <is>
          <t>mafets1822@gmail.com</t>
        </is>
      </c>
      <c r="P345" s="7" t="inlineStr">
        <is>
          <t>BGA SEDE</t>
        </is>
      </c>
      <c r="Q345" s="7" t="inlineStr">
        <is>
          <t>TRANSVERSALES</t>
        </is>
      </c>
      <c r="R345" s="7" t="n">
        <v/>
      </c>
    </row>
    <row r="346" ht="20" customHeight="1">
      <c r="A346" s="3" t="inlineStr">
        <is>
          <t>1102860563</t>
        </is>
      </c>
      <c r="B346" s="4" t="inlineStr">
        <is>
          <t>PRESENCIAL REGIONAL</t>
        </is>
      </c>
      <c r="C346" s="4" t="inlineStr">
        <is>
          <t>RAFAEL EDUARDO PATERNINA DÍAZ</t>
        </is>
      </c>
      <c r="D346" s="4" t="inlineStr">
        <is>
          <t>OPERACIONES</t>
        </is>
      </c>
      <c r="E346" s="4" t="inlineStr">
        <is>
          <t>REGIONAL SUCRE</t>
        </is>
      </c>
      <c r="F346" s="4" t="inlineStr">
        <is>
          <t>SINCELEJO</t>
        </is>
      </c>
      <c r="G346" s="4" t="inlineStr">
        <is>
          <t>VIRTUAL</t>
        </is>
      </c>
      <c r="H346" s="4" t="inlineStr">
        <is>
          <t>DOC ASIS/N/V/TC/EMPRENDIMIENTO/FUN.ACADE-ADMIN</t>
        </is>
      </c>
      <c r="I346" s="4" t="inlineStr">
        <is>
          <t>EMPRENDIMIENTO</t>
        </is>
      </c>
      <c r="J346" s="4" t="inlineStr">
        <is>
          <t>PLANTA</t>
        </is>
      </c>
      <c r="K346" s="4" t="inlineStr">
        <is>
          <t>MONICA SANCHEZ</t>
        </is>
      </c>
      <c r="L346" s="4" t="inlineStr">
        <is>
          <t>CONFIRMADO PRESENCIAL</t>
        </is>
      </c>
      <c r="M346" s="4" t="n">
        <v/>
      </c>
      <c r="N346" s="4" t="n">
        <v>3122984076</v>
      </c>
      <c r="O346" s="4" t="inlineStr">
        <is>
          <t>rafaelunisucre@gmail.com</t>
        </is>
      </c>
      <c r="P346" s="4" t="inlineStr">
        <is>
          <t>SINCELEJO SEDE</t>
        </is>
      </c>
      <c r="Q346" s="4" t="inlineStr">
        <is>
          <t>TRANSVERSALES</t>
        </is>
      </c>
      <c r="R346" s="4" t="n">
        <v/>
      </c>
    </row>
    <row r="347" ht="20" customHeight="1">
      <c r="A347" s="6" t="inlineStr">
        <is>
          <t>1026577555</t>
        </is>
      </c>
      <c r="B347" s="7" t="inlineStr">
        <is>
          <t>PRESENCIAL BOGOTÁ</t>
        </is>
      </c>
      <c r="C347" s="7" t="inlineStr">
        <is>
          <t>ERIKA ORTIZ RODRIGUEZ</t>
        </is>
      </c>
      <c r="D347" s="7" t="inlineStr">
        <is>
          <t>OPERACIONES</t>
        </is>
      </c>
      <c r="E347" s="7" t="inlineStr">
        <is>
          <t>REGIONAL BOGOTA</t>
        </is>
      </c>
      <c r="F347" s="7" t="inlineStr">
        <is>
          <t>BOGOTA CENTRO</t>
        </is>
      </c>
      <c r="G347" s="7" t="inlineStr">
        <is>
          <t>PRESENCIAL</t>
        </is>
      </c>
      <c r="H347" s="7" t="inlineStr">
        <is>
          <t>DOCENTE AUX/N/TC/EMPRENDIMIE/FUN.ACADE-ADMIN</t>
        </is>
      </c>
      <c r="I347" s="7" t="inlineStr">
        <is>
          <t>EMPRENDIMIENTO</t>
        </is>
      </c>
      <c r="J347" s="7" t="inlineStr">
        <is>
          <t>PLANTA</t>
        </is>
      </c>
      <c r="K347" s="7" t="inlineStr">
        <is>
          <t>MONICA SANCHEZ</t>
        </is>
      </c>
      <c r="L347" s="7" t="inlineStr">
        <is>
          <t>CONFIRMADO PRESENCIAL</t>
        </is>
      </c>
      <c r="M347" s="7" t="n">
        <v/>
      </c>
      <c r="N347" s="7" t="n">
        <v>3143000315</v>
      </c>
      <c r="O347" s="7" t="inlineStr">
        <is>
          <t>erikaortiz.rodriguez@hotmail.com</t>
        </is>
      </c>
      <c r="P347" s="7" t="inlineStr">
        <is>
          <t>BTA SEDE A</t>
        </is>
      </c>
      <c r="Q347" s="7" t="inlineStr">
        <is>
          <t>TRANSVERSALES</t>
        </is>
      </c>
      <c r="R347" s="7" t="n">
        <v>702</v>
      </c>
    </row>
    <row r="348" ht="20" customHeight="1">
      <c r="A348" s="3" t="inlineStr">
        <is>
          <t>10305734</t>
        </is>
      </c>
      <c r="B348" s="4" t="inlineStr">
        <is>
          <t>VIRTUAL</t>
        </is>
      </c>
      <c r="C348" s="4" t="inlineStr">
        <is>
          <t>GUILLERMO ALBERTO RAMIREZ MEDINA</t>
        </is>
      </c>
      <c r="D348" s="4" t="inlineStr">
        <is>
          <t>OPERACIONES</t>
        </is>
      </c>
      <c r="E348" s="4" t="inlineStr">
        <is>
          <t>REGIONAL CAUCA</t>
        </is>
      </c>
      <c r="F348" s="4" t="inlineStr">
        <is>
          <t>POPAYAN</t>
        </is>
      </c>
      <c r="G348" s="4" t="inlineStr">
        <is>
          <t>VIRTUAL</t>
        </is>
      </c>
      <c r="H348" s="4" t="inlineStr">
        <is>
          <t>DOC ASIS/N/V/TC/EMPRENDIMIENTO/FUN.ACADE-ADMIN</t>
        </is>
      </c>
      <c r="I348" s="4" t="inlineStr">
        <is>
          <t>EMPRENDIMIENTO</t>
        </is>
      </c>
      <c r="J348" s="4" t="inlineStr">
        <is>
          <t>PLANTA</t>
        </is>
      </c>
      <c r="K348" s="4" t="inlineStr">
        <is>
          <t>MONICA SANCHEZ</t>
        </is>
      </c>
      <c r="L348" s="4" t="inlineStr">
        <is>
          <t>SIN RESPUESTA</t>
        </is>
      </c>
      <c r="M348" s="4" t="n">
        <v/>
      </c>
      <c r="N348" s="4" t="n">
        <v>3187125143</v>
      </c>
      <c r="O348" s="4" t="inlineStr">
        <is>
          <t>guillermo.ramirez284@gmail.com</t>
        </is>
      </c>
      <c r="P348" s="4" t="inlineStr">
        <is>
          <t>POPAYAN</t>
        </is>
      </c>
      <c r="Q348" s="4" t="inlineStr">
        <is>
          <t>TRANSVERSALES</t>
        </is>
      </c>
      <c r="R348" s="4" t="n">
        <v/>
      </c>
    </row>
    <row r="349" ht="20" customHeight="1">
      <c r="A349" s="6" t="inlineStr">
        <is>
          <t>1016025517</t>
        </is>
      </c>
      <c r="B349" s="7" t="inlineStr">
        <is>
          <t>PRESENCIAL BOGOTÁ</t>
        </is>
      </c>
      <c r="C349" s="7" t="inlineStr">
        <is>
          <t>JOHANNA BARRAGAN CUERVO</t>
        </is>
      </c>
      <c r="D349" s="7" t="inlineStr">
        <is>
          <t>OPERACIONES</t>
        </is>
      </c>
      <c r="E349" s="7" t="inlineStr">
        <is>
          <t>REGIONAL BOGOTA</t>
        </is>
      </c>
      <c r="F349" s="7" t="inlineStr">
        <is>
          <t>BOGOTA CENTRO</t>
        </is>
      </c>
      <c r="G349" s="7" t="inlineStr">
        <is>
          <t>VIRTUAL</t>
        </is>
      </c>
      <c r="H349" s="7" t="inlineStr">
        <is>
          <t>DOC ASIS/N/V/TC/EMPRENDIMIENTO/FUN.ACADE-ADMIN</t>
        </is>
      </c>
      <c r="I349" s="7" t="inlineStr">
        <is>
          <t>EMPRENDIMIENTO</t>
        </is>
      </c>
      <c r="J349" s="7" t="inlineStr">
        <is>
          <t>PLANTA</t>
        </is>
      </c>
      <c r="K349" s="7" t="inlineStr">
        <is>
          <t>MONICA SANCHEZ</t>
        </is>
      </c>
      <c r="L349" s="7" t="inlineStr">
        <is>
          <t>SIN RESPUESTA</t>
        </is>
      </c>
      <c r="M349" s="7" t="n">
        <v/>
      </c>
      <c r="N349" s="7" t="n">
        <v>3002031698</v>
      </c>
      <c r="O349" s="7" t="inlineStr">
        <is>
          <t>johannabarragancuervo@gmail.com</t>
        </is>
      </c>
      <c r="P349" s="7" t="inlineStr">
        <is>
          <t>BTA SEDE A</t>
        </is>
      </c>
      <c r="Q349" s="7" t="inlineStr">
        <is>
          <t>TRANSVERSALES</t>
        </is>
      </c>
      <c r="R349" s="7" t="n">
        <v>702</v>
      </c>
    </row>
    <row r="350" ht="20" customHeight="1">
      <c r="A350" s="3" t="inlineStr">
        <is>
          <t>1013610665</t>
        </is>
      </c>
      <c r="B350" s="4" t="inlineStr">
        <is>
          <t>PRESENCIAL BOGOTÁ</t>
        </is>
      </c>
      <c r="C350" s="4" t="inlineStr">
        <is>
          <t>LADY JOHANA MOYA BEDOYA</t>
        </is>
      </c>
      <c r="D350" s="4" t="inlineStr">
        <is>
          <t>OPERACIONES</t>
        </is>
      </c>
      <c r="E350" s="4" t="inlineStr">
        <is>
          <t>REGIONAL BOGOTA</t>
        </is>
      </c>
      <c r="F350" s="4" t="inlineStr">
        <is>
          <t>BOGOTA CENTRO</t>
        </is>
      </c>
      <c r="G350" s="4" t="inlineStr">
        <is>
          <t>VIRTUAL</t>
        </is>
      </c>
      <c r="H350" s="4" t="inlineStr">
        <is>
          <t>DOC AUX T&amp;T/N/V/TC/EMPRENDIMIENTO/FUN.ACADE-ADMIN</t>
        </is>
      </c>
      <c r="I350" s="4" t="inlineStr">
        <is>
          <t>EMPRENDIMIENTO</t>
        </is>
      </c>
      <c r="J350" s="4" t="inlineStr">
        <is>
          <t>PLANTA</t>
        </is>
      </c>
      <c r="K350" s="4" t="inlineStr">
        <is>
          <t>MONICA SANCHEZ</t>
        </is>
      </c>
      <c r="L350" s="4" t="inlineStr">
        <is>
          <t>SIN RESPUESTA</t>
        </is>
      </c>
      <c r="M350" s="4" t="n">
        <v/>
      </c>
      <c r="N350" s="4" t="n">
        <v>3134263370</v>
      </c>
      <c r="O350" s="4" t="inlineStr">
        <is>
          <t>ladymoya89@gmail.com</t>
        </is>
      </c>
      <c r="P350" s="4" t="inlineStr">
        <is>
          <t>BTA SEDE A</t>
        </is>
      </c>
      <c r="Q350" s="4" t="inlineStr">
        <is>
          <t>TRANSVERSALES</t>
        </is>
      </c>
      <c r="R350" s="4" t="n">
        <v>702</v>
      </c>
    </row>
    <row r="351" ht="20" customHeight="1">
      <c r="A351" s="6" t="inlineStr">
        <is>
          <t>80472066</t>
        </is>
      </c>
      <c r="B351" s="7" t="inlineStr">
        <is>
          <t>PRESENCIAL BOGOTÁ</t>
        </is>
      </c>
      <c r="C351" s="7" t="inlineStr">
        <is>
          <t>DANIEL HERNANDEZ GOMEZ</t>
        </is>
      </c>
      <c r="D351" s="7" t="inlineStr">
        <is>
          <t>OPERACIONES</t>
        </is>
      </c>
      <c r="E351" s="7" t="inlineStr">
        <is>
          <t>REGIONAL BOGOTA</t>
        </is>
      </c>
      <c r="F351" s="7" t="inlineStr">
        <is>
          <t>BOGOTA CENTRO</t>
        </is>
      </c>
      <c r="G351" s="7" t="inlineStr">
        <is>
          <t>VIRTUAL</t>
        </is>
      </c>
      <c r="H351" s="7" t="inlineStr">
        <is>
          <t>DOCENTE AUX/N/V/TC/EMPRENDIMIE/FUN.ACADE-ADMIN</t>
        </is>
      </c>
      <c r="I351" s="7" t="inlineStr">
        <is>
          <t>EMPRENDIMIENTO</t>
        </is>
      </c>
      <c r="J351" s="7" t="inlineStr">
        <is>
          <t>PLANTA</t>
        </is>
      </c>
      <c r="K351" s="7" t="inlineStr">
        <is>
          <t>MONICA SANCHEZ</t>
        </is>
      </c>
      <c r="L351" s="7" t="inlineStr">
        <is>
          <t>SIN RESPUESTA</t>
        </is>
      </c>
      <c r="M351" s="7" t="n">
        <v/>
      </c>
      <c r="N351" s="7" t="n">
        <v>3112363677</v>
      </c>
      <c r="O351" s="7" t="inlineStr">
        <is>
          <t>hergoz@gmail.com</t>
        </is>
      </c>
      <c r="P351" s="7" t="inlineStr">
        <is>
          <t>BTA SEDE A</t>
        </is>
      </c>
      <c r="Q351" s="7" t="inlineStr">
        <is>
          <t>TRANSVERSALES</t>
        </is>
      </c>
      <c r="R351" s="7" t="n">
        <v>702</v>
      </c>
    </row>
    <row r="352" ht="20" customHeight="1">
      <c r="A352" s="3" t="inlineStr">
        <is>
          <t>80158429</t>
        </is>
      </c>
      <c r="B352" s="4" t="inlineStr">
        <is>
          <t>PRESENCIAL BOGOTÁ</t>
        </is>
      </c>
      <c r="C352" s="4" t="inlineStr">
        <is>
          <t>MICHAEL LEONARDO BOHORQUEZ GUZMAN</t>
        </is>
      </c>
      <c r="D352" s="4" t="inlineStr">
        <is>
          <t>OPERACIONES</t>
        </is>
      </c>
      <c r="E352" s="4" t="inlineStr">
        <is>
          <t>REGIONAL BOGOTA</t>
        </is>
      </c>
      <c r="F352" s="4" t="inlineStr">
        <is>
          <t>BOGOTA CENTRO</t>
        </is>
      </c>
      <c r="G352" s="4" t="inlineStr">
        <is>
          <t>VIRTUAL</t>
        </is>
      </c>
      <c r="H352" s="4" t="inlineStr">
        <is>
          <t>DOC AUX/N/V/TC/EMPRENDIMIE/FUN.ACADE-ADMIN</t>
        </is>
      </c>
      <c r="I352" s="4" t="inlineStr">
        <is>
          <t>EMPRENDIMIENTO</t>
        </is>
      </c>
      <c r="J352" s="4" t="inlineStr">
        <is>
          <t>PLANTA</t>
        </is>
      </c>
      <c r="K352" s="4" t="inlineStr">
        <is>
          <t>MONICA SANCHEZ</t>
        </is>
      </c>
      <c r="L352" s="4" t="inlineStr">
        <is>
          <t>CONFIRMADO PRESENCIAL</t>
        </is>
      </c>
      <c r="M352" s="4" t="n">
        <v/>
      </c>
      <c r="N352" s="4" t="n">
        <v>3153898650</v>
      </c>
      <c r="O352" s="4" t="inlineStr">
        <is>
          <t>michaelbohorquez28@gmail.com</t>
        </is>
      </c>
      <c r="P352" s="4" t="inlineStr">
        <is>
          <t>BTA SEDE A</t>
        </is>
      </c>
      <c r="Q352" s="4" t="inlineStr">
        <is>
          <t>TRANSVERSALES</t>
        </is>
      </c>
      <c r="R352" s="4" t="n">
        <v>702</v>
      </c>
    </row>
    <row r="353" ht="20" customHeight="1">
      <c r="A353" s="6" t="inlineStr">
        <is>
          <t>1075233261</t>
        </is>
      </c>
      <c r="B353" s="7" t="inlineStr">
        <is>
          <t>PRESENCIAL REGIONAL</t>
        </is>
      </c>
      <c r="C353" s="7" t="inlineStr">
        <is>
          <t>FARID ANDRES GRANADOS AYA</t>
        </is>
      </c>
      <c r="D353" s="7" t="inlineStr">
        <is>
          <t>OPERACIONES</t>
        </is>
      </c>
      <c r="E353" s="7" t="inlineStr">
        <is>
          <t>REGIONAL HUILA</t>
        </is>
      </c>
      <c r="F353" s="7" t="inlineStr">
        <is>
          <t>NEIVA</t>
        </is>
      </c>
      <c r="G353" s="7" t="inlineStr">
        <is>
          <t>VIRTUAL</t>
        </is>
      </c>
      <c r="H353" s="7" t="inlineStr">
        <is>
          <t>DOC ASIS/N/V/TC/EMPRENDIMIENTO/FUN.ACADE-ADMIN</t>
        </is>
      </c>
      <c r="I353" s="7" t="inlineStr">
        <is>
          <t>EMPRENDIMIENTO</t>
        </is>
      </c>
      <c r="J353" s="7" t="inlineStr">
        <is>
          <t>PLANTA</t>
        </is>
      </c>
      <c r="K353" s="7" t="inlineStr">
        <is>
          <t>MONICA SANCHEZ</t>
        </is>
      </c>
      <c r="L353" s="7" t="inlineStr">
        <is>
          <t>SIN RESPUESTA</t>
        </is>
      </c>
      <c r="M353" s="7" t="n">
        <v/>
      </c>
      <c r="N353" s="7" t="n">
        <v>3176813102</v>
      </c>
      <c r="O353" s="7" t="inlineStr">
        <is>
          <t>andresgranadosaya@gmail.com</t>
        </is>
      </c>
      <c r="P353" s="7" t="inlineStr">
        <is>
          <t>NEIVA SEDE</t>
        </is>
      </c>
      <c r="Q353" s="7" t="inlineStr">
        <is>
          <t>TRANSVERSALES</t>
        </is>
      </c>
      <c r="R353" s="7" t="n">
        <v/>
      </c>
    </row>
    <row r="354" ht="20" customHeight="1">
      <c r="A354" s="3" t="inlineStr">
        <is>
          <t>52982664</t>
        </is>
      </c>
      <c r="B354" s="4" t="inlineStr">
        <is>
          <t>PRESENCIAL BOGOTÁ</t>
        </is>
      </c>
      <c r="C354" s="4" t="inlineStr">
        <is>
          <t>CAROLINA MORA OSPINA</t>
        </is>
      </c>
      <c r="D354" s="4" t="inlineStr">
        <is>
          <t>OPERACIONES</t>
        </is>
      </c>
      <c r="E354" s="4" t="inlineStr">
        <is>
          <t>REGIONAL BOGOTA</t>
        </is>
      </c>
      <c r="F354" s="4" t="inlineStr">
        <is>
          <t>BOGOTA CENTRO</t>
        </is>
      </c>
      <c r="G354" s="4" t="inlineStr">
        <is>
          <t>VIRTUAL</t>
        </is>
      </c>
      <c r="H354" s="4" t="inlineStr">
        <is>
          <t>DOC ASIS/N/V/TC/EMPRENDIMIENTO/FUN.ACADE-ADMIN</t>
        </is>
      </c>
      <c r="I354" s="4" t="inlineStr">
        <is>
          <t>EMPRENDIMIENTO</t>
        </is>
      </c>
      <c r="J354" s="4" t="inlineStr">
        <is>
          <t>PLANTA</t>
        </is>
      </c>
      <c r="K354" s="4" t="inlineStr">
        <is>
          <t>MONICA SANCHEZ</t>
        </is>
      </c>
      <c r="L354" s="4" t="inlineStr">
        <is>
          <t>SIN RESPUESTA</t>
        </is>
      </c>
      <c r="M354" s="4" t="n">
        <v/>
      </c>
      <c r="N354" s="4" t="n">
        <v>3204570622</v>
      </c>
      <c r="O354" s="4" t="inlineStr">
        <is>
          <t>caritomorao@gmail.com</t>
        </is>
      </c>
      <c r="P354" s="4" t="inlineStr">
        <is>
          <t>BTA SEDE A</t>
        </is>
      </c>
      <c r="Q354" s="4" t="inlineStr">
        <is>
          <t>TRANSVERSALES</t>
        </is>
      </c>
      <c r="R354" s="4" t="n">
        <v>702</v>
      </c>
    </row>
    <row r="355" ht="20" customHeight="1">
      <c r="A355" s="6" t="inlineStr">
        <is>
          <t>38212384</t>
        </is>
      </c>
      <c r="B355" s="7" t="inlineStr">
        <is>
          <t>PRESENCIAL BOGOTÁ</t>
        </is>
      </c>
      <c r="C355" s="7" t="inlineStr">
        <is>
          <t>DIANA LUCIA ECHEVERRY SARMIENTO</t>
        </is>
      </c>
      <c r="D355" s="7" t="inlineStr">
        <is>
          <t>OPERACIONES</t>
        </is>
      </c>
      <c r="E355" s="7" t="inlineStr">
        <is>
          <t>REGIONAL BOGOTA</t>
        </is>
      </c>
      <c r="F355" s="7" t="inlineStr">
        <is>
          <t>BOGOTA CENTRO</t>
        </is>
      </c>
      <c r="G355" s="7" t="inlineStr">
        <is>
          <t>PRESENCIAL</t>
        </is>
      </c>
      <c r="H355" s="7" t="inlineStr">
        <is>
          <t>DOCENTE ASIS/N/TC/EMPRENDIMIE/FUN.ACADE-ADMIN</t>
        </is>
      </c>
      <c r="I355" s="7" t="inlineStr">
        <is>
          <t>EMPRENDIMIENTO</t>
        </is>
      </c>
      <c r="J355" s="7" t="inlineStr">
        <is>
          <t>PLANTA</t>
        </is>
      </c>
      <c r="K355" s="7" t="inlineStr">
        <is>
          <t>MONICA SANCHEZ</t>
        </is>
      </c>
      <c r="L355" s="7" t="inlineStr">
        <is>
          <t>CONFIRMADO PRESENCIAL</t>
        </is>
      </c>
      <c r="M355" s="7" t="n">
        <v/>
      </c>
      <c r="N355" s="7" t="n">
        <v>3013460926</v>
      </c>
      <c r="O355" s="7" t="inlineStr">
        <is>
          <t>diecheverry@gmail.com</t>
        </is>
      </c>
      <c r="P355" s="7" t="inlineStr">
        <is>
          <t>BTA SEDE A</t>
        </is>
      </c>
      <c r="Q355" s="7" t="inlineStr">
        <is>
          <t>TRANSVERSALES</t>
        </is>
      </c>
      <c r="R355" s="7" t="n">
        <v>702</v>
      </c>
    </row>
    <row r="356" ht="20" customHeight="1">
      <c r="A356" s="3" t="inlineStr">
        <is>
          <t>1022438374</t>
        </is>
      </c>
      <c r="B356" s="4" t="inlineStr">
        <is>
          <t>VIRTUAL</t>
        </is>
      </c>
      <c r="C356" s="4" t="inlineStr">
        <is>
          <t>ANGIE KATERIN FUENTES RODRIGUEZ</t>
        </is>
      </c>
      <c r="D356" s="4" t="inlineStr">
        <is>
          <t>OPERACIONES</t>
        </is>
      </c>
      <c r="E356" s="4" t="inlineStr">
        <is>
          <t>REGIONAL CUNDINAMARCA</t>
        </is>
      </c>
      <c r="F356" s="4" t="inlineStr">
        <is>
          <t>CHÍA</t>
        </is>
      </c>
      <c r="G356" s="4" t="inlineStr">
        <is>
          <t>VIRTUAL</t>
        </is>
      </c>
      <c r="H356" s="4" t="inlineStr">
        <is>
          <t>DOC AUX/N/V/TC/EMPRENDIMIE/FUN.ACADE-ADMIN</t>
        </is>
      </c>
      <c r="I356" s="4" t="inlineStr">
        <is>
          <t>EMPRENDIMIENTO</t>
        </is>
      </c>
      <c r="J356" s="4" t="inlineStr">
        <is>
          <t>PLANTA</t>
        </is>
      </c>
      <c r="K356" s="4" t="inlineStr">
        <is>
          <t>MONICA SANCHEZ</t>
        </is>
      </c>
      <c r="L356" s="4" t="inlineStr">
        <is>
          <t>CONFIRMADO VIRTUAL</t>
        </is>
      </c>
      <c r="M356" s="4" t="n">
        <v/>
      </c>
      <c r="N356" s="4" t="n">
        <v>3155421761</v>
      </c>
      <c r="O356" s="4" t="inlineStr">
        <is>
          <t>katerinfuentes56@gmail.com</t>
        </is>
      </c>
      <c r="P356" s="4" t="inlineStr">
        <is>
          <t>CHIA SEDE</t>
        </is>
      </c>
      <c r="Q356" s="4" t="inlineStr">
        <is>
          <t>TRANSVERSALES</t>
        </is>
      </c>
      <c r="R356" s="4" t="n">
        <v/>
      </c>
    </row>
    <row r="357" ht="20" customHeight="1">
      <c r="A357" s="6" t="inlineStr">
        <is>
          <t>52086893</t>
        </is>
      </c>
      <c r="B357" s="7" t="inlineStr">
        <is>
          <t>PRESENCIAL BOGOTÁ</t>
        </is>
      </c>
      <c r="C357" s="7" t="inlineStr">
        <is>
          <t>PAULA ANDREA BARBOSA RODRIGUEZ</t>
        </is>
      </c>
      <c r="D357" s="7" t="inlineStr">
        <is>
          <t>OPERACIONES</t>
        </is>
      </c>
      <c r="E357" s="7" t="inlineStr">
        <is>
          <t>REGIONAL BOGOTA</t>
        </is>
      </c>
      <c r="F357" s="7" t="inlineStr">
        <is>
          <t>BOGOTA CENTRO</t>
        </is>
      </c>
      <c r="G357" s="7" t="inlineStr">
        <is>
          <t>VIRTUAL</t>
        </is>
      </c>
      <c r="H357" s="7" t="inlineStr">
        <is>
          <t>DOC AUX/N/V/TC/EMPRENDIMIE/FUN.ACADE-ADMIN</t>
        </is>
      </c>
      <c r="I357" s="7" t="inlineStr">
        <is>
          <t>EMPRENDIMIENTO</t>
        </is>
      </c>
      <c r="J357" s="7" t="inlineStr">
        <is>
          <t>PLANTA</t>
        </is>
      </c>
      <c r="K357" s="7" t="inlineStr">
        <is>
          <t>MONICA SANCHEZ</t>
        </is>
      </c>
      <c r="L357" s="7" t="inlineStr">
        <is>
          <t>SIN RESPUESTA</t>
        </is>
      </c>
      <c r="M357" s="7" t="inlineStr">
        <is>
          <t>Celular apagado siempre</t>
        </is>
      </c>
      <c r="N357" s="7" t="n">
        <v>3219677146</v>
      </c>
      <c r="O357" s="7" t="inlineStr">
        <is>
          <t>ingeniera.paulabarbosa@gmail.com</t>
        </is>
      </c>
      <c r="P357" s="7" t="inlineStr">
        <is>
          <t>BTA SEDE A</t>
        </is>
      </c>
      <c r="Q357" s="7" t="inlineStr">
        <is>
          <t>TRANSVERSALES</t>
        </is>
      </c>
      <c r="R357" s="7" t="n">
        <v>702</v>
      </c>
    </row>
    <row r="358" ht="20" customHeight="1">
      <c r="A358" s="3" t="inlineStr">
        <is>
          <t>1073246656</t>
        </is>
      </c>
      <c r="B358" s="4" t="inlineStr">
        <is>
          <t>VIRTUAL</t>
        </is>
      </c>
      <c r="C358" s="4" t="inlineStr">
        <is>
          <t>JULIAN ANDRES CORDERO MARTINEZ</t>
        </is>
      </c>
      <c r="D358" s="4" t="inlineStr">
        <is>
          <t>OPERACIONES</t>
        </is>
      </c>
      <c r="E358" s="4" t="inlineStr">
        <is>
          <t>REGIONAL CUNDINAMARCA</t>
        </is>
      </c>
      <c r="F358" s="4" t="inlineStr">
        <is>
          <t>MOSQUERA</t>
        </is>
      </c>
      <c r="G358" s="4" t="inlineStr">
        <is>
          <t>PRESENCIAL</t>
        </is>
      </c>
      <c r="H358" s="4" t="inlineStr">
        <is>
          <t>DOC AUX T&amp;T/N/TC/EMPRENDIMIE/FUN.ACADE-ADMIN</t>
        </is>
      </c>
      <c r="I358" s="4" t="inlineStr">
        <is>
          <t>EMPRENDIMIENTO</t>
        </is>
      </c>
      <c r="J358" s="4" t="inlineStr">
        <is>
          <t>PLANTA</t>
        </is>
      </c>
      <c r="K358" s="4" t="inlineStr">
        <is>
          <t>MONICA SANCHEZ</t>
        </is>
      </c>
      <c r="L358" s="4" t="inlineStr">
        <is>
          <t>SIN RESPUESTA</t>
        </is>
      </c>
      <c r="M358" s="4" t="n">
        <v/>
      </c>
      <c r="N358" s="4" t="n">
        <v>3112494547</v>
      </c>
      <c r="O358" s="4" t="inlineStr">
        <is>
          <t>JACORMAZ10@GMAIL.COM</t>
        </is>
      </c>
      <c r="P358" s="4" t="inlineStr">
        <is>
          <t>MOSQUERA SEDE</t>
        </is>
      </c>
      <c r="Q358" s="4" t="inlineStr">
        <is>
          <t>TRANSVERSALES</t>
        </is>
      </c>
      <c r="R358" s="4" t="n">
        <v/>
      </c>
    </row>
    <row r="359" ht="20" customHeight="1">
      <c r="A359" s="6" t="inlineStr">
        <is>
          <t>1023001074</t>
        </is>
      </c>
      <c r="B359" s="7" t="inlineStr">
        <is>
          <t>PRESENCIAL BOGOTÁ</t>
        </is>
      </c>
      <c r="C359" s="7" t="inlineStr">
        <is>
          <t>JENNIFER PAOLA GARAVIÑO GARZON</t>
        </is>
      </c>
      <c r="D359" s="7" t="inlineStr">
        <is>
          <t>OPERACIONES</t>
        </is>
      </c>
      <c r="E359" s="7" t="inlineStr">
        <is>
          <t>REGIONAL BOGOTA</t>
        </is>
      </c>
      <c r="F359" s="7" t="inlineStr">
        <is>
          <t>BOGOTA CENTRO</t>
        </is>
      </c>
      <c r="G359" s="7" t="inlineStr">
        <is>
          <t>PRESENCIAL</t>
        </is>
      </c>
      <c r="H359" s="7" t="inlineStr">
        <is>
          <t>DOC AUX T&amp;T/N/TC/EMPRENDIMIE/FUN.ACADE-ADMIN</t>
        </is>
      </c>
      <c r="I359" s="7" t="inlineStr">
        <is>
          <t>EMPRENDIMIENTO</t>
        </is>
      </c>
      <c r="J359" s="7" t="inlineStr">
        <is>
          <t>PLANTA</t>
        </is>
      </c>
      <c r="K359" s="7" t="inlineStr">
        <is>
          <t>MONICA SANCHEZ</t>
        </is>
      </c>
      <c r="L359" s="7" t="inlineStr">
        <is>
          <t>SIN RESPUESTA</t>
        </is>
      </c>
      <c r="M359" s="7" t="n">
        <v/>
      </c>
      <c r="N359" s="7" t="n">
        <v>3006831159</v>
      </c>
      <c r="O359" s="7" t="inlineStr">
        <is>
          <t>je.nifer13@outlook.com</t>
        </is>
      </c>
      <c r="P359" s="7" t="inlineStr">
        <is>
          <t>BTA SEDE A</t>
        </is>
      </c>
      <c r="Q359" s="7" t="inlineStr">
        <is>
          <t>TRANSVERSALES</t>
        </is>
      </c>
      <c r="R359" s="7" t="n">
        <v>702</v>
      </c>
    </row>
    <row r="360" ht="20" customHeight="1">
      <c r="A360" s="3" t="inlineStr">
        <is>
          <t>52818298</t>
        </is>
      </c>
      <c r="B360" s="4" t="inlineStr">
        <is>
          <t>PRESENCIAL BOGOTÁ</t>
        </is>
      </c>
      <c r="C360" s="4" t="inlineStr">
        <is>
          <t>ANGELICA ROCIO GOMEZ ROBAYO</t>
        </is>
      </c>
      <c r="D360" s="4" t="inlineStr">
        <is>
          <t>OPERACIONES</t>
        </is>
      </c>
      <c r="E360" s="4" t="inlineStr">
        <is>
          <t>REGIONAL BOGOTA</t>
        </is>
      </c>
      <c r="F360" s="4" t="inlineStr">
        <is>
          <t>BOGOTA CENTRO</t>
        </is>
      </c>
      <c r="G360" s="4" t="inlineStr">
        <is>
          <t>VIRTUAL</t>
        </is>
      </c>
      <c r="H360" s="4" t="inlineStr">
        <is>
          <t>DOC ASIS/N/V/TC/EMPRENDIMIENTO/FUN.ACADE-ADMIN</t>
        </is>
      </c>
      <c r="I360" s="4" t="inlineStr">
        <is>
          <t>EMPRENDIMIENTO</t>
        </is>
      </c>
      <c r="J360" s="4" t="inlineStr">
        <is>
          <t>PLANTA</t>
        </is>
      </c>
      <c r="K360" s="4" t="inlineStr">
        <is>
          <t>MONICA SANCHEZ</t>
        </is>
      </c>
      <c r="L360" s="4" t="inlineStr">
        <is>
          <t>SIN RESPUESTA</t>
        </is>
      </c>
      <c r="M360" s="4" t="n">
        <v/>
      </c>
      <c r="N360" s="4" t="n">
        <v>3123887533</v>
      </c>
      <c r="O360" s="4" t="inlineStr">
        <is>
          <t>angelicar.gomezr@gmail.com</t>
        </is>
      </c>
      <c r="P360" s="4" t="inlineStr">
        <is>
          <t>BTA SEDE A</t>
        </is>
      </c>
      <c r="Q360" s="4" t="inlineStr">
        <is>
          <t>TRANSVERSALES</t>
        </is>
      </c>
      <c r="R360" s="4" t="n">
        <v>702</v>
      </c>
    </row>
    <row r="361" ht="20" customHeight="1">
      <c r="A361" s="6" t="inlineStr">
        <is>
          <t>1098795736</t>
        </is>
      </c>
      <c r="B361" s="7" t="inlineStr">
        <is>
          <t>PRESENCIAL BOGOTÁ</t>
        </is>
      </c>
      <c r="C361" s="7" t="inlineStr">
        <is>
          <t>HENRY ANDRES GOMEZ RAMIREZ</t>
        </is>
      </c>
      <c r="D361" s="7" t="inlineStr">
        <is>
          <t>OPERACIONES</t>
        </is>
      </c>
      <c r="E361" s="7" t="inlineStr">
        <is>
          <t>REGIONAL BOGOTA</t>
        </is>
      </c>
      <c r="F361" s="7" t="inlineStr">
        <is>
          <t>BOGOTA CENTRO</t>
        </is>
      </c>
      <c r="G361" s="7" t="inlineStr">
        <is>
          <t>PRESENCIAL</t>
        </is>
      </c>
      <c r="H361" s="7" t="inlineStr">
        <is>
          <t>DOCENTE ASIS/N/MT/EMPRENDIMIE</t>
        </is>
      </c>
      <c r="I361" s="7" t="inlineStr">
        <is>
          <t>EMPRENDIMIENTO</t>
        </is>
      </c>
      <c r="J361" s="7" t="inlineStr">
        <is>
          <t>PLANTA</t>
        </is>
      </c>
      <c r="K361" s="7" t="inlineStr">
        <is>
          <t>MONICA SANCHEZ</t>
        </is>
      </c>
      <c r="L361" s="7" t="inlineStr">
        <is>
          <t>CONFIRMADO PRESENCIAL</t>
        </is>
      </c>
      <c r="M361" s="7" t="n">
        <v/>
      </c>
      <c r="N361" s="7" t="n">
        <v>3122273520</v>
      </c>
      <c r="O361" s="7" t="inlineStr">
        <is>
          <t>henryan.gomez@urosario.edu.co</t>
        </is>
      </c>
      <c r="P361" s="7" t="inlineStr">
        <is>
          <t>BTA SEDE J</t>
        </is>
      </c>
      <c r="Q361" s="7" t="inlineStr">
        <is>
          <t>TRANSVERSALES</t>
        </is>
      </c>
      <c r="R361" s="7" t="n">
        <v>702</v>
      </c>
    </row>
    <row r="362" ht="20" customHeight="1">
      <c r="A362" s="3" t="inlineStr">
        <is>
          <t>1018423290</t>
        </is>
      </c>
      <c r="B362" s="4" t="inlineStr">
        <is>
          <t>PRESENCIAL REGIONAL</t>
        </is>
      </c>
      <c r="C362" s="4" t="inlineStr">
        <is>
          <t>SERGIO ALFONSO PARRA SANCHEZ</t>
        </is>
      </c>
      <c r="D362" s="4" t="inlineStr">
        <is>
          <t>OPERACIONES</t>
        </is>
      </c>
      <c r="E362" s="4" t="inlineStr">
        <is>
          <t>REGIONAL TOLIMA</t>
        </is>
      </c>
      <c r="F362" s="4" t="inlineStr">
        <is>
          <t>IBAGUÉ</t>
        </is>
      </c>
      <c r="G362" s="4" t="inlineStr">
        <is>
          <t>PRESENCIAL</t>
        </is>
      </c>
      <c r="H362" s="4" t="inlineStr">
        <is>
          <t>DOC AUX T&amp;T/N/TC/EMPRENDIMIE/FUN.ACADE-ADMIN</t>
        </is>
      </c>
      <c r="I362" s="4" t="inlineStr">
        <is>
          <t>EMPRENDIMIENTO</t>
        </is>
      </c>
      <c r="J362" s="4" t="inlineStr">
        <is>
          <t>PLANTA</t>
        </is>
      </c>
      <c r="K362" s="4" t="inlineStr">
        <is>
          <t>MONICA SANCHEZ</t>
        </is>
      </c>
      <c r="L362" s="4" t="inlineStr">
        <is>
          <t>SIN RESPUESTA</t>
        </is>
      </c>
      <c r="M362" s="4" t="n">
        <v/>
      </c>
      <c r="N362" s="4" t="n">
        <v>3102596111</v>
      </c>
      <c r="O362" s="4" t="inlineStr">
        <is>
          <t>sergio.l1015@hotmail.com</t>
        </is>
      </c>
      <c r="P362" s="4" t="inlineStr">
        <is>
          <t>IBAGUE SEDE</t>
        </is>
      </c>
      <c r="Q362" s="4" t="inlineStr">
        <is>
          <t>TRANSVERSALES</t>
        </is>
      </c>
      <c r="R362" s="4" t="n">
        <v/>
      </c>
    </row>
    <row r="363" ht="20" customHeight="1">
      <c r="A363" s="6" t="inlineStr">
        <is>
          <t>1020752802</t>
        </is>
      </c>
      <c r="B363" s="7" t="inlineStr">
        <is>
          <t>PRESENCIAL BOGOTÁ</t>
        </is>
      </c>
      <c r="C363" s="7" t="inlineStr">
        <is>
          <t>CRISTOBAL GOMEZ REINA</t>
        </is>
      </c>
      <c r="D363" s="7" t="inlineStr">
        <is>
          <t>OPERACIONES</t>
        </is>
      </c>
      <c r="E363" s="7" t="inlineStr">
        <is>
          <t>REGIONAL BOGOTA</t>
        </is>
      </c>
      <c r="F363" s="7" t="inlineStr">
        <is>
          <t>BOGOTA CENTRO</t>
        </is>
      </c>
      <c r="G363" s="7" t="inlineStr">
        <is>
          <t>PRESENCIAL</t>
        </is>
      </c>
      <c r="H363" s="7" t="inlineStr">
        <is>
          <t>DOC AUX T&amp;T/N/TC/EMPRENDIMIE/FUN.ACADE-ADMIN</t>
        </is>
      </c>
      <c r="I363" s="7" t="inlineStr">
        <is>
          <t>EMPRENDIMIENTO</t>
        </is>
      </c>
      <c r="J363" s="7" t="inlineStr">
        <is>
          <t>PLANTA</t>
        </is>
      </c>
      <c r="K363" s="7" t="inlineStr">
        <is>
          <t>MONICA SANCHEZ</t>
        </is>
      </c>
      <c r="L363" s="7" t="inlineStr">
        <is>
          <t>SIN RESPUESTA</t>
        </is>
      </c>
      <c r="M363" s="7" t="n">
        <v/>
      </c>
      <c r="N363" s="7" t="n">
        <v>3053184333</v>
      </c>
      <c r="O363" s="7" t="inlineStr">
        <is>
          <t>cristobalgr2025@gmail.com</t>
        </is>
      </c>
      <c r="P363" s="7" t="inlineStr">
        <is>
          <t>BTA SEDE J</t>
        </is>
      </c>
      <c r="Q363" s="7" t="inlineStr">
        <is>
          <t>TRANSVERSALES</t>
        </is>
      </c>
      <c r="R363" s="7" t="n">
        <v>702</v>
      </c>
    </row>
    <row r="364" ht="20" customHeight="1">
      <c r="A364" s="3" t="inlineStr">
        <is>
          <t>1105676701</t>
        </is>
      </c>
      <c r="B364" s="4" t="inlineStr">
        <is>
          <t>PRESENCIAL BOGOTÁ</t>
        </is>
      </c>
      <c r="C364" s="4" t="inlineStr">
        <is>
          <t>JUAN SEBASTIAN CESPEDES RODRIGUEZ</t>
        </is>
      </c>
      <c r="D364" s="4" t="inlineStr">
        <is>
          <t>OPERACIONES</t>
        </is>
      </c>
      <c r="E364" s="4" t="inlineStr">
        <is>
          <t>REGIONAL BOGOTA</t>
        </is>
      </c>
      <c r="F364" s="4" t="inlineStr">
        <is>
          <t>BOGOTA CENTRO</t>
        </is>
      </c>
      <c r="G364" s="4" t="inlineStr">
        <is>
          <t>PRESENCIAL</t>
        </is>
      </c>
      <c r="H364" s="4" t="inlineStr">
        <is>
          <t>DOC AUX T&amp;T/N/TC/EMPRENDIMIE/FUN.ACADE-ADMIN</t>
        </is>
      </c>
      <c r="I364" s="4" t="inlineStr">
        <is>
          <t>EMPRENDIMIENTO</t>
        </is>
      </c>
      <c r="J364" s="4" t="inlineStr">
        <is>
          <t>PLANTA</t>
        </is>
      </c>
      <c r="K364" s="4" t="inlineStr">
        <is>
          <t>MONICA SANCHEZ</t>
        </is>
      </c>
      <c r="L364" s="4" t="inlineStr">
        <is>
          <t>SIN RESPUESTA</t>
        </is>
      </c>
      <c r="M364" s="4" t="n">
        <v/>
      </c>
      <c r="N364" s="4" t="n">
        <v>3145978781</v>
      </c>
      <c r="O364" s="4" t="inlineStr">
        <is>
          <t>jsebastian512@gmail.com</t>
        </is>
      </c>
      <c r="P364" s="4" t="inlineStr">
        <is>
          <t>BTA SEDE J</t>
        </is>
      </c>
      <c r="Q364" s="4" t="inlineStr">
        <is>
          <t>TRANSVERSALES</t>
        </is>
      </c>
      <c r="R364" s="4" t="n">
        <v>702</v>
      </c>
    </row>
    <row r="365" ht="20" customHeight="1">
      <c r="A365" s="6" t="inlineStr">
        <is>
          <t>1053330697</t>
        </is>
      </c>
      <c r="B365" s="7" t="inlineStr">
        <is>
          <t>PRESENCIAL BOGOTÁ</t>
        </is>
      </c>
      <c r="C365" s="7" t="inlineStr">
        <is>
          <t>WILLIAM FERNANDO MARIN CHAVEZ</t>
        </is>
      </c>
      <c r="D365" s="7" t="inlineStr">
        <is>
          <t>OPERACIONES</t>
        </is>
      </c>
      <c r="E365" s="7" t="inlineStr">
        <is>
          <t>REGIONAL BOGOTA</t>
        </is>
      </c>
      <c r="F365" s="7" t="inlineStr">
        <is>
          <t>BOGOTA CENTRO</t>
        </is>
      </c>
      <c r="G365" s="7" t="inlineStr">
        <is>
          <t>PRESENCIAL</t>
        </is>
      </c>
      <c r="H365" s="7" t="inlineStr">
        <is>
          <t>DOCENTE ASIS/N/TC/EMPRENDIMIE/FUN.ACADE-ADMIN</t>
        </is>
      </c>
      <c r="I365" s="7" t="inlineStr">
        <is>
          <t>EMPRENDIMIENTO</t>
        </is>
      </c>
      <c r="J365" s="7" t="inlineStr">
        <is>
          <t>PLANTA</t>
        </is>
      </c>
      <c r="K365" s="7" t="inlineStr">
        <is>
          <t>MONICA SANCHEZ</t>
        </is>
      </c>
      <c r="L365" s="7" t="inlineStr">
        <is>
          <t>CONFIRMADO PRESENCIAL</t>
        </is>
      </c>
      <c r="M365" s="7" t="n">
        <v/>
      </c>
      <c r="N365" s="7" t="n">
        <v>3112524179</v>
      </c>
      <c r="O365" s="7" t="inlineStr">
        <is>
          <t>fernandomarinchavez.015@gmail.com</t>
        </is>
      </c>
      <c r="P365" s="7" t="inlineStr">
        <is>
          <t>BTA SEDE A</t>
        </is>
      </c>
      <c r="Q365" s="7" t="inlineStr">
        <is>
          <t>TRANSVERSALES</t>
        </is>
      </c>
      <c r="R365" s="7" t="n">
        <v>702</v>
      </c>
    </row>
    <row r="366" ht="20" customHeight="1">
      <c r="A366" s="3" t="inlineStr">
        <is>
          <t>1013588243</t>
        </is>
      </c>
      <c r="B366" s="4" t="inlineStr">
        <is>
          <t>PRESENCIAL BOGOTÁ</t>
        </is>
      </c>
      <c r="C366" s="4" t="inlineStr">
        <is>
          <t>MANUEL LEONARDO LAVERDE DONOSO</t>
        </is>
      </c>
      <c r="D366" s="4" t="inlineStr">
        <is>
          <t>OPERACIONES</t>
        </is>
      </c>
      <c r="E366" s="4" t="inlineStr">
        <is>
          <t>REGIONAL BOGOTA</t>
        </is>
      </c>
      <c r="F366" s="4" t="inlineStr">
        <is>
          <t>BOGOTA CENTRO</t>
        </is>
      </c>
      <c r="G366" s="4" t="inlineStr">
        <is>
          <t>PRESENCIAL</t>
        </is>
      </c>
      <c r="H366" s="4" t="inlineStr">
        <is>
          <t>DOC AUX T&amp;T/N/TC/EMPRENDIMIE/FUN.ACADE-ADMIN</t>
        </is>
      </c>
      <c r="I366" s="4" t="inlineStr">
        <is>
          <t>EMPRENDIMIENTO</t>
        </is>
      </c>
      <c r="J366" s="4" t="inlineStr">
        <is>
          <t>PLANTA</t>
        </is>
      </c>
      <c r="K366" s="4" t="inlineStr">
        <is>
          <t>MONICA SANCHEZ</t>
        </is>
      </c>
      <c r="L366" s="4" t="inlineStr">
        <is>
          <t>SIN RESPUESTA</t>
        </is>
      </c>
      <c r="M366" s="4" t="n">
        <v/>
      </c>
      <c r="N366" s="4" t="n">
        <v>3133723214</v>
      </c>
      <c r="O366" s="4" t="inlineStr">
        <is>
          <t>leonardolaverded@gmail.com</t>
        </is>
      </c>
      <c r="P366" s="4" t="inlineStr">
        <is>
          <t>BTA SEDE J</t>
        </is>
      </c>
      <c r="Q366" s="4" t="inlineStr">
        <is>
          <t>TRANSVERSALES</t>
        </is>
      </c>
      <c r="R366" s="4" t="n">
        <v>702</v>
      </c>
    </row>
    <row r="367" ht="20" customHeight="1">
      <c r="A367" s="6" t="inlineStr">
        <is>
          <t>65785392</t>
        </is>
      </c>
      <c r="B367" s="7" t="inlineStr">
        <is>
          <t>PRESENCIAL REGIONAL</t>
        </is>
      </c>
      <c r="C367" s="7" t="inlineStr">
        <is>
          <t>GENNY CAROLINA MORA ROJAS</t>
        </is>
      </c>
      <c r="D367" s="7" t="inlineStr">
        <is>
          <t>OPERACIONES</t>
        </is>
      </c>
      <c r="E367" s="7" t="inlineStr">
        <is>
          <t>REGIONAL TOLIMA</t>
        </is>
      </c>
      <c r="F367" s="7" t="inlineStr">
        <is>
          <t>IBAGUÉ</t>
        </is>
      </c>
      <c r="G367" s="7" t="inlineStr">
        <is>
          <t>PRESENCIAL</t>
        </is>
      </c>
      <c r="H367" s="7" t="inlineStr">
        <is>
          <t>DOCENTE AUX/N/TC/EMPRENDIMIE/FUN.ACADE-ADMIN</t>
        </is>
      </c>
      <c r="I367" s="7" t="inlineStr">
        <is>
          <t>EMPRENDIMIENTO</t>
        </is>
      </c>
      <c r="J367" s="7" t="inlineStr">
        <is>
          <t>PLANTA</t>
        </is>
      </c>
      <c r="K367" s="7" t="inlineStr">
        <is>
          <t>MONICA SANCHEZ</t>
        </is>
      </c>
      <c r="L367" s="7" t="inlineStr">
        <is>
          <t>CONFIRMADO PRESENCIAL</t>
        </is>
      </c>
      <c r="M367" s="7" t="n">
        <v/>
      </c>
      <c r="N367" s="7" t="n">
        <v>3107757510</v>
      </c>
      <c r="O367" s="7" t="inlineStr">
        <is>
          <t>cmora1979@gmail.com</t>
        </is>
      </c>
      <c r="P367" s="7" t="inlineStr">
        <is>
          <t>IBAGUE SEDE</t>
        </is>
      </c>
      <c r="Q367" s="7" t="inlineStr">
        <is>
          <t>TRANSVERSALES</t>
        </is>
      </c>
      <c r="R367" s="7" t="n">
        <v/>
      </c>
    </row>
    <row r="368" ht="20" customHeight="1">
      <c r="A368" s="3" t="inlineStr">
        <is>
          <t>1013605549</t>
        </is>
      </c>
      <c r="B368" s="4" t="inlineStr">
        <is>
          <t>PRESENCIAL BOGOTÁ</t>
        </is>
      </c>
      <c r="C368" s="4" t="inlineStr">
        <is>
          <t>ANGIE MARICELLA BLANCO CARREÑO</t>
        </is>
      </c>
      <c r="D368" s="4" t="inlineStr">
        <is>
          <t>OPERACIONES</t>
        </is>
      </c>
      <c r="E368" s="4" t="inlineStr">
        <is>
          <t>REGIONAL BOGOTA</t>
        </is>
      </c>
      <c r="F368" s="4" t="inlineStr">
        <is>
          <t>BOGOTA CENTRO</t>
        </is>
      </c>
      <c r="G368" s="4" t="inlineStr">
        <is>
          <t>PRESENCIAL</t>
        </is>
      </c>
      <c r="H368" s="4" t="inlineStr">
        <is>
          <t>DOC AUX T&amp;T/N/TC/EMPRENDIMIE/FUN.ACADE-ADMIN</t>
        </is>
      </c>
      <c r="I368" s="4" t="inlineStr">
        <is>
          <t>EMPRENDIMIENTO</t>
        </is>
      </c>
      <c r="J368" s="4" t="inlineStr">
        <is>
          <t>PLANTA</t>
        </is>
      </c>
      <c r="K368" s="4" t="inlineStr">
        <is>
          <t>MONICA SANCHEZ</t>
        </is>
      </c>
      <c r="L368" s="4" t="inlineStr">
        <is>
          <t>SIN RESPUESTA</t>
        </is>
      </c>
      <c r="M368" s="4" t="n">
        <v/>
      </c>
      <c r="N368" s="4" t="n">
        <v>3155627474</v>
      </c>
      <c r="O368" s="4" t="inlineStr">
        <is>
          <t>ANGIEBLANCO.C@GMAIL.COM</t>
        </is>
      </c>
      <c r="P368" s="4" t="inlineStr">
        <is>
          <t>BTA SEDE J</t>
        </is>
      </c>
      <c r="Q368" s="4" t="inlineStr">
        <is>
          <t>TRANSVERSALES</t>
        </is>
      </c>
      <c r="R368" s="4" t="n">
        <v>702</v>
      </c>
    </row>
    <row r="369" ht="20" customHeight="1">
      <c r="A369" s="6" t="inlineStr">
        <is>
          <t>7630409</t>
        </is>
      </c>
      <c r="B369" s="7" t="inlineStr">
        <is>
          <t>VIRTUAL</t>
        </is>
      </c>
      <c r="C369" s="7" t="inlineStr">
        <is>
          <t>JOSE RAFAEL DAVILA FERNANDEZ</t>
        </is>
      </c>
      <c r="D369" s="7" t="inlineStr">
        <is>
          <t>OPERACIONES</t>
        </is>
      </c>
      <c r="E369" s="7" t="inlineStr">
        <is>
          <t>REGIONAL MAGDALENA</t>
        </is>
      </c>
      <c r="F369" s="7" t="inlineStr">
        <is>
          <t>SANTA MARTA</t>
        </is>
      </c>
      <c r="G369" s="7" t="inlineStr">
        <is>
          <t>PRESENCIAL</t>
        </is>
      </c>
      <c r="H369" s="7" t="inlineStr">
        <is>
          <t>DOCENTE AUX/N/TC/EMPRENDIMIE/FUN.ACADE-ADMIN</t>
        </is>
      </c>
      <c r="I369" s="7" t="inlineStr">
        <is>
          <t>EMPRENDIMIENTO</t>
        </is>
      </c>
      <c r="J369" s="7" t="inlineStr">
        <is>
          <t>PLANTA</t>
        </is>
      </c>
      <c r="K369" s="7" t="inlineStr">
        <is>
          <t>MONICA SANCHEZ</t>
        </is>
      </c>
      <c r="L369" s="7" t="inlineStr">
        <is>
          <t>SIN RESPUESTA</t>
        </is>
      </c>
      <c r="M369" s="7" t="n">
        <v/>
      </c>
      <c r="N369" s="7" t="n">
        <v>3022104823</v>
      </c>
      <c r="O369" s="7" t="inlineStr">
        <is>
          <t>joserafaeldavila@hotmail.com</t>
        </is>
      </c>
      <c r="P369" s="7" t="inlineStr">
        <is>
          <t>SANTA MARTA SEDE</t>
        </is>
      </c>
      <c r="Q369" s="7" t="inlineStr">
        <is>
          <t>TRANSVERSALES</t>
        </is>
      </c>
      <c r="R369" s="7" t="n">
        <v/>
      </c>
    </row>
    <row r="370" ht="20" customHeight="1">
      <c r="A370" s="3" t="inlineStr">
        <is>
          <t>80504376</t>
        </is>
      </c>
      <c r="B370" s="4" t="inlineStr">
        <is>
          <t>PRESENCIAL BOGOTÁ</t>
        </is>
      </c>
      <c r="C370" s="4" t="inlineStr">
        <is>
          <t>JULIO CESAR GARCIA SIERRA</t>
        </is>
      </c>
      <c r="D370" s="4" t="inlineStr">
        <is>
          <t>OPERACIONES</t>
        </is>
      </c>
      <c r="E370" s="4" t="inlineStr">
        <is>
          <t>REGIONAL BOGOTA</t>
        </is>
      </c>
      <c r="F370" s="4" t="inlineStr">
        <is>
          <t>BOGOTA CENTRO</t>
        </is>
      </c>
      <c r="G370" s="4" t="inlineStr">
        <is>
          <t>PRESENCIAL</t>
        </is>
      </c>
      <c r="H370" s="4" t="inlineStr">
        <is>
          <t>DOCENTE AUX/N/TC/EMPRENDIMIE/FUN.ACADE-ADMIN</t>
        </is>
      </c>
      <c r="I370" s="4" t="inlineStr">
        <is>
          <t>EMPRENDIMIENTO</t>
        </is>
      </c>
      <c r="J370" s="4" t="inlineStr">
        <is>
          <t>PLANTA</t>
        </is>
      </c>
      <c r="K370" s="4" t="inlineStr">
        <is>
          <t>MONICA SANCHEZ</t>
        </is>
      </c>
      <c r="L370" s="4" t="inlineStr">
        <is>
          <t>CONFIRMADO PRESENCIAL</t>
        </is>
      </c>
      <c r="M370" s="4" t="n">
        <v/>
      </c>
      <c r="N370" s="4" t="n">
        <v>3102743301</v>
      </c>
      <c r="O370" s="4" t="inlineStr">
        <is>
          <t>JULIOCGARCIAS@GMAIL.COM</t>
        </is>
      </c>
      <c r="P370" s="4" t="inlineStr">
        <is>
          <t>BTA SEDE A</t>
        </is>
      </c>
      <c r="Q370" s="4" t="inlineStr">
        <is>
          <t>TRANSVERSALES</t>
        </is>
      </c>
      <c r="R370" s="4" t="n">
        <v>702</v>
      </c>
    </row>
    <row r="371" ht="20" customHeight="1">
      <c r="A371" s="6" t="inlineStr">
        <is>
          <t>80011939</t>
        </is>
      </c>
      <c r="B371" s="7" t="inlineStr">
        <is>
          <t>PRESENCIAL BOGOTÁ</t>
        </is>
      </c>
      <c r="C371" s="7" t="inlineStr">
        <is>
          <t>ANDRES FELIPE BRICEÑO NIÑO</t>
        </is>
      </c>
      <c r="D371" s="7" t="inlineStr">
        <is>
          <t>OPERACIONES</t>
        </is>
      </c>
      <c r="E371" s="7" t="inlineStr">
        <is>
          <t>REGIONAL BOGOTA</t>
        </is>
      </c>
      <c r="F371" s="7" t="inlineStr">
        <is>
          <t>BOGOTA CENTRO</t>
        </is>
      </c>
      <c r="G371" s="7" t="inlineStr">
        <is>
          <t>PRESENCIAL</t>
        </is>
      </c>
      <c r="H371" s="7" t="inlineStr">
        <is>
          <t>DOC AUX T&amp;T/N/TC/EMPRENDIMIE/FUN.ACADE-ADMIN</t>
        </is>
      </c>
      <c r="I371" s="7" t="inlineStr">
        <is>
          <t>EMPRENDIMIENTO</t>
        </is>
      </c>
      <c r="J371" s="7" t="inlineStr">
        <is>
          <t>PLANTA</t>
        </is>
      </c>
      <c r="K371" s="7" t="inlineStr">
        <is>
          <t>MONICA SANCHEZ</t>
        </is>
      </c>
      <c r="L371" s="7" t="inlineStr">
        <is>
          <t>CONFIRMADO PRESENCIAL</t>
        </is>
      </c>
      <c r="M371" s="7" t="n">
        <v/>
      </c>
      <c r="N371" s="7" t="n">
        <v>3209421735</v>
      </c>
      <c r="O371" s="7" t="inlineStr">
        <is>
          <t>ANFEBRI2N@GMAIL.COM</t>
        </is>
      </c>
      <c r="P371" s="7" t="inlineStr">
        <is>
          <t>BTA SEDE J</t>
        </is>
      </c>
      <c r="Q371" s="7" t="inlineStr">
        <is>
          <t>TRANSVERSALES</t>
        </is>
      </c>
      <c r="R371" s="7" t="n">
        <v>702</v>
      </c>
    </row>
    <row r="372" ht="20" customHeight="1">
      <c r="A372" s="3" t="inlineStr">
        <is>
          <t>1070014819</t>
        </is>
      </c>
      <c r="B372" s="4" t="inlineStr">
        <is>
          <t>PRESENCIAL BOGOTÁ</t>
        </is>
      </c>
      <c r="C372" s="4" t="inlineStr">
        <is>
          <t>DIEGO SALIM MISERQUE MARTINEZ</t>
        </is>
      </c>
      <c r="D372" s="4" t="inlineStr">
        <is>
          <t>OPERACIONES</t>
        </is>
      </c>
      <c r="E372" s="4" t="inlineStr">
        <is>
          <t>REGIONAL BOGOTA</t>
        </is>
      </c>
      <c r="F372" s="4" t="inlineStr">
        <is>
          <t>BOGOTA CENTRO</t>
        </is>
      </c>
      <c r="G372" s="4" t="inlineStr">
        <is>
          <t>PRESENCIAL</t>
        </is>
      </c>
      <c r="H372" s="4" t="inlineStr">
        <is>
          <t>DOC AUX T&amp;T/N/TC/EMPRENDIMIE/FUN.ACADE-ADMIN</t>
        </is>
      </c>
      <c r="I372" s="4" t="inlineStr">
        <is>
          <t>EMPRENDIMIENTO</t>
        </is>
      </c>
      <c r="J372" s="4" t="inlineStr">
        <is>
          <t>PLANTA</t>
        </is>
      </c>
      <c r="K372" s="4" t="inlineStr">
        <is>
          <t>MONICA SANCHEZ</t>
        </is>
      </c>
      <c r="L372" s="4" t="inlineStr">
        <is>
          <t>CONFIRMADO PRESENCIAL</t>
        </is>
      </c>
      <c r="M372" s="4" t="n">
        <v/>
      </c>
      <c r="N372" s="4" t="n">
        <v>3023151088</v>
      </c>
      <c r="O372" s="4" t="inlineStr">
        <is>
          <t>D.S.MISEMART@HOTMAIL.COM</t>
        </is>
      </c>
      <c r="P372" s="4" t="inlineStr">
        <is>
          <t>BTA SEDE A</t>
        </is>
      </c>
      <c r="Q372" s="4" t="inlineStr">
        <is>
          <t>TRANSVERSALES</t>
        </is>
      </c>
      <c r="R372" s="4" t="n">
        <v>702</v>
      </c>
    </row>
    <row r="373" ht="20" customHeight="1">
      <c r="A373" s="6" t="inlineStr">
        <is>
          <t>1110498938</t>
        </is>
      </c>
      <c r="B373" s="7" t="inlineStr">
        <is>
          <t>PRESENCIAL BOGOTÁ</t>
        </is>
      </c>
      <c r="C373" s="7" t="inlineStr">
        <is>
          <t>CHARLINE GUISELY GOMEZ GAMEZ</t>
        </is>
      </c>
      <c r="D373" s="7" t="inlineStr">
        <is>
          <t>OPERACIONES</t>
        </is>
      </c>
      <c r="E373" s="7" t="inlineStr">
        <is>
          <t>REGIONAL BOGOTA</t>
        </is>
      </c>
      <c r="F373" s="7" t="inlineStr">
        <is>
          <t>BOGOTA CENTRO</t>
        </is>
      </c>
      <c r="G373" s="7" t="inlineStr">
        <is>
          <t>PRESENCIAL</t>
        </is>
      </c>
      <c r="H373" s="7" t="inlineStr">
        <is>
          <t>DOCENTE AUX/N/TC/EMPRENDIMIE/FUN.ACADE-ADMIN</t>
        </is>
      </c>
      <c r="I373" s="7" t="inlineStr">
        <is>
          <t>EMPRENDIMIENTO</t>
        </is>
      </c>
      <c r="J373" s="7" t="inlineStr">
        <is>
          <t>PLANTA</t>
        </is>
      </c>
      <c r="K373" s="7" t="inlineStr">
        <is>
          <t>MONICA SANCHEZ</t>
        </is>
      </c>
      <c r="L373" s="7" t="inlineStr">
        <is>
          <t>CONFIRMADO PRESENCIAL</t>
        </is>
      </c>
      <c r="M373" s="7" t="n">
        <v/>
      </c>
      <c r="N373" s="7" t="n">
        <v>3114799831</v>
      </c>
      <c r="O373" s="7" t="inlineStr">
        <is>
          <t>guisely90@hotmail.com</t>
        </is>
      </c>
      <c r="P373" s="7" t="inlineStr">
        <is>
          <t>BTA SEDE A</t>
        </is>
      </c>
      <c r="Q373" s="7" t="inlineStr">
        <is>
          <t>TRANSVERSALES</t>
        </is>
      </c>
      <c r="R373" s="7" t="n">
        <v>702</v>
      </c>
    </row>
    <row r="374" ht="20" customHeight="1">
      <c r="A374" s="3" t="inlineStr">
        <is>
          <t>1047428467</t>
        </is>
      </c>
      <c r="B374" s="4" t="inlineStr">
        <is>
          <t>VIRTUAL</t>
        </is>
      </c>
      <c r="C374" s="4" t="inlineStr">
        <is>
          <t>ALBA STEFANIA MEZA CORCHO</t>
        </is>
      </c>
      <c r="D374" s="4" t="inlineStr">
        <is>
          <t>OPERACIONES</t>
        </is>
      </c>
      <c r="E374" s="4" t="inlineStr">
        <is>
          <t>REGIONAL BOLIVAR</t>
        </is>
      </c>
      <c r="F374" s="4" t="inlineStr">
        <is>
          <t>CARTAGENA</t>
        </is>
      </c>
      <c r="G374" s="4" t="inlineStr">
        <is>
          <t>PRESENCIAL</t>
        </is>
      </c>
      <c r="H374" s="4" t="inlineStr">
        <is>
          <t>DOC AUX T&amp;T/N/TC/EMPRENDIMIE/FUN.ACADE-ADMIN</t>
        </is>
      </c>
      <c r="I374" s="4" t="inlineStr">
        <is>
          <t>EMPRENDIMIENTO</t>
        </is>
      </c>
      <c r="J374" s="4" t="inlineStr">
        <is>
          <t>PLANTA</t>
        </is>
      </c>
      <c r="K374" s="4" t="inlineStr">
        <is>
          <t>MONICA SANCHEZ</t>
        </is>
      </c>
      <c r="L374" s="4" t="inlineStr">
        <is>
          <t>SIN RESPUESTA</t>
        </is>
      </c>
      <c r="M374" s="4" t="n">
        <v/>
      </c>
      <c r="N374" s="4" t="n">
        <v>3004463102</v>
      </c>
      <c r="O374" s="4" t="inlineStr">
        <is>
          <t>STEFYMEZA16@GMAIL.COM</t>
        </is>
      </c>
      <c r="P374" s="4" t="inlineStr">
        <is>
          <t>CARTAGENA SEDE</t>
        </is>
      </c>
      <c r="Q374" s="4" t="inlineStr">
        <is>
          <t>TRANSVERSALES</t>
        </is>
      </c>
      <c r="R374" s="4" t="n">
        <v/>
      </c>
    </row>
    <row r="375" ht="20" customHeight="1">
      <c r="A375" s="6" t="inlineStr">
        <is>
          <t>1054918610</t>
        </is>
      </c>
      <c r="B375" s="7" t="inlineStr">
        <is>
          <t>VIRTUAL</t>
        </is>
      </c>
      <c r="C375" s="7" t="inlineStr">
        <is>
          <t>GLORIA ESPERANZA BAENA TABARES</t>
        </is>
      </c>
      <c r="D375" s="7" t="inlineStr">
        <is>
          <t>OPERACIONES</t>
        </is>
      </c>
      <c r="E375" s="7" t="inlineStr">
        <is>
          <t>REGIONAL CALDAS</t>
        </is>
      </c>
      <c r="F375" s="7" t="inlineStr">
        <is>
          <t>MANIZALES</t>
        </is>
      </c>
      <c r="G375" s="7" t="inlineStr">
        <is>
          <t>PRESENCIAL</t>
        </is>
      </c>
      <c r="H375" s="7" t="inlineStr">
        <is>
          <t>DOC AUX T&amp;T/N/TC/EMPRENDIMIE/FUN.ACADE-ADMIN</t>
        </is>
      </c>
      <c r="I375" s="7" t="inlineStr">
        <is>
          <t>EMPRENDIMIENTO</t>
        </is>
      </c>
      <c r="J375" s="7" t="inlineStr">
        <is>
          <t>PLANTA</t>
        </is>
      </c>
      <c r="K375" s="7" t="inlineStr">
        <is>
          <t>MONICA SANCHEZ</t>
        </is>
      </c>
      <c r="L375" s="7" t="inlineStr">
        <is>
          <t>SIN RESPUESTA</t>
        </is>
      </c>
      <c r="M375" s="7" t="n">
        <v/>
      </c>
      <c r="N375" s="7" t="n">
        <v>3016672143</v>
      </c>
      <c r="O375" s="7" t="inlineStr">
        <is>
          <t>glori.baena24@gmail.com</t>
        </is>
      </c>
      <c r="P375" s="7" t="inlineStr">
        <is>
          <t>MANIZALES SEDE</t>
        </is>
      </c>
      <c r="Q375" s="7" t="inlineStr">
        <is>
          <t>TRANSVERSALES</t>
        </is>
      </c>
      <c r="R375" s="7" t="n">
        <v/>
      </c>
    </row>
    <row r="376" ht="20" customHeight="1">
      <c r="A376" s="3" t="inlineStr">
        <is>
          <t>80013703</t>
        </is>
      </c>
      <c r="B376" s="4" t="inlineStr">
        <is>
          <t>PRESENCIAL BOGOTÁ</t>
        </is>
      </c>
      <c r="C376" s="4" t="inlineStr">
        <is>
          <t>WILSON GONZALEZ MONTILLA</t>
        </is>
      </c>
      <c r="D376" s="4" t="inlineStr">
        <is>
          <t>OPERACIONES</t>
        </is>
      </c>
      <c r="E376" s="4" t="inlineStr">
        <is>
          <t>REGIONAL BOGOTA</t>
        </is>
      </c>
      <c r="F376" s="4" t="inlineStr">
        <is>
          <t>BOGOTA CENTRO</t>
        </is>
      </c>
      <c r="G376" s="4" t="inlineStr">
        <is>
          <t>PRESENCIAL</t>
        </is>
      </c>
      <c r="H376" s="4" t="inlineStr">
        <is>
          <t>DOCENTE AUX/N/TC/EMPRENDIMIE/FUN.ACADE-ADMIN</t>
        </is>
      </c>
      <c r="I376" s="4" t="inlineStr">
        <is>
          <t>EMPRENDIMIENTO</t>
        </is>
      </c>
      <c r="J376" s="4" t="inlineStr">
        <is>
          <t>PLANTA</t>
        </is>
      </c>
      <c r="K376" s="4" t="inlineStr">
        <is>
          <t>MONICA SANCHEZ</t>
        </is>
      </c>
      <c r="L376" s="4" t="inlineStr">
        <is>
          <t>SIN RESPUESTA</t>
        </is>
      </c>
      <c r="M376" s="4" t="n">
        <v/>
      </c>
      <c r="N376" s="4" t="n">
        <v>3143050556</v>
      </c>
      <c r="O376" s="4" t="inlineStr">
        <is>
          <t>WJSGONZALEZ2016@GMAIL.COM</t>
        </is>
      </c>
      <c r="P376" s="4" t="inlineStr">
        <is>
          <t>BTA SEDE J</t>
        </is>
      </c>
      <c r="Q376" s="4" t="inlineStr">
        <is>
          <t>TRANSVERSALES</t>
        </is>
      </c>
      <c r="R376" s="4" t="n">
        <v>702</v>
      </c>
    </row>
    <row r="377" ht="20" customHeight="1">
      <c r="A377" s="6" t="inlineStr">
        <is>
          <t>79958162</t>
        </is>
      </c>
      <c r="B377" s="7" t="inlineStr">
        <is>
          <t>PRESENCIAL BOGOTÁ</t>
        </is>
      </c>
      <c r="C377" s="7" t="inlineStr">
        <is>
          <t>DAVID JULIAN ROZO RAMOS</t>
        </is>
      </c>
      <c r="D377" s="7" t="inlineStr">
        <is>
          <t>OPERACIONES</t>
        </is>
      </c>
      <c r="E377" s="7" t="inlineStr">
        <is>
          <t>REGIONAL BOGOTA</t>
        </is>
      </c>
      <c r="F377" s="7" t="inlineStr">
        <is>
          <t>BOGOTA CENTRO</t>
        </is>
      </c>
      <c r="G377" s="7" t="inlineStr">
        <is>
          <t>PRESENCIAL</t>
        </is>
      </c>
      <c r="H377" s="7" t="inlineStr">
        <is>
          <t>DOC ASIS/N/TC/EMPRENDIMIENTO/FUN.ACADE-ADMIN</t>
        </is>
      </c>
      <c r="I377" s="7" t="inlineStr">
        <is>
          <t>EMPRENDIMIENTO</t>
        </is>
      </c>
      <c r="J377" s="7" t="inlineStr">
        <is>
          <t>PLANTA</t>
        </is>
      </c>
      <c r="K377" s="7" t="inlineStr">
        <is>
          <t>MONICA SANCHEZ</t>
        </is>
      </c>
      <c r="L377" s="7" t="inlineStr">
        <is>
          <t>SIN RESPUESTA</t>
        </is>
      </c>
      <c r="M377" s="7" t="n">
        <v/>
      </c>
      <c r="N377" s="7" t="n">
        <v>3002692791</v>
      </c>
      <c r="O377" s="7" t="inlineStr">
        <is>
          <t>DAVID.ROZO.R@GMAIL.COM</t>
        </is>
      </c>
      <c r="P377" s="7" t="inlineStr">
        <is>
          <t>BTA SEDE J</t>
        </is>
      </c>
      <c r="Q377" s="7" t="inlineStr">
        <is>
          <t>TRANSVERSALES</t>
        </is>
      </c>
      <c r="R377" s="7" t="n">
        <v>702</v>
      </c>
    </row>
    <row r="378" ht="20" customHeight="1">
      <c r="A378" s="3" t="inlineStr">
        <is>
          <t>1022924981</t>
        </is>
      </c>
      <c r="B378" s="4" t="inlineStr">
        <is>
          <t>PRESENCIAL BOGOTÁ</t>
        </is>
      </c>
      <c r="C378" s="4" t="inlineStr">
        <is>
          <t>YENIFFER DE LA HOZ GARCIA</t>
        </is>
      </c>
      <c r="D378" s="4" t="inlineStr">
        <is>
          <t>OPERACIONES</t>
        </is>
      </c>
      <c r="E378" s="4" t="inlineStr">
        <is>
          <t>REGIONAL BOGOTA</t>
        </is>
      </c>
      <c r="F378" s="4" t="inlineStr">
        <is>
          <t>BOGOTA CENTRO</t>
        </is>
      </c>
      <c r="G378" s="4" t="inlineStr">
        <is>
          <t>PRESENCIAL</t>
        </is>
      </c>
      <c r="H378" s="4" t="inlineStr">
        <is>
          <t>DOC AUX T&amp;T/N/TC/EMPRENDIMIE/FUN.ACADE-ADMIN</t>
        </is>
      </c>
      <c r="I378" s="4" t="inlineStr">
        <is>
          <t>EMPRENDIMIENTO</t>
        </is>
      </c>
      <c r="J378" s="4" t="inlineStr">
        <is>
          <t>PLANTA</t>
        </is>
      </c>
      <c r="K378" s="4" t="inlineStr">
        <is>
          <t>MONICA SANCHEZ</t>
        </is>
      </c>
      <c r="L378" s="4" t="inlineStr">
        <is>
          <t>SIN RESPUESTA</t>
        </is>
      </c>
      <c r="M378" s="4" t="n">
        <v/>
      </c>
      <c r="N378" s="4" t="n">
        <v>3102655197</v>
      </c>
      <c r="O378" s="4" t="inlineStr">
        <is>
          <t>YENDELAHOZG@GMAIL.COM</t>
        </is>
      </c>
      <c r="P378" s="4" t="inlineStr">
        <is>
          <t>BTA SEDE A</t>
        </is>
      </c>
      <c r="Q378" s="4" t="inlineStr">
        <is>
          <t>TRANSVERSALES</t>
        </is>
      </c>
      <c r="R378" s="4" t="n">
        <v>702</v>
      </c>
    </row>
    <row r="379" ht="20" customHeight="1">
      <c r="A379" s="6" t="inlineStr">
        <is>
          <t>13717203</t>
        </is>
      </c>
      <c r="B379" s="7" t="inlineStr">
        <is>
          <t>PRESENCIAL BOGOTÁ</t>
        </is>
      </c>
      <c r="C379" s="7" t="inlineStr">
        <is>
          <t>GUSTAVO CARDENAS CHACON</t>
        </is>
      </c>
      <c r="D379" s="7" t="inlineStr">
        <is>
          <t>OPERACIONES</t>
        </is>
      </c>
      <c r="E379" s="7" t="inlineStr">
        <is>
          <t>REGIONAL BOGOTA</t>
        </is>
      </c>
      <c r="F379" s="7" t="inlineStr">
        <is>
          <t>BOGOTA CENTRO</t>
        </is>
      </c>
      <c r="G379" s="7" t="inlineStr">
        <is>
          <t>PRESENCIAL</t>
        </is>
      </c>
      <c r="H379" s="7" t="inlineStr">
        <is>
          <t>DOCENTE AUX/N/TC/EMPRENDIMIE/FUN.ACADE-ADMIN</t>
        </is>
      </c>
      <c r="I379" s="7" t="inlineStr">
        <is>
          <t>EMPRENDIMIENTO</t>
        </is>
      </c>
      <c r="J379" s="7" t="inlineStr">
        <is>
          <t>PLANTA</t>
        </is>
      </c>
      <c r="K379" s="7" t="inlineStr">
        <is>
          <t>MONICA SANCHEZ</t>
        </is>
      </c>
      <c r="L379" s="7" t="inlineStr">
        <is>
          <t>SIN RESPUESTA</t>
        </is>
      </c>
      <c r="M379" s="7" t="n">
        <v/>
      </c>
      <c r="N379" s="7" t="n">
        <v>3164955567</v>
      </c>
      <c r="O379" s="7" t="inlineStr">
        <is>
          <t>GCCHACON@GMAIL.COM</t>
        </is>
      </c>
      <c r="P379" s="7" t="inlineStr">
        <is>
          <t>BTA SEDE A</t>
        </is>
      </c>
      <c r="Q379" s="7" t="inlineStr">
        <is>
          <t>TRANSVERSALES</t>
        </is>
      </c>
      <c r="R379" s="7" t="n">
        <v>702</v>
      </c>
    </row>
    <row r="380" ht="20" customHeight="1">
      <c r="A380" s="3" t="inlineStr">
        <is>
          <t>1071143177</t>
        </is>
      </c>
      <c r="B380" s="4" t="inlineStr">
        <is>
          <t>PRESENCIAL BOGOTÁ</t>
        </is>
      </c>
      <c r="C380" s="4" t="inlineStr">
        <is>
          <t>DIANA NAYIBE RODRIGUEZ VELANDIA</t>
        </is>
      </c>
      <c r="D380" s="4" t="inlineStr">
        <is>
          <t>OPERACIONES</t>
        </is>
      </c>
      <c r="E380" s="4" t="inlineStr">
        <is>
          <t>REGIONAL BOGOTA</t>
        </is>
      </c>
      <c r="F380" s="4" t="inlineStr">
        <is>
          <t>BOGOTA CENTRO</t>
        </is>
      </c>
      <c r="G380" s="4" t="inlineStr">
        <is>
          <t>PRESENCIAL</t>
        </is>
      </c>
      <c r="H380" s="4" t="inlineStr">
        <is>
          <t>DOC ASIS/N/TC/EMPRENDIMIENTO/FUN.ACADE-ADMIN</t>
        </is>
      </c>
      <c r="I380" s="4" t="inlineStr">
        <is>
          <t>EMPRENDIMIENTO</t>
        </is>
      </c>
      <c r="J380" s="4" t="inlineStr">
        <is>
          <t>PLANTA</t>
        </is>
      </c>
      <c r="K380" s="4" t="inlineStr">
        <is>
          <t>MONICA SANCHEZ</t>
        </is>
      </c>
      <c r="L380" s="4" t="inlineStr">
        <is>
          <t>CONFIRMADO PRESENCIAL</t>
        </is>
      </c>
      <c r="M380" s="4" t="n">
        <v/>
      </c>
      <c r="N380" s="4" t="n">
        <v>3142438150</v>
      </c>
      <c r="O380" s="4" t="inlineStr">
        <is>
          <t>DIANA.RODRIVE@OUTLOOK.COM</t>
        </is>
      </c>
      <c r="P380" s="4" t="inlineStr">
        <is>
          <t>BTA SEDE A</t>
        </is>
      </c>
      <c r="Q380" s="4" t="inlineStr">
        <is>
          <t>TRANSVERSALES</t>
        </is>
      </c>
      <c r="R380" s="4" t="n">
        <v>702</v>
      </c>
    </row>
    <row r="381" ht="20" customHeight="1">
      <c r="A381" s="6" t="inlineStr">
        <is>
          <t>93435521</t>
        </is>
      </c>
      <c r="B381" s="7" t="inlineStr">
        <is>
          <t>PRESENCIAL BOGOTÁ</t>
        </is>
      </c>
      <c r="C381" s="7" t="inlineStr">
        <is>
          <t>JOHN GUILLERMO CRUZ BARRETO</t>
        </is>
      </c>
      <c r="D381" s="7" t="inlineStr">
        <is>
          <t>OPERACIONES</t>
        </is>
      </c>
      <c r="E381" s="7" t="inlineStr">
        <is>
          <t>REGIONAL BOGOTA</t>
        </is>
      </c>
      <c r="F381" s="7" t="inlineStr">
        <is>
          <t>BOGOTA CENTRO</t>
        </is>
      </c>
      <c r="G381" s="7" t="inlineStr">
        <is>
          <t>PRESENCIAL</t>
        </is>
      </c>
      <c r="H381" s="7" t="inlineStr">
        <is>
          <t>DOC AUX T&amp;T/N/TC/EMPRENDIMIE/FUN.ACADE-ADMIN</t>
        </is>
      </c>
      <c r="I381" s="7" t="inlineStr">
        <is>
          <t>EMPRENDIMIENTO</t>
        </is>
      </c>
      <c r="J381" s="7" t="inlineStr">
        <is>
          <t>PLANTA</t>
        </is>
      </c>
      <c r="K381" s="7" t="inlineStr">
        <is>
          <t>MONICA SANCHEZ</t>
        </is>
      </c>
      <c r="L381" s="7" t="inlineStr">
        <is>
          <t>CONFIRMADO PRESENCIAL</t>
        </is>
      </c>
      <c r="M381" s="7" t="n">
        <v/>
      </c>
      <c r="N381" s="7" t="n">
        <v>3118737565</v>
      </c>
      <c r="O381" s="7" t="inlineStr">
        <is>
          <t>JHONCRUZBARRETO19842@GMAIL.COM</t>
        </is>
      </c>
      <c r="P381" s="7" t="inlineStr">
        <is>
          <t>BTA SEDE J</t>
        </is>
      </c>
      <c r="Q381" s="7" t="inlineStr">
        <is>
          <t>TRANSVERSALES</t>
        </is>
      </c>
      <c r="R381" s="7" t="n">
        <v>702</v>
      </c>
    </row>
    <row r="382" ht="20" customHeight="1">
      <c r="A382" s="3" t="inlineStr">
        <is>
          <t>1073701100</t>
        </is>
      </c>
      <c r="B382" s="4" t="inlineStr">
        <is>
          <t>PRESENCIAL BOGOTÁ</t>
        </is>
      </c>
      <c r="C382" s="4" t="inlineStr">
        <is>
          <t>KAREN STEPHANY MENDOZA ROSAS</t>
        </is>
      </c>
      <c r="D382" s="4" t="inlineStr">
        <is>
          <t>OPERACIONES</t>
        </is>
      </c>
      <c r="E382" s="4" t="inlineStr">
        <is>
          <t>REGIONAL BOGOTA</t>
        </is>
      </c>
      <c r="F382" s="4" t="inlineStr">
        <is>
          <t>BOGOTA CENTRO</t>
        </is>
      </c>
      <c r="G382" s="4" t="inlineStr">
        <is>
          <t>PRESENCIAL</t>
        </is>
      </c>
      <c r="H382" s="4" t="inlineStr">
        <is>
          <t>DOC AUX T&amp;T/N/TC/EMPRENDIMIE/FUN.ACADE-ADMIN</t>
        </is>
      </c>
      <c r="I382" s="4" t="inlineStr">
        <is>
          <t>EMPRENDIMIENTO</t>
        </is>
      </c>
      <c r="J382" s="4" t="inlineStr">
        <is>
          <t>PLANTA</t>
        </is>
      </c>
      <c r="K382" s="4" t="inlineStr">
        <is>
          <t>MONICA SANCHEZ</t>
        </is>
      </c>
      <c r="L382" s="4" t="inlineStr">
        <is>
          <t>SIN RESPUESTA</t>
        </is>
      </c>
      <c r="M382" s="4" t="n">
        <v/>
      </c>
      <c r="N382" s="4" t="n">
        <v>3007370660</v>
      </c>
      <c r="O382" s="4" t="inlineStr">
        <is>
          <t>STEPHANYMENDOZAROS@GMAIL.COM</t>
        </is>
      </c>
      <c r="P382" s="4" t="inlineStr">
        <is>
          <t>BTA SEDE A</t>
        </is>
      </c>
      <c r="Q382" s="4" t="inlineStr">
        <is>
          <t>TRANSVERSALES</t>
        </is>
      </c>
      <c r="R382" s="4" t="n">
        <v>800</v>
      </c>
    </row>
    <row r="383" ht="20" customHeight="1">
      <c r="A383" s="6" t="inlineStr">
        <is>
          <t>1031139289</t>
        </is>
      </c>
      <c r="B383" s="7" t="inlineStr">
        <is>
          <t>PRESENCIAL BOGOTÁ</t>
        </is>
      </c>
      <c r="C383" s="7" t="inlineStr">
        <is>
          <t>ANDRES SEBASTIAN HURTADO SOLORZANO</t>
        </is>
      </c>
      <c r="D383" s="7" t="inlineStr">
        <is>
          <t>OPERACIONES</t>
        </is>
      </c>
      <c r="E383" s="7" t="inlineStr">
        <is>
          <t>REGIONAL BOGOTA</t>
        </is>
      </c>
      <c r="F383" s="7" t="inlineStr">
        <is>
          <t>BOGOTA CENTRO</t>
        </is>
      </c>
      <c r="G383" s="7" t="inlineStr">
        <is>
          <t>PRESENCIAL</t>
        </is>
      </c>
      <c r="H383" s="7" t="inlineStr">
        <is>
          <t>DOC AUX T&amp;T/N/TC/EMPRENDIMIE/FUN.ACADE-ADMIN</t>
        </is>
      </c>
      <c r="I383" s="7" t="inlineStr">
        <is>
          <t>EMPRENDIMIENTO</t>
        </is>
      </c>
      <c r="J383" s="7" t="inlineStr">
        <is>
          <t>PLANTA</t>
        </is>
      </c>
      <c r="K383" s="7" t="inlineStr">
        <is>
          <t>MONICA SANCHEZ</t>
        </is>
      </c>
      <c r="L383" s="7" t="inlineStr">
        <is>
          <t>CONFIRMADO PRESENCIAL</t>
        </is>
      </c>
      <c r="M383" s="7" t="n">
        <v/>
      </c>
      <c r="N383" s="7" t="n">
        <v>3249520602</v>
      </c>
      <c r="O383" s="7" t="inlineStr">
        <is>
          <t>ansehuso@gmail.co</t>
        </is>
      </c>
      <c r="P383" s="7" t="inlineStr">
        <is>
          <t>BTA SEDE A</t>
        </is>
      </c>
      <c r="Q383" s="7" t="inlineStr">
        <is>
          <t>TRANSVERSALES</t>
        </is>
      </c>
      <c r="R383" s="7" t="n">
        <v>800</v>
      </c>
    </row>
    <row r="384" ht="20" customHeight="1">
      <c r="A384" s="3" t="inlineStr">
        <is>
          <t>1018458766</t>
        </is>
      </c>
      <c r="B384" s="4" t="inlineStr">
        <is>
          <t>PRESENCIAL BOGOTÁ</t>
        </is>
      </c>
      <c r="C384" s="4" t="inlineStr">
        <is>
          <t>CAROL NATALY GONZALEZ MENJURA</t>
        </is>
      </c>
      <c r="D384" s="4" t="inlineStr">
        <is>
          <t>OPERACIONES</t>
        </is>
      </c>
      <c r="E384" s="4" t="inlineStr">
        <is>
          <t>REGIONAL BOGOTA</t>
        </is>
      </c>
      <c r="F384" s="4" t="inlineStr">
        <is>
          <t>BOGOTA CENTRO</t>
        </is>
      </c>
      <c r="G384" s="4" t="inlineStr">
        <is>
          <t>PRESENCIAL</t>
        </is>
      </c>
      <c r="H384" s="4" t="inlineStr">
        <is>
          <t>DOCENTE AUX/N/TC/EMPRENDIMIE/FUN.ACADE-ADMIN</t>
        </is>
      </c>
      <c r="I384" s="4" t="inlineStr">
        <is>
          <t>EMPRENDIMIENTO</t>
        </is>
      </c>
      <c r="J384" s="4" t="inlineStr">
        <is>
          <t>PLANTA</t>
        </is>
      </c>
      <c r="K384" s="4" t="inlineStr">
        <is>
          <t>MONICA SANCHEZ</t>
        </is>
      </c>
      <c r="L384" s="4" t="inlineStr">
        <is>
          <t>CONFIRMADO PRESENCIAL</t>
        </is>
      </c>
      <c r="M384" s="4" t="n">
        <v/>
      </c>
      <c r="N384" s="4" t="n">
        <v>3143272717</v>
      </c>
      <c r="O384" s="4" t="inlineStr">
        <is>
          <t>NATALY3419@OUTLOOK.COM</t>
        </is>
      </c>
      <c r="P384" s="4" t="inlineStr">
        <is>
          <t>BTA SEDE A</t>
        </is>
      </c>
      <c r="Q384" s="4" t="inlineStr">
        <is>
          <t>TRANSVERSALES</t>
        </is>
      </c>
      <c r="R384" s="4" t="n">
        <v>800</v>
      </c>
    </row>
    <row r="385" ht="20" customHeight="1">
      <c r="A385" s="6" t="inlineStr">
        <is>
          <t>80170838</t>
        </is>
      </c>
      <c r="B385" s="7" t="inlineStr">
        <is>
          <t>PRESENCIAL BOGOTÁ</t>
        </is>
      </c>
      <c r="C385" s="7" t="inlineStr">
        <is>
          <t>FELIX EDUARDO SEGURA GIL</t>
        </is>
      </c>
      <c r="D385" s="7" t="inlineStr">
        <is>
          <t>OPERACIONES</t>
        </is>
      </c>
      <c r="E385" s="7" t="inlineStr">
        <is>
          <t>REGIONAL BOGOTA</t>
        </is>
      </c>
      <c r="F385" s="7" t="inlineStr">
        <is>
          <t>BOGOTA CENTRO</t>
        </is>
      </c>
      <c r="G385" s="7" t="inlineStr">
        <is>
          <t>PRESENCIAL</t>
        </is>
      </c>
      <c r="H385" s="7" t="inlineStr">
        <is>
          <t>DOCENTE AUX/N/TC/EMPRENDIMIE/FUN.ACADE-ADMIN</t>
        </is>
      </c>
      <c r="I385" s="7" t="inlineStr">
        <is>
          <t>EMPRENDIMIENTO</t>
        </is>
      </c>
      <c r="J385" s="7" t="inlineStr">
        <is>
          <t>PLANTA</t>
        </is>
      </c>
      <c r="K385" s="7" t="inlineStr">
        <is>
          <t>MONICA SANCHEZ</t>
        </is>
      </c>
      <c r="L385" s="7" t="inlineStr">
        <is>
          <t>SIN RESPUESTA</t>
        </is>
      </c>
      <c r="M385" s="7" t="n">
        <v/>
      </c>
      <c r="N385" s="7" t="n">
        <v>3143115829</v>
      </c>
      <c r="O385" s="7" t="inlineStr">
        <is>
          <t>SEGURAFELIXEDUARDO@GMAIL.COM</t>
        </is>
      </c>
      <c r="P385" s="7" t="inlineStr">
        <is>
          <t>BTA SEDE A</t>
        </is>
      </c>
      <c r="Q385" s="7" t="inlineStr">
        <is>
          <t>TRANSVERSALES</t>
        </is>
      </c>
      <c r="R385" s="7" t="n">
        <v>800</v>
      </c>
    </row>
    <row r="386" ht="20" customHeight="1">
      <c r="A386" s="3" t="inlineStr">
        <is>
          <t>1005822436</t>
        </is>
      </c>
      <c r="B386" s="4" t="inlineStr">
        <is>
          <t>PRESENCIAL BOGOTÁ</t>
        </is>
      </c>
      <c r="C386" s="4" t="inlineStr">
        <is>
          <t>PAULA ANDREA DONCEL RINCON</t>
        </is>
      </c>
      <c r="D386" s="4" t="inlineStr">
        <is>
          <t>OPERACIONES</t>
        </is>
      </c>
      <c r="E386" s="4" t="inlineStr">
        <is>
          <t>REGIONAL BOGOTA</t>
        </is>
      </c>
      <c r="F386" s="4" t="inlineStr">
        <is>
          <t>BOGOTA CENTRO</t>
        </is>
      </c>
      <c r="G386" s="4" t="inlineStr">
        <is>
          <t>PRESENCIAL</t>
        </is>
      </c>
      <c r="H386" s="4" t="inlineStr">
        <is>
          <t>DOC AUX T&amp;T/N/TC/EMPRENDIMIE/FUN.ACADE-ADMIN</t>
        </is>
      </c>
      <c r="I386" s="4" t="inlineStr">
        <is>
          <t>EMPRENDIMIENTO</t>
        </is>
      </c>
      <c r="J386" s="4" t="inlineStr">
        <is>
          <t>PLANTA</t>
        </is>
      </c>
      <c r="K386" s="4" t="inlineStr">
        <is>
          <t>MONICA SANCHEZ</t>
        </is>
      </c>
      <c r="L386" s="4" t="inlineStr">
        <is>
          <t>CONFIRMADO PRESENCIAL</t>
        </is>
      </c>
      <c r="M386" s="4" t="n">
        <v/>
      </c>
      <c r="N386" s="4" t="n">
        <v>3224527015</v>
      </c>
      <c r="O386" s="4" t="inlineStr">
        <is>
          <t>ANDREADONCEL99@GMAIL.COM</t>
        </is>
      </c>
      <c r="P386" s="4" t="inlineStr">
        <is>
          <t>BTA SEDE A</t>
        </is>
      </c>
      <c r="Q386" s="4" t="inlineStr">
        <is>
          <t>TRANSVERSALES</t>
        </is>
      </c>
      <c r="R386" s="4" t="n">
        <v>800</v>
      </c>
    </row>
    <row r="387" ht="20" customHeight="1">
      <c r="A387" s="6" t="inlineStr">
        <is>
          <t>1033686550</t>
        </is>
      </c>
      <c r="B387" s="7" t="inlineStr">
        <is>
          <t>PRESENCIAL BOGOTÁ</t>
        </is>
      </c>
      <c r="C387" s="7" t="inlineStr">
        <is>
          <t>DIEGO FERNANDO BATERO MANSO</t>
        </is>
      </c>
      <c r="D387" s="7" t="inlineStr">
        <is>
          <t>OPERACIONES</t>
        </is>
      </c>
      <c r="E387" s="7" t="inlineStr">
        <is>
          <t>REGIONAL BOGOTA</t>
        </is>
      </c>
      <c r="F387" s="7" t="inlineStr">
        <is>
          <t>BOGOTA CENTRO</t>
        </is>
      </c>
      <c r="G387" s="7" t="inlineStr">
        <is>
          <t>VIRTUAL</t>
        </is>
      </c>
      <c r="H387" s="7" t="inlineStr">
        <is>
          <t>DOC ASIS/N/V/TC/ESP ANALIT DATOS/FUN.ACADE-ADMIN</t>
        </is>
      </c>
      <c r="I387" s="7" t="inlineStr">
        <is>
          <t>ESPECIALIZACION DE ANALITICA DE DATOS</t>
        </is>
      </c>
      <c r="J387" s="7" t="inlineStr">
        <is>
          <t>PLANTA</t>
        </is>
      </c>
      <c r="K387" s="7" t="inlineStr">
        <is>
          <t>MONICA SANCHEZ</t>
        </is>
      </c>
      <c r="L387" s="7" t="inlineStr">
        <is>
          <t>CONFIRMADO PRESENCIAL</t>
        </is>
      </c>
      <c r="M387" s="7" t="n">
        <v/>
      </c>
      <c r="N387" s="7" t="n">
        <v>3194501866</v>
      </c>
      <c r="O387" s="7" t="inlineStr">
        <is>
          <t>diegoindustrial@gmail.com</t>
        </is>
      </c>
      <c r="P387" s="7" t="inlineStr">
        <is>
          <t>BTA SEDE A</t>
        </is>
      </c>
      <c r="Q387" s="7" t="inlineStr">
        <is>
          <t>ESPECIALIZACIONES</t>
        </is>
      </c>
      <c r="R387" s="7" t="n">
        <v>602</v>
      </c>
    </row>
    <row r="388" ht="20" customHeight="1">
      <c r="A388" s="3" t="inlineStr">
        <is>
          <t>7731838</t>
        </is>
      </c>
      <c r="B388" s="4" t="inlineStr">
        <is>
          <t>PRESENCIAL REGIONAL</t>
        </is>
      </c>
      <c r="C388" s="4" t="inlineStr">
        <is>
          <t>JOSE MIGUEL LLANOS MOSQUERA</t>
        </is>
      </c>
      <c r="D388" s="4" t="inlineStr">
        <is>
          <t>OPERACIONES</t>
        </is>
      </c>
      <c r="E388" s="4" t="inlineStr">
        <is>
          <t>REGIONAL HUILA</t>
        </is>
      </c>
      <c r="F388" s="4" t="inlineStr">
        <is>
          <t>NEIVA</t>
        </is>
      </c>
      <c r="G388" s="4" t="inlineStr">
        <is>
          <t>VIRTUAL</t>
        </is>
      </c>
      <c r="H388" s="4" t="inlineStr">
        <is>
          <t>DOC TITU/N/V/TC/ESP ANALIT DATOS/FUN.ACA</t>
        </is>
      </c>
      <c r="I388" s="4" t="inlineStr">
        <is>
          <t>ESPECIALIZACION DE ANALITICA DE DATOS</t>
        </is>
      </c>
      <c r="J388" s="4" t="inlineStr">
        <is>
          <t>PLANTA</t>
        </is>
      </c>
      <c r="K388" s="4" t="inlineStr">
        <is>
          <t>MONICA SANCHEZ</t>
        </is>
      </c>
      <c r="L388" s="4" t="inlineStr">
        <is>
          <t>CONFIRMADO PRESENCIAL</t>
        </is>
      </c>
      <c r="M388" s="4" t="n">
        <v/>
      </c>
      <c r="N388" s="4" t="n">
        <v>3003473415</v>
      </c>
      <c r="O388" s="4" t="inlineStr">
        <is>
          <t>llanos159@hotmail.com</t>
        </is>
      </c>
      <c r="P388" s="4" t="inlineStr">
        <is>
          <t>NEIVA SEDE</t>
        </is>
      </c>
      <c r="Q388" s="4" t="inlineStr">
        <is>
          <t>ESPECIALIZACIONES</t>
        </is>
      </c>
      <c r="R388" s="4" t="n">
        <v/>
      </c>
    </row>
    <row r="389" ht="20" customHeight="1">
      <c r="A389" s="6" t="inlineStr">
        <is>
          <t>1144180616</t>
        </is>
      </c>
      <c r="B389" s="7" t="inlineStr">
        <is>
          <t>VIRTUAL</t>
        </is>
      </c>
      <c r="C389" s="7" t="inlineStr">
        <is>
          <t>ANDRES MAURICIO VALDERRAMA GIRALDO</t>
        </is>
      </c>
      <c r="D389" s="7" t="inlineStr">
        <is>
          <t>OPERACIONES</t>
        </is>
      </c>
      <c r="E389" s="7" t="inlineStr">
        <is>
          <t>REGIONAL VALLE DELCAUCA</t>
        </is>
      </c>
      <c r="F389" s="7" t="inlineStr">
        <is>
          <t>BUENAVENTURA</t>
        </is>
      </c>
      <c r="G389" s="7" t="inlineStr">
        <is>
          <t>VIRTUAL</t>
        </is>
      </c>
      <c r="H389" s="7" t="inlineStr">
        <is>
          <t>DOC ASIS/N/V/TC/ESP ANALIT DATOS/FUN.ACADE-ADMIN</t>
        </is>
      </c>
      <c r="I389" s="7" t="inlineStr">
        <is>
          <t>ESPECIALIZACION DE ANALITICA DE DATOS</t>
        </is>
      </c>
      <c r="J389" s="7" t="inlineStr">
        <is>
          <t>PLANTA</t>
        </is>
      </c>
      <c r="K389" s="7" t="inlineStr">
        <is>
          <t>MONICA SANCHEZ</t>
        </is>
      </c>
      <c r="L389" s="7" t="inlineStr">
        <is>
          <t>CONFIRMADO VIRTUAL</t>
        </is>
      </c>
      <c r="M389" s="7" t="n">
        <v/>
      </c>
      <c r="N389" s="7" t="n">
        <v>3143724278</v>
      </c>
      <c r="O389" s="7" t="inlineStr">
        <is>
          <t>andres.mauriciov94@gmail.com</t>
        </is>
      </c>
      <c r="P389" s="7" t="inlineStr">
        <is>
          <t>BUENAVENTURA SEDE</t>
        </is>
      </c>
      <c r="Q389" s="7" t="inlineStr">
        <is>
          <t>ESPECIALIZACIONES</t>
        </is>
      </c>
      <c r="R389" s="7" t="n">
        <v/>
      </c>
    </row>
    <row r="390" ht="20" customHeight="1">
      <c r="A390" s="3" t="inlineStr">
        <is>
          <t>80190015</t>
        </is>
      </c>
      <c r="B390" s="4" t="inlineStr">
        <is>
          <t>PRESENCIAL BOGOTÁ</t>
        </is>
      </c>
      <c r="C390" s="4" t="inlineStr">
        <is>
          <t>DAVID ANDRES VARGAS SALAZAR</t>
        </is>
      </c>
      <c r="D390" s="4" t="inlineStr">
        <is>
          <t>OPERACIONES</t>
        </is>
      </c>
      <c r="E390" s="4" t="inlineStr">
        <is>
          <t>REGIONAL BOGOTA</t>
        </is>
      </c>
      <c r="F390" s="4" t="inlineStr">
        <is>
          <t>BOGOTA CENTRO</t>
        </is>
      </c>
      <c r="G390" s="4" t="inlineStr">
        <is>
          <t>VIRTUAL</t>
        </is>
      </c>
      <c r="H390" s="4" t="inlineStr">
        <is>
          <t>DOC ASIS/N/V/TC/ESP CONTRA ESTATAL/FUN.A</t>
        </is>
      </c>
      <c r="I390" s="4" t="inlineStr">
        <is>
          <t>ESPECIALIZACION DE CONTRATACION ESTATAL</t>
        </is>
      </c>
      <c r="J390" s="4" t="inlineStr">
        <is>
          <t>PLANTA</t>
        </is>
      </c>
      <c r="K390" s="4" t="inlineStr">
        <is>
          <t>MONICA SANCHEZ</t>
        </is>
      </c>
      <c r="L390" s="4" t="inlineStr">
        <is>
          <t>SIN RESPUESTA</t>
        </is>
      </c>
      <c r="M390" s="4" t="n">
        <v/>
      </c>
      <c r="N390" s="4" t="n">
        <v>3004789068</v>
      </c>
      <c r="O390" s="4" t="inlineStr">
        <is>
          <t>david.vargas.abogado@gmail.com</t>
        </is>
      </c>
      <c r="P390" s="4" t="inlineStr">
        <is>
          <t>BTA SEDE A</t>
        </is>
      </c>
      <c r="Q390" s="4" t="inlineStr">
        <is>
          <t>ESPECIALIZACIONES</t>
        </is>
      </c>
      <c r="R390" s="4" t="n">
        <v>602</v>
      </c>
    </row>
    <row r="391" ht="20" customHeight="1">
      <c r="A391" s="6" t="inlineStr">
        <is>
          <t>1057608006</t>
        </is>
      </c>
      <c r="B391" s="7" t="inlineStr">
        <is>
          <t>VIRTUAL</t>
        </is>
      </c>
      <c r="C391" s="7" t="inlineStr">
        <is>
          <t>ANDRES FELIPE BERNAL DAZA</t>
        </is>
      </c>
      <c r="D391" s="7" t="inlineStr">
        <is>
          <t>OPERACIONES</t>
        </is>
      </c>
      <c r="E391" s="7" t="inlineStr">
        <is>
          <t>REGIONAL BOYACA</t>
        </is>
      </c>
      <c r="F391" s="7" t="inlineStr">
        <is>
          <t>TUNJA</t>
        </is>
      </c>
      <c r="G391" s="7" t="inlineStr">
        <is>
          <t>VIRTUAL</t>
        </is>
      </c>
      <c r="H391" s="7" t="inlineStr">
        <is>
          <t>DOC ASIS/N/V/MT/ESP CONTRA ESTATAL</t>
        </is>
      </c>
      <c r="I391" s="7" t="inlineStr">
        <is>
          <t>ESPECIALIZACION DE CONTRATACION ESTATAL</t>
        </is>
      </c>
      <c r="J391" s="7" t="inlineStr">
        <is>
          <t>PLANTA</t>
        </is>
      </c>
      <c r="K391" s="7" t="inlineStr">
        <is>
          <t>MONICA SANCHEZ</t>
        </is>
      </c>
      <c r="L391" s="7" t="inlineStr">
        <is>
          <t>SIN RESPUESTA</t>
        </is>
      </c>
      <c r="M391" s="7" t="n">
        <v/>
      </c>
      <c r="N391" s="7" t="n">
        <v>3204838173</v>
      </c>
      <c r="O391" s="7" t="inlineStr">
        <is>
          <t>felipebernalabogado@gmail.com</t>
        </is>
      </c>
      <c r="P391" s="7" t="inlineStr">
        <is>
          <t>TUNJA SEDE</t>
        </is>
      </c>
      <c r="Q391" s="7" t="inlineStr">
        <is>
          <t>ESPECIALIZACIONES</t>
        </is>
      </c>
      <c r="R391" s="7" t="n">
        <v/>
      </c>
    </row>
    <row r="392" ht="20" customHeight="1">
      <c r="A392" s="3" t="inlineStr">
        <is>
          <t>52874922</t>
        </is>
      </c>
      <c r="B392" s="4" t="inlineStr">
        <is>
          <t>PRESENCIAL BOGOTÁ</t>
        </is>
      </c>
      <c r="C392" s="4" t="inlineStr">
        <is>
          <t>SANDRA EDITH HUERTAS VARGAS</t>
        </is>
      </c>
      <c r="D392" s="4" t="inlineStr">
        <is>
          <t>OPERACIONES</t>
        </is>
      </c>
      <c r="E392" s="4" t="inlineStr">
        <is>
          <t>REGIONAL BOGOTA</t>
        </is>
      </c>
      <c r="F392" s="4" t="inlineStr">
        <is>
          <t>BOGOTA CENTRO</t>
        </is>
      </c>
      <c r="G392" s="4" t="inlineStr">
        <is>
          <t>VIRTUAL</t>
        </is>
      </c>
      <c r="H392" s="4" t="inlineStr">
        <is>
          <t>DOC ASIS/N/V/TC/ESP CONTRA ESTATAL/PROYE</t>
        </is>
      </c>
      <c r="I392" s="4" t="inlineStr">
        <is>
          <t>ESPECIALIZACION DE CONTRATACION ESTATAL</t>
        </is>
      </c>
      <c r="J392" s="4" t="inlineStr">
        <is>
          <t>PLANTA</t>
        </is>
      </c>
      <c r="K392" s="4" t="inlineStr">
        <is>
          <t>MONICA SANCHEZ</t>
        </is>
      </c>
      <c r="L392" s="4" t="inlineStr">
        <is>
          <t>SIN RESPUESTA</t>
        </is>
      </c>
      <c r="M392" s="4" t="n">
        <v/>
      </c>
      <c r="N392" s="4" t="n">
        <v>3185331751</v>
      </c>
      <c r="O392" s="4" t="inlineStr">
        <is>
          <t>contrato.estatal01@gmail.com</t>
        </is>
      </c>
      <c r="P392" s="4" t="inlineStr">
        <is>
          <t>BTA SEDE A</t>
        </is>
      </c>
      <c r="Q392" s="4" t="inlineStr">
        <is>
          <t>ESPECIALIZACIONES</t>
        </is>
      </c>
      <c r="R392" s="4" t="n">
        <v>602</v>
      </c>
    </row>
    <row r="393" ht="20" customHeight="1">
      <c r="A393" s="6" t="inlineStr">
        <is>
          <t>1018403525</t>
        </is>
      </c>
      <c r="B393" s="7" t="inlineStr">
        <is>
          <t>PRESENCIAL BOGOTÁ</t>
        </is>
      </c>
      <c r="C393" s="7" t="inlineStr">
        <is>
          <t>JORGE ANDRES TORRES CALDERON</t>
        </is>
      </c>
      <c r="D393" s="7" t="inlineStr">
        <is>
          <t>OPERACIONES</t>
        </is>
      </c>
      <c r="E393" s="7" t="inlineStr">
        <is>
          <t>REGIONAL BOGOTA</t>
        </is>
      </c>
      <c r="F393" s="7" t="inlineStr">
        <is>
          <t>BOGOTA CENTRO</t>
        </is>
      </c>
      <c r="G393" s="7" t="inlineStr">
        <is>
          <t>VIRTUAL</t>
        </is>
      </c>
      <c r="H393" s="7" t="inlineStr">
        <is>
          <t>DOC ASIS/N/V/TC/ESP CONTRA ESTATAL/FUN.A</t>
        </is>
      </c>
      <c r="I393" s="7" t="inlineStr">
        <is>
          <t>ESPECIALIZACION DE CONTRATACION ESTATAL</t>
        </is>
      </c>
      <c r="J393" s="7" t="inlineStr">
        <is>
          <t>PLANTA</t>
        </is>
      </c>
      <c r="K393" s="7" t="inlineStr">
        <is>
          <t>MONICA SANCHEZ</t>
        </is>
      </c>
      <c r="L393" s="7" t="inlineStr">
        <is>
          <t>SIN RESPUESTA</t>
        </is>
      </c>
      <c r="M393" s="7" t="n">
        <v/>
      </c>
      <c r="N393" s="7" t="n">
        <v>3164855554</v>
      </c>
      <c r="O393" s="7" t="inlineStr">
        <is>
          <t>JANDRESTORRES@HOTMAIL.COM</t>
        </is>
      </c>
      <c r="P393" s="7" t="inlineStr">
        <is>
          <t>BTA SEDE A</t>
        </is>
      </c>
      <c r="Q393" s="7" t="inlineStr">
        <is>
          <t>ESPECIALIZACIONES</t>
        </is>
      </c>
      <c r="R393" s="7" t="n">
        <v>602</v>
      </c>
    </row>
    <row r="394" ht="20" customHeight="1">
      <c r="A394" s="3" t="inlineStr">
        <is>
          <t>1090463040</t>
        </is>
      </c>
      <c r="B394" s="4" t="inlineStr">
        <is>
          <t>VIRTUAL</t>
        </is>
      </c>
      <c r="C394" s="4" t="inlineStr">
        <is>
          <t>ANA MARIA ECHEVERRIA AVELLA</t>
        </is>
      </c>
      <c r="D394" s="4" t="inlineStr">
        <is>
          <t>OPERACIONES</t>
        </is>
      </c>
      <c r="E394" s="4" t="inlineStr">
        <is>
          <t>REGIONAL BOYACA</t>
        </is>
      </c>
      <c r="F394" s="4" t="inlineStr">
        <is>
          <t>TUNJA</t>
        </is>
      </c>
      <c r="G394" s="4" t="inlineStr">
        <is>
          <t>VIRTUAL</t>
        </is>
      </c>
      <c r="H394" s="4" t="inlineStr">
        <is>
          <t>DOC AUX/N/V/TC/ESP CONTRA ESTATAL/FUN.AC</t>
        </is>
      </c>
      <c r="I394" s="4" t="inlineStr">
        <is>
          <t>ESPECIALIZACION DE CONTRATACION ESTATAL</t>
        </is>
      </c>
      <c r="J394" s="4" t="inlineStr">
        <is>
          <t>PLANTA</t>
        </is>
      </c>
      <c r="K394" s="4" t="inlineStr">
        <is>
          <t>MONICA SANCHEZ</t>
        </is>
      </c>
      <c r="L394" s="4" t="inlineStr">
        <is>
          <t>CONFIRMADO VIRTUAL</t>
        </is>
      </c>
      <c r="M394" s="4" t="n">
        <v/>
      </c>
      <c r="N394" s="4" t="n">
        <v>3208942047</v>
      </c>
      <c r="O394" s="4" t="inlineStr">
        <is>
          <t>ANITAVALERIA2408@GMAIL.COM</t>
        </is>
      </c>
      <c r="P394" s="4" t="inlineStr">
        <is>
          <t>TUNJA SEDE</t>
        </is>
      </c>
      <c r="Q394" s="4" t="inlineStr">
        <is>
          <t>ESPECIALIZACIONES</t>
        </is>
      </c>
      <c r="R394" s="4" t="n">
        <v/>
      </c>
    </row>
    <row r="395" ht="20" customHeight="1">
      <c r="A395" s="6" t="inlineStr">
        <is>
          <t>33376443</t>
        </is>
      </c>
      <c r="B395" s="7" t="inlineStr">
        <is>
          <t>VIRTUAL</t>
        </is>
      </c>
      <c r="C395" s="7" t="inlineStr">
        <is>
          <t>LINA JOHANA GONZALEZ BARON</t>
        </is>
      </c>
      <c r="D395" s="7" t="inlineStr">
        <is>
          <t>OPERACIONES</t>
        </is>
      </c>
      <c r="E395" s="7" t="inlineStr">
        <is>
          <t>REGIONAL BOYACA</t>
        </is>
      </c>
      <c r="F395" s="7" t="inlineStr">
        <is>
          <t>TUNJA</t>
        </is>
      </c>
      <c r="G395" s="7" t="inlineStr">
        <is>
          <t>VIRTUAL</t>
        </is>
      </c>
      <c r="H395" s="7" t="inlineStr">
        <is>
          <t>DOC ASIS/N/V/TC/ESP CONTRA ESTATAL/FUN.A</t>
        </is>
      </c>
      <c r="I395" s="7" t="inlineStr">
        <is>
          <t>ESPECIALIZACION DE CONTRATACION ESTATAL</t>
        </is>
      </c>
      <c r="J395" s="7" t="inlineStr">
        <is>
          <t>PLANTA</t>
        </is>
      </c>
      <c r="K395" s="7" t="inlineStr">
        <is>
          <t>MONICA SANCHEZ</t>
        </is>
      </c>
      <c r="L395" s="7" t="inlineStr">
        <is>
          <t>CONFIRMADO VIRTUAL</t>
        </is>
      </c>
      <c r="M395" s="7" t="n">
        <v/>
      </c>
      <c r="N395" s="7" t="n">
        <v>3138908592</v>
      </c>
      <c r="O395" s="7" t="inlineStr">
        <is>
          <t>LINAGONZALEZ.ABOGADA@HOTMAIL.COM</t>
        </is>
      </c>
      <c r="P395" s="7" t="inlineStr">
        <is>
          <t>TUNJA SEDE</t>
        </is>
      </c>
      <c r="Q395" s="7" t="inlineStr">
        <is>
          <t>ESPECIALIZACIONES</t>
        </is>
      </c>
      <c r="R395" s="7" t="n">
        <v/>
      </c>
    </row>
    <row r="396" ht="20" customHeight="1">
      <c r="A396" s="3" t="inlineStr">
        <is>
          <t>1069739889</t>
        </is>
      </c>
      <c r="B396" s="4" t="inlineStr">
        <is>
          <t>PRESENCIAL BOGOTÁ</t>
        </is>
      </c>
      <c r="C396" s="4" t="inlineStr">
        <is>
          <t>ELIANA RONDON CAÑON</t>
        </is>
      </c>
      <c r="D396" s="4" t="inlineStr">
        <is>
          <t>OPERACIONES</t>
        </is>
      </c>
      <c r="E396" s="4" t="inlineStr">
        <is>
          <t>REGIONAL BOGOTA</t>
        </is>
      </c>
      <c r="F396" s="4" t="inlineStr">
        <is>
          <t>BOGOTA CENTRO</t>
        </is>
      </c>
      <c r="G396" s="4" t="inlineStr">
        <is>
          <t>VIRTUAL</t>
        </is>
      </c>
      <c r="H396" s="4" t="inlineStr">
        <is>
          <t>DOC AUX/N/V/TC/ESP CONTRA ESTATAL/FUN.AC</t>
        </is>
      </c>
      <c r="I396" s="4" t="inlineStr">
        <is>
          <t>ESPECIALIZACION DE CONTRATACION ESTATAL</t>
        </is>
      </c>
      <c r="J396" s="4" t="inlineStr">
        <is>
          <t>PLANTA</t>
        </is>
      </c>
      <c r="K396" s="4" t="inlineStr">
        <is>
          <t>MONICA SANCHEZ</t>
        </is>
      </c>
      <c r="L396" s="4" t="inlineStr">
        <is>
          <t>CONFIRMADO PRESENCIAL</t>
        </is>
      </c>
      <c r="M396" s="4" t="n">
        <v/>
      </c>
      <c r="N396" s="4" t="n">
        <v>3005285400</v>
      </c>
      <c r="O396" s="4" t="inlineStr">
        <is>
          <t>ELIANARONDONCANON@GMAIL.COM</t>
        </is>
      </c>
      <c r="P396" s="4" t="inlineStr">
        <is>
          <t>BTA SEDE A</t>
        </is>
      </c>
      <c r="Q396" s="4" t="inlineStr">
        <is>
          <t>ESPECIALIZACIONES</t>
        </is>
      </c>
      <c r="R396" s="4" t="n">
        <v>602</v>
      </c>
    </row>
    <row r="397" ht="20" customHeight="1">
      <c r="A397" s="6" t="inlineStr">
        <is>
          <t>1024540818</t>
        </is>
      </c>
      <c r="B397" s="7" t="inlineStr">
        <is>
          <t>VIRTUAL</t>
        </is>
      </c>
      <c r="C397" s="7" t="inlineStr">
        <is>
          <t>LINA MARIA AVILAN CORTES</t>
        </is>
      </c>
      <c r="D397" s="7" t="inlineStr">
        <is>
          <t>OPERACIONES</t>
        </is>
      </c>
      <c r="E397" s="7" t="inlineStr">
        <is>
          <t>REGIONAL CUNDINAMARCA</t>
        </is>
      </c>
      <c r="F397" s="7" t="inlineStr">
        <is>
          <t>FUSAGASUGÁ</t>
        </is>
      </c>
      <c r="G397" s="7" t="inlineStr">
        <is>
          <t>VIRTUAL</t>
        </is>
      </c>
      <c r="H397" s="7" t="inlineStr">
        <is>
          <t>DOC AUX/N/V/TC/ESP CONTRA ESTATAL/FUN.AC</t>
        </is>
      </c>
      <c r="I397" s="7" t="inlineStr">
        <is>
          <t>ESPECIALIZACION DE CONTRATACION ESTATAL</t>
        </is>
      </c>
      <c r="J397" s="7" t="inlineStr">
        <is>
          <t>PLANTA</t>
        </is>
      </c>
      <c r="K397" s="7" t="inlineStr">
        <is>
          <t>MONICA SANCHEZ</t>
        </is>
      </c>
      <c r="L397" s="7" t="inlineStr">
        <is>
          <t>CONFIRMADO VIRTUAL</t>
        </is>
      </c>
      <c r="M397" s="7" t="n">
        <v/>
      </c>
      <c r="N397" s="7" t="n">
        <v>3164501171</v>
      </c>
      <c r="O397" s="7" t="inlineStr">
        <is>
          <t>LINACORTES93@HOTMAIL.COM</t>
        </is>
      </c>
      <c r="P397" s="7" t="inlineStr">
        <is>
          <t>FUSAGASUGA SEDE</t>
        </is>
      </c>
      <c r="Q397" s="7" t="inlineStr">
        <is>
          <t>ESPECIALIZACIONES</t>
        </is>
      </c>
      <c r="R397" s="7" t="n">
        <v/>
      </c>
    </row>
    <row r="398" ht="20" customHeight="1">
      <c r="A398" s="3" t="inlineStr">
        <is>
          <t>1032364466</t>
        </is>
      </c>
      <c r="B398" s="4" t="inlineStr">
        <is>
          <t>PRESENCIAL BOGOTÁ</t>
        </is>
      </c>
      <c r="C398" s="4" t="inlineStr">
        <is>
          <t>JUAN SEBASTIAN BARRERA ANGEL</t>
        </is>
      </c>
      <c r="D398" s="4" t="inlineStr">
        <is>
          <t>OPERACIONES</t>
        </is>
      </c>
      <c r="E398" s="4" t="inlineStr">
        <is>
          <t>REGIONAL BOGOTA</t>
        </is>
      </c>
      <c r="F398" s="4" t="inlineStr">
        <is>
          <t>BOGOTA CENTRO</t>
        </is>
      </c>
      <c r="G398" s="4" t="inlineStr">
        <is>
          <t>VIRTUAL</t>
        </is>
      </c>
      <c r="H398" s="4" t="inlineStr">
        <is>
          <t>DOC ASIS/N/V/TC/ESP CONTRA ESTATAL/FUN.A</t>
        </is>
      </c>
      <c r="I398" s="4" t="inlineStr">
        <is>
          <t>ESPECIALIZACION DE CONTRATACION ESTATAL</t>
        </is>
      </c>
      <c r="J398" s="4" t="inlineStr">
        <is>
          <t>PLANTA</t>
        </is>
      </c>
      <c r="K398" s="4" t="inlineStr">
        <is>
          <t>MONICA SANCHEZ</t>
        </is>
      </c>
      <c r="L398" s="4" t="inlineStr">
        <is>
          <t>CONFIRMADO PRESENCIAL</t>
        </is>
      </c>
      <c r="M398" s="4" t="n">
        <v/>
      </c>
      <c r="N398" s="4" t="n">
        <v>3108751150</v>
      </c>
      <c r="O398" s="4" t="inlineStr">
        <is>
          <t>Juanse_barrera@hotmail.com</t>
        </is>
      </c>
      <c r="P398" s="4" t="inlineStr">
        <is>
          <t>BTA SEDE A</t>
        </is>
      </c>
      <c r="Q398" s="4" t="inlineStr">
        <is>
          <t>ESPECIALIZACIONES</t>
        </is>
      </c>
      <c r="R398" s="4" t="n">
        <v>602</v>
      </c>
    </row>
    <row r="399" ht="20" customHeight="1">
      <c r="A399" s="6" t="inlineStr">
        <is>
          <t>1031141366</t>
        </is>
      </c>
      <c r="B399" s="7" t="inlineStr">
        <is>
          <t>PRESENCIAL BOGOTÁ</t>
        </is>
      </c>
      <c r="C399" s="7" t="inlineStr">
        <is>
          <t>JULIAN ERNESTO CELY HERNANDEZ</t>
        </is>
      </c>
      <c r="D399" s="7" t="inlineStr">
        <is>
          <t>OPERACIONES</t>
        </is>
      </c>
      <c r="E399" s="7" t="inlineStr">
        <is>
          <t>REGIONAL BOGOTA</t>
        </is>
      </c>
      <c r="F399" s="7" t="inlineStr">
        <is>
          <t>BOGOTA CENTRO</t>
        </is>
      </c>
      <c r="G399" s="7" t="inlineStr">
        <is>
          <t>VIRTUAL</t>
        </is>
      </c>
      <c r="H399" s="7" t="inlineStr">
        <is>
          <t>DOC ASOC/N/V/TC/ESP PAZ Y DESARR/FUN.ACADE-ADMIN</t>
        </is>
      </c>
      <c r="I399" s="7" t="inlineStr">
        <is>
          <t>ESPECIALIZACION DE PAZ Y DESARROLLO</t>
        </is>
      </c>
      <c r="J399" s="7" t="inlineStr">
        <is>
          <t>PLANTA</t>
        </is>
      </c>
      <c r="K399" s="7" t="inlineStr">
        <is>
          <t>MONICA SANCHEZ</t>
        </is>
      </c>
      <c r="L399" s="7" t="inlineStr">
        <is>
          <t>CONFIRMADO PRESENCIAL</t>
        </is>
      </c>
      <c r="M399" s="7" t="n">
        <v/>
      </c>
      <c r="N399" s="7" t="n">
        <v>3193313980</v>
      </c>
      <c r="O399" s="7" t="inlineStr">
        <is>
          <t>jecelyh@unal.edu.co</t>
        </is>
      </c>
      <c r="P399" s="7" t="inlineStr">
        <is>
          <t>BTA SEDE A</t>
        </is>
      </c>
      <c r="Q399" s="7" t="inlineStr">
        <is>
          <t>ESPECIALIZACIONES</t>
        </is>
      </c>
      <c r="R399" s="7" t="n">
        <v>602</v>
      </c>
    </row>
    <row r="400" ht="20" customHeight="1">
      <c r="A400" s="3" t="inlineStr">
        <is>
          <t>1010176844</t>
        </is>
      </c>
      <c r="B400" s="4" t="inlineStr">
        <is>
          <t>PRESENCIAL BOGOTÁ</t>
        </is>
      </c>
      <c r="C400" s="4" t="inlineStr">
        <is>
          <t>ESTEBAN CASTAÑEDA SANCHEZ</t>
        </is>
      </c>
      <c r="D400" s="4" t="inlineStr">
        <is>
          <t>OPERACIONES</t>
        </is>
      </c>
      <c r="E400" s="4" t="inlineStr">
        <is>
          <t>REGIONAL BOGOTA</t>
        </is>
      </c>
      <c r="F400" s="4" t="inlineStr">
        <is>
          <t>BOGOTA CENTRO</t>
        </is>
      </c>
      <c r="G400" s="4" t="inlineStr">
        <is>
          <t>VIRTUAL</t>
        </is>
      </c>
      <c r="H400" s="4" t="inlineStr">
        <is>
          <t>DOC ASIS/N/V/TC/ESP PAZ Y DESARR/FUN.ACADE-ADMIN</t>
        </is>
      </c>
      <c r="I400" s="4" t="inlineStr">
        <is>
          <t>ESPECIALIZACION DE PAZ Y DESARROLLO</t>
        </is>
      </c>
      <c r="J400" s="4" t="inlineStr">
        <is>
          <t>PLANTA</t>
        </is>
      </c>
      <c r="K400" s="4" t="inlineStr">
        <is>
          <t>MONICA SANCHEZ</t>
        </is>
      </c>
      <c r="L400" s="4" t="inlineStr">
        <is>
          <t>SIN RESPUESTA</t>
        </is>
      </c>
      <c r="M400" s="4" t="n">
        <v/>
      </c>
      <c r="N400" s="4" t="n">
        <v>3185290030</v>
      </c>
      <c r="O400" s="4" t="inlineStr">
        <is>
          <t>e.castaneda@uniandes.edu.co</t>
        </is>
      </c>
      <c r="P400" s="4" t="inlineStr">
        <is>
          <t>BTA SEDE A</t>
        </is>
      </c>
      <c r="Q400" s="4" t="inlineStr">
        <is>
          <t>ESPECIALIZACIONES</t>
        </is>
      </c>
      <c r="R400" s="4" t="n">
        <v>602</v>
      </c>
    </row>
    <row r="401" ht="20" customHeight="1">
      <c r="A401" s="6" t="inlineStr">
        <is>
          <t>1030541820</t>
        </is>
      </c>
      <c r="B401" s="7" t="inlineStr">
        <is>
          <t>PRESENCIAL BOGOTÁ</t>
        </is>
      </c>
      <c r="C401" s="7" t="inlineStr">
        <is>
          <t>PAOLA ANDREA CAMACHO VANEGAS</t>
        </is>
      </c>
      <c r="D401" s="7" t="inlineStr">
        <is>
          <t>OPERACIONES</t>
        </is>
      </c>
      <c r="E401" s="7" t="inlineStr">
        <is>
          <t>REGIONAL BOGOTA</t>
        </is>
      </c>
      <c r="F401" s="7" t="inlineStr">
        <is>
          <t>BOGOTA CENTRO</t>
        </is>
      </c>
      <c r="G401" s="7" t="inlineStr">
        <is>
          <t>VIRTUAL</t>
        </is>
      </c>
      <c r="H401" s="7" t="inlineStr">
        <is>
          <t>DOC ASIS/N/V/TC/ESP PAZ Y DESARR/FUN.ACADE-ADMIN</t>
        </is>
      </c>
      <c r="I401" s="7" t="inlineStr">
        <is>
          <t>ESPECIALIZACION DE PAZ Y DESARROLLO</t>
        </is>
      </c>
      <c r="J401" s="7" t="inlineStr">
        <is>
          <t>PLANTA</t>
        </is>
      </c>
      <c r="K401" s="7" t="inlineStr">
        <is>
          <t>MONICA SANCHEZ</t>
        </is>
      </c>
      <c r="L401" s="7" t="inlineStr">
        <is>
          <t>CONFIRMADO PRESENCIAL</t>
        </is>
      </c>
      <c r="M401" s="7" t="n">
        <v/>
      </c>
      <c r="N401" s="7" t="n">
        <v>3124499137</v>
      </c>
      <c r="O401" s="7" t="inlineStr">
        <is>
          <t>paocamacho22@hotmail.com</t>
        </is>
      </c>
      <c r="P401" s="7" t="inlineStr">
        <is>
          <t>BTA SEDE A</t>
        </is>
      </c>
      <c r="Q401" s="7" t="inlineStr">
        <is>
          <t>ESPECIALIZACIONES</t>
        </is>
      </c>
      <c r="R401" s="7" t="n">
        <v>602</v>
      </c>
    </row>
    <row r="402" ht="20" customHeight="1">
      <c r="A402" s="3" t="inlineStr">
        <is>
          <t>1031157110</t>
        </is>
      </c>
      <c r="B402" s="4" t="inlineStr">
        <is>
          <t>PRESENCIAL BOGOTÁ</t>
        </is>
      </c>
      <c r="C402" s="4" t="inlineStr">
        <is>
          <t>JEYSON BERNAL CAMACHO</t>
        </is>
      </c>
      <c r="D402" s="4" t="inlineStr">
        <is>
          <t>OPERACIONES</t>
        </is>
      </c>
      <c r="E402" s="4" t="inlineStr">
        <is>
          <t>REGIONAL BOGOTA</t>
        </is>
      </c>
      <c r="F402" s="4" t="inlineStr">
        <is>
          <t>BOGOTA CENTRO</t>
        </is>
      </c>
      <c r="G402" s="4" t="inlineStr">
        <is>
          <t>VIRTUAL</t>
        </is>
      </c>
      <c r="H402" s="4" t="inlineStr">
        <is>
          <t>DOC ASIS/N/V/TC/ESP PAZ Y DESARR/FUN.ACADE-ADMIN</t>
        </is>
      </c>
      <c r="I402" s="4" t="inlineStr">
        <is>
          <t>ESPECIALIZACION DE PAZ Y DESARROLLO</t>
        </is>
      </c>
      <c r="J402" s="4" t="inlineStr">
        <is>
          <t>PLANTA</t>
        </is>
      </c>
      <c r="K402" s="4" t="inlineStr">
        <is>
          <t>VIVIANA MORENO</t>
        </is>
      </c>
      <c r="L402" s="4" t="inlineStr">
        <is>
          <t>CONFIRMADO PRESENCIAL</t>
        </is>
      </c>
      <c r="M402" s="4" t="n">
        <v/>
      </c>
      <c r="N402" s="4" t="n">
        <v>3212786654</v>
      </c>
      <c r="O402" s="4" t="inlineStr">
        <is>
          <t>jeysonbernalc@gmail.com</t>
        </is>
      </c>
      <c r="P402" s="4" t="inlineStr">
        <is>
          <t>BTA SEDE A</t>
        </is>
      </c>
      <c r="Q402" s="4" t="inlineStr">
        <is>
          <t>ESPECIALIZACIONES</t>
        </is>
      </c>
      <c r="R402" s="4" t="n">
        <v>602</v>
      </c>
    </row>
    <row r="403" ht="20" customHeight="1">
      <c r="A403" s="6" t="inlineStr">
        <is>
          <t>79766758</t>
        </is>
      </c>
      <c r="B403" s="7" t="inlineStr">
        <is>
          <t>PRESENCIAL BOGOTÁ</t>
        </is>
      </c>
      <c r="C403" s="7" t="inlineStr">
        <is>
          <t>FERNANDO CARDONA SANCHEZ</t>
        </is>
      </c>
      <c r="D403" s="7" t="inlineStr">
        <is>
          <t>OPERACIONES</t>
        </is>
      </c>
      <c r="E403" s="7" t="inlineStr">
        <is>
          <t>REGIONAL BOGOTA</t>
        </is>
      </c>
      <c r="F403" s="7" t="inlineStr">
        <is>
          <t>BOGOTA CENTRO</t>
        </is>
      </c>
      <c r="G403" s="7" t="inlineStr">
        <is>
          <t>VIRTUAL</t>
        </is>
      </c>
      <c r="H403" s="7" t="inlineStr">
        <is>
          <t>DOC ASOC/N/V/TC/ESP PAZ Y DESARR/FUN.ACADE-ADMIN</t>
        </is>
      </c>
      <c r="I403" s="7" t="inlineStr">
        <is>
          <t>ESPECIALIZACION DE PAZ Y DESARROLLO</t>
        </is>
      </c>
      <c r="J403" s="7" t="inlineStr">
        <is>
          <t>PLANTA</t>
        </is>
      </c>
      <c r="K403" s="7" t="inlineStr">
        <is>
          <t>VIVIANA MORENO</t>
        </is>
      </c>
      <c r="L403" s="7" t="inlineStr">
        <is>
          <t>SIN RESPUESTA</t>
        </is>
      </c>
      <c r="M403" s="7" t="inlineStr">
        <is>
          <t>3 VECES NO CONTESTA</t>
        </is>
      </c>
      <c r="N403" s="7" t="n">
        <v>3196075057</v>
      </c>
      <c r="O403" s="7" t="inlineStr">
        <is>
          <t>fcardonasanchez@gmail.com</t>
        </is>
      </c>
      <c r="P403" s="7" t="inlineStr">
        <is>
          <t>BTA SEDE A</t>
        </is>
      </c>
      <c r="Q403" s="7" t="inlineStr">
        <is>
          <t>ESPECIALIZACIONES</t>
        </is>
      </c>
      <c r="R403" s="7" t="n">
        <v>602</v>
      </c>
    </row>
    <row r="404" ht="20" customHeight="1">
      <c r="A404" s="3" t="inlineStr">
        <is>
          <t>79849027</t>
        </is>
      </c>
      <c r="B404" s="4" t="inlineStr">
        <is>
          <t>PRESENCIAL BOGOTÁ</t>
        </is>
      </c>
      <c r="C404" s="4" t="inlineStr">
        <is>
          <t>RICARDO HUMBERTO SUSA RUBIANO</t>
        </is>
      </c>
      <c r="D404" s="4" t="inlineStr">
        <is>
          <t>OPERACIONES</t>
        </is>
      </c>
      <c r="E404" s="4" t="inlineStr">
        <is>
          <t>REGIONAL BOGOTA</t>
        </is>
      </c>
      <c r="F404" s="4" t="inlineStr">
        <is>
          <t>BOGOTA CENTRO</t>
        </is>
      </c>
      <c r="G404" s="4" t="inlineStr">
        <is>
          <t>VIRTUAL</t>
        </is>
      </c>
      <c r="H404" s="4" t="inlineStr">
        <is>
          <t>DOC AUX/N/V/TC/ESP. TRANSF. DIGITAL/PROY</t>
        </is>
      </c>
      <c r="I404" s="4" t="inlineStr">
        <is>
          <t>ESPECIALIZACION DE TRANSFORMACION DIGITAL</t>
        </is>
      </c>
      <c r="J404" s="4" t="inlineStr">
        <is>
          <t>PLANTA</t>
        </is>
      </c>
      <c r="K404" s="4" t="inlineStr">
        <is>
          <t>VIVIANA MORENO</t>
        </is>
      </c>
      <c r="L404" s="4" t="inlineStr">
        <is>
          <t>SIN RESPUESTA</t>
        </is>
      </c>
      <c r="M404" s="4" t="n">
        <v/>
      </c>
      <c r="N404" s="4" t="n">
        <v>3135152121</v>
      </c>
      <c r="O404" s="4" t="inlineStr">
        <is>
          <t>RSUSA75@GMAIL.COM</t>
        </is>
      </c>
      <c r="P404" s="4" t="inlineStr">
        <is>
          <t>BTA SEDE A</t>
        </is>
      </c>
      <c r="Q404" s="4" t="inlineStr">
        <is>
          <t>ESPECIALIZACIONES</t>
        </is>
      </c>
      <c r="R404" s="4" t="n">
        <v>602</v>
      </c>
    </row>
    <row r="405" ht="20" customHeight="1">
      <c r="A405" s="6" t="inlineStr">
        <is>
          <t>1013605574</t>
        </is>
      </c>
      <c r="B405" s="7" t="inlineStr">
        <is>
          <t>PRESENCIAL BOGOTÁ</t>
        </is>
      </c>
      <c r="C405" s="7" t="inlineStr">
        <is>
          <t>JAIRO ALEJANDRO ROJAS MURCIA</t>
        </is>
      </c>
      <c r="D405" s="7" t="inlineStr">
        <is>
          <t>OPERACIONES</t>
        </is>
      </c>
      <c r="E405" s="7" t="inlineStr">
        <is>
          <t>REGIONAL BOGOTA</t>
        </is>
      </c>
      <c r="F405" s="7" t="inlineStr">
        <is>
          <t>BOGOTA CENTRO</t>
        </is>
      </c>
      <c r="G405" s="7" t="inlineStr">
        <is>
          <t>VIRTUAL</t>
        </is>
      </c>
      <c r="H405" s="7" t="inlineStr">
        <is>
          <t>DOC AUX/N/V/TC/ESP TRANSF DIGITAL/FUN.AC</t>
        </is>
      </c>
      <c r="I405" s="7" t="inlineStr">
        <is>
          <t>ESPECIALIZACION DE TRANSFORMACION DIGITAL</t>
        </is>
      </c>
      <c r="J405" s="7" t="inlineStr">
        <is>
          <t>PLANTA</t>
        </is>
      </c>
      <c r="K405" s="7" t="inlineStr">
        <is>
          <t>VIVIANA MORENO</t>
        </is>
      </c>
      <c r="L405" s="7" t="inlineStr">
        <is>
          <t>SIN RESPUESTA</t>
        </is>
      </c>
      <c r="M405" s="7" t="n">
        <v/>
      </c>
      <c r="N405" s="7" t="n">
        <v>3115671845</v>
      </c>
      <c r="O405" s="7" t="inlineStr">
        <is>
          <t>alejandrorojmu@gmail.com</t>
        </is>
      </c>
      <c r="P405" s="7" t="inlineStr">
        <is>
          <t>BTA SEDE A</t>
        </is>
      </c>
      <c r="Q405" s="7" t="inlineStr">
        <is>
          <t>ESPECIALIZACIONES</t>
        </is>
      </c>
      <c r="R405" s="7" t="n">
        <v>602</v>
      </c>
    </row>
    <row r="406" ht="20" customHeight="1">
      <c r="A406" s="3" t="inlineStr">
        <is>
          <t>10492473</t>
        </is>
      </c>
      <c r="B406" s="4" t="inlineStr">
        <is>
          <t>PRESENCIAL BOGOTÁ</t>
        </is>
      </c>
      <c r="C406" s="4" t="inlineStr">
        <is>
          <t>LUIS FERNANDO ABANIS POPO</t>
        </is>
      </c>
      <c r="D406" s="4" t="inlineStr">
        <is>
          <t>OPERACIONES</t>
        </is>
      </c>
      <c r="E406" s="4" t="inlineStr">
        <is>
          <t>REGIONAL BOGOTA</t>
        </is>
      </c>
      <c r="F406" s="4" t="inlineStr">
        <is>
          <t>BOGOTA CENTRO</t>
        </is>
      </c>
      <c r="G406" s="4" t="inlineStr">
        <is>
          <t>VIRTUAL</t>
        </is>
      </c>
      <c r="H406" s="4" t="inlineStr">
        <is>
          <t>DOC ASIS/N/V/MT/ESP TRANSF DIGITAL</t>
        </is>
      </c>
      <c r="I406" s="4" t="inlineStr">
        <is>
          <t>ESPECIALIZACION DE TRANSFORMACION DIGITAL</t>
        </is>
      </c>
      <c r="J406" s="4" t="inlineStr">
        <is>
          <t>PLANTA</t>
        </is>
      </c>
      <c r="K406" s="4" t="inlineStr">
        <is>
          <t>VIVIANA MORENO</t>
        </is>
      </c>
      <c r="L406" s="4" t="inlineStr">
        <is>
          <t>SIN RESPUESTA</t>
        </is>
      </c>
      <c r="M406" s="4" t="n">
        <v/>
      </c>
      <c r="N406" s="4" t="n">
        <v>3104193521</v>
      </c>
      <c r="O406" s="4" t="inlineStr">
        <is>
          <t>fernando.abanis@gmail.com</t>
        </is>
      </c>
      <c r="P406" s="4" t="inlineStr">
        <is>
          <t>BTA SEDE A</t>
        </is>
      </c>
      <c r="Q406" s="4" t="inlineStr">
        <is>
          <t>ESPECIALIZACIONES</t>
        </is>
      </c>
      <c r="R406" s="4" t="n">
        <v>602</v>
      </c>
    </row>
    <row r="407" ht="20" customHeight="1">
      <c r="A407" s="6" t="inlineStr">
        <is>
          <t>1013636171</t>
        </is>
      </c>
      <c r="B407" s="7" t="inlineStr">
        <is>
          <t>PRESENCIAL BOGOTÁ</t>
        </is>
      </c>
      <c r="C407" s="7" t="inlineStr">
        <is>
          <t>CRISTIAN ALEXANDER ALONSO MENDEZ</t>
        </is>
      </c>
      <c r="D407" s="7" t="inlineStr">
        <is>
          <t>OPERACIONES</t>
        </is>
      </c>
      <c r="E407" s="7" t="inlineStr">
        <is>
          <t>REGIONAL BOGOTA</t>
        </is>
      </c>
      <c r="F407" s="7" t="inlineStr">
        <is>
          <t>BOGOTA CENTRO</t>
        </is>
      </c>
      <c r="G407" s="7" t="inlineStr">
        <is>
          <t>VIRTUAL</t>
        </is>
      </c>
      <c r="H407" s="7" t="inlineStr">
        <is>
          <t>DOC AUX/N/V/TC/ESP DYD VIDEOJUEGOS/FUN.A</t>
        </is>
      </c>
      <c r="I407" s="7" t="inlineStr">
        <is>
          <t>ESPECIALIZACION DISEÑO Y DESARROLLO VIDEOJUEGOS</t>
        </is>
      </c>
      <c r="J407" s="7" t="inlineStr">
        <is>
          <t>PLANTA</t>
        </is>
      </c>
      <c r="K407" s="7" t="inlineStr">
        <is>
          <t>VIVIANA MORENO</t>
        </is>
      </c>
      <c r="L407" s="7" t="inlineStr">
        <is>
          <t>SIN RESPUESTA</t>
        </is>
      </c>
      <c r="M407" s="7" t="n">
        <v/>
      </c>
      <c r="N407" s="7" t="n">
        <v>3194637489</v>
      </c>
      <c r="O407" s="7" t="inlineStr">
        <is>
          <t>cristianalonso07@gmail.com</t>
        </is>
      </c>
      <c r="P407" s="7" t="inlineStr">
        <is>
          <t>BTA SEDE A</t>
        </is>
      </c>
      <c r="Q407" s="7" t="inlineStr">
        <is>
          <t>ESPECIALIZACIONES</t>
        </is>
      </c>
      <c r="R407" s="7" t="n">
        <v>602</v>
      </c>
    </row>
    <row r="408" ht="20" customHeight="1">
      <c r="A408" s="3" t="inlineStr">
        <is>
          <t>1098612632</t>
        </is>
      </c>
      <c r="B408" s="4" t="inlineStr">
        <is>
          <t>VIRTUAL</t>
        </is>
      </c>
      <c r="C408" s="4" t="inlineStr">
        <is>
          <t>LAURA MARCELA PASACHOA LUNA</t>
        </is>
      </c>
      <c r="D408" s="4" t="inlineStr">
        <is>
          <t>OPERACIONES</t>
        </is>
      </c>
      <c r="E408" s="4" t="inlineStr">
        <is>
          <t>REGIONAL SANTANDER</t>
        </is>
      </c>
      <c r="F408" s="4" t="inlineStr">
        <is>
          <t>BUCARAMANGA</t>
        </is>
      </c>
      <c r="G408" s="4" t="inlineStr">
        <is>
          <t>VIRTUAL</t>
        </is>
      </c>
      <c r="H408" s="4" t="inlineStr">
        <is>
          <t>DOC ASIS/N/V/TC/ESP ALTA GEREN/PROYECCIO</t>
        </is>
      </c>
      <c r="I408" s="4" t="inlineStr">
        <is>
          <t>ESPECIALIZACION EN ALTA GERENCIA</t>
        </is>
      </c>
      <c r="J408" s="4" t="inlineStr">
        <is>
          <t>PLANTA</t>
        </is>
      </c>
      <c r="K408" s="4" t="inlineStr">
        <is>
          <t>VIVIANA MORENO</t>
        </is>
      </c>
      <c r="L408" s="4" t="inlineStr">
        <is>
          <t>CONFIRMADO VIRTUAL</t>
        </is>
      </c>
      <c r="M408" s="4" t="n">
        <v/>
      </c>
      <c r="N408" s="4" t="n">
        <v>3176688272</v>
      </c>
      <c r="O408" s="4" t="inlineStr">
        <is>
          <t>lmpasachoa@gmail.com</t>
        </is>
      </c>
      <c r="P408" s="4" t="inlineStr">
        <is>
          <t>BGA SEDE</t>
        </is>
      </c>
      <c r="Q408" s="4" t="inlineStr">
        <is>
          <t>ESPECIALIZACIONES</t>
        </is>
      </c>
      <c r="R408" s="4" t="n">
        <v/>
      </c>
    </row>
    <row r="409" ht="20" customHeight="1">
      <c r="A409" s="6" t="inlineStr">
        <is>
          <t>39580553</t>
        </is>
      </c>
      <c r="B409" s="7" t="inlineStr">
        <is>
          <t>VIRTUAL</t>
        </is>
      </c>
      <c r="C409" s="7" t="inlineStr">
        <is>
          <t>IVONNE TATIANA MUÑOZ MARTINEZ</t>
        </is>
      </c>
      <c r="D409" s="7" t="inlineStr">
        <is>
          <t>OPERACIONES</t>
        </is>
      </c>
      <c r="E409" s="7" t="inlineStr">
        <is>
          <t>REGIONAL CUNDINAMARCA</t>
        </is>
      </c>
      <c r="F409" s="7" t="inlineStr">
        <is>
          <t>MOSQUERA</t>
        </is>
      </c>
      <c r="G409" s="7" t="inlineStr">
        <is>
          <t>VIRTUAL</t>
        </is>
      </c>
      <c r="H409" s="7" t="inlineStr">
        <is>
          <t>DOCENTE ASIS/N/V/TC/ESP ALTA GEREN/FUN.A</t>
        </is>
      </c>
      <c r="I409" s="7" t="inlineStr">
        <is>
          <t>ESPECIALIZACION EN ALTA GERENCIA</t>
        </is>
      </c>
      <c r="J409" s="7" t="inlineStr">
        <is>
          <t>PLANTA</t>
        </is>
      </c>
      <c r="K409" s="7" t="inlineStr">
        <is>
          <t>VIVIANA MORENO</t>
        </is>
      </c>
      <c r="L409" s="7" t="n">
        <v/>
      </c>
      <c r="M409" s="7" t="n">
        <v/>
      </c>
      <c r="N409" s="7" t="n">
        <v>3133301499</v>
      </c>
      <c r="O409" s="7" t="inlineStr">
        <is>
          <t>INGTATIANA@HOTMAIL.COM</t>
        </is>
      </c>
      <c r="P409" s="7" t="inlineStr">
        <is>
          <t>MOSQUERA SEDE</t>
        </is>
      </c>
      <c r="Q409" s="7" t="inlineStr">
        <is>
          <t>ESPECIALIZACIONES</t>
        </is>
      </c>
      <c r="R409" s="7" t="n">
        <v/>
      </c>
    </row>
    <row r="410" ht="20" customHeight="1">
      <c r="A410" s="3" t="inlineStr">
        <is>
          <t>52708524</t>
        </is>
      </c>
      <c r="B410" s="4" t="inlineStr">
        <is>
          <t>PRESENCIAL BOGOTÁ</t>
        </is>
      </c>
      <c r="C410" s="4" t="inlineStr">
        <is>
          <t>ALBA YETCENIA OSORIO CALVO</t>
        </is>
      </c>
      <c r="D410" s="4" t="inlineStr">
        <is>
          <t>OPERACIONES</t>
        </is>
      </c>
      <c r="E410" s="4" t="inlineStr">
        <is>
          <t>REGIONAL BOGOTA</t>
        </is>
      </c>
      <c r="F410" s="4" t="inlineStr">
        <is>
          <t>BOGOTA CENTRO</t>
        </is>
      </c>
      <c r="G410" s="4" t="inlineStr">
        <is>
          <t>VIRTUAL</t>
        </is>
      </c>
      <c r="H410" s="4" t="inlineStr">
        <is>
          <t>DOC AUX/N/V/TC/ESP DES Y GEST TAL HUM/PR</t>
        </is>
      </c>
      <c r="I410" s="4" t="inlineStr">
        <is>
          <t>ESPECIALIZACION EN DESARROLLO ORGANIZACIONAL Y GESTION DEL TALENTO HUMANO</t>
        </is>
      </c>
      <c r="J410" s="4" t="inlineStr">
        <is>
          <t>PLANTA</t>
        </is>
      </c>
      <c r="K410" s="4" t="inlineStr">
        <is>
          <t>VIVIANA MORENO</t>
        </is>
      </c>
      <c r="L410" s="4" t="inlineStr">
        <is>
          <t>PENDIENTE POR CONFIRMAR</t>
        </is>
      </c>
      <c r="M410" s="4" t="n">
        <v/>
      </c>
      <c r="N410" s="4" t="n">
        <v>3107927061</v>
      </c>
      <c r="O410" s="4" t="inlineStr">
        <is>
          <t>yeceniao2020@gmail.com</t>
        </is>
      </c>
      <c r="P410" s="4" t="inlineStr">
        <is>
          <t>BTA SEDE A</t>
        </is>
      </c>
      <c r="Q410" s="4" t="inlineStr">
        <is>
          <t>ESPECIALIZACIONES</t>
        </is>
      </c>
      <c r="R410" s="4" t="n">
        <v>602</v>
      </c>
    </row>
    <row r="411" ht="20" customHeight="1">
      <c r="A411" s="6" t="inlineStr">
        <is>
          <t>40670934</t>
        </is>
      </c>
      <c r="B411" s="7" t="inlineStr">
        <is>
          <t>PRESENCIAL BOGOTÁ</t>
        </is>
      </c>
      <c r="C411" s="7" t="inlineStr">
        <is>
          <t>MONICA CUERVO AULLON</t>
        </is>
      </c>
      <c r="D411" s="7" t="inlineStr">
        <is>
          <t>OPERACIONES</t>
        </is>
      </c>
      <c r="E411" s="7" t="inlineStr">
        <is>
          <t>REGIONAL BOGOTA</t>
        </is>
      </c>
      <c r="F411" s="7" t="inlineStr">
        <is>
          <t>BOGOTA CENTRO</t>
        </is>
      </c>
      <c r="G411" s="7" t="inlineStr">
        <is>
          <t>VIRTUAL</t>
        </is>
      </c>
      <c r="H411" s="7" t="inlineStr">
        <is>
          <t>DOC ASIS/N/V/TC/ESP DES ORG TH/FUN.ACADE</t>
        </is>
      </c>
      <c r="I411" s="7" t="inlineStr">
        <is>
          <t>ESPECIALIZACION EN DESARROLLO ORGANIZACIONAL Y GESTION DEL TALENTO HUMANO</t>
        </is>
      </c>
      <c r="J411" s="7" t="inlineStr">
        <is>
          <t>PLANTA</t>
        </is>
      </c>
      <c r="K411" s="7" t="inlineStr">
        <is>
          <t>VIVIANA MORENO</t>
        </is>
      </c>
      <c r="L411" s="7" t="inlineStr">
        <is>
          <t>SIN RESPUESTA</t>
        </is>
      </c>
      <c r="M411" s="7" t="n">
        <v/>
      </c>
      <c r="N411" s="7" t="n">
        <v>3186983064</v>
      </c>
      <c r="O411" s="7" t="inlineStr">
        <is>
          <t>monicacuervo_1110@hotmail.com</t>
        </is>
      </c>
      <c r="P411" s="7" t="inlineStr">
        <is>
          <t>BTA SEDE A</t>
        </is>
      </c>
      <c r="Q411" s="7" t="inlineStr">
        <is>
          <t>ESPECIALIZACIONES</t>
        </is>
      </c>
      <c r="R411" s="7" t="n">
        <v>603</v>
      </c>
    </row>
    <row r="412" ht="20" customHeight="1">
      <c r="A412" s="3" t="inlineStr">
        <is>
          <t>1015397877</t>
        </is>
      </c>
      <c r="B412" s="4" t="inlineStr">
        <is>
          <t>PRESENCIAL BOGOTÁ</t>
        </is>
      </c>
      <c r="C412" s="4" t="inlineStr">
        <is>
          <t>CRHISTIAN CAMILO HIDROBO BACA</t>
        </is>
      </c>
      <c r="D412" s="4" t="inlineStr">
        <is>
          <t>OPERACIONES</t>
        </is>
      </c>
      <c r="E412" s="4" t="inlineStr">
        <is>
          <t>REGIONAL BOGOTA</t>
        </is>
      </c>
      <c r="F412" s="4" t="inlineStr">
        <is>
          <t>BOGOTA CENTRO</t>
        </is>
      </c>
      <c r="G412" s="4" t="inlineStr">
        <is>
          <t>VIRTUAL</t>
        </is>
      </c>
      <c r="H412" s="4" t="inlineStr">
        <is>
          <t>DOC ASIS/N/V/TC/ESP DES Y GEST TAL HUM/F</t>
        </is>
      </c>
      <c r="I412" s="4" t="inlineStr">
        <is>
          <t>ESPECIALIZACION EN DESARROLLO ORGANIZACIONAL Y GESTION DEL TALENTO HUMANO</t>
        </is>
      </c>
      <c r="J412" s="4" t="inlineStr">
        <is>
          <t>PLANTA</t>
        </is>
      </c>
      <c r="K412" s="4" t="inlineStr">
        <is>
          <t>VIVIANA MORENO</t>
        </is>
      </c>
      <c r="L412" s="4" t="inlineStr">
        <is>
          <t>CONFIRMADO PRESENCIAL</t>
        </is>
      </c>
      <c r="M412" s="4" t="n">
        <v/>
      </c>
      <c r="N412" s="4" t="n">
        <v>3164900654</v>
      </c>
      <c r="O412" s="4" t="inlineStr">
        <is>
          <t>cchidrobo@gmail.com</t>
        </is>
      </c>
      <c r="P412" s="4" t="inlineStr">
        <is>
          <t>BTA SEDE A</t>
        </is>
      </c>
      <c r="Q412" s="4" t="inlineStr">
        <is>
          <t>ESPECIALIZACIONES</t>
        </is>
      </c>
      <c r="R412" s="4" t="n">
        <v>603</v>
      </c>
    </row>
    <row r="413" ht="20" customHeight="1">
      <c r="A413" s="6" t="inlineStr">
        <is>
          <t>63548400</t>
        </is>
      </c>
      <c r="B413" s="7" t="inlineStr">
        <is>
          <t>VIRTUAL</t>
        </is>
      </c>
      <c r="C413" s="7" t="inlineStr">
        <is>
          <t>GLORIA JULIANA VILLAMIZAR PEREIRA</t>
        </is>
      </c>
      <c r="D413" s="7" t="inlineStr">
        <is>
          <t>OPERACIONES</t>
        </is>
      </c>
      <c r="E413" s="7" t="inlineStr">
        <is>
          <t>REGIONAL SANTANDER</t>
        </is>
      </c>
      <c r="F413" s="7" t="inlineStr">
        <is>
          <t>BUCARAMANGA</t>
        </is>
      </c>
      <c r="G413" s="7" t="inlineStr">
        <is>
          <t>VIRTUAL</t>
        </is>
      </c>
      <c r="H413" s="7" t="inlineStr">
        <is>
          <t>DOC AUX/N/V/TC/ESP DES Y GEST TAL HUM/PR</t>
        </is>
      </c>
      <c r="I413" s="7" t="inlineStr">
        <is>
          <t>ESPECIALIZACION EN DESARROLLO ORGANIZACIONAL Y GESTION DEL TALENTO HUMANO</t>
        </is>
      </c>
      <c r="J413" s="7" t="inlineStr">
        <is>
          <t>PLANTA</t>
        </is>
      </c>
      <c r="K413" s="7" t="inlineStr">
        <is>
          <t>VIVIANA MORENO</t>
        </is>
      </c>
      <c r="L413" s="7" t="n">
        <v/>
      </c>
      <c r="M413" s="7" t="n">
        <v/>
      </c>
      <c r="N413" s="7" t="n">
        <v>3176819139</v>
      </c>
      <c r="O413" s="7" t="inlineStr">
        <is>
          <t>gloju38@hotmail.com</t>
        </is>
      </c>
      <c r="P413" s="7" t="inlineStr">
        <is>
          <t>BGA SEDE</t>
        </is>
      </c>
      <c r="Q413" s="7" t="inlineStr">
        <is>
          <t>ESPECIALIZACIONES</t>
        </is>
      </c>
      <c r="R413" s="7" t="n">
        <v/>
      </c>
    </row>
    <row r="414" ht="20" customHeight="1">
      <c r="A414" s="3" t="inlineStr">
        <is>
          <t>1098695868</t>
        </is>
      </c>
      <c r="B414" s="4" t="inlineStr">
        <is>
          <t>VIRTUAL</t>
        </is>
      </c>
      <c r="C414" s="4" t="inlineStr">
        <is>
          <t>AMPARO CAROLINA DELGADO MARTINEZ</t>
        </is>
      </c>
      <c r="D414" s="4" t="inlineStr">
        <is>
          <t>OPERACIONES</t>
        </is>
      </c>
      <c r="E414" s="4" t="inlineStr">
        <is>
          <t>REGIONAL SANTANDER</t>
        </is>
      </c>
      <c r="F414" s="4" t="inlineStr">
        <is>
          <t>BUCARAMANGA</t>
        </is>
      </c>
      <c r="G414" s="4" t="inlineStr">
        <is>
          <t>VIRTUAL</t>
        </is>
      </c>
      <c r="H414" s="4" t="inlineStr">
        <is>
          <t>DOC ASIS/N/V/TC/ESP DES ORG TH/FUN.ACADE</t>
        </is>
      </c>
      <c r="I414" s="4" t="inlineStr">
        <is>
          <t>ESPECIALIZACION EN DESARROLLO ORGANIZACIONAL Y GESTION DEL TALENTO HUMANO</t>
        </is>
      </c>
      <c r="J414" s="4" t="inlineStr">
        <is>
          <t>PLANTA</t>
        </is>
      </c>
      <c r="K414" s="4" t="inlineStr">
        <is>
          <t>VIVIANA MORENO</t>
        </is>
      </c>
      <c r="L414" s="4" t="inlineStr">
        <is>
          <t>CONFIRMADO VIRTUAL</t>
        </is>
      </c>
      <c r="M414" s="4" t="n">
        <v/>
      </c>
      <c r="N414" s="4" t="n">
        <v>3164247168</v>
      </c>
      <c r="O414" s="4" t="inlineStr">
        <is>
          <t>PSCAROLINA.DELGADO@GMAIL.COM</t>
        </is>
      </c>
      <c r="P414" s="4" t="inlineStr">
        <is>
          <t>BGA SEDE</t>
        </is>
      </c>
      <c r="Q414" s="4" t="inlineStr">
        <is>
          <t>ESPECIALIZACIONES</t>
        </is>
      </c>
      <c r="R414" s="4" t="n">
        <v/>
      </c>
    </row>
    <row r="415" ht="20" customHeight="1">
      <c r="A415" s="6" t="inlineStr">
        <is>
          <t>1018407359</t>
        </is>
      </c>
      <c r="B415" s="7" t="inlineStr">
        <is>
          <t>PRESENCIAL BOGOTÁ</t>
        </is>
      </c>
      <c r="C415" s="7" t="inlineStr">
        <is>
          <t>JULIAN DIAZ OLAYA</t>
        </is>
      </c>
      <c r="D415" s="7" t="inlineStr">
        <is>
          <t>OPERACIONES</t>
        </is>
      </c>
      <c r="E415" s="7" t="inlineStr">
        <is>
          <t>REGIONAL BOGOTA</t>
        </is>
      </c>
      <c r="F415" s="7" t="inlineStr">
        <is>
          <t>BOGOTA CENTRO</t>
        </is>
      </c>
      <c r="G415" s="7" t="inlineStr">
        <is>
          <t>VIRTUAL</t>
        </is>
      </c>
      <c r="H415" s="7" t="inlineStr">
        <is>
          <t>DOC ASIS/N/V/TC/ESP DES ORG TH/FUN.ACADE</t>
        </is>
      </c>
      <c r="I415" s="7" t="inlineStr">
        <is>
          <t>ESPECIALIZACION EN DESARROLLO ORGANIZACIONAL Y GESTION DEL TALENTO HUMANO</t>
        </is>
      </c>
      <c r="J415" s="7" t="inlineStr">
        <is>
          <t>PLANTA</t>
        </is>
      </c>
      <c r="K415" s="7" t="inlineStr">
        <is>
          <t>VIVIANA MORENO</t>
        </is>
      </c>
      <c r="L415" s="7" t="inlineStr">
        <is>
          <t>SIN RESPUESTA</t>
        </is>
      </c>
      <c r="M415" s="7" t="n">
        <v/>
      </c>
      <c r="N415" s="7" t="n">
        <v>3147279897</v>
      </c>
      <c r="O415" s="7" t="inlineStr">
        <is>
          <t>diazojulian@gmail.com</t>
        </is>
      </c>
      <c r="P415" s="7" t="inlineStr">
        <is>
          <t>BTA SEDE A</t>
        </is>
      </c>
      <c r="Q415" s="7" t="inlineStr">
        <is>
          <t>ESPECIALIZACIONES</t>
        </is>
      </c>
      <c r="R415" s="7" t="n">
        <v>603</v>
      </c>
    </row>
    <row r="416" ht="20" customHeight="1">
      <c r="A416" s="3" t="inlineStr">
        <is>
          <t>79745482</t>
        </is>
      </c>
      <c r="B416" s="4" t="inlineStr">
        <is>
          <t>PRESENCIAL REGIONAL</t>
        </is>
      </c>
      <c r="C416" s="4" t="inlineStr">
        <is>
          <t>LUIS ALFREDO ROJAS CHACON</t>
        </is>
      </c>
      <c r="D416" s="4" t="inlineStr">
        <is>
          <t>OPERACIONES</t>
        </is>
      </c>
      <c r="E416" s="4" t="inlineStr">
        <is>
          <t>REGIONAL TOLIMA</t>
        </is>
      </c>
      <c r="F416" s="4" t="inlineStr">
        <is>
          <t>IBAGUÉ</t>
        </is>
      </c>
      <c r="G416" s="4" t="inlineStr">
        <is>
          <t>VIRTUAL</t>
        </is>
      </c>
      <c r="H416" s="4" t="inlineStr">
        <is>
          <t>DOC ASIS/N/V/TC/ESP. GERE MARCA/FUN.ACADE-ADMIN</t>
        </is>
      </c>
      <c r="I416" s="4" t="inlineStr">
        <is>
          <t>ESPECIALIZACION EN GERENCIA DE MARCA</t>
        </is>
      </c>
      <c r="J416" s="4" t="inlineStr">
        <is>
          <t>PLANTA</t>
        </is>
      </c>
      <c r="K416" s="4" t="inlineStr">
        <is>
          <t>VIVIANA MORENO</t>
        </is>
      </c>
      <c r="L416" s="4" t="n">
        <v/>
      </c>
      <c r="M416" s="4" t="n">
        <v/>
      </c>
      <c r="N416" s="4" t="n">
        <v>3142952423</v>
      </c>
      <c r="O416" s="4" t="inlineStr">
        <is>
          <t>luisalfredorojasch@hotmail.com</t>
        </is>
      </c>
      <c r="P416" s="4" t="inlineStr">
        <is>
          <t>IBAGUE SEDE</t>
        </is>
      </c>
      <c r="Q416" s="4" t="inlineStr">
        <is>
          <t>ESPECIALIZACIONES</t>
        </is>
      </c>
      <c r="R416" s="4" t="n">
        <v/>
      </c>
    </row>
    <row r="417" ht="20" customHeight="1">
      <c r="A417" s="6" t="inlineStr">
        <is>
          <t>1073681008</t>
        </is>
      </c>
      <c r="B417" s="7" t="inlineStr">
        <is>
          <t>PRESENCIAL BOGOTÁ</t>
        </is>
      </c>
      <c r="C417" s="7" t="inlineStr">
        <is>
          <t>JONNATHAN LOPEZ HURTADO</t>
        </is>
      </c>
      <c r="D417" s="7" t="inlineStr">
        <is>
          <t>OPERACIONES</t>
        </is>
      </c>
      <c r="E417" s="7" t="inlineStr">
        <is>
          <t>REGIONAL BOGOTA</t>
        </is>
      </c>
      <c r="F417" s="7" t="inlineStr">
        <is>
          <t>BOGOTA CENTRO</t>
        </is>
      </c>
      <c r="G417" s="7" t="inlineStr">
        <is>
          <t>VIRTUAL</t>
        </is>
      </c>
      <c r="H417" s="7" t="inlineStr">
        <is>
          <t>DOC ASOC/N/V/TC/ESP GEREN MARCA/PROY</t>
        </is>
      </c>
      <c r="I417" s="7" t="inlineStr">
        <is>
          <t>ESPECIALIZACION EN GERENCIA DE MARCA</t>
        </is>
      </c>
      <c r="J417" s="7" t="inlineStr">
        <is>
          <t>PLANTA</t>
        </is>
      </c>
      <c r="K417" s="7" t="inlineStr">
        <is>
          <t>VIVIANA MORENO</t>
        </is>
      </c>
      <c r="L417" s="7" t="inlineStr">
        <is>
          <t>DESVINCULACIÓN</t>
        </is>
      </c>
      <c r="M417" s="7" t="n">
        <v/>
      </c>
      <c r="N417" s="7" t="n">
        <v>3002823938</v>
      </c>
      <c r="O417" s="7" t="inlineStr">
        <is>
          <t>lopezh89@gmail.com</t>
        </is>
      </c>
      <c r="P417" s="7" t="inlineStr">
        <is>
          <t>BTA SEDE A</t>
        </is>
      </c>
      <c r="Q417" s="7" t="inlineStr">
        <is>
          <t>ESPECIALIZACIONES</t>
        </is>
      </c>
      <c r="R417" s="7" t="n">
        <v>603</v>
      </c>
    </row>
    <row r="418" ht="20" customHeight="1">
      <c r="A418" s="3" t="inlineStr">
        <is>
          <t>1010201839</t>
        </is>
      </c>
      <c r="B418" s="4" t="inlineStr">
        <is>
          <t>PRESENCIAL BOGOTÁ</t>
        </is>
      </c>
      <c r="C418" s="4" t="inlineStr">
        <is>
          <t>EDWAR ALEJANDRO BECERRA GONZALEZ</t>
        </is>
      </c>
      <c r="D418" s="4" t="inlineStr">
        <is>
          <t>OPERACIONES</t>
        </is>
      </c>
      <c r="E418" s="4" t="inlineStr">
        <is>
          <t>REGIONAL BOGOTA</t>
        </is>
      </c>
      <c r="F418" s="4" t="inlineStr">
        <is>
          <t>BOGOTA CENTRO</t>
        </is>
      </c>
      <c r="G418" s="4" t="inlineStr">
        <is>
          <t>VIRTUAL</t>
        </is>
      </c>
      <c r="H418" s="4" t="inlineStr">
        <is>
          <t>DOC ASIS/N/V/TC/ESP. GERE MARCA/FUN.ACADE-ADMIN</t>
        </is>
      </c>
      <c r="I418" s="4" t="inlineStr">
        <is>
          <t>ESPECIALIZACION EN GERENCIA DE MARCA</t>
        </is>
      </c>
      <c r="J418" s="4" t="inlineStr">
        <is>
          <t>PLANTA</t>
        </is>
      </c>
      <c r="K418" s="4" t="inlineStr">
        <is>
          <t>VIVIANA MORENO</t>
        </is>
      </c>
      <c r="L418" s="4" t="inlineStr">
        <is>
          <t>SIN RESPUESTA</t>
        </is>
      </c>
      <c r="M418" s="4" t="n">
        <v/>
      </c>
      <c r="N418" s="4" t="n">
        <v>3135736956</v>
      </c>
      <c r="O418" s="4" t="inlineStr">
        <is>
          <t>e.alejandro.bg@gmail.com</t>
        </is>
      </c>
      <c r="P418" s="4" t="inlineStr">
        <is>
          <t>BTA SEDE A</t>
        </is>
      </c>
      <c r="Q418" s="4" t="inlineStr">
        <is>
          <t>ESPECIALIZACIONES</t>
        </is>
      </c>
      <c r="R418" s="4" t="n">
        <v>603</v>
      </c>
    </row>
    <row r="419" ht="20" customHeight="1">
      <c r="A419" s="6" t="inlineStr">
        <is>
          <t>53139239</t>
        </is>
      </c>
      <c r="B419" s="7" t="inlineStr">
        <is>
          <t>PRESENCIAL BOGOTÁ</t>
        </is>
      </c>
      <c r="C419" s="7" t="inlineStr">
        <is>
          <t>JUDY ANDREA HERNANDEZ MORA</t>
        </is>
      </c>
      <c r="D419" s="7" t="inlineStr">
        <is>
          <t>OPERACIONES</t>
        </is>
      </c>
      <c r="E419" s="7" t="inlineStr">
        <is>
          <t>REGIONAL BOGOTA</t>
        </is>
      </c>
      <c r="F419" s="7" t="inlineStr">
        <is>
          <t>BOGOTA CENTRO</t>
        </is>
      </c>
      <c r="G419" s="7" t="inlineStr">
        <is>
          <t>VIRTUAL</t>
        </is>
      </c>
      <c r="H419" s="7" t="inlineStr">
        <is>
          <t>DOC AUX/N/V/TC/ESP. GERENCIA MARCA/FUN.ACADE-ADMIN</t>
        </is>
      </c>
      <c r="I419" s="7" t="inlineStr">
        <is>
          <t>ESPECIALIZACION EN GERENCIA DE MARCA</t>
        </is>
      </c>
      <c r="J419" s="7" t="inlineStr">
        <is>
          <t>PLANTA</t>
        </is>
      </c>
      <c r="K419" s="7" t="inlineStr">
        <is>
          <t>VIVIANA MORENO</t>
        </is>
      </c>
      <c r="L419" s="7" t="n">
        <v/>
      </c>
      <c r="M419" s="7" t="n">
        <v/>
      </c>
      <c r="N419" s="7" t="n">
        <v>3132434725</v>
      </c>
      <c r="O419" s="7" t="inlineStr">
        <is>
          <t>judyandrea.hernandezmora@gmail.com</t>
        </is>
      </c>
      <c r="P419" s="7" t="inlineStr">
        <is>
          <t>BTA SEDE A</t>
        </is>
      </c>
      <c r="Q419" s="7" t="inlineStr">
        <is>
          <t>ESPECIALIZACIONES</t>
        </is>
      </c>
      <c r="R419" s="7" t="n">
        <v>603</v>
      </c>
    </row>
    <row r="420" ht="20" customHeight="1">
      <c r="A420" s="3" t="inlineStr">
        <is>
          <t>80185514</t>
        </is>
      </c>
      <c r="B420" s="4" t="inlineStr">
        <is>
          <t>PRESENCIAL REGIONAL</t>
        </is>
      </c>
      <c r="C420" s="4" t="inlineStr">
        <is>
          <t>ANDRES HERNANDO MATIZ ROJAS</t>
        </is>
      </c>
      <c r="D420" s="4" t="inlineStr">
        <is>
          <t>OPERACIONES</t>
        </is>
      </c>
      <c r="E420" s="4" t="inlineStr">
        <is>
          <t>REGIONAL CORDOBA</t>
        </is>
      </c>
      <c r="F420" s="4" t="inlineStr">
        <is>
          <t>MONTERIA</t>
        </is>
      </c>
      <c r="G420" s="4" t="inlineStr">
        <is>
          <t>VIRTUAL</t>
        </is>
      </c>
      <c r="H420" s="4" t="inlineStr">
        <is>
          <t>DOC ASIS/N/V/TC/ESP GERE DE PROY/FUN.ACA</t>
        </is>
      </c>
      <c r="I420" s="4" t="inlineStr">
        <is>
          <t>ESPECIALIZACION EN GERENCIA DE PROYECTOS</t>
        </is>
      </c>
      <c r="J420" s="4" t="inlineStr">
        <is>
          <t>PLANTA</t>
        </is>
      </c>
      <c r="K420" s="4" t="inlineStr">
        <is>
          <t>VIVIANA MORENO</t>
        </is>
      </c>
      <c r="L420" s="4" t="n">
        <v/>
      </c>
      <c r="M420" s="4" t="n">
        <v/>
      </c>
      <c r="N420" s="4" t="n">
        <v>3502253010</v>
      </c>
      <c r="O420" s="4" t="inlineStr">
        <is>
          <t>an.matiz@gmail.com</t>
        </is>
      </c>
      <c r="P420" s="4" t="inlineStr">
        <is>
          <t>MONTERIA SEDE</t>
        </is>
      </c>
      <c r="Q420" s="4" t="inlineStr">
        <is>
          <t>ESPECIALIZACIONES</t>
        </is>
      </c>
      <c r="R420" s="4" t="n">
        <v/>
      </c>
    </row>
    <row r="421" ht="20" customHeight="1">
      <c r="A421" s="6" t="inlineStr">
        <is>
          <t>87066255</t>
        </is>
      </c>
      <c r="B421" s="7" t="inlineStr">
        <is>
          <t>VIRTUAL</t>
        </is>
      </c>
      <c r="C421" s="7" t="inlineStr">
        <is>
          <t>ALVARO DIEGO ALBORNOZ MARIN</t>
        </is>
      </c>
      <c r="D421" s="7" t="inlineStr">
        <is>
          <t>OPERACIONES</t>
        </is>
      </c>
      <c r="E421" s="7" t="inlineStr">
        <is>
          <t>REGIONAL VALLE DELCAUCA</t>
        </is>
      </c>
      <c r="F421" s="7" t="inlineStr">
        <is>
          <t>CALI</t>
        </is>
      </c>
      <c r="G421" s="7" t="inlineStr">
        <is>
          <t>VIRTUAL</t>
        </is>
      </c>
      <c r="H421" s="7" t="inlineStr">
        <is>
          <t>DOC ASIS/N/V/TC/ESP GERE DE PROY/FUN.ACA</t>
        </is>
      </c>
      <c r="I421" s="7" t="inlineStr">
        <is>
          <t>ESPECIALIZACION EN GERENCIA DE PROYECTOS</t>
        </is>
      </c>
      <c r="J421" s="7" t="inlineStr">
        <is>
          <t>PLANTA</t>
        </is>
      </c>
      <c r="K421" s="7" t="inlineStr">
        <is>
          <t>VIVIANA MORENO</t>
        </is>
      </c>
      <c r="L421" s="7" t="inlineStr">
        <is>
          <t>CONFIRMADO VIRTUAL</t>
        </is>
      </c>
      <c r="M421" s="7" t="n">
        <v/>
      </c>
      <c r="N421" s="7" t="n">
        <v>3006440224</v>
      </c>
      <c r="O421" s="7" t="inlineStr">
        <is>
          <t>ALVARODIEGO7@GMAIL.COM</t>
        </is>
      </c>
      <c r="P421" s="7" t="inlineStr">
        <is>
          <t>CALI</t>
        </is>
      </c>
      <c r="Q421" s="7" t="inlineStr">
        <is>
          <t>ESPECIALIZACIONES</t>
        </is>
      </c>
      <c r="R421" s="7" t="n">
        <v/>
      </c>
    </row>
    <row r="422" ht="20" customHeight="1">
      <c r="A422" s="3" t="inlineStr">
        <is>
          <t>1075239121</t>
        </is>
      </c>
      <c r="B422" s="4" t="inlineStr">
        <is>
          <t>PRESENCIAL REGIONAL</t>
        </is>
      </c>
      <c r="C422" s="4" t="inlineStr">
        <is>
          <t>JOSE EDUARDO MARTINEZ ORREGO</t>
        </is>
      </c>
      <c r="D422" s="4" t="inlineStr">
        <is>
          <t>OPERACIONES</t>
        </is>
      </c>
      <c r="E422" s="4" t="inlineStr">
        <is>
          <t>REGIONAL HUILA</t>
        </is>
      </c>
      <c r="F422" s="4" t="inlineStr">
        <is>
          <t>NEIVA</t>
        </is>
      </c>
      <c r="G422" s="4" t="inlineStr">
        <is>
          <t>VIRTUAL</t>
        </is>
      </c>
      <c r="H422" s="4" t="inlineStr">
        <is>
          <t>DOC ASOC/N/V/TC/ESP GER PROYEC/FUN.ACAD</t>
        </is>
      </c>
      <c r="I422" s="4" t="inlineStr">
        <is>
          <t>ESPECIALIZACION EN GERENCIA DE PROYECTOS</t>
        </is>
      </c>
      <c r="J422" s="4" t="inlineStr">
        <is>
          <t>PLANTA</t>
        </is>
      </c>
      <c r="K422" s="4" t="inlineStr">
        <is>
          <t>VIVIANA MORENO</t>
        </is>
      </c>
      <c r="L422" s="4" t="inlineStr">
        <is>
          <t>CONFIRMADO PRESENCIAL</t>
        </is>
      </c>
      <c r="M422" s="4" t="n">
        <v/>
      </c>
      <c r="N422" s="4" t="n">
        <v>3123535675</v>
      </c>
      <c r="O422" s="4" t="inlineStr">
        <is>
          <t>joseduardomvz@hotmail.com</t>
        </is>
      </c>
      <c r="P422" s="4" t="inlineStr">
        <is>
          <t>NEIVA SEDE</t>
        </is>
      </c>
      <c r="Q422" s="4" t="inlineStr">
        <is>
          <t>ESPECIALIZACIONES</t>
        </is>
      </c>
      <c r="R422" s="4" t="n">
        <v/>
      </c>
    </row>
    <row r="423" ht="20" customHeight="1">
      <c r="A423" s="6" t="inlineStr">
        <is>
          <t>1022953924</t>
        </is>
      </c>
      <c r="B423" s="7" t="inlineStr">
        <is>
          <t>VIRTUAL</t>
        </is>
      </c>
      <c r="C423" s="7" t="inlineStr">
        <is>
          <t>YEISON EDUARDO PACHON PEREZ</t>
        </is>
      </c>
      <c r="D423" s="7" t="inlineStr">
        <is>
          <t>OPERACIONES</t>
        </is>
      </c>
      <c r="E423" s="7" t="inlineStr">
        <is>
          <t>REGIONAL META</t>
        </is>
      </c>
      <c r="F423" s="7" t="inlineStr">
        <is>
          <t>VILLAVICENCIO</t>
        </is>
      </c>
      <c r="G423" s="7" t="inlineStr">
        <is>
          <t>VIRTUAL</t>
        </is>
      </c>
      <c r="H423" s="7" t="inlineStr">
        <is>
          <t>DOC ASIS/N/V/TC/ESP GERE DE PROY/FUN.ACA</t>
        </is>
      </c>
      <c r="I423" s="7" t="inlineStr">
        <is>
          <t>ESPECIALIZACION EN GERENCIA DE PROYECTOS</t>
        </is>
      </c>
      <c r="J423" s="7" t="inlineStr">
        <is>
          <t>PLANTA</t>
        </is>
      </c>
      <c r="K423" s="7" t="inlineStr">
        <is>
          <t>VIVIANA MORENO</t>
        </is>
      </c>
      <c r="L423" s="7" t="n">
        <v/>
      </c>
      <c r="M423" s="7" t="n">
        <v/>
      </c>
      <c r="N423" s="7" t="n">
        <v>3144827559</v>
      </c>
      <c r="O423" s="7" t="inlineStr">
        <is>
          <t>JEISSONP7@GMAIL.COM</t>
        </is>
      </c>
      <c r="P423" s="7" t="inlineStr">
        <is>
          <t>VILLAVICENCIO SEDE</t>
        </is>
      </c>
      <c r="Q423" s="7" t="inlineStr">
        <is>
          <t>ESPECIALIZACIONES</t>
        </is>
      </c>
      <c r="R423" s="7" t="n">
        <v/>
      </c>
    </row>
    <row r="424" ht="20" customHeight="1">
      <c r="A424" s="3" t="inlineStr">
        <is>
          <t>1143840204</t>
        </is>
      </c>
      <c r="B424" s="4" t="inlineStr">
        <is>
          <t>VIRTUAL</t>
        </is>
      </c>
      <c r="C424" s="4" t="inlineStr">
        <is>
          <t>ANA MARIA GARCIA MARTINEZ</t>
        </is>
      </c>
      <c r="D424" s="4" t="inlineStr">
        <is>
          <t>OPERACIONES</t>
        </is>
      </c>
      <c r="E424" s="4" t="inlineStr">
        <is>
          <t>REGIONAL VALLE DELCAUCA</t>
        </is>
      </c>
      <c r="F424" s="4" t="inlineStr">
        <is>
          <t>CALI</t>
        </is>
      </c>
      <c r="G424" s="4" t="inlineStr">
        <is>
          <t>VIRTUAL</t>
        </is>
      </c>
      <c r="H424" s="4" t="inlineStr">
        <is>
          <t>DOC ASIS/N/V/TC/ESP GERE DE PROY/FUN.ACA</t>
        </is>
      </c>
      <c r="I424" s="4" t="inlineStr">
        <is>
          <t>ESPECIALIZACION EN GERENCIA DE PROYECTOS</t>
        </is>
      </c>
      <c r="J424" s="4" t="inlineStr">
        <is>
          <t>PLANTA</t>
        </is>
      </c>
      <c r="K424" s="4" t="inlineStr">
        <is>
          <t>VIVIANA MORENO</t>
        </is>
      </c>
      <c r="L424" s="4" t="inlineStr">
        <is>
          <t>CONFIRMADO VIRTUAL</t>
        </is>
      </c>
      <c r="M424" s="4" t="n">
        <v/>
      </c>
      <c r="N424" s="4" t="n">
        <v>3167577605</v>
      </c>
      <c r="O424" s="4" t="inlineStr">
        <is>
          <t>ANAMARIAGARCIA5511@GMAIL.COM</t>
        </is>
      </c>
      <c r="P424" s="4" t="inlineStr">
        <is>
          <t>CALI</t>
        </is>
      </c>
      <c r="Q424" s="4" t="inlineStr">
        <is>
          <t>ESPECIALIZACIONES</t>
        </is>
      </c>
      <c r="R424" s="4" t="n">
        <v/>
      </c>
    </row>
    <row r="425" ht="20" customHeight="1">
      <c r="A425" s="6" t="inlineStr">
        <is>
          <t>1107056137</t>
        </is>
      </c>
      <c r="B425" s="7" t="inlineStr">
        <is>
          <t>VIRTUAL</t>
        </is>
      </c>
      <c r="C425" s="7" t="inlineStr">
        <is>
          <t>LUIS FERNANDO JACOBO PEREZ</t>
        </is>
      </c>
      <c r="D425" s="7" t="inlineStr">
        <is>
          <t>OPERACIONES</t>
        </is>
      </c>
      <c r="E425" s="7" t="inlineStr">
        <is>
          <t>REGIONAL VALLE DELCAUCA</t>
        </is>
      </c>
      <c r="F425" s="7" t="inlineStr">
        <is>
          <t>BUENAVENTURA</t>
        </is>
      </c>
      <c r="G425" s="7" t="inlineStr">
        <is>
          <t>VIRTUAL</t>
        </is>
      </c>
      <c r="H425" s="7" t="inlineStr">
        <is>
          <t>DOC AUX/N/V/TC/ESP GER DE PROY/FUN.ACA</t>
        </is>
      </c>
      <c r="I425" s="7" t="inlineStr">
        <is>
          <t>ESPECIALIZACION EN GERENCIA DE PROYECTOS</t>
        </is>
      </c>
      <c r="J425" s="7" t="inlineStr">
        <is>
          <t>PLANTA</t>
        </is>
      </c>
      <c r="K425" s="7" t="inlineStr">
        <is>
          <t>VIVIANA MORENO</t>
        </is>
      </c>
      <c r="L425" s="7" t="n">
        <v/>
      </c>
      <c r="M425" s="7" t="n">
        <v/>
      </c>
      <c r="N425" s="7" t="n">
        <v>3155490548</v>
      </c>
      <c r="O425" s="7" t="inlineStr">
        <is>
          <t>luisfernandojacobo@gmail.com</t>
        </is>
      </c>
      <c r="P425" s="7" t="inlineStr">
        <is>
          <t>BUENAVENTURA SEDE</t>
        </is>
      </c>
      <c r="Q425" s="7" t="inlineStr">
        <is>
          <t>ESPECIALIZACIONES</t>
        </is>
      </c>
      <c r="R425" s="7" t="n">
        <v/>
      </c>
    </row>
    <row r="426" ht="20" customHeight="1">
      <c r="A426" s="3" t="inlineStr">
        <is>
          <t>80793954</t>
        </is>
      </c>
      <c r="B426" s="4" t="inlineStr">
        <is>
          <t>PRESENCIAL BOGOTÁ</t>
        </is>
      </c>
      <c r="C426" s="4" t="inlineStr">
        <is>
          <t>OSCAR GILDARDO HERNANDEZ ALOMIA</t>
        </is>
      </c>
      <c r="D426" s="4" t="inlineStr">
        <is>
          <t>OPERACIONES</t>
        </is>
      </c>
      <c r="E426" s="4" t="inlineStr">
        <is>
          <t>REGIONAL BOGOTA</t>
        </is>
      </c>
      <c r="F426" s="4" t="inlineStr">
        <is>
          <t>BOGOTA CENTRO</t>
        </is>
      </c>
      <c r="G426" s="4" t="inlineStr">
        <is>
          <t>VIRTUAL</t>
        </is>
      </c>
      <c r="H426" s="4" t="inlineStr">
        <is>
          <t>DOC TITU/N/V/TC/ESP GER DE PROY/FUN.ACA</t>
        </is>
      </c>
      <c r="I426" s="4" t="inlineStr">
        <is>
          <t>ESPECIALIZACION EN GERENCIA DE PROYECTOS</t>
        </is>
      </c>
      <c r="J426" s="4" t="inlineStr">
        <is>
          <t>PLANTA</t>
        </is>
      </c>
      <c r="K426" s="4" t="inlineStr">
        <is>
          <t>VIVIANA MORENO</t>
        </is>
      </c>
      <c r="L426" s="4" t="n">
        <v/>
      </c>
      <c r="M426" s="4" t="n">
        <v/>
      </c>
      <c r="N426" s="4" t="n">
        <v>3043379125</v>
      </c>
      <c r="O426" s="4" t="inlineStr">
        <is>
          <t>oscarg517@hotmail.com</t>
        </is>
      </c>
      <c r="P426" s="4" t="inlineStr">
        <is>
          <t>BTA SEDE A</t>
        </is>
      </c>
      <c r="Q426" s="4" t="inlineStr">
        <is>
          <t>ESPECIALIZACIONES</t>
        </is>
      </c>
      <c r="R426" s="4" t="n">
        <v>603</v>
      </c>
    </row>
    <row r="427" ht="20" customHeight="1">
      <c r="A427" s="6" t="inlineStr">
        <is>
          <t>1015466217</t>
        </is>
      </c>
      <c r="B427" s="7" t="inlineStr">
        <is>
          <t>PRESENCIAL BOGOTÁ</t>
        </is>
      </c>
      <c r="C427" s="7" t="inlineStr">
        <is>
          <t>VALENTINA LEON RODRIGUEZ</t>
        </is>
      </c>
      <c r="D427" s="7" t="inlineStr">
        <is>
          <t>OPERACIONES</t>
        </is>
      </c>
      <c r="E427" s="7" t="inlineStr">
        <is>
          <t>REGIONAL BOGOTA</t>
        </is>
      </c>
      <c r="F427" s="7" t="inlineStr">
        <is>
          <t>BOGOTA CENTRO</t>
        </is>
      </c>
      <c r="G427" s="7" t="inlineStr">
        <is>
          <t>VIRTUAL</t>
        </is>
      </c>
      <c r="H427" s="7" t="inlineStr">
        <is>
          <t>DOC ASIS/N/V/MT/ESP GEREN EDUCA</t>
        </is>
      </c>
      <c r="I427" s="7" t="inlineStr">
        <is>
          <t>ESPECIALIZACION EN GERENCIA EDUCATIVA</t>
        </is>
      </c>
      <c r="J427" s="7" t="inlineStr">
        <is>
          <t>PLANTA</t>
        </is>
      </c>
      <c r="K427" s="7" t="inlineStr">
        <is>
          <t>VIVIANA MORENO</t>
        </is>
      </c>
      <c r="L427" s="7" t="n">
        <v/>
      </c>
      <c r="M427" s="7" t="n">
        <v/>
      </c>
      <c r="N427" s="7" t="n">
        <v>3144563639</v>
      </c>
      <c r="O427" s="7" t="inlineStr">
        <is>
          <t>valentinalero@hotmail.com</t>
        </is>
      </c>
      <c r="P427" s="7" t="inlineStr">
        <is>
          <t>BTA SEDE A</t>
        </is>
      </c>
      <c r="Q427" s="7" t="inlineStr">
        <is>
          <t>ESPECIALIZACIONES</t>
        </is>
      </c>
      <c r="R427" s="7" t="n">
        <v>603</v>
      </c>
    </row>
    <row r="428" ht="20" customHeight="1">
      <c r="A428" s="3" t="inlineStr">
        <is>
          <t>80092752</t>
        </is>
      </c>
      <c r="B428" s="4" t="inlineStr">
        <is>
          <t>PRESENCIAL BOGOTÁ</t>
        </is>
      </c>
      <c r="C428" s="4" t="inlineStr">
        <is>
          <t>RONALD SAUL GUTIERREZ RIOS</t>
        </is>
      </c>
      <c r="D428" s="4" t="inlineStr">
        <is>
          <t>OPERACIONES</t>
        </is>
      </c>
      <c r="E428" s="4" t="inlineStr">
        <is>
          <t>REGIONAL BOGOTA</t>
        </is>
      </c>
      <c r="F428" s="4" t="inlineStr">
        <is>
          <t>BOGOTA CENTRO</t>
        </is>
      </c>
      <c r="G428" s="4" t="inlineStr">
        <is>
          <t>VIRTUAL</t>
        </is>
      </c>
      <c r="H428" s="4" t="inlineStr">
        <is>
          <t>DOC TITU/N/V/TC/ESP GER EDUC/FUN.ACADE-A</t>
        </is>
      </c>
      <c r="I428" s="4" t="inlineStr">
        <is>
          <t>ESPECIALIZACION EN GERENCIA EDUCATIVA</t>
        </is>
      </c>
      <c r="J428" s="4" t="inlineStr">
        <is>
          <t>PLANTA</t>
        </is>
      </c>
      <c r="K428" s="4" t="inlineStr">
        <is>
          <t>VIVIANA MORENO</t>
        </is>
      </c>
      <c r="L428" s="4" t="n">
        <v/>
      </c>
      <c r="M428" s="4" t="n">
        <v/>
      </c>
      <c r="N428" s="4" t="n">
        <v>3134185350</v>
      </c>
      <c r="O428" s="4" t="inlineStr">
        <is>
          <t>ronguti@gmail.com</t>
        </is>
      </c>
      <c r="P428" s="4" t="inlineStr">
        <is>
          <t>BTA SEDE A</t>
        </is>
      </c>
      <c r="Q428" s="4" t="inlineStr">
        <is>
          <t>ESPECIALIZACIONES</t>
        </is>
      </c>
      <c r="R428" s="4" t="n">
        <v>603</v>
      </c>
    </row>
    <row r="429" ht="20" customHeight="1">
      <c r="A429" s="6" t="inlineStr">
        <is>
          <t>1031156129</t>
        </is>
      </c>
      <c r="B429" s="7" t="inlineStr">
        <is>
          <t>PRESENCIAL BOGOTÁ</t>
        </is>
      </c>
      <c r="C429" s="7" t="inlineStr">
        <is>
          <t>JULIAN CAMILO BECERRA RODRIGUEZ</t>
        </is>
      </c>
      <c r="D429" s="7" t="inlineStr">
        <is>
          <t>OPERACIONES</t>
        </is>
      </c>
      <c r="E429" s="7" t="inlineStr">
        <is>
          <t>REGIONAL BOGOTA</t>
        </is>
      </c>
      <c r="F429" s="7" t="inlineStr">
        <is>
          <t>BOGOTA CENTRO</t>
        </is>
      </c>
      <c r="G429" s="7" t="inlineStr">
        <is>
          <t>VIRTUAL</t>
        </is>
      </c>
      <c r="H429" s="7" t="inlineStr">
        <is>
          <t>DOC ASIS/N/V/TC/ESP GER EDUC/FUN.ACADE-A</t>
        </is>
      </c>
      <c r="I429" s="7" t="inlineStr">
        <is>
          <t>ESPECIALIZACION EN GERENCIA EDUCATIVA</t>
        </is>
      </c>
      <c r="J429" s="7" t="inlineStr">
        <is>
          <t>PLANTA</t>
        </is>
      </c>
      <c r="K429" s="7" t="inlineStr">
        <is>
          <t>VIVIANA MORENO</t>
        </is>
      </c>
      <c r="L429" s="7" t="inlineStr">
        <is>
          <t>CONFIRMADO PRESENCIAL</t>
        </is>
      </c>
      <c r="M429" s="7" t="n">
        <v/>
      </c>
      <c r="N429" s="7" t="n">
        <v>3118407721</v>
      </c>
      <c r="O429" s="7" t="inlineStr">
        <is>
          <t>Jbecerra01@outlook.com</t>
        </is>
      </c>
      <c r="P429" s="7" t="inlineStr">
        <is>
          <t>BTA SEDE A</t>
        </is>
      </c>
      <c r="Q429" s="7" t="inlineStr">
        <is>
          <t>ESPECIALIZACIONES</t>
        </is>
      </c>
      <c r="R429" s="7" t="n">
        <v>603</v>
      </c>
    </row>
    <row r="430" ht="20" customHeight="1">
      <c r="A430" s="3" t="inlineStr">
        <is>
          <t>80802834</t>
        </is>
      </c>
      <c r="B430" s="4" t="inlineStr">
        <is>
          <t>PRESENCIAL BOGOTÁ</t>
        </is>
      </c>
      <c r="C430" s="4" t="inlineStr">
        <is>
          <t>HERNAN DAVID PRIETO ORJUELA</t>
        </is>
      </c>
      <c r="D430" s="4" t="inlineStr">
        <is>
          <t>OPERACIONES</t>
        </is>
      </c>
      <c r="E430" s="4" t="inlineStr">
        <is>
          <t>REGIONAL BOGOTA</t>
        </is>
      </c>
      <c r="F430" s="4" t="inlineStr">
        <is>
          <t>BOGOTA CENTRO</t>
        </is>
      </c>
      <c r="G430" s="4" t="inlineStr">
        <is>
          <t>VIRTUAL</t>
        </is>
      </c>
      <c r="H430" s="4" t="inlineStr">
        <is>
          <t>DOC ASIS/N/V/TC/ESP GEREN FINAN/PROYECCI</t>
        </is>
      </c>
      <c r="I430" s="4" t="inlineStr">
        <is>
          <t>ESPECIALIZACION EN GERENCIA FINANCIERA</t>
        </is>
      </c>
      <c r="J430" s="4" t="inlineStr">
        <is>
          <t>PLANTA</t>
        </is>
      </c>
      <c r="K430" s="4" t="inlineStr">
        <is>
          <t>VIVIANA MORENO</t>
        </is>
      </c>
      <c r="L430" s="4" t="n">
        <v/>
      </c>
      <c r="M430" s="4" t="n">
        <v/>
      </c>
      <c r="N430" s="4" t="n">
        <v>3008057159</v>
      </c>
      <c r="O430" s="4" t="inlineStr">
        <is>
          <t>david20p@hotmail.com</t>
        </is>
      </c>
      <c r="P430" s="4" t="inlineStr">
        <is>
          <t>BTA SEDE A</t>
        </is>
      </c>
      <c r="Q430" s="4" t="inlineStr">
        <is>
          <t>ESPECIALIZACIONES</t>
        </is>
      </c>
      <c r="R430" s="4" t="n">
        <v>603</v>
      </c>
    </row>
    <row r="431" ht="20" customHeight="1">
      <c r="A431" s="6" t="inlineStr">
        <is>
          <t>41964121</t>
        </is>
      </c>
      <c r="B431" s="7" t="inlineStr">
        <is>
          <t>VIRTUAL</t>
        </is>
      </c>
      <c r="C431" s="7" t="inlineStr">
        <is>
          <t>BIANEY CASTRO PEÑALOZA</t>
        </is>
      </c>
      <c r="D431" s="7" t="inlineStr">
        <is>
          <t>OPERACIONES</t>
        </is>
      </c>
      <c r="E431" s="7" t="inlineStr">
        <is>
          <t>REGIONAL QUINDIO</t>
        </is>
      </c>
      <c r="F431" s="7" t="inlineStr">
        <is>
          <t>ARMENIA</t>
        </is>
      </c>
      <c r="G431" s="7" t="inlineStr">
        <is>
          <t>VIRTUAL</t>
        </is>
      </c>
      <c r="H431" s="7" t="inlineStr">
        <is>
          <t>DOC ASIS/N/V/TC/ESP GEREN FINAN/FUN.ACAD</t>
        </is>
      </c>
      <c r="I431" s="7" t="inlineStr">
        <is>
          <t>ESPECIALIZACION EN GERENCIA FINANCIERA</t>
        </is>
      </c>
      <c r="J431" s="7" t="inlineStr">
        <is>
          <t>PLANTA</t>
        </is>
      </c>
      <c r="K431" s="7" t="inlineStr">
        <is>
          <t>VIVIANA MORENO</t>
        </is>
      </c>
      <c r="L431" s="7" t="n">
        <v/>
      </c>
      <c r="M431" s="7" t="n">
        <v/>
      </c>
      <c r="N431" s="7" t="n">
        <v>3147453139</v>
      </c>
      <c r="O431" s="7" t="inlineStr">
        <is>
          <t>BICASTRO@OUTLOOK.COM</t>
        </is>
      </c>
      <c r="P431" s="7" t="inlineStr">
        <is>
          <t>ARMENIA SEDE</t>
        </is>
      </c>
      <c r="Q431" s="7" t="inlineStr">
        <is>
          <t>ESPECIALIZACIONES</t>
        </is>
      </c>
      <c r="R431" s="7" t="n">
        <v/>
      </c>
    </row>
    <row r="432" ht="20" customHeight="1">
      <c r="A432" s="3" t="inlineStr">
        <is>
          <t>1022393672</t>
        </is>
      </c>
      <c r="B432" s="4" t="inlineStr">
        <is>
          <t>PRESENCIAL BOGOTÁ</t>
        </is>
      </c>
      <c r="C432" s="4" t="inlineStr">
        <is>
          <t>TANIA CAROLINA ACOSTA BAUTISTA</t>
        </is>
      </c>
      <c r="D432" s="4" t="inlineStr">
        <is>
          <t>OPERACIONES</t>
        </is>
      </c>
      <c r="E432" s="4" t="inlineStr">
        <is>
          <t>REGIONAL BOGOTA</t>
        </is>
      </c>
      <c r="F432" s="4" t="inlineStr">
        <is>
          <t>BOGOTA CENTRO</t>
        </is>
      </c>
      <c r="G432" s="4" t="inlineStr">
        <is>
          <t>VIRTUAL</t>
        </is>
      </c>
      <c r="H432" s="4" t="inlineStr">
        <is>
          <t>DOC AUX/N/V/TC/ESP GER FINAN/PROYECC</t>
        </is>
      </c>
      <c r="I432" s="4" t="inlineStr">
        <is>
          <t>ESPECIALIZACION EN GERENCIA FINANCIERA</t>
        </is>
      </c>
      <c r="J432" s="4" t="inlineStr">
        <is>
          <t>PLANTA</t>
        </is>
      </c>
      <c r="K432" s="4" t="inlineStr">
        <is>
          <t>VIVIANA MORENO</t>
        </is>
      </c>
      <c r="L432" s="4" t="n">
        <v/>
      </c>
      <c r="M432" s="4" t="n">
        <v/>
      </c>
      <c r="N432" s="4" t="n">
        <v>3183276118</v>
      </c>
      <c r="O432" s="4" t="inlineStr">
        <is>
          <t>taniacaro21@hotmail.com</t>
        </is>
      </c>
      <c r="P432" s="4" t="inlineStr">
        <is>
          <t>BTA SEDE A</t>
        </is>
      </c>
      <c r="Q432" s="4" t="inlineStr">
        <is>
          <t>ESPECIALIZACIONES</t>
        </is>
      </c>
      <c r="R432" s="4" t="n">
        <v>603</v>
      </c>
    </row>
    <row r="433" ht="20" customHeight="1">
      <c r="A433" s="6" t="inlineStr">
        <is>
          <t>1094900416</t>
        </is>
      </c>
      <c r="B433" s="7" t="inlineStr">
        <is>
          <t>VIRTUAL</t>
        </is>
      </c>
      <c r="C433" s="7" t="inlineStr">
        <is>
          <t>MYRIAM JOHANNA ESCAMILLA CARDONA</t>
        </is>
      </c>
      <c r="D433" s="7" t="inlineStr">
        <is>
          <t>OPERACIONES</t>
        </is>
      </c>
      <c r="E433" s="7" t="inlineStr">
        <is>
          <t>REGIONAL QUINDIO</t>
        </is>
      </c>
      <c r="F433" s="7" t="inlineStr">
        <is>
          <t>ARMENIA</t>
        </is>
      </c>
      <c r="G433" s="7" t="inlineStr">
        <is>
          <t>VIRTUAL</t>
        </is>
      </c>
      <c r="H433" s="7" t="inlineStr">
        <is>
          <t>DOC ASIS/N/V/TC/ESP GEREN FINAN/PROYECCI</t>
        </is>
      </c>
      <c r="I433" s="7" t="inlineStr">
        <is>
          <t>ESPECIALIZACION EN GERENCIA FINANCIERA</t>
        </is>
      </c>
      <c r="J433" s="7" t="inlineStr">
        <is>
          <t>PLANTA</t>
        </is>
      </c>
      <c r="K433" s="7" t="inlineStr">
        <is>
          <t>VIVIANA MORENO</t>
        </is>
      </c>
      <c r="L433" s="7" t="n">
        <v/>
      </c>
      <c r="M433" s="7" t="n">
        <v/>
      </c>
      <c r="N433" s="7" t="n">
        <v>3165375735</v>
      </c>
      <c r="O433" s="7" t="inlineStr">
        <is>
          <t>johannaescamilla@hotmail.com</t>
        </is>
      </c>
      <c r="P433" s="7" t="inlineStr">
        <is>
          <t>ARMENIA SEDE</t>
        </is>
      </c>
      <c r="Q433" s="7" t="inlineStr">
        <is>
          <t>ESPECIALIZACIONES</t>
        </is>
      </c>
      <c r="R433" s="7" t="n">
        <v/>
      </c>
    </row>
    <row r="434" ht="20" customHeight="1">
      <c r="A434" s="3" t="inlineStr">
        <is>
          <t>1014207424</t>
        </is>
      </c>
      <c r="B434" s="4" t="inlineStr">
        <is>
          <t>PRESENCIAL BOGOTÁ</t>
        </is>
      </c>
      <c r="C434" s="4" t="inlineStr">
        <is>
          <t>MARCOS ANDRES RAMOS CASTAÑEDA</t>
        </is>
      </c>
      <c r="D434" s="4" t="inlineStr">
        <is>
          <t>OPERACIONES</t>
        </is>
      </c>
      <c r="E434" s="4" t="inlineStr">
        <is>
          <t>REGIONAL BOGOTA</t>
        </is>
      </c>
      <c r="F434" s="4" t="inlineStr">
        <is>
          <t>BOGOTA CENTRO</t>
        </is>
      </c>
      <c r="G434" s="4" t="inlineStr">
        <is>
          <t>VIRTUAL</t>
        </is>
      </c>
      <c r="H434" s="4" t="inlineStr">
        <is>
          <t>DOC ASIS/N/V/TC/ESP GER TRAN ENER/PROYEC</t>
        </is>
      </c>
      <c r="I434" s="4" t="inlineStr">
        <is>
          <t>ESPECIALIZACION EN GERENCIA PARA LA TRANSICION ENERGETICA</t>
        </is>
      </c>
      <c r="J434" s="4" t="inlineStr">
        <is>
          <t>PLANTA</t>
        </is>
      </c>
      <c r="K434" s="4" t="inlineStr">
        <is>
          <t>VIVIANA MORENO</t>
        </is>
      </c>
      <c r="L434" s="4" t="n">
        <v/>
      </c>
      <c r="M434" s="4" t="n">
        <v/>
      </c>
      <c r="N434" s="4" t="n">
        <v>3057540089</v>
      </c>
      <c r="O434" s="4" t="inlineStr">
        <is>
          <t>Megamarc2414@hotmail.com</t>
        </is>
      </c>
      <c r="P434" s="4" t="inlineStr">
        <is>
          <t>BTA SEDE A</t>
        </is>
      </c>
      <c r="Q434" s="4" t="inlineStr">
        <is>
          <t>ESPECIALIZACIONES</t>
        </is>
      </c>
      <c r="R434" s="4" t="n">
        <v>603</v>
      </c>
    </row>
    <row r="435" ht="20" customHeight="1">
      <c r="A435" s="6" t="inlineStr">
        <is>
          <t>1055988260</t>
        </is>
      </c>
      <c r="B435" s="7" t="inlineStr">
        <is>
          <t>PRESENCIAL BOGOTÁ</t>
        </is>
      </c>
      <c r="C435" s="7" t="inlineStr">
        <is>
          <t>IVAN MAURICIO SANTISTEBAN SANDOVAL</t>
        </is>
      </c>
      <c r="D435" s="7" t="inlineStr">
        <is>
          <t>OPERACIONES</t>
        </is>
      </c>
      <c r="E435" s="7" t="inlineStr">
        <is>
          <t>REGIONAL CUNDINAMARCA</t>
        </is>
      </c>
      <c r="F435" s="7" t="inlineStr">
        <is>
          <t>CHÍA</t>
        </is>
      </c>
      <c r="G435" s="7" t="inlineStr">
        <is>
          <t>VIRTUAL</t>
        </is>
      </c>
      <c r="H435" s="7" t="inlineStr">
        <is>
          <t>DOC AUX/N/V/TC/ESP GER TRAN ENER/PROYEC</t>
        </is>
      </c>
      <c r="I435" s="7" t="inlineStr">
        <is>
          <t>ESPECIALIZACION EN GERENCIA PARA LA TRANSICION ENERGETICA</t>
        </is>
      </c>
      <c r="J435" s="7" t="inlineStr">
        <is>
          <t>PLANTA</t>
        </is>
      </c>
      <c r="K435" s="7" t="inlineStr">
        <is>
          <t>VIVIANA MORENO</t>
        </is>
      </c>
      <c r="L435" s="7" t="n">
        <v/>
      </c>
      <c r="M435" s="7" t="n">
        <v/>
      </c>
      <c r="N435" s="7" t="n">
        <v>3203879380</v>
      </c>
      <c r="O435" s="7" t="inlineStr">
        <is>
          <t>Ivansanty91@gmail.com</t>
        </is>
      </c>
      <c r="P435" s="7" t="inlineStr">
        <is>
          <t>CHIA SEDE</t>
        </is>
      </c>
      <c r="Q435" s="7" t="inlineStr">
        <is>
          <t>ESPECIALIZACIONES</t>
        </is>
      </c>
      <c r="R435" s="7" t="n">
        <v/>
      </c>
    </row>
    <row r="436" ht="20" customHeight="1">
      <c r="A436" s="3" t="inlineStr">
        <is>
          <t>1113651944</t>
        </is>
      </c>
      <c r="B436" s="4" t="inlineStr">
        <is>
          <t>PRESENCIAL BOGOTÁ</t>
        </is>
      </c>
      <c r="C436" s="4" t="inlineStr">
        <is>
          <t>LINA NATALY ALVARADO RIAÑO</t>
        </is>
      </c>
      <c r="D436" s="4" t="inlineStr">
        <is>
          <t>OPERACIONES</t>
        </is>
      </c>
      <c r="E436" s="4" t="inlineStr">
        <is>
          <t>REGIONAL BOGOTA</t>
        </is>
      </c>
      <c r="F436" s="4" t="inlineStr">
        <is>
          <t>BOGOTA CENTRO</t>
        </is>
      </c>
      <c r="G436" s="4" t="inlineStr">
        <is>
          <t>VIRTUAL</t>
        </is>
      </c>
      <c r="H436" s="4" t="inlineStr">
        <is>
          <t>DOC ASOC/N/V/TC/ESP GEST INN MODA/FUN.AC</t>
        </is>
      </c>
      <c r="I436" s="4" t="inlineStr">
        <is>
          <t>ESPECIALIZACION EN GESTION DE LA INNOVACION DEL SISTEMA MODA</t>
        </is>
      </c>
      <c r="J436" s="4" t="inlineStr">
        <is>
          <t>PLANTA</t>
        </is>
      </c>
      <c r="K436" s="4" t="inlineStr">
        <is>
          <t>VIVIANA MORENO</t>
        </is>
      </c>
      <c r="L436" s="4" t="n">
        <v/>
      </c>
      <c r="M436" s="4" t="n">
        <v/>
      </c>
      <c r="N436" s="4" t="n">
        <v>3177115052</v>
      </c>
      <c r="O436" s="4" t="inlineStr">
        <is>
          <t>LINALVARADOR@GMAIL.COM</t>
        </is>
      </c>
      <c r="P436" s="4" t="inlineStr">
        <is>
          <t>BTA SEDE A</t>
        </is>
      </c>
      <c r="Q436" s="4" t="inlineStr">
        <is>
          <t>ESPECIALIZACIONES</t>
        </is>
      </c>
      <c r="R436" s="4" t="n">
        <v>603</v>
      </c>
    </row>
    <row r="437" ht="20" customHeight="1">
      <c r="A437" s="6" t="inlineStr">
        <is>
          <t>1010194281</t>
        </is>
      </c>
      <c r="B437" s="7" t="inlineStr">
        <is>
          <t>PRESENCIAL BOGOTÁ</t>
        </is>
      </c>
      <c r="C437" s="7" t="inlineStr">
        <is>
          <t>MIYER ARBEY MAHECHA MARTINEZ</t>
        </is>
      </c>
      <c r="D437" s="7" t="inlineStr">
        <is>
          <t>OPERACIONES</t>
        </is>
      </c>
      <c r="E437" s="7" t="inlineStr">
        <is>
          <t>REGIONAL BOGOTA</t>
        </is>
      </c>
      <c r="F437" s="7" t="inlineStr">
        <is>
          <t>BOGOTA CENTRO</t>
        </is>
      </c>
      <c r="G437" s="7" t="inlineStr">
        <is>
          <t>VIRTUAL</t>
        </is>
      </c>
      <c r="H437" s="7" t="inlineStr">
        <is>
          <t>DOC ASIS/N/V/TC/ESP GEST INN MODA/FUN.AC</t>
        </is>
      </c>
      <c r="I437" s="7" t="inlineStr">
        <is>
          <t>ESPECIALIZACION EN GESTION DE LA INNOVACION DEL SISTEMA MODA</t>
        </is>
      </c>
      <c r="J437" s="7" t="inlineStr">
        <is>
          <t>PLANTA</t>
        </is>
      </c>
      <c r="K437" s="7" t="inlineStr">
        <is>
          <t>VIVIANA MORENO</t>
        </is>
      </c>
      <c r="L437" s="7" t="n">
        <v/>
      </c>
      <c r="M437" s="7" t="n">
        <v/>
      </c>
      <c r="N437" s="7" t="n">
        <v>3123402315</v>
      </c>
      <c r="O437" s="7" t="inlineStr">
        <is>
          <t>MAHECHAMIYER90@GMAIL.COM</t>
        </is>
      </c>
      <c r="P437" s="7" t="inlineStr">
        <is>
          <t>BTA SEDE A</t>
        </is>
      </c>
      <c r="Q437" s="7" t="inlineStr">
        <is>
          <t>ESPECIALIZACIONES</t>
        </is>
      </c>
      <c r="R437" s="7" t="n">
        <v>603</v>
      </c>
    </row>
    <row r="438" ht="20" customHeight="1">
      <c r="A438" s="3" t="inlineStr">
        <is>
          <t>1075291630</t>
        </is>
      </c>
      <c r="B438" s="4" t="inlineStr">
        <is>
          <t>PRESENCIAL REGIONAL</t>
        </is>
      </c>
      <c r="C438" s="4" t="inlineStr">
        <is>
          <t>RANDY WILFRED TRIANA GARCIA</t>
        </is>
      </c>
      <c r="D438" s="4" t="inlineStr">
        <is>
          <t>OPERACIONES</t>
        </is>
      </c>
      <c r="E438" s="4" t="inlineStr">
        <is>
          <t>REGIONAL HUILA</t>
        </is>
      </c>
      <c r="F438" s="4" t="inlineStr">
        <is>
          <t>NEIVA</t>
        </is>
      </c>
      <c r="G438" s="4" t="inlineStr">
        <is>
          <t>VIRTUAL</t>
        </is>
      </c>
      <c r="H438" s="4" t="inlineStr">
        <is>
          <t>DOC ASIS/N/V/TC/ESP GEST INN MODA/FUN.AC</t>
        </is>
      </c>
      <c r="I438" s="4" t="inlineStr">
        <is>
          <t>ESPECIALIZACION EN GESTION DE LA INNOVACION DEL SISTEMA MODA</t>
        </is>
      </c>
      <c r="J438" s="4" t="inlineStr">
        <is>
          <t>PLANTA</t>
        </is>
      </c>
      <c r="K438" s="4" t="inlineStr">
        <is>
          <t>VIVIANA MORENO</t>
        </is>
      </c>
      <c r="L438" s="4" t="inlineStr">
        <is>
          <t>CONFIRMADO PRESENCIAL</t>
        </is>
      </c>
      <c r="M438" s="4" t="n">
        <v/>
      </c>
      <c r="N438" s="4" t="n">
        <v>3222011338</v>
      </c>
      <c r="O438" s="4" t="inlineStr">
        <is>
          <t>TRIANARANDY@GMAIL.COM</t>
        </is>
      </c>
      <c r="P438" s="4" t="inlineStr">
        <is>
          <t>NEIVA SEDE</t>
        </is>
      </c>
      <c r="Q438" s="4" t="inlineStr">
        <is>
          <t>ESPECIALIZACIONES</t>
        </is>
      </c>
      <c r="R438" s="4" t="n">
        <v/>
      </c>
    </row>
    <row r="439" ht="20" customHeight="1">
      <c r="A439" s="6" t="inlineStr">
        <is>
          <t>1140854655</t>
        </is>
      </c>
      <c r="B439" s="7" t="inlineStr">
        <is>
          <t>PRESENCIAL REGIONAL</t>
        </is>
      </c>
      <c r="C439" s="7" t="inlineStr">
        <is>
          <t>FABIO ANDRES COLPAS RUIZ</t>
        </is>
      </c>
      <c r="D439" s="7" t="inlineStr">
        <is>
          <t>OPERACIONES</t>
        </is>
      </c>
      <c r="E439" s="7" t="inlineStr">
        <is>
          <t>REGIONAL ATLANTICO</t>
        </is>
      </c>
      <c r="F439" s="7" t="inlineStr">
        <is>
          <t>BARRANQUILLA</t>
        </is>
      </c>
      <c r="G439" s="7" t="inlineStr">
        <is>
          <t>VIRTUAL</t>
        </is>
      </c>
      <c r="H439" s="7" t="inlineStr">
        <is>
          <t>DOC ASIS/N/V/MT/ESP NEGO DIGITALES</t>
        </is>
      </c>
      <c r="I439" s="7" t="inlineStr">
        <is>
          <t>ESPECIALIZACION EN GESTION DE NEGOCIOS DIGITALES</t>
        </is>
      </c>
      <c r="J439" s="7" t="inlineStr">
        <is>
          <t>PLANTA</t>
        </is>
      </c>
      <c r="K439" s="7" t="inlineStr">
        <is>
          <t>VIVIANA MORENO</t>
        </is>
      </c>
      <c r="L439" s="7" t="n">
        <v/>
      </c>
      <c r="M439" s="7" t="n">
        <v/>
      </c>
      <c r="N439" s="7" t="n">
        <v>3116292993</v>
      </c>
      <c r="O439" s="7" t="inlineStr">
        <is>
          <t>fabiocolpas@hotmail.com</t>
        </is>
      </c>
      <c r="P439" s="7" t="inlineStr">
        <is>
          <t>BQUILLA SEDE</t>
        </is>
      </c>
      <c r="Q439" s="7" t="inlineStr">
        <is>
          <t>ESPECIALIZACIONES</t>
        </is>
      </c>
      <c r="R439" s="7" t="n">
        <v/>
      </c>
    </row>
    <row r="440" ht="20" customHeight="1">
      <c r="A440" s="3" t="inlineStr">
        <is>
          <t>1088331244</t>
        </is>
      </c>
      <c r="B440" s="4" t="inlineStr">
        <is>
          <t>PRESENCIAL BOGOTÁ</t>
        </is>
      </c>
      <c r="C440" s="4" t="inlineStr">
        <is>
          <t>DANIELA ARICAPA MUÑOZ</t>
        </is>
      </c>
      <c r="D440" s="4" t="inlineStr">
        <is>
          <t>OPERACIONES</t>
        </is>
      </c>
      <c r="E440" s="4" t="inlineStr">
        <is>
          <t>REGIONAL BOGOTA</t>
        </is>
      </c>
      <c r="F440" s="4" t="inlineStr">
        <is>
          <t>BOGOTA CENTRO</t>
        </is>
      </c>
      <c r="G440" s="4" t="inlineStr">
        <is>
          <t>VIRTUAL</t>
        </is>
      </c>
      <c r="H440" s="4" t="inlineStr">
        <is>
          <t>DOC AUX T&amp;T/N/V/MT/ESP NEGO DIGITALES</t>
        </is>
      </c>
      <c r="I440" s="4" t="inlineStr">
        <is>
          <t>ESPECIALIZACION EN GESTION DE NEGOCIOS DIGITALES</t>
        </is>
      </c>
      <c r="J440" s="4" t="inlineStr">
        <is>
          <t>PLANTA</t>
        </is>
      </c>
      <c r="K440" s="4" t="inlineStr">
        <is>
          <t>VIVIANA MORENO</t>
        </is>
      </c>
      <c r="L440" s="4" t="n">
        <v/>
      </c>
      <c r="M440" s="4" t="n">
        <v/>
      </c>
      <c r="N440" s="4" t="n">
        <v>3146104886</v>
      </c>
      <c r="O440" s="4" t="inlineStr">
        <is>
          <t>daniela-aricapa-m@hotmail.com</t>
        </is>
      </c>
      <c r="P440" s="4" t="inlineStr">
        <is>
          <t>BTA SEDE A</t>
        </is>
      </c>
      <c r="Q440" s="4" t="inlineStr">
        <is>
          <t>ESPECIALIZACIONES</t>
        </is>
      </c>
      <c r="R440" s="4" t="n">
        <v>603</v>
      </c>
    </row>
    <row r="441" ht="20" customHeight="1">
      <c r="A441" s="6" t="inlineStr">
        <is>
          <t>35604019</t>
        </is>
      </c>
      <c r="B441" s="7" t="inlineStr">
        <is>
          <t>VIRTUAL</t>
        </is>
      </c>
      <c r="C441" s="7" t="inlineStr">
        <is>
          <t>SANDRA PATRICIA MENA MENA</t>
        </is>
      </c>
      <c r="D441" s="7" t="inlineStr">
        <is>
          <t>OPERACIONES</t>
        </is>
      </c>
      <c r="E441" s="7" t="inlineStr">
        <is>
          <t>REGIONAL CHOCO</t>
        </is>
      </c>
      <c r="F441" s="7" t="inlineStr">
        <is>
          <t>QUIBDO</t>
        </is>
      </c>
      <c r="G441" s="7" t="inlineStr">
        <is>
          <t>VIRTUAL</t>
        </is>
      </c>
      <c r="H441" s="7" t="inlineStr">
        <is>
          <t>DOC ASIS/N/V/TC/ESP GEST NEG DIGIT/PROYE</t>
        </is>
      </c>
      <c r="I441" s="7" t="inlineStr">
        <is>
          <t>ESPECIALIZACION EN GESTION DE NEGOCIOS DIGITALES</t>
        </is>
      </c>
      <c r="J441" s="7" t="inlineStr">
        <is>
          <t>PLANTA</t>
        </is>
      </c>
      <c r="K441" s="7" t="inlineStr">
        <is>
          <t>VIVIANA MORENO</t>
        </is>
      </c>
      <c r="L441" s="7" t="inlineStr">
        <is>
          <t>CONFIRMADO VIRTUAL</t>
        </is>
      </c>
      <c r="M441" s="7" t="n">
        <v/>
      </c>
      <c r="N441" s="7" t="n">
        <v>3206945270</v>
      </c>
      <c r="O441" s="7" t="inlineStr">
        <is>
          <t>sameservicios@gmail.com</t>
        </is>
      </c>
      <c r="P441" s="7" t="inlineStr">
        <is>
          <t>QUIBDO SEDE</t>
        </is>
      </c>
      <c r="Q441" s="7" t="inlineStr">
        <is>
          <t>ESPECIALIZACIONES</t>
        </is>
      </c>
      <c r="R441" s="7" t="n">
        <v/>
      </c>
    </row>
    <row r="442" ht="20" customHeight="1">
      <c r="A442" s="3" t="inlineStr">
        <is>
          <t>1010214636</t>
        </is>
      </c>
      <c r="B442" s="4" t="inlineStr">
        <is>
          <t>PRESENCIAL BOGOTÁ</t>
        </is>
      </c>
      <c r="C442" s="4" t="inlineStr">
        <is>
          <t>ALEX DAVID MEDINA CELY</t>
        </is>
      </c>
      <c r="D442" s="4" t="inlineStr">
        <is>
          <t>OPERACIONES</t>
        </is>
      </c>
      <c r="E442" s="4" t="inlineStr">
        <is>
          <t>REGIONAL BOGOTA</t>
        </is>
      </c>
      <c r="F442" s="4" t="inlineStr">
        <is>
          <t>BOGOTA CENTRO</t>
        </is>
      </c>
      <c r="G442" s="4" t="inlineStr">
        <is>
          <t>VIRTUAL</t>
        </is>
      </c>
      <c r="H442" s="4" t="inlineStr">
        <is>
          <t>DOC ASIS/N/V/TC/ESP GEST INFOR/FUN.ACADE-ADMIN</t>
        </is>
      </c>
      <c r="I442" s="4" t="inlineStr">
        <is>
          <t>ESPECIALIZACION EN GESTION DE TECNOLOGIAS DE LA INFORMACION</t>
        </is>
      </c>
      <c r="J442" s="4" t="inlineStr">
        <is>
          <t>PLANTA</t>
        </is>
      </c>
      <c r="K442" s="4" t="inlineStr">
        <is>
          <t>VIVIANA MORENO</t>
        </is>
      </c>
      <c r="L442" s="4" t="n">
        <v/>
      </c>
      <c r="M442" s="4" t="n">
        <v/>
      </c>
      <c r="N442" s="4" t="n">
        <v>3103125019</v>
      </c>
      <c r="O442" s="4" t="inlineStr">
        <is>
          <t>alexdavidmedinacely@gmail.com</t>
        </is>
      </c>
      <c r="P442" s="4" t="inlineStr">
        <is>
          <t>BTA SEDE A</t>
        </is>
      </c>
      <c r="Q442" s="4" t="inlineStr">
        <is>
          <t>ESPECIALIZACIONES</t>
        </is>
      </c>
      <c r="R442" s="4" t="n">
        <v>603</v>
      </c>
    </row>
    <row r="443" ht="20" customHeight="1">
      <c r="A443" s="6" t="inlineStr">
        <is>
          <t>55230526</t>
        </is>
      </c>
      <c r="B443" s="7" t="inlineStr">
        <is>
          <t>PRESENCIAL BOGOTÁ</t>
        </is>
      </c>
      <c r="C443" s="7" t="inlineStr">
        <is>
          <t>VANESSA ALEXANDRA ALFARO SANZ</t>
        </is>
      </c>
      <c r="D443" s="7" t="inlineStr">
        <is>
          <t>OPERACIONES</t>
        </is>
      </c>
      <c r="E443" s="7" t="inlineStr">
        <is>
          <t>REGIONAL BOGOTA</t>
        </is>
      </c>
      <c r="F443" s="7" t="inlineStr">
        <is>
          <t>BOGOTA CENTRO</t>
        </is>
      </c>
      <c r="G443" s="7" t="inlineStr">
        <is>
          <t>VIRTUAL</t>
        </is>
      </c>
      <c r="H443" s="7" t="inlineStr">
        <is>
          <t>DOC ASIS/N/V/TC/ESP GEST INFOR/FUN.ACADE-ADMIN</t>
        </is>
      </c>
      <c r="I443" s="7" t="inlineStr">
        <is>
          <t>ESPECIALIZACION EN GESTION DE TECNOLOGIAS DE LA INFORMACION</t>
        </is>
      </c>
      <c r="J443" s="7" t="inlineStr">
        <is>
          <t>PLANTA</t>
        </is>
      </c>
      <c r="K443" s="7" t="inlineStr">
        <is>
          <t>VIVIANA MORENO</t>
        </is>
      </c>
      <c r="L443" s="7" t="n">
        <v/>
      </c>
      <c r="M443" s="7" t="n">
        <v/>
      </c>
      <c r="N443" s="7" t="n">
        <v>3205611752</v>
      </c>
      <c r="O443" s="7" t="inlineStr">
        <is>
          <t>bedgz@hotmail.com</t>
        </is>
      </c>
      <c r="P443" s="7" t="inlineStr">
        <is>
          <t>BTA SEDE A</t>
        </is>
      </c>
      <c r="Q443" s="7" t="inlineStr">
        <is>
          <t>ESPECIALIZACIONES</t>
        </is>
      </c>
      <c r="R443" s="7" t="n">
        <v>603</v>
      </c>
    </row>
    <row r="444" ht="20" customHeight="1">
      <c r="A444" s="3" t="inlineStr">
        <is>
          <t>1023902624</t>
        </is>
      </c>
      <c r="B444" s="4" t="inlineStr">
        <is>
          <t>PRESENCIAL BOGOTÁ</t>
        </is>
      </c>
      <c r="C444" s="4" t="inlineStr">
        <is>
          <t>JOHN JAIRO ARIAS GOMEZ</t>
        </is>
      </c>
      <c r="D444" s="4" t="inlineStr">
        <is>
          <t>OPERACIONES</t>
        </is>
      </c>
      <c r="E444" s="4" t="inlineStr">
        <is>
          <t>REGIONAL BOGOTA</t>
        </is>
      </c>
      <c r="F444" s="4" t="inlineStr">
        <is>
          <t>BOGOTA CENTRO</t>
        </is>
      </c>
      <c r="G444" s="4" t="inlineStr">
        <is>
          <t>VIRTUAL</t>
        </is>
      </c>
      <c r="H444" s="4" t="inlineStr">
        <is>
          <t>DOC ASIS/N/V/TC/ESP GEST INFOR/FUN.ACADE-ADMIN</t>
        </is>
      </c>
      <c r="I444" s="4" t="inlineStr">
        <is>
          <t>ESPECIALIZACION EN GESTION DE TECNOLOGIAS DE LA INFORMACION</t>
        </is>
      </c>
      <c r="J444" s="4" t="inlineStr">
        <is>
          <t>PLANTA</t>
        </is>
      </c>
      <c r="K444" s="4" t="inlineStr">
        <is>
          <t>VIVIANA MORENO</t>
        </is>
      </c>
      <c r="L444" s="4" t="n">
        <v/>
      </c>
      <c r="M444" s="4" t="n">
        <v/>
      </c>
      <c r="N444" s="4" t="n">
        <v>3102780766</v>
      </c>
      <c r="O444" s="4" t="inlineStr">
        <is>
          <t>ing.johnariasg@gmail.com</t>
        </is>
      </c>
      <c r="P444" s="4" t="inlineStr">
        <is>
          <t>BTA SEDE A</t>
        </is>
      </c>
      <c r="Q444" s="4" t="inlineStr">
        <is>
          <t>ESPECIALIZACIONES</t>
        </is>
      </c>
      <c r="R444" s="4" t="n">
        <v>603</v>
      </c>
    </row>
    <row r="445" ht="20" customHeight="1">
      <c r="A445" s="6" t="inlineStr">
        <is>
          <t>1031139927</t>
        </is>
      </c>
      <c r="B445" s="7" t="inlineStr">
        <is>
          <t>PRESENCIAL BOGOTÁ</t>
        </is>
      </c>
      <c r="C445" s="7" t="inlineStr">
        <is>
          <t>DANILO ESTEBAN RODRIGUEZ ZAPATA</t>
        </is>
      </c>
      <c r="D445" s="7" t="inlineStr">
        <is>
          <t>OPERACIONES</t>
        </is>
      </c>
      <c r="E445" s="7" t="inlineStr">
        <is>
          <t>REGIONAL BOGOTA</t>
        </is>
      </c>
      <c r="F445" s="7" t="inlineStr">
        <is>
          <t>BOGOTA CENTRO</t>
        </is>
      </c>
      <c r="G445" s="7" t="inlineStr">
        <is>
          <t>VIRTUAL</t>
        </is>
      </c>
      <c r="H445" s="7" t="inlineStr">
        <is>
          <t>DOC AUX/N/V/TC/ESP INTE NEGO/PROYECCION</t>
        </is>
      </c>
      <c r="I445" s="7" t="inlineStr">
        <is>
          <t>ESPECIALIZACION EN INTELIGENCIA DE NEGOCIOS</t>
        </is>
      </c>
      <c r="J445" s="7" t="inlineStr">
        <is>
          <t>PLANTA</t>
        </is>
      </c>
      <c r="K445" s="7" t="inlineStr">
        <is>
          <t>VIVIANA MORENO</t>
        </is>
      </c>
      <c r="L445" s="7" t="n">
        <v/>
      </c>
      <c r="M445" s="7" t="n">
        <v/>
      </c>
      <c r="N445" s="7" t="n">
        <v>3138878735</v>
      </c>
      <c r="O445" s="7" t="inlineStr">
        <is>
          <t>rzapatadaniloe@gmail.com</t>
        </is>
      </c>
      <c r="P445" s="7" t="inlineStr">
        <is>
          <t>BTA SEDE A</t>
        </is>
      </c>
      <c r="Q445" s="7" t="inlineStr">
        <is>
          <t>ESPECIALIZACIONES</t>
        </is>
      </c>
      <c r="R445" s="7" t="n">
        <v>603</v>
      </c>
    </row>
    <row r="446" ht="20" customHeight="1">
      <c r="A446" s="3" t="inlineStr">
        <is>
          <t>1013675748</t>
        </is>
      </c>
      <c r="B446" s="4" t="inlineStr">
        <is>
          <t>PRESENCIAL BOGOTÁ</t>
        </is>
      </c>
      <c r="C446" s="4" t="inlineStr">
        <is>
          <t>MAITE MICHELL GOMEZ GOMEZ</t>
        </is>
      </c>
      <c r="D446" s="4" t="inlineStr">
        <is>
          <t>OPERACIONES</t>
        </is>
      </c>
      <c r="E446" s="4" t="inlineStr">
        <is>
          <t>REGIONAL BOGOTA</t>
        </is>
      </c>
      <c r="F446" s="4" t="inlineStr">
        <is>
          <t>BOGOTA CENTRO</t>
        </is>
      </c>
      <c r="G446" s="4" t="inlineStr">
        <is>
          <t>VIRTUAL</t>
        </is>
      </c>
      <c r="H446" s="4" t="inlineStr">
        <is>
          <t>DOC ASIS/N/V/TC/ESP INTE NEGO/PROYECCION</t>
        </is>
      </c>
      <c r="I446" s="4" t="inlineStr">
        <is>
          <t>ESPECIALIZACION EN INTELIGENCIA DE NEGOCIOS</t>
        </is>
      </c>
      <c r="J446" s="4" t="inlineStr">
        <is>
          <t>PLANTA</t>
        </is>
      </c>
      <c r="K446" s="4" t="inlineStr">
        <is>
          <t>VIVIANA MORENO</t>
        </is>
      </c>
      <c r="L446" s="4" t="n">
        <v/>
      </c>
      <c r="M446" s="4" t="n">
        <v/>
      </c>
      <c r="N446" s="4" t="n">
        <v>3138854434</v>
      </c>
      <c r="O446" s="4" t="inlineStr">
        <is>
          <t>maitego97@gmail.com</t>
        </is>
      </c>
      <c r="P446" s="4" t="inlineStr">
        <is>
          <t>BTA SEDE A</t>
        </is>
      </c>
      <c r="Q446" s="4" t="inlineStr">
        <is>
          <t>ESPECIALIZACIONES</t>
        </is>
      </c>
      <c r="R446" s="4" t="n">
        <v>603</v>
      </c>
    </row>
    <row r="447" ht="20" customHeight="1">
      <c r="A447" s="6" t="inlineStr">
        <is>
          <t>1233512414</t>
        </is>
      </c>
      <c r="B447" s="7" t="inlineStr">
        <is>
          <t>PRESENCIAL REGIONAL</t>
        </is>
      </c>
      <c r="C447" s="7" t="inlineStr">
        <is>
          <t>RONALD STEVEN PEÑA TRIANA</t>
        </is>
      </c>
      <c r="D447" s="7" t="inlineStr">
        <is>
          <t>OPERACIONES</t>
        </is>
      </c>
      <c r="E447" s="7" t="inlineStr">
        <is>
          <t>REGIONAL ANTIOQUIA</t>
        </is>
      </c>
      <c r="F447" s="7" t="inlineStr">
        <is>
          <t>MEDELLIN</t>
        </is>
      </c>
      <c r="G447" s="7" t="inlineStr">
        <is>
          <t>VIRTUAL</t>
        </is>
      </c>
      <c r="H447" s="7" t="inlineStr">
        <is>
          <t>DOC ASIS/N/V/TC/ESP MARK DIG/FUN.ACADE</t>
        </is>
      </c>
      <c r="I447" s="7" t="inlineStr">
        <is>
          <t>ESPECIALIZACION EN MARKETING DIGITAL</t>
        </is>
      </c>
      <c r="J447" s="7" t="inlineStr">
        <is>
          <t>PLANTA</t>
        </is>
      </c>
      <c r="K447" s="7" t="inlineStr">
        <is>
          <t>VIVIANA MORENO</t>
        </is>
      </c>
      <c r="L447" s="7" t="n">
        <v/>
      </c>
      <c r="M447" s="7" t="n">
        <v/>
      </c>
      <c r="N447" s="7" t="n">
        <v>3138386609</v>
      </c>
      <c r="O447" s="7" t="inlineStr">
        <is>
          <t>Ronald.penatria@gmail.com</t>
        </is>
      </c>
      <c r="P447" s="7" t="inlineStr">
        <is>
          <t>MEDELLIN SEDE</t>
        </is>
      </c>
      <c r="Q447" s="7" t="inlineStr">
        <is>
          <t>ESPECIALIZACIONES</t>
        </is>
      </c>
      <c r="R447" s="7" t="n">
        <v/>
      </c>
    </row>
    <row r="448" ht="20" customHeight="1">
      <c r="A448" s="3" t="inlineStr">
        <is>
          <t>1123621206</t>
        </is>
      </c>
      <c r="B448" s="4" t="inlineStr">
        <is>
          <t>PRESENCIAL BOGOTÁ</t>
        </is>
      </c>
      <c r="C448" s="4" t="inlineStr">
        <is>
          <t>ALBERTO EMILIO GUTIERREZ CHARRIS</t>
        </is>
      </c>
      <c r="D448" s="4" t="inlineStr">
        <is>
          <t>OPERACIONES</t>
        </is>
      </c>
      <c r="E448" s="4" t="inlineStr">
        <is>
          <t>REGIONAL BOGOTA</t>
        </is>
      </c>
      <c r="F448" s="4" t="inlineStr">
        <is>
          <t>BOGOTA CENTRO</t>
        </is>
      </c>
      <c r="G448" s="4" t="inlineStr">
        <is>
          <t>VIRTUAL</t>
        </is>
      </c>
      <c r="H448" s="4" t="inlineStr">
        <is>
          <t>DOC ASIS/N/V/TC/ESP PROSP ESTR/PROYECC</t>
        </is>
      </c>
      <c r="I448" s="4" t="inlineStr">
        <is>
          <t>ESPECIALIZACION EN PROSPECTIVA ESTRATEGICA</t>
        </is>
      </c>
      <c r="J448" s="4" t="inlineStr">
        <is>
          <t>PLANTA</t>
        </is>
      </c>
      <c r="K448" s="4" t="inlineStr">
        <is>
          <t>VIVIANA MORENO</t>
        </is>
      </c>
      <c r="L448" s="4" t="n">
        <v/>
      </c>
      <c r="M448" s="4" t="n">
        <v/>
      </c>
      <c r="N448" s="4" t="n">
        <v>3006009660</v>
      </c>
      <c r="O448" s="4" t="inlineStr">
        <is>
          <t>albertogutich@gmail.com</t>
        </is>
      </c>
      <c r="P448" s="4" t="inlineStr">
        <is>
          <t>BTA SEDE A</t>
        </is>
      </c>
      <c r="Q448" s="4" t="inlineStr">
        <is>
          <t>ESPECIALIZACIONES</t>
        </is>
      </c>
      <c r="R448" s="4" t="n">
        <v>603</v>
      </c>
    </row>
    <row r="449" ht="20" customHeight="1">
      <c r="A449" s="6" t="inlineStr">
        <is>
          <t>52542490</t>
        </is>
      </c>
      <c r="B449" s="7" t="inlineStr">
        <is>
          <t>PRESENCIAL BOGOTÁ</t>
        </is>
      </c>
      <c r="C449" s="7" t="inlineStr">
        <is>
          <t>CAROLL ALEAN MAHECHA</t>
        </is>
      </c>
      <c r="D449" s="7" t="inlineStr">
        <is>
          <t>OPERACIONES</t>
        </is>
      </c>
      <c r="E449" s="7" t="inlineStr">
        <is>
          <t>REGIONAL BOGOTA</t>
        </is>
      </c>
      <c r="F449" s="7" t="inlineStr">
        <is>
          <t>BOGOTA CENTRO</t>
        </is>
      </c>
      <c r="G449" s="7" t="inlineStr">
        <is>
          <t>VIRTUAL</t>
        </is>
      </c>
      <c r="H449" s="7" t="inlineStr">
        <is>
          <t>DOC ASIS/N/V/TC/ESP PROSP ESTR/PROYECC</t>
        </is>
      </c>
      <c r="I449" s="7" t="inlineStr">
        <is>
          <t>ESPECIALIZACION EN PROSPECTIVA ESTRATEGICA</t>
        </is>
      </c>
      <c r="J449" s="7" t="inlineStr">
        <is>
          <t>PLANTA</t>
        </is>
      </c>
      <c r="K449" s="7" t="inlineStr">
        <is>
          <t>VIVIANA MORENO</t>
        </is>
      </c>
      <c r="L449" s="7" t="n">
        <v/>
      </c>
      <c r="M449" s="7" t="n">
        <v/>
      </c>
      <c r="N449" s="7" t="n">
        <v>3187739760</v>
      </c>
      <c r="O449" s="7" t="inlineStr">
        <is>
          <t>carollalean@gmail.com</t>
        </is>
      </c>
      <c r="P449" s="7" t="inlineStr">
        <is>
          <t>BTA SEDE A</t>
        </is>
      </c>
      <c r="Q449" s="7" t="inlineStr">
        <is>
          <t>ESPECIALIZACIONES</t>
        </is>
      </c>
      <c r="R449" s="7" t="n">
        <v>603</v>
      </c>
    </row>
    <row r="450" ht="20" customHeight="1">
      <c r="A450" s="3" t="inlineStr">
        <is>
          <t>79671116</t>
        </is>
      </c>
      <c r="B450" s="4" t="inlineStr">
        <is>
          <t>PRESENCIAL BOGOTÁ</t>
        </is>
      </c>
      <c r="C450" s="4" t="inlineStr">
        <is>
          <t>WILSON ALEJANDRO MARTINEZ BERNAL</t>
        </is>
      </c>
      <c r="D450" s="4" t="inlineStr">
        <is>
          <t>OPERACIONES</t>
        </is>
      </c>
      <c r="E450" s="4" t="inlineStr">
        <is>
          <t>REGIONAL BOGOTA</t>
        </is>
      </c>
      <c r="F450" s="4" t="inlineStr">
        <is>
          <t>BOGOTA CENTRO</t>
        </is>
      </c>
      <c r="G450" s="4" t="inlineStr">
        <is>
          <t>VIRTUAL</t>
        </is>
      </c>
      <c r="H450" s="4" t="inlineStr">
        <is>
          <t>DOC ASIS/N/V/TC/ESP PROSP ESTR/FUN.ACA</t>
        </is>
      </c>
      <c r="I450" s="4" t="inlineStr">
        <is>
          <t>ESPECIALIZACION EN PROSPECTIVA ESTRATEGICA</t>
        </is>
      </c>
      <c r="J450" s="4" t="inlineStr">
        <is>
          <t>PLANTA</t>
        </is>
      </c>
      <c r="K450" s="4" t="inlineStr">
        <is>
          <t>VIVIANA MORENO</t>
        </is>
      </c>
      <c r="L450" s="4" t="inlineStr">
        <is>
          <t>CONFIRMADO PRESENCIAL</t>
        </is>
      </c>
      <c r="M450" s="4" t="n">
        <v/>
      </c>
      <c r="N450" s="4" t="n">
        <v>3002118163</v>
      </c>
      <c r="O450" s="4" t="inlineStr">
        <is>
          <t>WALMABE@GMAIL.COM</t>
        </is>
      </c>
      <c r="P450" s="4" t="inlineStr">
        <is>
          <t>BTA SEDE A</t>
        </is>
      </c>
      <c r="Q450" s="4" t="inlineStr">
        <is>
          <t>ESPECIALIZACIONES</t>
        </is>
      </c>
      <c r="R450" s="4" t="n">
        <v>603</v>
      </c>
    </row>
    <row r="451" ht="20" customHeight="1">
      <c r="A451" s="6" t="inlineStr">
        <is>
          <t>80756556</t>
        </is>
      </c>
      <c r="B451" s="7" t="inlineStr">
        <is>
          <t>VIRTUAL</t>
        </is>
      </c>
      <c r="C451" s="7" t="inlineStr">
        <is>
          <t>WEIMAR CORTES MONTIEL</t>
        </is>
      </c>
      <c r="D451" s="7" t="inlineStr">
        <is>
          <t>OPERACIONES</t>
        </is>
      </c>
      <c r="E451" s="7" t="inlineStr">
        <is>
          <t>REGIONAL CALDAS</t>
        </is>
      </c>
      <c r="F451" s="7" t="inlineStr">
        <is>
          <t>MANIZALES</t>
        </is>
      </c>
      <c r="G451" s="7" t="inlineStr">
        <is>
          <t>VIRTUAL</t>
        </is>
      </c>
      <c r="H451" s="7" t="inlineStr">
        <is>
          <t>DOC AUX/N/V/TC/ESP SEG SALUD TRAB/FUN.A</t>
        </is>
      </c>
      <c r="I451" s="7" t="inlineStr">
        <is>
          <t>ESPECIALIZACION EN SEGURIDAD Y SALUD EN EL TRABAJO</t>
        </is>
      </c>
      <c r="J451" s="7" t="inlineStr">
        <is>
          <t>PLANTA</t>
        </is>
      </c>
      <c r="K451" s="7" t="inlineStr">
        <is>
          <t>VIVIANA MORENO</t>
        </is>
      </c>
      <c r="L451" s="7" t="n">
        <v/>
      </c>
      <c r="M451" s="7" t="n">
        <v/>
      </c>
      <c r="N451" s="7" t="n">
        <v>3154003627</v>
      </c>
      <c r="O451" s="7" t="inlineStr">
        <is>
          <t>WEIMARCORTES@GMAIL.COM</t>
        </is>
      </c>
      <c r="P451" s="7" t="inlineStr">
        <is>
          <t>MANIZALES SEDE</t>
        </is>
      </c>
      <c r="Q451" s="7" t="inlineStr">
        <is>
          <t>ESPECIALIZACIONES</t>
        </is>
      </c>
      <c r="R451" s="7" t="n">
        <v/>
      </c>
    </row>
    <row r="452" ht="20" customHeight="1">
      <c r="A452" s="3" t="inlineStr">
        <is>
          <t>52558890</t>
        </is>
      </c>
      <c r="B452" s="4" t="inlineStr">
        <is>
          <t>PRESENCIAL BOGOTÁ</t>
        </is>
      </c>
      <c r="C452" s="4" t="inlineStr">
        <is>
          <t>YASMILY ESLENDY ARDILA QUIROGA</t>
        </is>
      </c>
      <c r="D452" s="4" t="inlineStr">
        <is>
          <t>OPERACIONES</t>
        </is>
      </c>
      <c r="E452" s="4" t="inlineStr">
        <is>
          <t>REGIONAL BOGOTA</t>
        </is>
      </c>
      <c r="F452" s="4" t="inlineStr">
        <is>
          <t>BOGOTA CENTRO</t>
        </is>
      </c>
      <c r="G452" s="4" t="inlineStr">
        <is>
          <t>VIRTUAL</t>
        </is>
      </c>
      <c r="H452" s="4" t="inlineStr">
        <is>
          <t>DOC ASIS/N/V/TC/IDIOMAS/FUN.ACADE-ADMIN</t>
        </is>
      </c>
      <c r="I452" s="4" t="inlineStr">
        <is>
          <t>IDIOMAS</t>
        </is>
      </c>
      <c r="J452" s="4" t="inlineStr">
        <is>
          <t>PLANTA</t>
        </is>
      </c>
      <c r="K452" s="4" t="inlineStr">
        <is>
          <t>VIVIANA MORENO</t>
        </is>
      </c>
      <c r="L452" s="4" t="n">
        <v/>
      </c>
      <c r="M452" s="4" t="n">
        <v/>
      </c>
      <c r="N452" s="4" t="n">
        <v>3124034419</v>
      </c>
      <c r="O452" s="4" t="inlineStr">
        <is>
          <t>ardilayasmily@gmail.com</t>
        </is>
      </c>
      <c r="P452" s="4" t="inlineStr">
        <is>
          <t>BTA SEDE A</t>
        </is>
      </c>
      <c r="Q452" s="4" t="inlineStr">
        <is>
          <t>TRANSVERSALES</t>
        </is>
      </c>
      <c r="R452" s="4" t="n">
        <v>800</v>
      </c>
    </row>
    <row r="453" ht="20" customHeight="1">
      <c r="A453" s="6" t="inlineStr">
        <is>
          <t>51936804</t>
        </is>
      </c>
      <c r="B453" s="7" t="inlineStr">
        <is>
          <t>PRESENCIAL BOGOTÁ</t>
        </is>
      </c>
      <c r="C453" s="7" t="inlineStr">
        <is>
          <t>NUBIA INES PRIETO GRIMALDOS</t>
        </is>
      </c>
      <c r="D453" s="7" t="inlineStr">
        <is>
          <t>OPERACIONES</t>
        </is>
      </c>
      <c r="E453" s="7" t="inlineStr">
        <is>
          <t>REGIONAL BOGOTA</t>
        </is>
      </c>
      <c r="F453" s="7" t="inlineStr">
        <is>
          <t>BOGOTA CENTRO</t>
        </is>
      </c>
      <c r="G453" s="7" t="inlineStr">
        <is>
          <t>VIRTUAL</t>
        </is>
      </c>
      <c r="H453" s="7" t="inlineStr">
        <is>
          <t>DOC ASIS/N/V/TC/IDIOMAS/FUN.ACADE-ADMIN</t>
        </is>
      </c>
      <c r="I453" s="7" t="inlineStr">
        <is>
          <t>IDIOMAS</t>
        </is>
      </c>
      <c r="J453" s="7" t="inlineStr">
        <is>
          <t>PLANTA</t>
        </is>
      </c>
      <c r="K453" s="7" t="inlineStr">
        <is>
          <t>VIVIANA MORENO</t>
        </is>
      </c>
      <c r="L453" s="7" t="n">
        <v/>
      </c>
      <c r="M453" s="7" t="n">
        <v/>
      </c>
      <c r="N453" s="7" t="n">
        <v>3012412663</v>
      </c>
      <c r="O453" s="7" t="inlineStr">
        <is>
          <t>nubiaprietogrimaldos@gmail.com</t>
        </is>
      </c>
      <c r="P453" s="7" t="inlineStr">
        <is>
          <t>BTA SEDE A</t>
        </is>
      </c>
      <c r="Q453" s="7" t="inlineStr">
        <is>
          <t>TRANSVERSALES</t>
        </is>
      </c>
      <c r="R453" s="7" t="n">
        <v>800</v>
      </c>
    </row>
    <row r="454" ht="20" customHeight="1">
      <c r="A454" s="3" t="inlineStr">
        <is>
          <t>53139175</t>
        </is>
      </c>
      <c r="B454" s="4" t="inlineStr">
        <is>
          <t>PRESENCIAL BOGOTÁ</t>
        </is>
      </c>
      <c r="C454" s="4" t="inlineStr">
        <is>
          <t>BIBIANA AVILA MARTINEZ</t>
        </is>
      </c>
      <c r="D454" s="4" t="inlineStr">
        <is>
          <t>OPERACIONES</t>
        </is>
      </c>
      <c r="E454" s="4" t="inlineStr">
        <is>
          <t>REGIONAL BOGOTA</t>
        </is>
      </c>
      <c r="F454" s="4" t="inlineStr">
        <is>
          <t>BOGOTA CENTRO</t>
        </is>
      </c>
      <c r="G454" s="4" t="inlineStr">
        <is>
          <t>VIRTUAL</t>
        </is>
      </c>
      <c r="H454" s="4" t="inlineStr">
        <is>
          <t>DOC ASIS/N/V/TC/IDIOMAS/FUN.ACADE-ADMIN</t>
        </is>
      </c>
      <c r="I454" s="4" t="inlineStr">
        <is>
          <t>IDIOMAS</t>
        </is>
      </c>
      <c r="J454" s="4" t="inlineStr">
        <is>
          <t>PLANTA</t>
        </is>
      </c>
      <c r="K454" s="4" t="inlineStr">
        <is>
          <t>VIVIANA MORENO</t>
        </is>
      </c>
      <c r="L454" s="4" t="n">
        <v/>
      </c>
      <c r="M454" s="4" t="n">
        <v/>
      </c>
      <c r="N454" s="4" t="n">
        <v>3196430005</v>
      </c>
      <c r="O454" s="4" t="inlineStr">
        <is>
          <t>bibianaavilamartinez@gmail.com</t>
        </is>
      </c>
      <c r="P454" s="4" t="inlineStr">
        <is>
          <t>BTA SEDE A</t>
        </is>
      </c>
      <c r="Q454" s="4" t="inlineStr">
        <is>
          <t>TRANSVERSALES</t>
        </is>
      </c>
      <c r="R454" s="4" t="n">
        <v>800</v>
      </c>
    </row>
    <row r="455" ht="20" customHeight="1">
      <c r="A455" s="6" t="inlineStr">
        <is>
          <t>37728273</t>
        </is>
      </c>
      <c r="B455" s="7" t="inlineStr">
        <is>
          <t>VIRTUAL</t>
        </is>
      </c>
      <c r="C455" s="7" t="inlineStr">
        <is>
          <t>IVONNE LISSETH CARREÑO SERRANO</t>
        </is>
      </c>
      <c r="D455" s="7" t="inlineStr">
        <is>
          <t>OPERACIONES</t>
        </is>
      </c>
      <c r="E455" s="7" t="inlineStr">
        <is>
          <t>REGIONAL SANTANDER</t>
        </is>
      </c>
      <c r="F455" s="7" t="inlineStr">
        <is>
          <t>BUCARAMANGA</t>
        </is>
      </c>
      <c r="G455" s="7" t="inlineStr">
        <is>
          <t>VIRTUAL</t>
        </is>
      </c>
      <c r="H455" s="7" t="inlineStr">
        <is>
          <t>DOC AUX/N/V/TC/IDIOMAS/FUN.ACADE-ADMIN</t>
        </is>
      </c>
      <c r="I455" s="7" t="inlineStr">
        <is>
          <t>IDIOMAS</t>
        </is>
      </c>
      <c r="J455" s="7" t="inlineStr">
        <is>
          <t>PLANTA</t>
        </is>
      </c>
      <c r="K455" s="7" t="inlineStr">
        <is>
          <t>VIVIANA MORENO</t>
        </is>
      </c>
      <c r="L455" s="7" t="n">
        <v/>
      </c>
      <c r="M455" s="7" t="n">
        <v/>
      </c>
      <c r="N455" s="7" t="n">
        <v>3185224045</v>
      </c>
      <c r="O455" s="7" t="inlineStr">
        <is>
          <t>ivo.serrano2@gmail.com</t>
        </is>
      </c>
      <c r="P455" s="7" t="inlineStr">
        <is>
          <t>BGA SEDE</t>
        </is>
      </c>
      <c r="Q455" s="7" t="inlineStr">
        <is>
          <t>TRANSVERSALES</t>
        </is>
      </c>
      <c r="R455" s="7" t="n">
        <v/>
      </c>
    </row>
    <row r="456" ht="20" customHeight="1">
      <c r="A456" s="3" t="inlineStr">
        <is>
          <t>1032411981</t>
        </is>
      </c>
      <c r="B456" s="4" t="inlineStr">
        <is>
          <t>PRESENCIAL BOGOTÁ</t>
        </is>
      </c>
      <c r="C456" s="4" t="inlineStr">
        <is>
          <t>GIOVANNI GUTIERREZ MARTINEZ</t>
        </is>
      </c>
      <c r="D456" s="4" t="inlineStr">
        <is>
          <t>OPERACIONES</t>
        </is>
      </c>
      <c r="E456" s="4" t="inlineStr">
        <is>
          <t>REGIONAL BOGOTA</t>
        </is>
      </c>
      <c r="F456" s="4" t="inlineStr">
        <is>
          <t>BOGOTA CENTRO</t>
        </is>
      </c>
      <c r="G456" s="4" t="inlineStr">
        <is>
          <t>VIRTUAL</t>
        </is>
      </c>
      <c r="H456" s="4" t="inlineStr">
        <is>
          <t>DOC AUX T&amp;T/N/V/TC/IDIOMAS/FUN.ACADE-ADMIN</t>
        </is>
      </c>
      <c r="I456" s="4" t="inlineStr">
        <is>
          <t>IDIOMAS</t>
        </is>
      </c>
      <c r="J456" s="4" t="inlineStr">
        <is>
          <t>PLANTA</t>
        </is>
      </c>
      <c r="K456" s="4" t="inlineStr">
        <is>
          <t>VIVIANA MORENO</t>
        </is>
      </c>
      <c r="L456" s="4" t="n">
        <v/>
      </c>
      <c r="M456" s="4" t="n">
        <v/>
      </c>
      <c r="N456" s="4" t="n">
        <v>3214162669</v>
      </c>
      <c r="O456" s="4" t="inlineStr">
        <is>
          <t>nanoprof88@gmail.com</t>
        </is>
      </c>
      <c r="P456" s="4" t="inlineStr">
        <is>
          <t>BTA SEDE A</t>
        </is>
      </c>
      <c r="Q456" s="4" t="inlineStr">
        <is>
          <t>TRANSVERSALES</t>
        </is>
      </c>
      <c r="R456" s="4" t="n">
        <v>800</v>
      </c>
    </row>
    <row r="457" ht="20" customHeight="1">
      <c r="A457" s="6" t="inlineStr">
        <is>
          <t>52438963</t>
        </is>
      </c>
      <c r="B457" s="7" t="inlineStr">
        <is>
          <t>PRESENCIAL BOGOTÁ</t>
        </is>
      </c>
      <c r="C457" s="7" t="inlineStr">
        <is>
          <t>ASTRID EMILIA BUENHOMBRE CAÑON</t>
        </is>
      </c>
      <c r="D457" s="7" t="inlineStr">
        <is>
          <t>OPERACIONES</t>
        </is>
      </c>
      <c r="E457" s="7" t="inlineStr">
        <is>
          <t>REGIONAL BOGOTA</t>
        </is>
      </c>
      <c r="F457" s="7" t="inlineStr">
        <is>
          <t>BOGOTA CENTRO</t>
        </is>
      </c>
      <c r="G457" s="7" t="inlineStr">
        <is>
          <t>VIRTUAL</t>
        </is>
      </c>
      <c r="H457" s="7" t="inlineStr">
        <is>
          <t>DOC AUX/N/V/TC/IDIOMAS/FUN.ACADE-ADMIN</t>
        </is>
      </c>
      <c r="I457" s="7" t="inlineStr">
        <is>
          <t>IDIOMAS</t>
        </is>
      </c>
      <c r="J457" s="7" t="inlineStr">
        <is>
          <t>PLANTA</t>
        </is>
      </c>
      <c r="K457" s="7" t="inlineStr">
        <is>
          <t>VIVIANA MORENO</t>
        </is>
      </c>
      <c r="L457" s="7" t="n">
        <v/>
      </c>
      <c r="M457" s="7" t="n">
        <v/>
      </c>
      <c r="N457" s="7" t="n">
        <v>3227424595</v>
      </c>
      <c r="O457" s="7" t="inlineStr">
        <is>
          <t>emigoodman@gmail.com</t>
        </is>
      </c>
      <c r="P457" s="7" t="inlineStr">
        <is>
          <t>BTA SEDE A</t>
        </is>
      </c>
      <c r="Q457" s="7" t="inlineStr">
        <is>
          <t>TRANSVERSALES</t>
        </is>
      </c>
      <c r="R457" s="7" t="n">
        <v>800</v>
      </c>
    </row>
    <row r="458" ht="20" customHeight="1">
      <c r="A458" s="3" t="inlineStr">
        <is>
          <t>1042438453</t>
        </is>
      </c>
      <c r="B458" s="4" t="inlineStr">
        <is>
          <t>PRESENCIAL BOGOTÁ</t>
        </is>
      </c>
      <c r="C458" s="4" t="inlineStr">
        <is>
          <t>YULEIDYS MARIA RODRIGUEZ RAMBAO</t>
        </is>
      </c>
      <c r="D458" s="4" t="inlineStr">
        <is>
          <t>OPERACIONES</t>
        </is>
      </c>
      <c r="E458" s="4" t="inlineStr">
        <is>
          <t>REGIONAL BOGOTA</t>
        </is>
      </c>
      <c r="F458" s="4" t="inlineStr">
        <is>
          <t>BOGOTA CENTRO</t>
        </is>
      </c>
      <c r="G458" s="4" t="inlineStr">
        <is>
          <t>VIRTUAL</t>
        </is>
      </c>
      <c r="H458" s="4" t="inlineStr">
        <is>
          <t>DOC TITULAR/N/V/TC/IDIOMAS/FUN.ACADE-ADMIN</t>
        </is>
      </c>
      <c r="I458" s="4" t="inlineStr">
        <is>
          <t>IDIOMAS</t>
        </is>
      </c>
      <c r="J458" s="4" t="inlineStr">
        <is>
          <t>PLANTA</t>
        </is>
      </c>
      <c r="K458" s="4" t="inlineStr">
        <is>
          <t>VIVIANA MORENO</t>
        </is>
      </c>
      <c r="L458" s="4" t="n">
        <v/>
      </c>
      <c r="M458" s="4" t="n">
        <v/>
      </c>
      <c r="N458" s="4" t="n">
        <v>3234503525</v>
      </c>
      <c r="O458" s="4" t="inlineStr">
        <is>
          <t>yuleidys_rodriguez@hotmail.com</t>
        </is>
      </c>
      <c r="P458" s="4" t="inlineStr">
        <is>
          <t>BTA SEDE A</t>
        </is>
      </c>
      <c r="Q458" s="4" t="inlineStr">
        <is>
          <t>TRANSVERSALES</t>
        </is>
      </c>
      <c r="R458" s="4" t="n">
        <v>800</v>
      </c>
    </row>
    <row r="459" ht="20" customHeight="1">
      <c r="A459" s="6" t="inlineStr">
        <is>
          <t>1095946413</t>
        </is>
      </c>
      <c r="B459" s="7" t="inlineStr">
        <is>
          <t>VIRTUAL</t>
        </is>
      </c>
      <c r="C459" s="7" t="inlineStr">
        <is>
          <t>LEIDY TATIANA JAIMES CADAVID</t>
        </is>
      </c>
      <c r="D459" s="7" t="inlineStr">
        <is>
          <t>OPERACIONES</t>
        </is>
      </c>
      <c r="E459" s="7" t="inlineStr">
        <is>
          <t>REGIONAL SANTANDER</t>
        </is>
      </c>
      <c r="F459" s="7" t="inlineStr">
        <is>
          <t>BUCARAMANGA</t>
        </is>
      </c>
      <c r="G459" s="7" t="inlineStr">
        <is>
          <t>VIRTUAL</t>
        </is>
      </c>
      <c r="H459" s="7" t="inlineStr">
        <is>
          <t>DOC AUX T&amp;T/N/V/TC/IDIOMAS/FUN.ACADE-ADMIN</t>
        </is>
      </c>
      <c r="I459" s="7" t="inlineStr">
        <is>
          <t>IDIOMAS</t>
        </is>
      </c>
      <c r="J459" s="7" t="inlineStr">
        <is>
          <t>PLANTA</t>
        </is>
      </c>
      <c r="K459" s="7" t="inlineStr">
        <is>
          <t>VIVIANA MORENO</t>
        </is>
      </c>
      <c r="L459" s="7" t="n">
        <v/>
      </c>
      <c r="M459" s="7" t="n">
        <v/>
      </c>
      <c r="N459" s="7" t="n">
        <v>3017722574</v>
      </c>
      <c r="O459" s="7" t="inlineStr">
        <is>
          <t>leidyjaimes0711@gmail.com</t>
        </is>
      </c>
      <c r="P459" s="7" t="inlineStr">
        <is>
          <t>BGA SEDE</t>
        </is>
      </c>
      <c r="Q459" s="7" t="inlineStr">
        <is>
          <t>TRANSVERSALES</t>
        </is>
      </c>
      <c r="R459" s="7" t="n">
        <v/>
      </c>
    </row>
    <row r="460" ht="20" customHeight="1">
      <c r="A460" s="3" t="inlineStr">
        <is>
          <t>1098750510</t>
        </is>
      </c>
      <c r="B460" s="4" t="inlineStr">
        <is>
          <t>VIRTUAL</t>
        </is>
      </c>
      <c r="C460" s="4" t="inlineStr">
        <is>
          <t>NELLY JOHANA ALVAREZ IDARRAGA</t>
        </is>
      </c>
      <c r="D460" s="4" t="inlineStr">
        <is>
          <t>OPERACIONES</t>
        </is>
      </c>
      <c r="E460" s="4" t="inlineStr">
        <is>
          <t>REGIONAL SANTANDER</t>
        </is>
      </c>
      <c r="F460" s="4" t="inlineStr">
        <is>
          <t>BUCARAMANGA</t>
        </is>
      </c>
      <c r="G460" s="4" t="inlineStr">
        <is>
          <t>VIRTUAL</t>
        </is>
      </c>
      <c r="H460" s="4" t="inlineStr">
        <is>
          <t>DOC ASIS/N/V/TC/IDIOMAS/FUN.ACADE-ADMIN</t>
        </is>
      </c>
      <c r="I460" s="4" t="inlineStr">
        <is>
          <t>IDIOMAS</t>
        </is>
      </c>
      <c r="J460" s="4" t="inlineStr">
        <is>
          <t>PLANTA</t>
        </is>
      </c>
      <c r="K460" s="4" t="inlineStr">
        <is>
          <t>VIVIANA MORENO</t>
        </is>
      </c>
      <c r="L460" s="4" t="n">
        <v/>
      </c>
      <c r="M460" s="4" t="n">
        <v/>
      </c>
      <c r="N460" s="4" t="n">
        <v>3175127628</v>
      </c>
      <c r="O460" s="4" t="inlineStr">
        <is>
          <t>nalvarez356@unab.edu.co</t>
        </is>
      </c>
      <c r="P460" s="4" t="inlineStr">
        <is>
          <t>BGA SEDE</t>
        </is>
      </c>
      <c r="Q460" s="4" t="inlineStr">
        <is>
          <t>TRANSVERSALES</t>
        </is>
      </c>
      <c r="R460" s="4" t="n">
        <v/>
      </c>
    </row>
    <row r="461" ht="20" customHeight="1">
      <c r="A461" s="6" t="inlineStr">
        <is>
          <t>1022360816</t>
        </is>
      </c>
      <c r="B461" s="7" t="inlineStr">
        <is>
          <t>PRESENCIAL BOGOTÁ</t>
        </is>
      </c>
      <c r="C461" s="7" t="inlineStr">
        <is>
          <t>JESSICA PAOLA HIGUERA SANCHEZ</t>
        </is>
      </c>
      <c r="D461" s="7" t="inlineStr">
        <is>
          <t>OPERACIONES</t>
        </is>
      </c>
      <c r="E461" s="7" t="inlineStr">
        <is>
          <t>REGIONAL BOGOTA</t>
        </is>
      </c>
      <c r="F461" s="7" t="inlineStr">
        <is>
          <t>BOGOTA CENTRO</t>
        </is>
      </c>
      <c r="G461" s="7" t="inlineStr">
        <is>
          <t>VIRTUAL</t>
        </is>
      </c>
      <c r="H461" s="7" t="inlineStr">
        <is>
          <t>DOC AUX T&amp;T/N/V/TC/IDIOMAS/FUN.ACADE-ADMIN</t>
        </is>
      </c>
      <c r="I461" s="7" t="inlineStr">
        <is>
          <t>IDIOMAS</t>
        </is>
      </c>
      <c r="J461" s="7" t="inlineStr">
        <is>
          <t>PLANTA</t>
        </is>
      </c>
      <c r="K461" s="7" t="inlineStr">
        <is>
          <t>VIVIANA MORENO</t>
        </is>
      </c>
      <c r="L461" s="7" t="n">
        <v/>
      </c>
      <c r="M461" s="7" t="n">
        <v/>
      </c>
      <c r="N461" s="7" t="n">
        <v>3192466617</v>
      </c>
      <c r="O461" s="7" t="inlineStr">
        <is>
          <t>jessicdlm46@gmail.com</t>
        </is>
      </c>
      <c r="P461" s="7" t="inlineStr">
        <is>
          <t>BTA SEDE A</t>
        </is>
      </c>
      <c r="Q461" s="7" t="inlineStr">
        <is>
          <t>TRANSVERSALES</t>
        </is>
      </c>
      <c r="R461" s="7" t="n">
        <v>800</v>
      </c>
    </row>
    <row r="462" ht="20" customHeight="1">
      <c r="A462" s="3" t="inlineStr">
        <is>
          <t>1075306193</t>
        </is>
      </c>
      <c r="B462" s="4" t="inlineStr">
        <is>
          <t>PRESENCIAL BOGOTÁ</t>
        </is>
      </c>
      <c r="C462" s="4" t="inlineStr">
        <is>
          <t>CATHERIN JULIET COY ASTAIZA</t>
        </is>
      </c>
      <c r="D462" s="4" t="inlineStr">
        <is>
          <t>OPERACIONES</t>
        </is>
      </c>
      <c r="E462" s="4" t="inlineStr">
        <is>
          <t>REGIONAL BOGOTA</t>
        </is>
      </c>
      <c r="F462" s="4" t="inlineStr">
        <is>
          <t>BOGOTA CENTRO</t>
        </is>
      </c>
      <c r="G462" s="4" t="inlineStr">
        <is>
          <t>VIRTUAL</t>
        </is>
      </c>
      <c r="H462" s="4" t="inlineStr">
        <is>
          <t>DOC AUX T&amp;T/N/V/TC/IDIOMAS/FUN.ACADE-ADMIN</t>
        </is>
      </c>
      <c r="I462" s="4" t="inlineStr">
        <is>
          <t>IDIOMAS</t>
        </is>
      </c>
      <c r="J462" s="4" t="inlineStr">
        <is>
          <t>PLANTA</t>
        </is>
      </c>
      <c r="K462" s="4" t="inlineStr">
        <is>
          <t>VIVIANA MORENO</t>
        </is>
      </c>
      <c r="L462" s="4" t="n">
        <v/>
      </c>
      <c r="M462" s="4" t="n">
        <v/>
      </c>
      <c r="N462" s="4" t="n">
        <v>3005964585</v>
      </c>
      <c r="O462" s="4" t="inlineStr">
        <is>
          <t>catherincoy@gmail.com</t>
        </is>
      </c>
      <c r="P462" s="4" t="inlineStr">
        <is>
          <t>BTA SEDE A</t>
        </is>
      </c>
      <c r="Q462" s="4" t="inlineStr">
        <is>
          <t>TRANSVERSALES</t>
        </is>
      </c>
      <c r="R462" s="4" t="n">
        <v>800</v>
      </c>
    </row>
    <row r="463" ht="20" customHeight="1">
      <c r="A463" s="6" t="inlineStr">
        <is>
          <t>1070616352</t>
        </is>
      </c>
      <c r="B463" s="7" t="inlineStr">
        <is>
          <t>PRESENCIAL BOGOTÁ</t>
        </is>
      </c>
      <c r="C463" s="7" t="inlineStr">
        <is>
          <t>MARIA CATALINA ESPINOSA SUAREZ</t>
        </is>
      </c>
      <c r="D463" s="7" t="inlineStr">
        <is>
          <t>OPERACIONES</t>
        </is>
      </c>
      <c r="E463" s="7" t="inlineStr">
        <is>
          <t>REGIONAL BOGOTA</t>
        </is>
      </c>
      <c r="F463" s="7" t="inlineStr">
        <is>
          <t>BOGOTA CENTRO</t>
        </is>
      </c>
      <c r="G463" s="7" t="inlineStr">
        <is>
          <t>VIRTUAL</t>
        </is>
      </c>
      <c r="H463" s="7" t="inlineStr">
        <is>
          <t>DOC ASIS/N/V/TC/IDIOMAS/FUN.ACADE-ADMIN</t>
        </is>
      </c>
      <c r="I463" s="7" t="inlineStr">
        <is>
          <t>IDIOMAS</t>
        </is>
      </c>
      <c r="J463" s="7" t="inlineStr">
        <is>
          <t>PLANTA</t>
        </is>
      </c>
      <c r="K463" s="7" t="inlineStr">
        <is>
          <t>VIVIANA MORENO</t>
        </is>
      </c>
      <c r="L463" s="7" t="n">
        <v/>
      </c>
      <c r="M463" s="7" t="n">
        <v/>
      </c>
      <c r="N463" s="7" t="n">
        <v>3008053778</v>
      </c>
      <c r="O463" s="7" t="inlineStr">
        <is>
          <t>mariacata25@gmail.com</t>
        </is>
      </c>
      <c r="P463" s="7" t="inlineStr">
        <is>
          <t>BTA SEDE A</t>
        </is>
      </c>
      <c r="Q463" s="7" t="inlineStr">
        <is>
          <t>TRANSVERSALES</t>
        </is>
      </c>
      <c r="R463" s="7" t="n">
        <v>800</v>
      </c>
    </row>
    <row r="464" ht="20" customHeight="1">
      <c r="A464" s="3" t="inlineStr">
        <is>
          <t>52745221</t>
        </is>
      </c>
      <c r="B464" s="4" t="inlineStr">
        <is>
          <t>PRESENCIAL BOGOTÁ</t>
        </is>
      </c>
      <c r="C464" s="4" t="inlineStr">
        <is>
          <t>JENNIFFER CONSTANZA GALLEGOS SARMIENTO</t>
        </is>
      </c>
      <c r="D464" s="4" t="inlineStr">
        <is>
          <t>OPERACIONES</t>
        </is>
      </c>
      <c r="E464" s="4" t="inlineStr">
        <is>
          <t>REGIONAL BOGOTA</t>
        </is>
      </c>
      <c r="F464" s="4" t="inlineStr">
        <is>
          <t>BOGOTA CENTRO</t>
        </is>
      </c>
      <c r="G464" s="4" t="inlineStr">
        <is>
          <t>VIRTUAL</t>
        </is>
      </c>
      <c r="H464" s="4" t="inlineStr">
        <is>
          <t>DOC AUX T&amp;T/N/V/TC/IDIOMAS/FUN.ACADE-ADMIN</t>
        </is>
      </c>
      <c r="I464" s="4" t="inlineStr">
        <is>
          <t>IDIOMAS</t>
        </is>
      </c>
      <c r="J464" s="4" t="inlineStr">
        <is>
          <t>PLANTA</t>
        </is>
      </c>
      <c r="K464" s="4" t="inlineStr">
        <is>
          <t>VIVIANA MORENO</t>
        </is>
      </c>
      <c r="L464" s="4" t="n">
        <v/>
      </c>
      <c r="M464" s="4" t="n">
        <v/>
      </c>
      <c r="N464" s="4" t="n">
        <v>3203958455</v>
      </c>
      <c r="O464" s="4" t="inlineStr">
        <is>
          <t>teachercony2020@gmail.com</t>
        </is>
      </c>
      <c r="P464" s="4" t="inlineStr">
        <is>
          <t>BTA SEDE A</t>
        </is>
      </c>
      <c r="Q464" s="4" t="inlineStr">
        <is>
          <t>TRANSVERSALES</t>
        </is>
      </c>
      <c r="R464" s="4" t="n">
        <v>800</v>
      </c>
    </row>
    <row r="465" ht="20" customHeight="1">
      <c r="A465" s="6" t="inlineStr">
        <is>
          <t>1003062606</t>
        </is>
      </c>
      <c r="B465" s="7" t="inlineStr">
        <is>
          <t>PRESENCIAL BOGOTÁ</t>
        </is>
      </c>
      <c r="C465" s="7" t="inlineStr">
        <is>
          <t>KEVIN DE JESUS BRAVO ANAYA</t>
        </is>
      </c>
      <c r="D465" s="7" t="inlineStr">
        <is>
          <t>OPERACIONES</t>
        </is>
      </c>
      <c r="E465" s="7" t="inlineStr">
        <is>
          <t>REGIONAL BOGOTA</t>
        </is>
      </c>
      <c r="F465" s="7" t="inlineStr">
        <is>
          <t>BOGOTA CENTRO</t>
        </is>
      </c>
      <c r="G465" s="7" t="inlineStr">
        <is>
          <t>VIRTUAL</t>
        </is>
      </c>
      <c r="H465" s="7" t="inlineStr">
        <is>
          <t>DOC AUX T&amp;T/N/V/TC/IDIOMAS/FUN.ACADE-ADMIN</t>
        </is>
      </c>
      <c r="I465" s="7" t="inlineStr">
        <is>
          <t>IDIOMAS</t>
        </is>
      </c>
      <c r="J465" s="7" t="inlineStr">
        <is>
          <t>PLANTA</t>
        </is>
      </c>
      <c r="K465" s="7" t="inlineStr">
        <is>
          <t>VIVIANA MORENO</t>
        </is>
      </c>
      <c r="L465" s="7" t="n">
        <v/>
      </c>
      <c r="M465" s="7" t="n">
        <v/>
      </c>
      <c r="N465" s="7" t="n">
        <v>3105257007</v>
      </c>
      <c r="O465" s="7" t="inlineStr">
        <is>
          <t>KVINBRAVO98@HOTMAIL.COM</t>
        </is>
      </c>
      <c r="P465" s="7" t="inlineStr">
        <is>
          <t>BTA SEDE A</t>
        </is>
      </c>
      <c r="Q465" s="7" t="inlineStr">
        <is>
          <t>TRANSVERSALES</t>
        </is>
      </c>
      <c r="R465" s="7" t="n">
        <v>800</v>
      </c>
    </row>
    <row r="466" ht="20" customHeight="1">
      <c r="A466" s="3" t="inlineStr">
        <is>
          <t>1013634532</t>
        </is>
      </c>
      <c r="B466" s="4" t="inlineStr">
        <is>
          <t>PRESENCIAL BOGOTÁ</t>
        </is>
      </c>
      <c r="C466" s="4" t="inlineStr">
        <is>
          <t>ANA MARIA VIVAS SILVA</t>
        </is>
      </c>
      <c r="D466" s="4" t="inlineStr">
        <is>
          <t>OPERACIONES</t>
        </is>
      </c>
      <c r="E466" s="4" t="inlineStr">
        <is>
          <t>REGIONAL BOGOTA</t>
        </is>
      </c>
      <c r="F466" s="4" t="inlineStr">
        <is>
          <t>BOGOTA CENTRO</t>
        </is>
      </c>
      <c r="G466" s="4" t="inlineStr">
        <is>
          <t>VIRTUAL</t>
        </is>
      </c>
      <c r="H466" s="4" t="inlineStr">
        <is>
          <t>DOC AUX T&amp;T/N/V/TC/IDIOMAS/FUN.ACADE-ADMIN</t>
        </is>
      </c>
      <c r="I466" s="4" t="inlineStr">
        <is>
          <t>IDIOMAS</t>
        </is>
      </c>
      <c r="J466" s="4" t="inlineStr">
        <is>
          <t>PLANTA</t>
        </is>
      </c>
      <c r="K466" s="4" t="inlineStr">
        <is>
          <t>VIVIANA MORENO</t>
        </is>
      </c>
      <c r="L466" s="4" t="n">
        <v/>
      </c>
      <c r="M466" s="4" t="n">
        <v/>
      </c>
      <c r="N466" s="4" t="n">
        <v>3137260627</v>
      </c>
      <c r="O466" s="4" t="inlineStr">
        <is>
          <t>ANAMAVI48@GMAIL.COM</t>
        </is>
      </c>
      <c r="P466" s="4" t="inlineStr">
        <is>
          <t>BTA SEDE A</t>
        </is>
      </c>
      <c r="Q466" s="4" t="inlineStr">
        <is>
          <t>TRANSVERSALES</t>
        </is>
      </c>
      <c r="R466" s="4" t="n">
        <v>800</v>
      </c>
    </row>
    <row r="467" ht="20" customHeight="1">
      <c r="A467" s="6" t="inlineStr">
        <is>
          <t>1023872973</t>
        </is>
      </c>
      <c r="B467" s="7" t="inlineStr">
        <is>
          <t>PRESENCIAL BOGOTÁ</t>
        </is>
      </c>
      <c r="C467" s="7" t="inlineStr">
        <is>
          <t>CINDY PAOLA MORENO PARRA</t>
        </is>
      </c>
      <c r="D467" s="7" t="inlineStr">
        <is>
          <t>OPERACIONES</t>
        </is>
      </c>
      <c r="E467" s="7" t="inlineStr">
        <is>
          <t>REGIONAL BOGOTA</t>
        </is>
      </c>
      <c r="F467" s="7" t="inlineStr">
        <is>
          <t>BOGOTA CENTRO</t>
        </is>
      </c>
      <c r="G467" s="7" t="inlineStr">
        <is>
          <t>VIRTUAL</t>
        </is>
      </c>
      <c r="H467" s="7" t="inlineStr">
        <is>
          <t>DOC ASIS/N/V/TC/IDIOMAS/FUN.ACADE-ADMIN</t>
        </is>
      </c>
      <c r="I467" s="7" t="inlineStr">
        <is>
          <t>IDIOMAS</t>
        </is>
      </c>
      <c r="J467" s="7" t="inlineStr">
        <is>
          <t>PLANTA</t>
        </is>
      </c>
      <c r="K467" s="7" t="inlineStr">
        <is>
          <t>VIVIANA MORENO</t>
        </is>
      </c>
      <c r="L467" s="7" t="n">
        <v/>
      </c>
      <c r="M467" s="7" t="n">
        <v/>
      </c>
      <c r="N467" s="7" t="n">
        <v>3176733377</v>
      </c>
      <c r="O467" s="7" t="inlineStr">
        <is>
          <t>cipamopa2@gmail.com</t>
        </is>
      </c>
      <c r="P467" s="7" t="inlineStr">
        <is>
          <t>BTA SEDE A</t>
        </is>
      </c>
      <c r="Q467" s="7" t="inlineStr">
        <is>
          <t>TRANSVERSALES</t>
        </is>
      </c>
      <c r="R467" s="7" t="n">
        <v>800</v>
      </c>
    </row>
    <row r="468" ht="20" customHeight="1">
      <c r="A468" s="3" t="inlineStr">
        <is>
          <t>1067928314</t>
        </is>
      </c>
      <c r="B468" s="4" t="inlineStr">
        <is>
          <t>PRESENCIAL REGIONAL</t>
        </is>
      </c>
      <c r="C468" s="4" t="inlineStr">
        <is>
          <t>ANYI MILENA ALVAREZ COGOLLO</t>
        </is>
      </c>
      <c r="D468" s="4" t="inlineStr">
        <is>
          <t>OPERACIONES</t>
        </is>
      </c>
      <c r="E468" s="4" t="inlineStr">
        <is>
          <t>REGIONAL CORDOBA</t>
        </is>
      </c>
      <c r="F468" s="4" t="inlineStr">
        <is>
          <t>MONTERIA</t>
        </is>
      </c>
      <c r="G468" s="4" t="inlineStr">
        <is>
          <t>VIRTUAL</t>
        </is>
      </c>
      <c r="H468" s="4" t="inlineStr">
        <is>
          <t>DOC AUX/N/V/TC/IDIOMAS/FUN.ACADE-ADMIN</t>
        </is>
      </c>
      <c r="I468" s="4" t="inlineStr">
        <is>
          <t>IDIOMAS</t>
        </is>
      </c>
      <c r="J468" s="4" t="inlineStr">
        <is>
          <t>PLANTA</t>
        </is>
      </c>
      <c r="K468" s="4" t="inlineStr">
        <is>
          <t>VIVIANA MORENO</t>
        </is>
      </c>
      <c r="L468" s="4" t="inlineStr">
        <is>
          <t>CONFIRMADO PRESENCIAL</t>
        </is>
      </c>
      <c r="M468" s="4" t="n">
        <v/>
      </c>
      <c r="N468" s="4" t="n">
        <v>3012141318</v>
      </c>
      <c r="O468" s="4" t="inlineStr">
        <is>
          <t>anyimalvarezc@gmail.com</t>
        </is>
      </c>
      <c r="P468" s="4" t="inlineStr">
        <is>
          <t>MONTERIA SEDE</t>
        </is>
      </c>
      <c r="Q468" s="4" t="inlineStr">
        <is>
          <t>TRANSVERSALES</t>
        </is>
      </c>
      <c r="R468" s="4" t="n">
        <v/>
      </c>
    </row>
    <row r="469" ht="20" customHeight="1">
      <c r="A469" s="6" t="inlineStr">
        <is>
          <t>1019150974</t>
        </is>
      </c>
      <c r="B469" s="7" t="inlineStr">
        <is>
          <t>PRESENCIAL BOGOTÁ</t>
        </is>
      </c>
      <c r="C469" s="7" t="inlineStr">
        <is>
          <t>LAURY YULIANA HERNANDEZ BECERRA</t>
        </is>
      </c>
      <c r="D469" s="7" t="inlineStr">
        <is>
          <t>OPERACIONES</t>
        </is>
      </c>
      <c r="E469" s="7" t="inlineStr">
        <is>
          <t>REGIONAL BOGOTA</t>
        </is>
      </c>
      <c r="F469" s="7" t="inlineStr">
        <is>
          <t>BOGOTA CENTRO</t>
        </is>
      </c>
      <c r="G469" s="7" t="inlineStr">
        <is>
          <t>VIRTUAL</t>
        </is>
      </c>
      <c r="H469" s="7" t="inlineStr">
        <is>
          <t>DOC AUX T&amp;T/N/V/TC/IDIOMAS/FUN.ACADE-ADMIN</t>
        </is>
      </c>
      <c r="I469" s="7" t="inlineStr">
        <is>
          <t>IDIOMAS</t>
        </is>
      </c>
      <c r="J469" s="7" t="inlineStr">
        <is>
          <t>PLANTA</t>
        </is>
      </c>
      <c r="K469" s="7" t="inlineStr">
        <is>
          <t>VIVIANA MORENO</t>
        </is>
      </c>
      <c r="L469" s="7" t="n">
        <v/>
      </c>
      <c r="M469" s="7" t="n">
        <v/>
      </c>
      <c r="N469" s="7" t="n">
        <v>3232062486</v>
      </c>
      <c r="O469" s="7" t="inlineStr">
        <is>
          <t>LAURYYHDEZ@GMAIL.COM</t>
        </is>
      </c>
      <c r="P469" s="7" t="inlineStr">
        <is>
          <t>BTA SEDE A</t>
        </is>
      </c>
      <c r="Q469" s="7" t="inlineStr">
        <is>
          <t>TRANSVERSALES</t>
        </is>
      </c>
      <c r="R469" s="7" t="n">
        <v>800</v>
      </c>
    </row>
    <row r="470" ht="20" customHeight="1">
      <c r="A470" s="3" t="inlineStr">
        <is>
          <t>1136889753</t>
        </is>
      </c>
      <c r="B470" s="4" t="inlineStr">
        <is>
          <t>PRESENCIAL BOGOTÁ</t>
        </is>
      </c>
      <c r="C470" s="4" t="inlineStr">
        <is>
          <t>ANGIE CAROLINA FUENTES MATEUS</t>
        </is>
      </c>
      <c r="D470" s="4" t="inlineStr">
        <is>
          <t>OPERACIONES</t>
        </is>
      </c>
      <c r="E470" s="4" t="inlineStr">
        <is>
          <t>REGIONAL BOGOTA</t>
        </is>
      </c>
      <c r="F470" s="4" t="inlineStr">
        <is>
          <t>BOGOTA CENTRO</t>
        </is>
      </c>
      <c r="G470" s="4" t="inlineStr">
        <is>
          <t>PRESENCIAL</t>
        </is>
      </c>
      <c r="H470" s="4" t="inlineStr">
        <is>
          <t>DOC AUX T&amp;T/N/TC/IDIOMAS/FUN.ACADE-ADMIN</t>
        </is>
      </c>
      <c r="I470" s="4" t="inlineStr">
        <is>
          <t>IDIOMAS</t>
        </is>
      </c>
      <c r="J470" s="4" t="inlineStr">
        <is>
          <t>PLANTA</t>
        </is>
      </c>
      <c r="K470" s="4" t="inlineStr">
        <is>
          <t>VIVIANA MORENO</t>
        </is>
      </c>
      <c r="L470" s="4" t="n">
        <v/>
      </c>
      <c r="M470" s="4" t="n">
        <v/>
      </c>
      <c r="N470" s="4" t="n">
        <v>3132285214</v>
      </c>
      <c r="O470" s="4" t="inlineStr">
        <is>
          <t>ANGELCARITO2016@GMAIL.COM</t>
        </is>
      </c>
      <c r="P470" s="4" t="inlineStr">
        <is>
          <t>BTA SEDE A</t>
        </is>
      </c>
      <c r="Q470" s="4" t="inlineStr">
        <is>
          <t>TRANSVERSALES</t>
        </is>
      </c>
      <c r="R470" s="4" t="n">
        <v>800</v>
      </c>
    </row>
    <row r="471" ht="20" customHeight="1">
      <c r="A471" s="6" t="inlineStr">
        <is>
          <t>1110564323</t>
        </is>
      </c>
      <c r="B471" s="7" t="inlineStr">
        <is>
          <t>VIRTUAL</t>
        </is>
      </c>
      <c r="C471" s="7" t="inlineStr">
        <is>
          <t>KEVIN EULICES ORTIZ DUARTE</t>
        </is>
      </c>
      <c r="D471" s="7" t="inlineStr">
        <is>
          <t>OPERACIONES</t>
        </is>
      </c>
      <c r="E471" s="7" t="inlineStr">
        <is>
          <t>REGIONAL CUNDINAMARCA</t>
        </is>
      </c>
      <c r="F471" s="7" t="inlineStr">
        <is>
          <t>MOSQUERA</t>
        </is>
      </c>
      <c r="G471" s="7" t="inlineStr">
        <is>
          <t>VIRTUAL</t>
        </is>
      </c>
      <c r="H471" s="7" t="inlineStr">
        <is>
          <t>DOC AUX T&amp;T/N/V/TC/IDIOMAS/FUN.ACADE-ADMIN</t>
        </is>
      </c>
      <c r="I471" s="7" t="inlineStr">
        <is>
          <t>IDIOMAS</t>
        </is>
      </c>
      <c r="J471" s="7" t="inlineStr">
        <is>
          <t>PLANTA</t>
        </is>
      </c>
      <c r="K471" s="7" t="inlineStr">
        <is>
          <t>VIVIANA MORENO</t>
        </is>
      </c>
      <c r="L471" s="7" t="n">
        <v/>
      </c>
      <c r="M471" s="7" t="n">
        <v/>
      </c>
      <c r="N471" s="7" t="n">
        <v>3143661251</v>
      </c>
      <c r="O471" s="7" t="inlineStr">
        <is>
          <t>kevinortizduarte@gmail.com</t>
        </is>
      </c>
      <c r="P471" s="7" t="inlineStr">
        <is>
          <t>MOSQUERA SEDE</t>
        </is>
      </c>
      <c r="Q471" s="7" t="inlineStr">
        <is>
          <t>TRANSVERSALES</t>
        </is>
      </c>
      <c r="R471" s="7" t="n">
        <v/>
      </c>
    </row>
    <row r="472" ht="20" customHeight="1">
      <c r="A472" s="3" t="inlineStr">
        <is>
          <t>79406563</t>
        </is>
      </c>
      <c r="B472" s="4" t="inlineStr">
        <is>
          <t>PRESENCIAL BOGOTÁ</t>
        </is>
      </c>
      <c r="C472" s="4" t="inlineStr">
        <is>
          <t>RICARDO ALFREDO LOPEZ BULLA</t>
        </is>
      </c>
      <c r="D472" s="4" t="inlineStr">
        <is>
          <t>OPERACIONES</t>
        </is>
      </c>
      <c r="E472" s="4" t="inlineStr">
        <is>
          <t>REGIONAL BOGOTA</t>
        </is>
      </c>
      <c r="F472" s="4" t="inlineStr">
        <is>
          <t>BOGOTA CENTRO</t>
        </is>
      </c>
      <c r="G472" s="4" t="inlineStr">
        <is>
          <t>VIRTUAL</t>
        </is>
      </c>
      <c r="H472" s="4" t="inlineStr">
        <is>
          <t>DOC ASOC/N/V/TC/ING DE SISTEMAS/FUN.ACADE-ADMIN</t>
        </is>
      </c>
      <c r="I472" s="4" t="inlineStr">
        <is>
          <t>INGENIERIA DE SISTEMAS</t>
        </is>
      </c>
      <c r="J472" s="4" t="inlineStr">
        <is>
          <t>PLANTA</t>
        </is>
      </c>
      <c r="K472" s="4" t="inlineStr">
        <is>
          <t>VIVIANA MORENO</t>
        </is>
      </c>
      <c r="L472" s="4" t="n">
        <v/>
      </c>
      <c r="M472" s="4" t="n">
        <v/>
      </c>
      <c r="N472" s="4" t="n">
        <v>3002176856</v>
      </c>
      <c r="O472" s="4" t="inlineStr">
        <is>
          <t>Ing.ricardoalopez@gmail.com</t>
        </is>
      </c>
      <c r="P472" s="4" t="inlineStr">
        <is>
          <t>BTA SEDE J</t>
        </is>
      </c>
      <c r="Q472" s="4" t="inlineStr">
        <is>
          <t>INGENIERIA</t>
        </is>
      </c>
      <c r="R472" s="4" t="n">
        <v>501</v>
      </c>
    </row>
    <row r="473" ht="20" customHeight="1">
      <c r="A473" s="6" t="inlineStr">
        <is>
          <t>52524226</t>
        </is>
      </c>
      <c r="B473" s="7" t="inlineStr">
        <is>
          <t>PRESENCIAL BOGOTÁ</t>
        </is>
      </c>
      <c r="C473" s="7" t="inlineStr">
        <is>
          <t>MAGDA PAOLA FERNANDEZ ECHEVERRI</t>
        </is>
      </c>
      <c r="D473" s="7" t="inlineStr">
        <is>
          <t>OPERACIONES</t>
        </is>
      </c>
      <c r="E473" s="7" t="inlineStr">
        <is>
          <t>REGIONAL BOGOTA</t>
        </is>
      </c>
      <c r="F473" s="7" t="inlineStr">
        <is>
          <t>BOGOTA CENTRO</t>
        </is>
      </c>
      <c r="G473" s="7" t="inlineStr">
        <is>
          <t>PRESENCIAL</t>
        </is>
      </c>
      <c r="H473" s="7" t="inlineStr">
        <is>
          <t>DOCENTE ASIS/N/TC/ING SISTEM/FUN.ACADE-ADMIN</t>
        </is>
      </c>
      <c r="I473" s="7" t="inlineStr">
        <is>
          <t>INGENIERIA DE SISTEMAS</t>
        </is>
      </c>
      <c r="J473" s="7" t="inlineStr">
        <is>
          <t>PLANTA</t>
        </is>
      </c>
      <c r="K473" s="7" t="inlineStr">
        <is>
          <t>VIVIANA MORENO</t>
        </is>
      </c>
      <c r="L473" s="7" t="n">
        <v/>
      </c>
      <c r="M473" s="7" t="n">
        <v/>
      </c>
      <c r="N473" s="7" t="n">
        <v>3159264210</v>
      </c>
      <c r="O473" s="7" t="inlineStr">
        <is>
          <t>magpafer49@hotmail.com</t>
        </is>
      </c>
      <c r="P473" s="7" t="inlineStr">
        <is>
          <t>BTA SEDE G</t>
        </is>
      </c>
      <c r="Q473" s="7" t="inlineStr">
        <is>
          <t>INGENIERIA</t>
        </is>
      </c>
      <c r="R473" s="7" t="n">
        <v>501</v>
      </c>
    </row>
    <row r="474" ht="20" customHeight="1">
      <c r="A474" s="3" t="inlineStr">
        <is>
          <t>20654719</t>
        </is>
      </c>
      <c r="B474" s="4" t="inlineStr">
        <is>
          <t>PRESENCIAL BOGOTÁ</t>
        </is>
      </c>
      <c r="C474" s="4" t="inlineStr">
        <is>
          <t>DILSA ENITH TRIANA MARTINEZ</t>
        </is>
      </c>
      <c r="D474" s="4" t="inlineStr">
        <is>
          <t>OPERACIONES</t>
        </is>
      </c>
      <c r="E474" s="4" t="inlineStr">
        <is>
          <t>REGIONAL BOGOTA</t>
        </is>
      </c>
      <c r="F474" s="4" t="inlineStr">
        <is>
          <t>BOGOTA CENTRO</t>
        </is>
      </c>
      <c r="G474" s="4" t="inlineStr">
        <is>
          <t>VIRTUAL</t>
        </is>
      </c>
      <c r="H474" s="4" t="inlineStr">
        <is>
          <t>DOC ASIS/N/V/TC/ING DE SISTEMAS/FUN.ACADE-ADMIN</t>
        </is>
      </c>
      <c r="I474" s="4" t="inlineStr">
        <is>
          <t>INGENIERIA DE SISTEMAS</t>
        </is>
      </c>
      <c r="J474" s="4" t="inlineStr">
        <is>
          <t>PLANTA</t>
        </is>
      </c>
      <c r="K474" s="4" t="inlineStr">
        <is>
          <t>VIVIANA MORENO</t>
        </is>
      </c>
      <c r="L474" s="4" t="n">
        <v/>
      </c>
      <c r="M474" s="4" t="n">
        <v/>
      </c>
      <c r="N474" s="4" t="n">
        <v>3185577181</v>
      </c>
      <c r="O474" s="4" t="inlineStr">
        <is>
          <t>enithtriana09@gmail.com</t>
        </is>
      </c>
      <c r="P474" s="4" t="inlineStr">
        <is>
          <t>BTA SEDE A</t>
        </is>
      </c>
      <c r="Q474" s="4" t="inlineStr">
        <is>
          <t>INGENIERIA</t>
        </is>
      </c>
      <c r="R474" s="4" t="n">
        <v>501</v>
      </c>
    </row>
    <row r="475" ht="20" customHeight="1">
      <c r="A475" s="6" t="inlineStr">
        <is>
          <t>79004880</t>
        </is>
      </c>
      <c r="B475" s="7" t="inlineStr">
        <is>
          <t>PRESENCIAL BOGOTÁ</t>
        </is>
      </c>
      <c r="C475" s="7" t="inlineStr">
        <is>
          <t>JOHN FREDY CALDERON</t>
        </is>
      </c>
      <c r="D475" s="7" t="inlineStr">
        <is>
          <t>OPERACIONES</t>
        </is>
      </c>
      <c r="E475" s="7" t="inlineStr">
        <is>
          <t>REGIONAL BOGOTA</t>
        </is>
      </c>
      <c r="F475" s="7" t="inlineStr">
        <is>
          <t>BOGOTA CENTRO</t>
        </is>
      </c>
      <c r="G475" s="7" t="inlineStr">
        <is>
          <t>PRESENCIAL</t>
        </is>
      </c>
      <c r="H475" s="7" t="inlineStr">
        <is>
          <t>DOCENTE ASIS/N/TC/ING SISTEM/FUN.ACADE-ADMIN</t>
        </is>
      </c>
      <c r="I475" s="7" t="inlineStr">
        <is>
          <t>INGENIERIA DE SISTEMAS</t>
        </is>
      </c>
      <c r="J475" s="7" t="inlineStr">
        <is>
          <t>PLANTA</t>
        </is>
      </c>
      <c r="K475" s="7" t="inlineStr">
        <is>
          <t>VIVIANA MORENO</t>
        </is>
      </c>
      <c r="L475" s="7" t="n">
        <v/>
      </c>
      <c r="M475" s="7" t="n">
        <v/>
      </c>
      <c r="N475" s="7" t="n">
        <v>3163019011</v>
      </c>
      <c r="O475" s="7" t="inlineStr">
        <is>
          <t>jfc@adsysmedia.com</t>
        </is>
      </c>
      <c r="P475" s="7" t="inlineStr">
        <is>
          <t>BTA SEDE G</t>
        </is>
      </c>
      <c r="Q475" s="7" t="inlineStr">
        <is>
          <t>INGENIERIA</t>
        </is>
      </c>
      <c r="R475" s="7" t="n">
        <v>501</v>
      </c>
    </row>
    <row r="476" ht="20" customHeight="1">
      <c r="A476" s="3" t="inlineStr">
        <is>
          <t>35413646</t>
        </is>
      </c>
      <c r="B476" s="4" t="inlineStr">
        <is>
          <t>PRESENCIAL BOGOTÁ</t>
        </is>
      </c>
      <c r="C476" s="4" t="inlineStr">
        <is>
          <t>LUZ ELENA CEDIEL BRAVO</t>
        </is>
      </c>
      <c r="D476" s="4" t="inlineStr">
        <is>
          <t>OPERACIONES</t>
        </is>
      </c>
      <c r="E476" s="4" t="inlineStr">
        <is>
          <t>REGIONAL BOGOTA</t>
        </is>
      </c>
      <c r="F476" s="4" t="inlineStr">
        <is>
          <t>BOGOTA CENTRO</t>
        </is>
      </c>
      <c r="G476" s="4" t="inlineStr">
        <is>
          <t>PRESENCIAL</t>
        </is>
      </c>
      <c r="H476" s="4" t="inlineStr">
        <is>
          <t>DOCENTE ASOC/N/TC/ING SISTEM/FUN.ACADE-ADMIN</t>
        </is>
      </c>
      <c r="I476" s="4" t="inlineStr">
        <is>
          <t>INGENIERIA DE SISTEMAS</t>
        </is>
      </c>
      <c r="J476" s="4" t="inlineStr">
        <is>
          <t>PLANTA</t>
        </is>
      </c>
      <c r="K476" s="4" t="inlineStr">
        <is>
          <t>VIVIANA MORENO</t>
        </is>
      </c>
      <c r="L476" s="4" t="n">
        <v/>
      </c>
      <c r="M476" s="4" t="n">
        <v/>
      </c>
      <c r="N476" s="4" t="n">
        <v>3153964251</v>
      </c>
      <c r="O476" s="4" t="inlineStr">
        <is>
          <t>elenacediel@gmail.com</t>
        </is>
      </c>
      <c r="P476" s="4" t="inlineStr">
        <is>
          <t>BTA SEDE G</t>
        </is>
      </c>
      <c r="Q476" s="4" t="inlineStr">
        <is>
          <t>INGENIERIA</t>
        </is>
      </c>
      <c r="R476" s="4" t="n">
        <v>501</v>
      </c>
    </row>
    <row r="477" ht="20" customHeight="1">
      <c r="A477" s="6" t="inlineStr">
        <is>
          <t>50910783</t>
        </is>
      </c>
      <c r="B477" s="7" t="inlineStr">
        <is>
          <t>PRESENCIAL REGIONAL</t>
        </is>
      </c>
      <c r="C477" s="7" t="inlineStr">
        <is>
          <t>SIRLEY DEL CARMEN KERGUELEN GOMEZ</t>
        </is>
      </c>
      <c r="D477" s="7" t="inlineStr">
        <is>
          <t>OPERACIONES</t>
        </is>
      </c>
      <c r="E477" s="7" t="inlineStr">
        <is>
          <t>REGIONAL CORDOBA</t>
        </is>
      </c>
      <c r="F477" s="7" t="inlineStr">
        <is>
          <t>MONTERIA</t>
        </is>
      </c>
      <c r="G477" s="7" t="inlineStr">
        <is>
          <t>PRESENCIAL</t>
        </is>
      </c>
      <c r="H477" s="7" t="inlineStr">
        <is>
          <t>DOCENTE ASIS/N/TC/ING SISTEM/FUN.ACADE-ADMIN</t>
        </is>
      </c>
      <c r="I477" s="7" t="inlineStr">
        <is>
          <t>INGENIERIA DE SISTEMAS</t>
        </is>
      </c>
      <c r="J477" s="7" t="inlineStr">
        <is>
          <t>PLANTA</t>
        </is>
      </c>
      <c r="K477" s="7" t="inlineStr">
        <is>
          <t>VIVIANA MORENO</t>
        </is>
      </c>
      <c r="L477" s="7" t="n">
        <v/>
      </c>
      <c r="M477" s="7" t="n">
        <v/>
      </c>
      <c r="N477" s="7" t="n">
        <v>3017586800</v>
      </c>
      <c r="O477" s="7" t="inlineStr">
        <is>
          <t>skerguelen1126@hotmail.com</t>
        </is>
      </c>
      <c r="P477" s="7" t="inlineStr">
        <is>
          <t>MONTERIA SEDE</t>
        </is>
      </c>
      <c r="Q477" s="7" t="inlineStr">
        <is>
          <t>INGENIERIA</t>
        </is>
      </c>
      <c r="R477" s="7" t="n">
        <v/>
      </c>
    </row>
    <row r="478" ht="20" customHeight="1">
      <c r="A478" s="3" t="inlineStr">
        <is>
          <t>11318138</t>
        </is>
      </c>
      <c r="B478" s="4" t="inlineStr">
        <is>
          <t>PRESENCIAL REGIONAL</t>
        </is>
      </c>
      <c r="C478" s="4" t="inlineStr">
        <is>
          <t>MAURICIO RODRIGUEZ GARCIA</t>
        </is>
      </c>
      <c r="D478" s="4" t="inlineStr">
        <is>
          <t>OPERACIONES</t>
        </is>
      </c>
      <c r="E478" s="4" t="inlineStr">
        <is>
          <t>REGIONAL TOLIMA</t>
        </is>
      </c>
      <c r="F478" s="4" t="inlineStr">
        <is>
          <t>IBAGUÉ</t>
        </is>
      </c>
      <c r="G478" s="4" t="inlineStr">
        <is>
          <t>VIRTUAL</t>
        </is>
      </c>
      <c r="H478" s="4" t="inlineStr">
        <is>
          <t>DOC AUX/N/V/TC/ING DE SISTEMAS/FUN.ACADE-ADMIN</t>
        </is>
      </c>
      <c r="I478" s="4" t="inlineStr">
        <is>
          <t>INGENIERIA DE SISTEMAS</t>
        </is>
      </c>
      <c r="J478" s="4" t="inlineStr">
        <is>
          <t>PLANTA</t>
        </is>
      </c>
      <c r="K478" s="4" t="inlineStr">
        <is>
          <t>VIVIANA MORENO</t>
        </is>
      </c>
      <c r="L478" s="4" t="n">
        <v/>
      </c>
      <c r="M478" s="4" t="n">
        <v/>
      </c>
      <c r="N478" s="4" t="n">
        <v>3115095227</v>
      </c>
      <c r="O478" s="4" t="inlineStr">
        <is>
          <t>maorodriguez@gmail.com</t>
        </is>
      </c>
      <c r="P478" s="4" t="inlineStr">
        <is>
          <t>IBAGUE SEDE</t>
        </is>
      </c>
      <c r="Q478" s="4" t="inlineStr">
        <is>
          <t>INGENIERIA</t>
        </is>
      </c>
      <c r="R478" s="4" t="n">
        <v/>
      </c>
    </row>
    <row r="479" ht="20" customHeight="1">
      <c r="A479" s="6" t="inlineStr">
        <is>
          <t>80850454</t>
        </is>
      </c>
      <c r="B479" s="7" t="inlineStr">
        <is>
          <t>PRESENCIAL BOGOTÁ</t>
        </is>
      </c>
      <c r="C479" s="7" t="inlineStr">
        <is>
          <t>EDGAR ALEXANDER BARRAGAN GARCIA</t>
        </is>
      </c>
      <c r="D479" s="7" t="inlineStr">
        <is>
          <t>OPERACIONES</t>
        </is>
      </c>
      <c r="E479" s="7" t="inlineStr">
        <is>
          <t>REGIONAL BOGOTA</t>
        </is>
      </c>
      <c r="F479" s="7" t="inlineStr">
        <is>
          <t>BOGOTA CENTRO</t>
        </is>
      </c>
      <c r="G479" s="7" t="inlineStr">
        <is>
          <t>VIRTUAL</t>
        </is>
      </c>
      <c r="H479" s="7" t="inlineStr">
        <is>
          <t>DOC ASIS/N/V/TC/ING DE SISTEMAS/FUN.ACADE-ADMIN</t>
        </is>
      </c>
      <c r="I479" s="7" t="inlineStr">
        <is>
          <t>INGENIERIA DE SISTEMAS</t>
        </is>
      </c>
      <c r="J479" s="7" t="inlineStr">
        <is>
          <t>PLANTA</t>
        </is>
      </c>
      <c r="K479" s="7" t="inlineStr">
        <is>
          <t>VIVIANA MORENO</t>
        </is>
      </c>
      <c r="L479" s="7" t="n">
        <v/>
      </c>
      <c r="M479" s="7" t="n">
        <v/>
      </c>
      <c r="N479" s="7" t="n">
        <v>3123526277</v>
      </c>
      <c r="O479" s="7" t="inlineStr">
        <is>
          <t>edgarbarragangarcia@gmail.com</t>
        </is>
      </c>
      <c r="P479" s="7" t="inlineStr">
        <is>
          <t>BTA SEDE A</t>
        </is>
      </c>
      <c r="Q479" s="7" t="inlineStr">
        <is>
          <t>INGENIERIA</t>
        </is>
      </c>
      <c r="R479" s="7" t="n">
        <v>501</v>
      </c>
    </row>
    <row r="480" ht="20" customHeight="1">
      <c r="A480" s="3" t="inlineStr">
        <is>
          <t>1033691855</t>
        </is>
      </c>
      <c r="B480" s="4" t="inlineStr">
        <is>
          <t>PRESENCIAL BOGOTÁ</t>
        </is>
      </c>
      <c r="C480" s="4" t="inlineStr">
        <is>
          <t>HÉCTOR MANUEL HERRERA HERRERA</t>
        </is>
      </c>
      <c r="D480" s="4" t="inlineStr">
        <is>
          <t>OPERACIONES</t>
        </is>
      </c>
      <c r="E480" s="4" t="inlineStr">
        <is>
          <t>REGIONAL BOGOTA</t>
        </is>
      </c>
      <c r="F480" s="4" t="inlineStr">
        <is>
          <t>BOGOTA CENTRO</t>
        </is>
      </c>
      <c r="G480" s="4" t="inlineStr">
        <is>
          <t>VIRTUAL</t>
        </is>
      </c>
      <c r="H480" s="4" t="inlineStr">
        <is>
          <t>DOC ASIS/N/V/TC/ING DE SISTEMAS/FUN.ACADE-ADMIN</t>
        </is>
      </c>
      <c r="I480" s="4" t="inlineStr">
        <is>
          <t>INGENIERIA DE SISTEMAS</t>
        </is>
      </c>
      <c r="J480" s="4" t="inlineStr">
        <is>
          <t>PLANTA</t>
        </is>
      </c>
      <c r="K480" s="4" t="inlineStr">
        <is>
          <t>VIVIANA MORENO</t>
        </is>
      </c>
      <c r="L480" s="4" t="n">
        <v/>
      </c>
      <c r="M480" s="4" t="n">
        <v/>
      </c>
      <c r="N480" s="4" t="n">
        <v>3208439312</v>
      </c>
      <c r="O480" s="4" t="inlineStr">
        <is>
          <t>hetorherrera@hotmail.com   INGMANUELHH@GMAIL.COM</t>
        </is>
      </c>
      <c r="P480" s="4" t="inlineStr">
        <is>
          <t>BTA SEDE A</t>
        </is>
      </c>
      <c r="Q480" s="4" t="inlineStr">
        <is>
          <t>INGENIERIA</t>
        </is>
      </c>
      <c r="R480" s="4" t="n">
        <v>501</v>
      </c>
    </row>
    <row r="481" ht="20" customHeight="1">
      <c r="A481" s="6" t="inlineStr">
        <is>
          <t>52854030</t>
        </is>
      </c>
      <c r="B481" s="7" t="inlineStr">
        <is>
          <t>PRESENCIAL BOGOTÁ</t>
        </is>
      </c>
      <c r="C481" s="7" t="inlineStr">
        <is>
          <t>CLAUDIA PATRICIA RAMIREZ TRIANA</t>
        </is>
      </c>
      <c r="D481" s="7" t="inlineStr">
        <is>
          <t>OPERACIONES</t>
        </is>
      </c>
      <c r="E481" s="7" t="inlineStr">
        <is>
          <t>REGIONAL BOGOTA</t>
        </is>
      </c>
      <c r="F481" s="7" t="inlineStr">
        <is>
          <t>BOGOTA CENTRO</t>
        </is>
      </c>
      <c r="G481" s="7" t="inlineStr">
        <is>
          <t>VIRTUAL</t>
        </is>
      </c>
      <c r="H481" s="7" t="inlineStr">
        <is>
          <t>DOC ASIS/N/V/TC/ING DE SISTEMAS/FUN.ACADE-ADMIN</t>
        </is>
      </c>
      <c r="I481" s="7" t="inlineStr">
        <is>
          <t>INGENIERIA DE SISTEMAS</t>
        </is>
      </c>
      <c r="J481" s="7" t="inlineStr">
        <is>
          <t>PLANTA</t>
        </is>
      </c>
      <c r="K481" s="7" t="inlineStr">
        <is>
          <t>VIVIANA MORENO</t>
        </is>
      </c>
      <c r="L481" s="7" t="n">
        <v/>
      </c>
      <c r="M481" s="7" t="n">
        <v/>
      </c>
      <c r="N481" s="7" t="n">
        <v>3144706871</v>
      </c>
      <c r="O481" s="7" t="inlineStr">
        <is>
          <t>clauss97@hotmail.com</t>
        </is>
      </c>
      <c r="P481" s="7" t="inlineStr">
        <is>
          <t>BTA SEDE A</t>
        </is>
      </c>
      <c r="Q481" s="7" t="inlineStr">
        <is>
          <t>INGENIERIA</t>
        </is>
      </c>
      <c r="R481" s="7" t="n">
        <v>501</v>
      </c>
    </row>
    <row r="482" ht="20" customHeight="1">
      <c r="A482" s="3" t="inlineStr">
        <is>
          <t>15962736</t>
        </is>
      </c>
      <c r="B482" s="4" t="inlineStr">
        <is>
          <t>PRESENCIAL BOGOTÁ</t>
        </is>
      </c>
      <c r="C482" s="4" t="inlineStr">
        <is>
          <t>CAMILO AUGUSTO CARDONA PATIÑO</t>
        </is>
      </c>
      <c r="D482" s="4" t="inlineStr">
        <is>
          <t>OPERACIONES</t>
        </is>
      </c>
      <c r="E482" s="4" t="inlineStr">
        <is>
          <t>REGIONAL BOGOTA</t>
        </is>
      </c>
      <c r="F482" s="4" t="inlineStr">
        <is>
          <t>BOGOTA CENTRO</t>
        </is>
      </c>
      <c r="G482" s="4" t="inlineStr">
        <is>
          <t>VIRTUAL</t>
        </is>
      </c>
      <c r="H482" s="4" t="inlineStr">
        <is>
          <t>DOC ASOC/N/V/TC/ING DE SISTEMAS/FUN.ACADE-ADMIN</t>
        </is>
      </c>
      <c r="I482" s="4" t="inlineStr">
        <is>
          <t>INGENIERIA DE SISTEMAS</t>
        </is>
      </c>
      <c r="J482" s="4" t="inlineStr">
        <is>
          <t>PLANTA</t>
        </is>
      </c>
      <c r="K482" s="4" t="inlineStr">
        <is>
          <t>SOFIA ARANZAZU</t>
        </is>
      </c>
      <c r="L482" s="4" t="inlineStr">
        <is>
          <t>CONFIRMADO PRESENCIAL</t>
        </is>
      </c>
      <c r="M482" s="4" t="n">
        <v/>
      </c>
      <c r="N482" s="4" t="n">
        <v>3144664732</v>
      </c>
      <c r="O482" s="4" t="inlineStr">
        <is>
          <t>cacardonap@gmail.com</t>
        </is>
      </c>
      <c r="P482" s="4" t="inlineStr">
        <is>
          <t>BTA SEDE A</t>
        </is>
      </c>
      <c r="Q482" s="4" t="inlineStr">
        <is>
          <t>INGENIERIA</t>
        </is>
      </c>
      <c r="R482" s="4" t="n">
        <v>501</v>
      </c>
    </row>
    <row r="483" ht="20" customHeight="1">
      <c r="A483" s="6" t="inlineStr">
        <is>
          <t>80187019</t>
        </is>
      </c>
      <c r="B483" s="7" t="inlineStr">
        <is>
          <t>PRESENCIAL BOGOTÁ</t>
        </is>
      </c>
      <c r="C483" s="7" t="inlineStr">
        <is>
          <t>JHON UBERNEY LONDOÑO VILLALBA</t>
        </is>
      </c>
      <c r="D483" s="7" t="inlineStr">
        <is>
          <t>OPERACIONES</t>
        </is>
      </c>
      <c r="E483" s="7" t="inlineStr">
        <is>
          <t>REGIONAL BOGOTA</t>
        </is>
      </c>
      <c r="F483" s="7" t="inlineStr">
        <is>
          <t>BOGOTA SUBA</t>
        </is>
      </c>
      <c r="G483" s="7" t="inlineStr">
        <is>
          <t>PRESENCIAL</t>
        </is>
      </c>
      <c r="H483" s="7" t="inlineStr">
        <is>
          <t>DOCENTE ASOC/N/TC/ING SISTEM/FUN.ACADE-ADMIN</t>
        </is>
      </c>
      <c r="I483" s="7" t="inlineStr">
        <is>
          <t>INGENIERIA DE SISTEMAS</t>
        </is>
      </c>
      <c r="J483" s="7" t="inlineStr">
        <is>
          <t>PLANTA</t>
        </is>
      </c>
      <c r="K483" s="7" t="inlineStr">
        <is>
          <t>SOFIA ARANZAZU</t>
        </is>
      </c>
      <c r="L483" s="7" t="inlineStr">
        <is>
          <t>CONFIRMADO PRESENCIAL</t>
        </is>
      </c>
      <c r="M483" s="7" t="n">
        <v/>
      </c>
      <c r="N483" s="7" t="n">
        <v>3125007917</v>
      </c>
      <c r="O483" s="7" t="inlineStr">
        <is>
          <t>jhonub@gmail.com</t>
        </is>
      </c>
      <c r="P483" s="7" t="inlineStr">
        <is>
          <t>BTA SEDE SUBA</t>
        </is>
      </c>
      <c r="Q483" s="7" t="inlineStr">
        <is>
          <t>INGENIERIA</t>
        </is>
      </c>
      <c r="R483" s="7" t="n">
        <v>501</v>
      </c>
    </row>
    <row r="484" ht="20" customHeight="1">
      <c r="A484" s="3" t="inlineStr">
        <is>
          <t>1013594528</t>
        </is>
      </c>
      <c r="B484" s="4" t="inlineStr">
        <is>
          <t>PRESENCIAL BOGOTÁ</t>
        </is>
      </c>
      <c r="C484" s="4" t="inlineStr">
        <is>
          <t>JOSE RICARDO CASALLAS TRIANA</t>
        </is>
      </c>
      <c r="D484" s="4" t="inlineStr">
        <is>
          <t>OPERACIONES</t>
        </is>
      </c>
      <c r="E484" s="4" t="inlineStr">
        <is>
          <t>REGIONAL BOGOTA</t>
        </is>
      </c>
      <c r="F484" s="4" t="inlineStr">
        <is>
          <t>BOGOTA CENTRO</t>
        </is>
      </c>
      <c r="G484" s="4" t="inlineStr">
        <is>
          <t>VIRTUAL</t>
        </is>
      </c>
      <c r="H484" s="4" t="inlineStr">
        <is>
          <t>DOC ASIS/N/V/TC/ING DE SISTEMAS/FUN.ACADE-ADMIN</t>
        </is>
      </c>
      <c r="I484" s="4" t="inlineStr">
        <is>
          <t>INGENIERIA DE SISTEMAS</t>
        </is>
      </c>
      <c r="J484" s="4" t="inlineStr">
        <is>
          <t>PLANTA</t>
        </is>
      </c>
      <c r="K484" s="4" t="inlineStr">
        <is>
          <t>SOFIA ARANZAZU</t>
        </is>
      </c>
      <c r="L484" s="4" t="inlineStr">
        <is>
          <t>CONFIRMADO PRESENCIAL</t>
        </is>
      </c>
      <c r="M484" s="4" t="n">
        <v/>
      </c>
      <c r="N484" s="4" t="n">
        <v>3505050423</v>
      </c>
      <c r="O484" s="4" t="inlineStr">
        <is>
          <t>ricardocasallas3@gmail.com</t>
        </is>
      </c>
      <c r="P484" s="4" t="inlineStr">
        <is>
          <t>BTA SEDE A</t>
        </is>
      </c>
      <c r="Q484" s="4" t="inlineStr">
        <is>
          <t>INGENIERIA</t>
        </is>
      </c>
      <c r="R484" s="4" t="n">
        <v>501</v>
      </c>
    </row>
    <row r="485" ht="20" customHeight="1">
      <c r="A485" s="6" t="inlineStr">
        <is>
          <t>79604950</t>
        </is>
      </c>
      <c r="B485" s="7" t="inlineStr">
        <is>
          <t>PRESENCIAL BOGOTÁ</t>
        </is>
      </c>
      <c r="C485" s="7" t="inlineStr">
        <is>
          <t>EFREN OSWALDO VILLAQUIRAN PEÑA</t>
        </is>
      </c>
      <c r="D485" s="7" t="inlineStr">
        <is>
          <t>OPERACIONES</t>
        </is>
      </c>
      <c r="E485" s="7" t="inlineStr">
        <is>
          <t>REGIONAL BOGOTA</t>
        </is>
      </c>
      <c r="F485" s="7" t="inlineStr">
        <is>
          <t>BOGOTA CENTRO</t>
        </is>
      </c>
      <c r="G485" s="7" t="inlineStr">
        <is>
          <t>PRESENCIAL</t>
        </is>
      </c>
      <c r="H485" s="7" t="inlineStr">
        <is>
          <t>DOCENTE AUX/N/TC/ING SISTEM/FUN.ACADE-ADMIN</t>
        </is>
      </c>
      <c r="I485" s="7" t="inlineStr">
        <is>
          <t>INGENIERIA DE SISTEMAS</t>
        </is>
      </c>
      <c r="J485" s="7" t="inlineStr">
        <is>
          <t>PLANTA</t>
        </is>
      </c>
      <c r="K485" s="7" t="inlineStr">
        <is>
          <t>SOFIA ARANZAZU</t>
        </is>
      </c>
      <c r="L485" s="7" t="inlineStr">
        <is>
          <t>SIN RESPUESTA</t>
        </is>
      </c>
      <c r="M485" s="7" t="n">
        <v/>
      </c>
      <c r="N485" s="7" t="n">
        <v>3152288045</v>
      </c>
      <c r="O485" s="7" t="inlineStr">
        <is>
          <t>efrenvillaquiran@gmail.com</t>
        </is>
      </c>
      <c r="P485" s="7" t="inlineStr">
        <is>
          <t>BTA SEDE G</t>
        </is>
      </c>
      <c r="Q485" s="7" t="inlineStr">
        <is>
          <t>INGENIERIA</t>
        </is>
      </c>
      <c r="R485" s="7" t="n">
        <v>501</v>
      </c>
    </row>
    <row r="486" ht="20" customHeight="1">
      <c r="A486" s="3" t="inlineStr">
        <is>
          <t>79223509</t>
        </is>
      </c>
      <c r="B486" s="4" t="inlineStr">
        <is>
          <t>PRESENCIAL BOGOTÁ</t>
        </is>
      </c>
      <c r="C486" s="4" t="inlineStr">
        <is>
          <t>ANDRES FELIPE CORREA ESPITIA</t>
        </is>
      </c>
      <c r="D486" s="4" t="inlineStr">
        <is>
          <t>OPERACIONES</t>
        </is>
      </c>
      <c r="E486" s="4" t="inlineStr">
        <is>
          <t>REGIONAL BOGOTA</t>
        </is>
      </c>
      <c r="F486" s="4" t="inlineStr">
        <is>
          <t>BOGOTA CENTRO</t>
        </is>
      </c>
      <c r="G486" s="4" t="inlineStr">
        <is>
          <t>VIRTUAL</t>
        </is>
      </c>
      <c r="H486" s="4" t="inlineStr">
        <is>
          <t>DOC ASIS/N/V/TC/ING DE SISTEMAS/FUN.ACADE-ADMIN</t>
        </is>
      </c>
      <c r="I486" s="4" t="inlineStr">
        <is>
          <t>INGENIERIA DE SISTEMAS</t>
        </is>
      </c>
      <c r="J486" s="4" t="inlineStr">
        <is>
          <t>PLANTA</t>
        </is>
      </c>
      <c r="K486" s="4" t="inlineStr">
        <is>
          <t>SOFIA ARANZAZU</t>
        </is>
      </c>
      <c r="L486" s="4" t="inlineStr">
        <is>
          <t>SIN RESPUESTA</t>
        </is>
      </c>
      <c r="M486" s="4" t="n">
        <v/>
      </c>
      <c r="N486" s="4" t="n">
        <v>3022559612</v>
      </c>
      <c r="O486" s="4" t="inlineStr">
        <is>
          <t>felipecorreae@gmail.com</t>
        </is>
      </c>
      <c r="P486" s="4" t="inlineStr">
        <is>
          <t>BTA SEDE A</t>
        </is>
      </c>
      <c r="Q486" s="4" t="inlineStr">
        <is>
          <t>INGENIERIA</t>
        </is>
      </c>
      <c r="R486" s="4" t="n">
        <v>501</v>
      </c>
    </row>
    <row r="487" ht="20" customHeight="1">
      <c r="A487" s="6" t="inlineStr">
        <is>
          <t>15878750</t>
        </is>
      </c>
      <c r="B487" s="7" t="inlineStr">
        <is>
          <t>VIRTUAL</t>
        </is>
      </c>
      <c r="C487" s="7" t="inlineStr">
        <is>
          <t>JORGE ANDRES ARAUJO BERNAL</t>
        </is>
      </c>
      <c r="D487" s="7" t="inlineStr">
        <is>
          <t>OPERACIONES</t>
        </is>
      </c>
      <c r="E487" s="7" t="inlineStr">
        <is>
          <t>REGIONAL AMAZONAS</t>
        </is>
      </c>
      <c r="F487" s="7" t="inlineStr">
        <is>
          <t>LETICIA</t>
        </is>
      </c>
      <c r="G487" s="7" t="inlineStr">
        <is>
          <t>VIRTUAL</t>
        </is>
      </c>
      <c r="H487" s="7" t="inlineStr">
        <is>
          <t>DOC TITULAR/N/V/TC/ING DE SISTEMAS/FUN.ACADE-ADMIN</t>
        </is>
      </c>
      <c r="I487" s="7" t="inlineStr">
        <is>
          <t>INGENIERIA DE SISTEMAS</t>
        </is>
      </c>
      <c r="J487" s="7" t="inlineStr">
        <is>
          <t>PLANTA</t>
        </is>
      </c>
      <c r="K487" s="7" t="inlineStr">
        <is>
          <t>SOFIA ARANZAZU</t>
        </is>
      </c>
      <c r="L487" s="7" t="inlineStr">
        <is>
          <t>CONFIRMADO VIRTUAL</t>
        </is>
      </c>
      <c r="M487" s="7" t="n">
        <v/>
      </c>
      <c r="N487" s="7" t="n">
        <v>3242882226</v>
      </c>
      <c r="O487" s="7" t="inlineStr">
        <is>
          <t>jorgeandresok@gmail.com</t>
        </is>
      </c>
      <c r="P487" s="7" t="inlineStr">
        <is>
          <t>CAD LETICIA SEDE</t>
        </is>
      </c>
      <c r="Q487" s="7" t="inlineStr">
        <is>
          <t>INGENIERIA</t>
        </is>
      </c>
      <c r="R487" s="7" t="n">
        <v/>
      </c>
    </row>
    <row r="488" ht="20" customHeight="1">
      <c r="A488" s="3" t="inlineStr">
        <is>
          <t>52973771</t>
        </is>
      </c>
      <c r="B488" s="4" t="inlineStr">
        <is>
          <t>PRESENCIAL BOGOTÁ</t>
        </is>
      </c>
      <c r="C488" s="4" t="inlineStr">
        <is>
          <t>AMALIA CASTRO ARDILA</t>
        </is>
      </c>
      <c r="D488" s="4" t="inlineStr">
        <is>
          <t>OPERACIONES</t>
        </is>
      </c>
      <c r="E488" s="4" t="inlineStr">
        <is>
          <t>REGIONAL BOGOTA</t>
        </is>
      </c>
      <c r="F488" s="4" t="inlineStr">
        <is>
          <t>BOGOTA SUR</t>
        </is>
      </c>
      <c r="G488" s="4" t="inlineStr">
        <is>
          <t>VIRTUAL</t>
        </is>
      </c>
      <c r="H488" s="4" t="inlineStr">
        <is>
          <t>DOC AUX/N/V/TC/ING DE SISTEMAS/PROYECCION</t>
        </is>
      </c>
      <c r="I488" s="4" t="inlineStr">
        <is>
          <t>INGENIERIA DE SISTEMAS</t>
        </is>
      </c>
      <c r="J488" s="4" t="inlineStr">
        <is>
          <t>PLANTA</t>
        </is>
      </c>
      <c r="K488" s="4" t="inlineStr">
        <is>
          <t>SOFIA ARANZAZU</t>
        </is>
      </c>
      <c r="L488" s="4" t="inlineStr">
        <is>
          <t>CONFIRMADO PRESENCIAL</t>
        </is>
      </c>
      <c r="M488" s="4" t="n">
        <v/>
      </c>
      <c r="N488" s="4" t="n">
        <v>3118835868</v>
      </c>
      <c r="O488" s="4" t="inlineStr">
        <is>
          <t>amaliacastro78@gmail.com</t>
        </is>
      </c>
      <c r="P488" s="4" t="inlineStr">
        <is>
          <t>BTA SEDE SUR</t>
        </is>
      </c>
      <c r="Q488" s="4" t="inlineStr">
        <is>
          <t>INGENIERIA</t>
        </is>
      </c>
      <c r="R488" s="4" t="n">
        <v>501</v>
      </c>
    </row>
    <row r="489" ht="20" customHeight="1">
      <c r="A489" s="6" t="inlineStr">
        <is>
          <t>37331457</t>
        </is>
      </c>
      <c r="B489" s="7" t="inlineStr">
        <is>
          <t>VIRTUAL</t>
        </is>
      </c>
      <c r="C489" s="7" t="inlineStr">
        <is>
          <t>OSMANY ALEY MARTINEZ</t>
        </is>
      </c>
      <c r="D489" s="7" t="inlineStr">
        <is>
          <t>OPERACIONES</t>
        </is>
      </c>
      <c r="E489" s="7" t="inlineStr">
        <is>
          <t>REGIONAL SANTANDER</t>
        </is>
      </c>
      <c r="F489" s="7" t="inlineStr">
        <is>
          <t>BUCARAMANGA</t>
        </is>
      </c>
      <c r="G489" s="7" t="inlineStr">
        <is>
          <t>VIRTUAL</t>
        </is>
      </c>
      <c r="H489" s="7" t="inlineStr">
        <is>
          <t>DOC ASIS/N/V/TC/ING DE SISTEMAS/FUN.ACADE-ADMIN</t>
        </is>
      </c>
      <c r="I489" s="7" t="inlineStr">
        <is>
          <t>INGENIERIA DE SISTEMAS</t>
        </is>
      </c>
      <c r="J489" s="7" t="inlineStr">
        <is>
          <t>PLANTA</t>
        </is>
      </c>
      <c r="K489" s="7" t="inlineStr">
        <is>
          <t>SOFIA ARANZAZU</t>
        </is>
      </c>
      <c r="L489" s="7" t="inlineStr">
        <is>
          <t>SIN RESPUESTA</t>
        </is>
      </c>
      <c r="M489" s="7" t="n">
        <v/>
      </c>
      <c r="N489" s="7" t="n">
        <v>3166297393</v>
      </c>
      <c r="O489" s="7" t="inlineStr">
        <is>
          <t>osmany.aley@hotmail.com</t>
        </is>
      </c>
      <c r="P489" s="7" t="inlineStr">
        <is>
          <t>BGA SEDE</t>
        </is>
      </c>
      <c r="Q489" s="7" t="inlineStr">
        <is>
          <t>INGENIERIA</t>
        </is>
      </c>
      <c r="R489" s="7" t="n">
        <v/>
      </c>
    </row>
    <row r="490" ht="20" customHeight="1">
      <c r="A490" s="3" t="inlineStr">
        <is>
          <t>1085303066</t>
        </is>
      </c>
      <c r="B490" s="4" t="inlineStr">
        <is>
          <t>VIRTUAL</t>
        </is>
      </c>
      <c r="C490" s="4" t="inlineStr">
        <is>
          <t>CAMILO VELASCO PAREDES</t>
        </is>
      </c>
      <c r="D490" s="4" t="inlineStr">
        <is>
          <t>OPERACIONES</t>
        </is>
      </c>
      <c r="E490" s="4" t="inlineStr">
        <is>
          <t>REGIONAL NARIÑO</t>
        </is>
      </c>
      <c r="F490" s="4" t="inlineStr">
        <is>
          <t>PASTO</t>
        </is>
      </c>
      <c r="G490" s="4" t="inlineStr">
        <is>
          <t>VIRTUAL</t>
        </is>
      </c>
      <c r="H490" s="4" t="inlineStr">
        <is>
          <t>DOC AUX/N/V/TC/ING DE SISTEMAS/FUN.ACADE-ADMIN</t>
        </is>
      </c>
      <c r="I490" s="4" t="inlineStr">
        <is>
          <t>INGENIERIA DE SISTEMAS</t>
        </is>
      </c>
      <c r="J490" s="4" t="inlineStr">
        <is>
          <t>PLANTA</t>
        </is>
      </c>
      <c r="K490" s="4" t="inlineStr">
        <is>
          <t>SOFIA ARANZAZU</t>
        </is>
      </c>
      <c r="L490" s="4" t="inlineStr">
        <is>
          <t>CONFIRMADO VIRTUAL</t>
        </is>
      </c>
      <c r="M490" s="4" t="n">
        <v/>
      </c>
      <c r="N490" s="4" t="n">
        <v>3173180211</v>
      </c>
      <c r="O490" s="4" t="inlineStr">
        <is>
          <t>kmiuni@hotmail.com</t>
        </is>
      </c>
      <c r="P490" s="4" t="inlineStr">
        <is>
          <t>PASTO SEDE</t>
        </is>
      </c>
      <c r="Q490" s="4" t="inlineStr">
        <is>
          <t>INGENIERIA</t>
        </is>
      </c>
      <c r="R490" s="4" t="n">
        <v/>
      </c>
    </row>
    <row r="491" ht="20" customHeight="1">
      <c r="A491" s="6" t="inlineStr">
        <is>
          <t>11321690</t>
        </is>
      </c>
      <c r="B491" s="7" t="inlineStr">
        <is>
          <t>PRESENCIAL BOGOTÁ</t>
        </is>
      </c>
      <c r="C491" s="7" t="inlineStr">
        <is>
          <t>HERNANDO FUERTES NIETO</t>
        </is>
      </c>
      <c r="D491" s="7" t="inlineStr">
        <is>
          <t>OPERACIONES</t>
        </is>
      </c>
      <c r="E491" s="7" t="inlineStr">
        <is>
          <t>REGIONAL BOGOTA</t>
        </is>
      </c>
      <c r="F491" s="7" t="inlineStr">
        <is>
          <t>BOGOTA CENTRO</t>
        </is>
      </c>
      <c r="G491" s="7" t="inlineStr">
        <is>
          <t>PRESENCIAL</t>
        </is>
      </c>
      <c r="H491" s="7" t="inlineStr">
        <is>
          <t>DOCENTE AUX/N/TC/ING SISTEM/FUN.ACADE-ADMIN</t>
        </is>
      </c>
      <c r="I491" s="7" t="inlineStr">
        <is>
          <t>INGENIERIA DE SISTEMAS</t>
        </is>
      </c>
      <c r="J491" s="7" t="inlineStr">
        <is>
          <t>PLANTA</t>
        </is>
      </c>
      <c r="K491" s="7" t="inlineStr">
        <is>
          <t>SOFIA ARANZAZU</t>
        </is>
      </c>
      <c r="L491" s="7" t="inlineStr">
        <is>
          <t>SIN RESPUESTA</t>
        </is>
      </c>
      <c r="M491" s="7" t="n">
        <v/>
      </c>
      <c r="N491" s="7" t="n">
        <v>3003021181</v>
      </c>
      <c r="O491" s="7" t="inlineStr">
        <is>
          <t>HFUERTES73@YAHOO.COM</t>
        </is>
      </c>
      <c r="P491" s="7" t="inlineStr">
        <is>
          <t>BTA SEDE G</t>
        </is>
      </c>
      <c r="Q491" s="7" t="inlineStr">
        <is>
          <t>INGENIERIA</t>
        </is>
      </c>
      <c r="R491" s="7" t="n">
        <v>501</v>
      </c>
    </row>
    <row r="492" ht="20" customHeight="1">
      <c r="A492" s="3" t="inlineStr">
        <is>
          <t>79868763</t>
        </is>
      </c>
      <c r="B492" s="4" t="inlineStr">
        <is>
          <t>PRESENCIAL BOGOTÁ</t>
        </is>
      </c>
      <c r="C492" s="4" t="inlineStr">
        <is>
          <t>EFRAIN CUEVAS RIAÑO</t>
        </is>
      </c>
      <c r="D492" s="4" t="inlineStr">
        <is>
          <t>OPERACIONES</t>
        </is>
      </c>
      <c r="E492" s="4" t="inlineStr">
        <is>
          <t>REGIONAL BOGOTA</t>
        </is>
      </c>
      <c r="F492" s="4" t="inlineStr">
        <is>
          <t>BOGOTA CENTRO</t>
        </is>
      </c>
      <c r="G492" s="4" t="inlineStr">
        <is>
          <t>PRESENCIAL</t>
        </is>
      </c>
      <c r="H492" s="4" t="inlineStr">
        <is>
          <t>DOC AUX T&amp;T/N/TC/ING SISTEM/FUN.ACADE-ADMIN</t>
        </is>
      </c>
      <c r="I492" s="4" t="inlineStr">
        <is>
          <t>INGENIERIA DE SISTEMAS</t>
        </is>
      </c>
      <c r="J492" s="4" t="inlineStr">
        <is>
          <t>PLANTA</t>
        </is>
      </c>
      <c r="K492" s="4" t="inlineStr">
        <is>
          <t>SOFIA ARANZAZU</t>
        </is>
      </c>
      <c r="L492" s="4" t="inlineStr">
        <is>
          <t>SIN RESPUESTA</t>
        </is>
      </c>
      <c r="M492" s="4" t="n">
        <v/>
      </c>
      <c r="N492" s="4" t="n">
        <v>3116825570</v>
      </c>
      <c r="O492" s="4" t="inlineStr">
        <is>
          <t>efratuto@gmail.com</t>
        </is>
      </c>
      <c r="P492" s="4" t="inlineStr">
        <is>
          <t>BTA SEDE G</t>
        </is>
      </c>
      <c r="Q492" s="4" t="inlineStr">
        <is>
          <t>INGENIERIA</t>
        </is>
      </c>
      <c r="R492" s="4" t="n">
        <v>501</v>
      </c>
    </row>
    <row r="493" ht="20" customHeight="1">
      <c r="A493" s="6" t="inlineStr">
        <is>
          <t>72265519</t>
        </is>
      </c>
      <c r="B493" s="7" t="inlineStr">
        <is>
          <t>PRESENCIAL REGIONAL</t>
        </is>
      </c>
      <c r="C493" s="7" t="inlineStr">
        <is>
          <t>GABRIEL ENRIQUE BELTRAN IBARRA</t>
        </is>
      </c>
      <c r="D493" s="7" t="inlineStr">
        <is>
          <t>OPERACIONES</t>
        </is>
      </c>
      <c r="E493" s="7" t="inlineStr">
        <is>
          <t>REGIONAL ATLANTICO</t>
        </is>
      </c>
      <c r="F493" s="7" t="inlineStr">
        <is>
          <t>BARRANQUILLA</t>
        </is>
      </c>
      <c r="G493" s="7" t="inlineStr">
        <is>
          <t>VIRTUAL</t>
        </is>
      </c>
      <c r="H493" s="7" t="inlineStr">
        <is>
          <t>DOC AUX T&amp;T/N/V/TC/ING DE SISTEMAS/FUN.ACADE-ADMIN</t>
        </is>
      </c>
      <c r="I493" s="7" t="inlineStr">
        <is>
          <t>INGENIERIA DE SISTEMAS</t>
        </is>
      </c>
      <c r="J493" s="7" t="inlineStr">
        <is>
          <t>PLANTA</t>
        </is>
      </c>
      <c r="K493" s="7" t="inlineStr">
        <is>
          <t>SOFIA ARANZAZU</t>
        </is>
      </c>
      <c r="L493" s="7" t="inlineStr">
        <is>
          <t>SIN RESPUESTA</t>
        </is>
      </c>
      <c r="M493" s="7" t="n">
        <v/>
      </c>
      <c r="N493" s="7" t="n">
        <v>3004801850</v>
      </c>
      <c r="O493" s="7" t="inlineStr">
        <is>
          <t>gabriel.beltran@hotmail.com</t>
        </is>
      </c>
      <c r="P493" s="7" t="inlineStr">
        <is>
          <t>BQUILLA SEDE</t>
        </is>
      </c>
      <c r="Q493" s="7" t="inlineStr">
        <is>
          <t>INGENIERIA</t>
        </is>
      </c>
      <c r="R493" s="7" t="n">
        <v/>
      </c>
    </row>
    <row r="494" ht="20" customHeight="1">
      <c r="A494" s="3" t="inlineStr">
        <is>
          <t>80759724</t>
        </is>
      </c>
      <c r="B494" s="4" t="inlineStr">
        <is>
          <t>PRESENCIAL BOGOTÁ</t>
        </is>
      </c>
      <c r="C494" s="4" t="inlineStr">
        <is>
          <t>DIEGO SALVADOR RAMIREZ REAL</t>
        </is>
      </c>
      <c r="D494" s="4" t="inlineStr">
        <is>
          <t>OPERACIONES</t>
        </is>
      </c>
      <c r="E494" s="4" t="inlineStr">
        <is>
          <t>REGIONAL BOGOTA</t>
        </is>
      </c>
      <c r="F494" s="4" t="inlineStr">
        <is>
          <t>BOGOTA CENTRO</t>
        </is>
      </c>
      <c r="G494" s="4" t="inlineStr">
        <is>
          <t>VIRTUAL</t>
        </is>
      </c>
      <c r="H494" s="4" t="inlineStr">
        <is>
          <t>DOC AUX/N/V/TC/ING DE SISTEMAS/FUN.ACADE-ADMIN</t>
        </is>
      </c>
      <c r="I494" s="4" t="inlineStr">
        <is>
          <t>INGENIERIA DE SISTEMAS</t>
        </is>
      </c>
      <c r="J494" s="4" t="inlineStr">
        <is>
          <t>PLANTA</t>
        </is>
      </c>
      <c r="K494" s="4" t="inlineStr">
        <is>
          <t>SOFIA ARANZAZU</t>
        </is>
      </c>
      <c r="L494" s="4" t="inlineStr">
        <is>
          <t>SIN RESPUESTA</t>
        </is>
      </c>
      <c r="M494" s="4" t="n">
        <v/>
      </c>
      <c r="N494" s="4" t="n">
        <v>3017699697</v>
      </c>
      <c r="O494" s="4" t="inlineStr">
        <is>
          <t>diego.salvador.ramirez@gmail.com</t>
        </is>
      </c>
      <c r="P494" s="4" t="inlineStr">
        <is>
          <t>BTA SEDE A</t>
        </is>
      </c>
      <c r="Q494" s="4" t="inlineStr">
        <is>
          <t>INGENIERIA</t>
        </is>
      </c>
      <c r="R494" s="4" t="n">
        <v>501</v>
      </c>
    </row>
    <row r="495" ht="20" customHeight="1">
      <c r="A495" s="6" t="inlineStr">
        <is>
          <t>1022412631</t>
        </is>
      </c>
      <c r="B495" s="7" t="inlineStr">
        <is>
          <t>PRESENCIAL BOGOTÁ</t>
        </is>
      </c>
      <c r="C495" s="7" t="inlineStr">
        <is>
          <t>JUAN ESTEBAN CAICEDO PALACIO</t>
        </is>
      </c>
      <c r="D495" s="7" t="inlineStr">
        <is>
          <t>OPERACIONES</t>
        </is>
      </c>
      <c r="E495" s="7" t="inlineStr">
        <is>
          <t>REGIONAL BOGOTA</t>
        </is>
      </c>
      <c r="F495" s="7" t="inlineStr">
        <is>
          <t>BOGOTA CENTRO</t>
        </is>
      </c>
      <c r="G495" s="7" t="inlineStr">
        <is>
          <t>VIRTUAL</t>
        </is>
      </c>
      <c r="H495" s="7" t="inlineStr">
        <is>
          <t>DOC AUX/N/V/TC/ING DE SISTEMAS/FUN.ACADE-ADMIN</t>
        </is>
      </c>
      <c r="I495" s="7" t="inlineStr">
        <is>
          <t>INGENIERIA DE SISTEMAS</t>
        </is>
      </c>
      <c r="J495" s="7" t="inlineStr">
        <is>
          <t>PLANTA</t>
        </is>
      </c>
      <c r="K495" s="7" t="inlineStr">
        <is>
          <t>SOFIA ARANZAZU</t>
        </is>
      </c>
      <c r="L495" s="7" t="inlineStr">
        <is>
          <t>CONFIRMADO PRESENCIAL</t>
        </is>
      </c>
      <c r="M495" s="7" t="n">
        <v/>
      </c>
      <c r="N495" s="7" t="n">
        <v>3115914421</v>
      </c>
      <c r="O495" s="7" t="inlineStr">
        <is>
          <t>jecaicedop@unal.edu.co</t>
        </is>
      </c>
      <c r="P495" s="7" t="inlineStr">
        <is>
          <t>BTA SEDE A</t>
        </is>
      </c>
      <c r="Q495" s="7" t="inlineStr">
        <is>
          <t>INGENIERIA</t>
        </is>
      </c>
      <c r="R495" s="7" t="n">
        <v>501</v>
      </c>
    </row>
    <row r="496" ht="20" customHeight="1">
      <c r="A496" s="3" t="inlineStr">
        <is>
          <t>78032067</t>
        </is>
      </c>
      <c r="B496" s="4" t="inlineStr">
        <is>
          <t>PRESENCIAL REGIONAL</t>
        </is>
      </c>
      <c r="C496" s="4" t="inlineStr">
        <is>
          <t>MARIO ALEXANDER REALES MARTINEZ</t>
        </is>
      </c>
      <c r="D496" s="4" t="inlineStr">
        <is>
          <t>OPERACIONES</t>
        </is>
      </c>
      <c r="E496" s="4" t="inlineStr">
        <is>
          <t>REGIONAL CORDOBA</t>
        </is>
      </c>
      <c r="F496" s="4" t="inlineStr">
        <is>
          <t>MONTERIA</t>
        </is>
      </c>
      <c r="G496" s="4" t="inlineStr">
        <is>
          <t>VIRTUAL</t>
        </is>
      </c>
      <c r="H496" s="4" t="inlineStr">
        <is>
          <t>DOC ASIS/N/V/TC/ING DE SISTEMAS/FUN.ACADE-ADMIN</t>
        </is>
      </c>
      <c r="I496" s="4" t="inlineStr">
        <is>
          <t>INGENIERIA DE SISTEMAS</t>
        </is>
      </c>
      <c r="J496" s="4" t="inlineStr">
        <is>
          <t>PLANTA</t>
        </is>
      </c>
      <c r="K496" s="4" t="inlineStr">
        <is>
          <t>SOFIA ARANZAZU</t>
        </is>
      </c>
      <c r="L496" s="4" t="inlineStr">
        <is>
          <t>CONFIRMADO PRESENCIAL</t>
        </is>
      </c>
      <c r="M496" s="4" t="n">
        <v/>
      </c>
      <c r="N496" s="4" t="n">
        <v>3147179422</v>
      </c>
      <c r="O496" s="4" t="inlineStr">
        <is>
          <t>mario.reales154@gmail.com</t>
        </is>
      </c>
      <c r="P496" s="4" t="inlineStr">
        <is>
          <t>MONTERIA SEDE</t>
        </is>
      </c>
      <c r="Q496" s="4" t="inlineStr">
        <is>
          <t>INGENIERIA</t>
        </is>
      </c>
      <c r="R496" s="4" t="n">
        <v/>
      </c>
    </row>
    <row r="497" ht="20" customHeight="1">
      <c r="A497" s="6" t="inlineStr">
        <is>
          <t>41752256</t>
        </is>
      </c>
      <c r="B497" s="7" t="inlineStr">
        <is>
          <t>PRESENCIAL BOGOTÁ</t>
        </is>
      </c>
      <c r="C497" s="7" t="inlineStr">
        <is>
          <t>FANNY LEON CHAVEZ</t>
        </is>
      </c>
      <c r="D497" s="7" t="inlineStr">
        <is>
          <t>OPERACIONES</t>
        </is>
      </c>
      <c r="E497" s="7" t="inlineStr">
        <is>
          <t>REGIONAL BOGOTA</t>
        </is>
      </c>
      <c r="F497" s="7" t="inlineStr">
        <is>
          <t>BOGOTA CENTRO</t>
        </is>
      </c>
      <c r="G497" s="7" t="inlineStr">
        <is>
          <t>PRESENCIAL</t>
        </is>
      </c>
      <c r="H497" s="7" t="inlineStr">
        <is>
          <t>DOCENTE ASIS/N/TC/ING SISTEM/FUN.ACADE-ADMIN</t>
        </is>
      </c>
      <c r="I497" s="7" t="inlineStr">
        <is>
          <t>INGENIERIA DE SISTEMAS</t>
        </is>
      </c>
      <c r="J497" s="7" t="inlineStr">
        <is>
          <t>PLANTA</t>
        </is>
      </c>
      <c r="K497" s="7" t="inlineStr">
        <is>
          <t>SOFIA ARANZAZU</t>
        </is>
      </c>
      <c r="L497" s="7" t="inlineStr">
        <is>
          <t>SIN RESPUESTA</t>
        </is>
      </c>
      <c r="M497" s="7" t="n">
        <v/>
      </c>
      <c r="N497" s="7" t="n">
        <v>3043440940</v>
      </c>
      <c r="O497" s="7" t="inlineStr">
        <is>
          <t>falego21@gmail.com</t>
        </is>
      </c>
      <c r="P497" s="7" t="inlineStr">
        <is>
          <t>BTA SEDE G</t>
        </is>
      </c>
      <c r="Q497" s="7" t="inlineStr">
        <is>
          <t>INGENIERIA</t>
        </is>
      </c>
      <c r="R497" s="7" t="n">
        <v>501</v>
      </c>
    </row>
    <row r="498" ht="20" customHeight="1">
      <c r="A498" s="3" t="inlineStr">
        <is>
          <t>72248477</t>
        </is>
      </c>
      <c r="B498" s="4" t="inlineStr">
        <is>
          <t>PRESENCIAL REGIONAL</t>
        </is>
      </c>
      <c r="C498" s="4" t="inlineStr">
        <is>
          <t>JUAN CARLOS PEREZ CASTILLO</t>
        </is>
      </c>
      <c r="D498" s="4" t="inlineStr">
        <is>
          <t>OPERACIONES</t>
        </is>
      </c>
      <c r="E498" s="4" t="inlineStr">
        <is>
          <t>REGIONAL ATLANTICO</t>
        </is>
      </c>
      <c r="F498" s="4" t="inlineStr">
        <is>
          <t>BARRANQUILLA</t>
        </is>
      </c>
      <c r="G498" s="4" t="inlineStr">
        <is>
          <t>VIRTUAL</t>
        </is>
      </c>
      <c r="H498" s="4" t="inlineStr">
        <is>
          <t>DOC ASIS/N/V/TC/ING DE SISTEMAS/FUN.ACADE-ADMIN</t>
        </is>
      </c>
      <c r="I498" s="4" t="inlineStr">
        <is>
          <t>INGENIERIA DE SISTEMAS</t>
        </is>
      </c>
      <c r="J498" s="4" t="inlineStr">
        <is>
          <t>PLANTA</t>
        </is>
      </c>
      <c r="K498" s="4" t="inlineStr">
        <is>
          <t>SOFIA ARANZAZU</t>
        </is>
      </c>
      <c r="L498" s="4" t="inlineStr">
        <is>
          <t>CONFIRMADO PRESENCIAL</t>
        </is>
      </c>
      <c r="M498" s="4" t="n">
        <v/>
      </c>
      <c r="N498" s="4" t="n">
        <v>3015939873</v>
      </c>
      <c r="O498" s="4" t="inlineStr">
        <is>
          <t>juancarlosperezcastillo631@gmail.com</t>
        </is>
      </c>
      <c r="P498" s="4" t="inlineStr">
        <is>
          <t>BQUILLA SEDE</t>
        </is>
      </c>
      <c r="Q498" s="4" t="inlineStr">
        <is>
          <t>INGENIERIA</t>
        </is>
      </c>
      <c r="R498" s="4" t="n">
        <v/>
      </c>
    </row>
    <row r="499" ht="20" customHeight="1">
      <c r="A499" s="6" t="inlineStr">
        <is>
          <t>1039446771</t>
        </is>
      </c>
      <c r="B499" s="7" t="inlineStr">
        <is>
          <t>PRESENCIAL REGIONAL</t>
        </is>
      </c>
      <c r="C499" s="7" t="inlineStr">
        <is>
          <t>ANDRES FELIPE MONTOYA RIVERA</t>
        </is>
      </c>
      <c r="D499" s="7" t="inlineStr">
        <is>
          <t>OPERACIONES</t>
        </is>
      </c>
      <c r="E499" s="7" t="inlineStr">
        <is>
          <t>REGIONAL ANTIOQUIA</t>
        </is>
      </c>
      <c r="F499" s="7" t="inlineStr">
        <is>
          <t>MEDELLIN</t>
        </is>
      </c>
      <c r="G499" s="7" t="inlineStr">
        <is>
          <t>VIRTUAL</t>
        </is>
      </c>
      <c r="H499" s="7" t="inlineStr">
        <is>
          <t>DOC ASOC/N/V/TC/ING DE SISTEMAS/FUN.ACADE-ADMIN</t>
        </is>
      </c>
      <c r="I499" s="7" t="inlineStr">
        <is>
          <t>INGENIERIA DE SISTEMAS</t>
        </is>
      </c>
      <c r="J499" s="7" t="inlineStr">
        <is>
          <t>PLANTA</t>
        </is>
      </c>
      <c r="K499" s="7" t="inlineStr">
        <is>
          <t>SOFIA ARANZAZU</t>
        </is>
      </c>
      <c r="L499" s="7" t="inlineStr">
        <is>
          <t>CONFIRMADO PRESENCIAL</t>
        </is>
      </c>
      <c r="M499" s="7" t="n">
        <v/>
      </c>
      <c r="N499" s="7" t="n">
        <v>3506686908</v>
      </c>
      <c r="O499" s="7" t="inlineStr">
        <is>
          <t>MONTOYAANDRES357@GMAIL.COM  ANDRESFELIPEMONTOYA0@GMAIL.COM</t>
        </is>
      </c>
      <c r="P499" s="7" t="inlineStr">
        <is>
          <t>MEDELLIN SEDE</t>
        </is>
      </c>
      <c r="Q499" s="7" t="inlineStr">
        <is>
          <t>INGENIERIA</t>
        </is>
      </c>
      <c r="R499" s="7" t="n">
        <v/>
      </c>
    </row>
    <row r="500" ht="20" customHeight="1">
      <c r="A500" s="3" t="inlineStr">
        <is>
          <t>1030568671</t>
        </is>
      </c>
      <c r="B500" s="4" t="inlineStr">
        <is>
          <t>PRESENCIAL BOGOTÁ</t>
        </is>
      </c>
      <c r="C500" s="4" t="inlineStr">
        <is>
          <t>DANIEL ALEJANDRO GARCIA RODRIGUEZ</t>
        </is>
      </c>
      <c r="D500" s="4" t="inlineStr">
        <is>
          <t>OPERACIONES</t>
        </is>
      </c>
      <c r="E500" s="4" t="inlineStr">
        <is>
          <t>REGIONAL BOGOTA</t>
        </is>
      </c>
      <c r="F500" s="4" t="inlineStr">
        <is>
          <t>BOGOTA SUBA</t>
        </is>
      </c>
      <c r="G500" s="4" t="inlineStr">
        <is>
          <t>PRESENCIAL</t>
        </is>
      </c>
      <c r="H500" s="4" t="inlineStr">
        <is>
          <t>DOCENTE AUX/N/TC/ING SISTEM/FUN.ACADE-ADMIN</t>
        </is>
      </c>
      <c r="I500" s="4" t="inlineStr">
        <is>
          <t>INGENIERIA DE SISTEMAS</t>
        </is>
      </c>
      <c r="J500" s="4" t="inlineStr">
        <is>
          <t>PLANTA</t>
        </is>
      </c>
      <c r="K500" s="4" t="inlineStr">
        <is>
          <t>SOFIA ARANZAZU</t>
        </is>
      </c>
      <c r="L500" s="4" t="inlineStr">
        <is>
          <t>PENDIENTE POR CONFIRMAR</t>
        </is>
      </c>
      <c r="M500" s="4" t="inlineStr">
        <is>
          <t>Número erróneo</t>
        </is>
      </c>
      <c r="N500" s="4" t="n">
        <v>319370826</v>
      </c>
      <c r="O500" s="4" t="inlineStr">
        <is>
          <t>daniel.gartzia@gmail.com</t>
        </is>
      </c>
      <c r="P500" s="4" t="inlineStr">
        <is>
          <t>BTA SEDE SUBA</t>
        </is>
      </c>
      <c r="Q500" s="4" t="inlineStr">
        <is>
          <t>INGENIERIA</t>
        </is>
      </c>
      <c r="R500" s="4" t="n">
        <v>501</v>
      </c>
    </row>
    <row r="501" ht="20" customHeight="1">
      <c r="A501" s="6" t="inlineStr">
        <is>
          <t>52125067</t>
        </is>
      </c>
      <c r="B501" s="7" t="inlineStr">
        <is>
          <t>PRESENCIAL BOGOTÁ</t>
        </is>
      </c>
      <c r="C501" s="7" t="inlineStr">
        <is>
          <t>MARIA EUGENIA SOLER HUERTAS</t>
        </is>
      </c>
      <c r="D501" s="7" t="inlineStr">
        <is>
          <t>OPERACIONES</t>
        </is>
      </c>
      <c r="E501" s="7" t="inlineStr">
        <is>
          <t>REGIONAL BOGOTA</t>
        </is>
      </c>
      <c r="F501" s="7" t="inlineStr">
        <is>
          <t>BOGOTA CENTRO</t>
        </is>
      </c>
      <c r="G501" s="7" t="inlineStr">
        <is>
          <t>PRESENCIAL</t>
        </is>
      </c>
      <c r="H501" s="7" t="inlineStr">
        <is>
          <t>DOCENTE ASIS/N/TC/ING SISTEM/FUN.ACADE-ADMIN</t>
        </is>
      </c>
      <c r="I501" s="7" t="inlineStr">
        <is>
          <t>INGENIERIA DE SISTEMAS</t>
        </is>
      </c>
      <c r="J501" s="7" t="inlineStr">
        <is>
          <t>PLANTA</t>
        </is>
      </c>
      <c r="K501" s="7" t="inlineStr">
        <is>
          <t>SOFIA ARANZAZU</t>
        </is>
      </c>
      <c r="L501" s="7" t="inlineStr">
        <is>
          <t>SIN RESPUESTA</t>
        </is>
      </c>
      <c r="M501" s="7" t="n">
        <v/>
      </c>
      <c r="N501" s="7" t="n">
        <v>3114429583</v>
      </c>
      <c r="O501" s="7" t="inlineStr">
        <is>
          <t>mesh162009@gmail.com</t>
        </is>
      </c>
      <c r="P501" s="7" t="inlineStr">
        <is>
          <t>BTA SEDE G</t>
        </is>
      </c>
      <c r="Q501" s="7" t="inlineStr">
        <is>
          <t>INGENIERIA</t>
        </is>
      </c>
      <c r="R501" s="7" t="n">
        <v>501</v>
      </c>
    </row>
    <row r="502" ht="20" customHeight="1">
      <c r="A502" s="3" t="inlineStr">
        <is>
          <t>11224488</t>
        </is>
      </c>
      <c r="B502" s="4" t="inlineStr">
        <is>
          <t>PRESENCIAL BOGOTÁ</t>
        </is>
      </c>
      <c r="C502" s="4" t="inlineStr">
        <is>
          <t>ALEXANDER CALDERON MARTINEZ</t>
        </is>
      </c>
      <c r="D502" s="4" t="inlineStr">
        <is>
          <t>OPERACIONES</t>
        </is>
      </c>
      <c r="E502" s="4" t="inlineStr">
        <is>
          <t>REGIONAL BOGOTA</t>
        </is>
      </c>
      <c r="F502" s="4" t="inlineStr">
        <is>
          <t>BOGOTA CENTRO</t>
        </is>
      </c>
      <c r="G502" s="4" t="inlineStr">
        <is>
          <t>VIRTUAL</t>
        </is>
      </c>
      <c r="H502" s="4" t="inlineStr">
        <is>
          <t>DOC ASIS/N/V/TC/ING DE SISTEMAS/FUN.ACADE-ADMIN</t>
        </is>
      </c>
      <c r="I502" s="4" t="inlineStr">
        <is>
          <t>INGENIERIA DE SISTEMAS</t>
        </is>
      </c>
      <c r="J502" s="4" t="inlineStr">
        <is>
          <t>PLANTA</t>
        </is>
      </c>
      <c r="K502" s="4" t="inlineStr">
        <is>
          <t>SOFIA ARANZAZU</t>
        </is>
      </c>
      <c r="L502" s="4" t="inlineStr">
        <is>
          <t>SIN RESPUESTA</t>
        </is>
      </c>
      <c r="M502" s="4" t="n">
        <v/>
      </c>
      <c r="N502" s="4" t="n">
        <v>3165471670</v>
      </c>
      <c r="O502" s="4" t="inlineStr">
        <is>
          <t>masyacm@gmail.com</t>
        </is>
      </c>
      <c r="P502" s="4" t="inlineStr">
        <is>
          <t>BTA SEDE A</t>
        </is>
      </c>
      <c r="Q502" s="4" t="inlineStr">
        <is>
          <t>INGENIERIA</t>
        </is>
      </c>
      <c r="R502" s="4" t="n">
        <v>501</v>
      </c>
    </row>
    <row r="503" ht="20" customHeight="1">
      <c r="A503" s="6" t="inlineStr">
        <is>
          <t>79555852</t>
        </is>
      </c>
      <c r="B503" s="7" t="inlineStr">
        <is>
          <t>PRESENCIAL BOGOTÁ</t>
        </is>
      </c>
      <c r="C503" s="7" t="inlineStr">
        <is>
          <t>EDGAR KREJCI GARZON</t>
        </is>
      </c>
      <c r="D503" s="7" t="inlineStr">
        <is>
          <t>OPERACIONES</t>
        </is>
      </c>
      <c r="E503" s="7" t="inlineStr">
        <is>
          <t>REGIONAL BOGOTA</t>
        </is>
      </c>
      <c r="F503" s="7" t="inlineStr">
        <is>
          <t>BOGOTA CENTRO</t>
        </is>
      </c>
      <c r="G503" s="7" t="inlineStr">
        <is>
          <t>VIRTUAL</t>
        </is>
      </c>
      <c r="H503" s="7" t="inlineStr">
        <is>
          <t>DOC AUX/N/V/TC/ING DE SISTEMAS/FUN.ACADE-ADMIN</t>
        </is>
      </c>
      <c r="I503" s="7" t="inlineStr">
        <is>
          <t>INGENIERIA DE SISTEMAS</t>
        </is>
      </c>
      <c r="J503" s="7" t="inlineStr">
        <is>
          <t>PLANTA</t>
        </is>
      </c>
      <c r="K503" s="7" t="inlineStr">
        <is>
          <t>SOFIA ARANZAZU</t>
        </is>
      </c>
      <c r="L503" s="7" t="inlineStr">
        <is>
          <t>SIN RESPUESTA</t>
        </is>
      </c>
      <c r="M503" s="7" t="n">
        <v/>
      </c>
      <c r="N503" s="7" t="n">
        <v>3134231947</v>
      </c>
      <c r="O503" s="7" t="inlineStr">
        <is>
          <t>alemanekg@gmail.com</t>
        </is>
      </c>
      <c r="P503" s="7" t="inlineStr">
        <is>
          <t>BTA SEDE J</t>
        </is>
      </c>
      <c r="Q503" s="7" t="inlineStr">
        <is>
          <t>INGENIERIA</t>
        </is>
      </c>
      <c r="R503" s="7" t="n">
        <v>501</v>
      </c>
    </row>
    <row r="504" ht="20" customHeight="1">
      <c r="A504" s="3" t="inlineStr">
        <is>
          <t>1098604152</t>
        </is>
      </c>
      <c r="B504" s="4" t="inlineStr">
        <is>
          <t>PRESENCIAL BOGOTÁ</t>
        </is>
      </c>
      <c r="C504" s="4" t="inlineStr">
        <is>
          <t>JULIANA OJEDA OLARTE</t>
        </is>
      </c>
      <c r="D504" s="4" t="inlineStr">
        <is>
          <t>OPERACIONES</t>
        </is>
      </c>
      <c r="E504" s="4" t="inlineStr">
        <is>
          <t>REGIONAL BOGOTA</t>
        </is>
      </c>
      <c r="F504" s="4" t="inlineStr">
        <is>
          <t>BOGOTA CENTRO</t>
        </is>
      </c>
      <c r="G504" s="4" t="inlineStr">
        <is>
          <t>VIRTUAL</t>
        </is>
      </c>
      <c r="H504" s="4" t="inlineStr">
        <is>
          <t>DOC ASIS/N/V/TC/ING DE SISTEMAS/FUN.ACADE-ADMIN</t>
        </is>
      </c>
      <c r="I504" s="4" t="inlineStr">
        <is>
          <t>INGENIERIA DE SISTEMAS</t>
        </is>
      </c>
      <c r="J504" s="4" t="inlineStr">
        <is>
          <t>PLANTA</t>
        </is>
      </c>
      <c r="K504" s="4" t="inlineStr">
        <is>
          <t>SOFIA ARANZAZU</t>
        </is>
      </c>
      <c r="L504" s="4" t="inlineStr">
        <is>
          <t>CONFIRMADO PRESENCIAL</t>
        </is>
      </c>
      <c r="M504" s="4" t="n">
        <v/>
      </c>
      <c r="N504" s="4" t="n">
        <v>3225135765</v>
      </c>
      <c r="O504" s="4" t="inlineStr">
        <is>
          <t>juliojeda1@hotmail.com</t>
        </is>
      </c>
      <c r="P504" s="4" t="inlineStr">
        <is>
          <t>BTA SEDE A</t>
        </is>
      </c>
      <c r="Q504" s="4" t="inlineStr">
        <is>
          <t>INGENIERIA</t>
        </is>
      </c>
      <c r="R504" s="4" t="n">
        <v>502</v>
      </c>
    </row>
    <row r="505" ht="20" customHeight="1">
      <c r="A505" s="6" t="inlineStr">
        <is>
          <t>1010209895</t>
        </is>
      </c>
      <c r="B505" s="7" t="inlineStr">
        <is>
          <t>PRESENCIAL BOGOTÁ</t>
        </is>
      </c>
      <c r="C505" s="7" t="inlineStr">
        <is>
          <t>MIGUEL ANGEL VILLAMIL BUSTOS</t>
        </is>
      </c>
      <c r="D505" s="7" t="inlineStr">
        <is>
          <t>OPERACIONES</t>
        </is>
      </c>
      <c r="E505" s="7" t="inlineStr">
        <is>
          <t>REGIONAL BOGOTA</t>
        </is>
      </c>
      <c r="F505" s="7" t="inlineStr">
        <is>
          <t>BOGOTA CENTRO</t>
        </is>
      </c>
      <c r="G505" s="7" t="inlineStr">
        <is>
          <t>PRESENCIAL</t>
        </is>
      </c>
      <c r="H505" s="7" t="inlineStr">
        <is>
          <t>DOC AUX T&amp;T/N/TC/ING SISTEM/FUN.ACADE-ADMIN</t>
        </is>
      </c>
      <c r="I505" s="7" t="inlineStr">
        <is>
          <t>INGENIERIA DE SISTEMAS</t>
        </is>
      </c>
      <c r="J505" s="7" t="inlineStr">
        <is>
          <t>PLANTA</t>
        </is>
      </c>
      <c r="K505" s="7" t="inlineStr">
        <is>
          <t>SOFIA ARANZAZU</t>
        </is>
      </c>
      <c r="L505" s="7" t="inlineStr">
        <is>
          <t>CONFIRMADO PRESENCIAL</t>
        </is>
      </c>
      <c r="M505" s="7" t="n">
        <v/>
      </c>
      <c r="N505" s="7" t="n">
        <v>3114266262</v>
      </c>
      <c r="O505" s="7" t="inlineStr">
        <is>
          <t>miguel.villamil9316@gmail.com</t>
        </is>
      </c>
      <c r="P505" s="7" t="inlineStr">
        <is>
          <t>BTA SEDE G</t>
        </is>
      </c>
      <c r="Q505" s="7" t="inlineStr">
        <is>
          <t>INGENIERIA</t>
        </is>
      </c>
      <c r="R505" s="7" t="n">
        <v>502</v>
      </c>
    </row>
    <row r="506" ht="20" customHeight="1">
      <c r="A506" s="3" t="inlineStr">
        <is>
          <t>1118546780</t>
        </is>
      </c>
      <c r="B506" s="4" t="inlineStr">
        <is>
          <t>PRESENCIAL BOGOTÁ</t>
        </is>
      </c>
      <c r="C506" s="4" t="inlineStr">
        <is>
          <t>YEISON FERNANDO ROJAS MESA</t>
        </is>
      </c>
      <c r="D506" s="4" t="inlineStr">
        <is>
          <t>OPERACIONES</t>
        </is>
      </c>
      <c r="E506" s="4" t="inlineStr">
        <is>
          <t>REGIONAL BOGOTA</t>
        </is>
      </c>
      <c r="F506" s="4" t="inlineStr">
        <is>
          <t>BOGOTA RESTREPO</t>
        </is>
      </c>
      <c r="G506" s="4" t="inlineStr">
        <is>
          <t>PRESENCIAL</t>
        </is>
      </c>
      <c r="H506" s="4" t="inlineStr">
        <is>
          <t>DOCENTE AUX/N/TC/ING SISTEM/FUN.ACADE-ADMIN</t>
        </is>
      </c>
      <c r="I506" s="4" t="inlineStr">
        <is>
          <t>INGENIERIA DE SISTEMAS</t>
        </is>
      </c>
      <c r="J506" s="4" t="inlineStr">
        <is>
          <t>PLANTA</t>
        </is>
      </c>
      <c r="K506" s="4" t="inlineStr">
        <is>
          <t>SOFIA ARANZAZU</t>
        </is>
      </c>
      <c r="L506" s="4" t="inlineStr">
        <is>
          <t>SIN RESPUESTA</t>
        </is>
      </c>
      <c r="M506" s="4" t="n">
        <v/>
      </c>
      <c r="N506" s="4" t="n">
        <v>3013310665</v>
      </c>
      <c r="O506" s="4" t="inlineStr">
        <is>
          <t>yeisonf_91@hotmail.com</t>
        </is>
      </c>
      <c r="P506" s="4" t="inlineStr">
        <is>
          <t>BTA SEDE RESTREPO</t>
        </is>
      </c>
      <c r="Q506" s="4" t="inlineStr">
        <is>
          <t>INGENIERIA</t>
        </is>
      </c>
      <c r="R506" s="4" t="n">
        <v>502</v>
      </c>
    </row>
    <row r="507" ht="20" customHeight="1">
      <c r="A507" s="6" t="inlineStr">
        <is>
          <t>1053345670</t>
        </is>
      </c>
      <c r="B507" s="7" t="inlineStr">
        <is>
          <t>PRESENCIAL BOGOTÁ</t>
        </is>
      </c>
      <c r="C507" s="7" t="inlineStr">
        <is>
          <t>SAMUEL HORACIO BAUTISTA ORTEGA</t>
        </is>
      </c>
      <c r="D507" s="7" t="inlineStr">
        <is>
          <t>OPERACIONES</t>
        </is>
      </c>
      <c r="E507" s="7" t="inlineStr">
        <is>
          <t>REGIONAL BOGOTA</t>
        </is>
      </c>
      <c r="F507" s="7" t="inlineStr">
        <is>
          <t>BOGOTA CENTRO</t>
        </is>
      </c>
      <c r="G507" s="7" t="inlineStr">
        <is>
          <t>PRESENCIAL</t>
        </is>
      </c>
      <c r="H507" s="7" t="inlineStr">
        <is>
          <t>DOC AUX T&amp;T/N/TC/ING SISTEM/FUN.ACADE-ADMIN</t>
        </is>
      </c>
      <c r="I507" s="7" t="inlineStr">
        <is>
          <t>INGENIERIA DE SISTEMAS</t>
        </is>
      </c>
      <c r="J507" s="7" t="inlineStr">
        <is>
          <t>PLANTA</t>
        </is>
      </c>
      <c r="K507" s="7" t="inlineStr">
        <is>
          <t>SOFIA ARANZAZU</t>
        </is>
      </c>
      <c r="L507" s="7" t="inlineStr">
        <is>
          <t>SIN RESPUESTA</t>
        </is>
      </c>
      <c r="M507" s="7" t="n">
        <v/>
      </c>
      <c r="N507" s="7" t="n">
        <v>3154666994</v>
      </c>
      <c r="O507" s="7" t="inlineStr">
        <is>
          <t>samuelortegabautista@gmail.com</t>
        </is>
      </c>
      <c r="P507" s="7" t="inlineStr">
        <is>
          <t>BTA SEDE G</t>
        </is>
      </c>
      <c r="Q507" s="7" t="inlineStr">
        <is>
          <t>INGENIERIA</t>
        </is>
      </c>
      <c r="R507" s="7" t="n">
        <v>502</v>
      </c>
    </row>
    <row r="508" ht="20" customHeight="1">
      <c r="A508" s="3" t="inlineStr">
        <is>
          <t>79627318</t>
        </is>
      </c>
      <c r="B508" s="4" t="inlineStr">
        <is>
          <t>PRESENCIAL BOGOTÁ</t>
        </is>
      </c>
      <c r="C508" s="4" t="inlineStr">
        <is>
          <t>YESID DIAZ GUTIERREZ</t>
        </is>
      </c>
      <c r="D508" s="4" t="inlineStr">
        <is>
          <t>OPERACIONES</t>
        </is>
      </c>
      <c r="E508" s="4" t="inlineStr">
        <is>
          <t>REGIONAL BOGOTA</t>
        </is>
      </c>
      <c r="F508" s="4" t="inlineStr">
        <is>
          <t>BOGOTA CENTRO</t>
        </is>
      </c>
      <c r="G508" s="4" t="inlineStr">
        <is>
          <t>PRESENCIAL</t>
        </is>
      </c>
      <c r="H508" s="4" t="inlineStr">
        <is>
          <t>DOCENTE ASOC/N/TC/ING SISTEM/FUNC SUST</t>
        </is>
      </c>
      <c r="I508" s="4" t="inlineStr">
        <is>
          <t>INGENIERIA DE SISTEMAS</t>
        </is>
      </c>
      <c r="J508" s="4" t="inlineStr">
        <is>
          <t>PLANTA</t>
        </is>
      </c>
      <c r="K508" s="4" t="inlineStr">
        <is>
          <t>SOFIA ARANZAZU</t>
        </is>
      </c>
      <c r="L508" s="4" t="inlineStr">
        <is>
          <t>SIN RESPUESTA</t>
        </is>
      </c>
      <c r="M508" s="4" t="n">
        <v/>
      </c>
      <c r="N508" s="4" t="n">
        <v>3232231575</v>
      </c>
      <c r="O508" s="4" t="inlineStr">
        <is>
          <t>diazyesid@yahoo.com</t>
        </is>
      </c>
      <c r="P508" s="4" t="inlineStr">
        <is>
          <t>BTA SEDE A</t>
        </is>
      </c>
      <c r="Q508" s="4" t="inlineStr">
        <is>
          <t>INGENIERIA</t>
        </is>
      </c>
      <c r="R508" s="4" t="n">
        <v>502</v>
      </c>
    </row>
    <row r="509" ht="20" customHeight="1">
      <c r="A509" s="6" t="inlineStr">
        <is>
          <t>79485772</t>
        </is>
      </c>
      <c r="B509" s="7" t="inlineStr">
        <is>
          <t>PRESENCIAL BOGOTÁ</t>
        </is>
      </c>
      <c r="C509" s="7" t="inlineStr">
        <is>
          <t>WILLIAN MICHEL VELEZ CANDIA</t>
        </is>
      </c>
      <c r="D509" s="7" t="inlineStr">
        <is>
          <t>OPERACIONES</t>
        </is>
      </c>
      <c r="E509" s="7" t="inlineStr">
        <is>
          <t>REGIONAL BOGOTA</t>
        </is>
      </c>
      <c r="F509" s="7" t="inlineStr">
        <is>
          <t>BOGOTA CENTRO</t>
        </is>
      </c>
      <c r="G509" s="7" t="inlineStr">
        <is>
          <t>PRESENCIAL</t>
        </is>
      </c>
      <c r="H509" s="7" t="inlineStr">
        <is>
          <t>DOCENTE TITU/N/TC/ING SISTEM/FUN.ACADE-ADMIN</t>
        </is>
      </c>
      <c r="I509" s="7" t="inlineStr">
        <is>
          <t>INGENIERIA DE SISTEMAS</t>
        </is>
      </c>
      <c r="J509" s="7" t="inlineStr">
        <is>
          <t>PLANTA</t>
        </is>
      </c>
      <c r="K509" s="7" t="inlineStr">
        <is>
          <t>SOFIA ARANZAZU</t>
        </is>
      </c>
      <c r="L509" s="7" t="inlineStr">
        <is>
          <t>SIN RESPUESTA</t>
        </is>
      </c>
      <c r="M509" s="7" t="n">
        <v/>
      </c>
      <c r="N509" s="7" t="n">
        <v>3112628703</v>
      </c>
      <c r="O509" s="7" t="inlineStr">
        <is>
          <t>wmvelezv@gmail.com</t>
        </is>
      </c>
      <c r="P509" s="7" t="inlineStr">
        <is>
          <t>BTA SEDE G</t>
        </is>
      </c>
      <c r="Q509" s="7" t="inlineStr">
        <is>
          <t>INGENIERIA</t>
        </is>
      </c>
      <c r="R509" s="7" t="n">
        <v>502</v>
      </c>
    </row>
    <row r="510" ht="20" customHeight="1">
      <c r="A510" s="3" t="inlineStr">
        <is>
          <t>79712250</t>
        </is>
      </c>
      <c r="B510" s="4" t="inlineStr">
        <is>
          <t>PRESENCIAL BOGOTÁ</t>
        </is>
      </c>
      <c r="C510" s="4" t="inlineStr">
        <is>
          <t>JOSE FREDY VARGAS MARTINEZ</t>
        </is>
      </c>
      <c r="D510" s="4" t="inlineStr">
        <is>
          <t>OPERACIONES</t>
        </is>
      </c>
      <c r="E510" s="4" t="inlineStr">
        <is>
          <t>REGIONAL BOGOTA</t>
        </is>
      </c>
      <c r="F510" s="4" t="inlineStr">
        <is>
          <t>BOGOTA CENTRO</t>
        </is>
      </c>
      <c r="G510" s="4" t="inlineStr">
        <is>
          <t>VIRTUAL</t>
        </is>
      </c>
      <c r="H510" s="4" t="inlineStr">
        <is>
          <t>DOC AUX T&amp;T/N/V/TC/ING DE SISTEMAS/FUN.ACADE-ADMIN</t>
        </is>
      </c>
      <c r="I510" s="4" t="inlineStr">
        <is>
          <t>INGENIERIA DE SISTEMAS</t>
        </is>
      </c>
      <c r="J510" s="4" t="inlineStr">
        <is>
          <t>PLANTA</t>
        </is>
      </c>
      <c r="K510" s="4" t="inlineStr">
        <is>
          <t>SOFIA ARANZAZU</t>
        </is>
      </c>
      <c r="L510" s="4" t="inlineStr">
        <is>
          <t>CONFIRMADO PRESENCIAL</t>
        </is>
      </c>
      <c r="M510" s="4" t="n">
        <v/>
      </c>
      <c r="N510" s="4" t="n">
        <v>3138216828</v>
      </c>
      <c r="O510" s="4" t="inlineStr">
        <is>
          <t>mafre1975@gmail.com diafre1975@hotmail.com</t>
        </is>
      </c>
      <c r="P510" s="4" t="inlineStr">
        <is>
          <t>BTA SEDE A</t>
        </is>
      </c>
      <c r="Q510" s="4" t="inlineStr">
        <is>
          <t>INGENIERIA</t>
        </is>
      </c>
      <c r="R510" s="4" t="n">
        <v>502</v>
      </c>
    </row>
    <row r="511" ht="20" customHeight="1">
      <c r="A511" s="6" t="inlineStr">
        <is>
          <t>1024469422</t>
        </is>
      </c>
      <c r="B511" s="7" t="inlineStr">
        <is>
          <t>PRESENCIAL BOGOTÁ</t>
        </is>
      </c>
      <c r="C511" s="7" t="inlineStr">
        <is>
          <t>JOHN FREDY CESPEDES BELTRAN</t>
        </is>
      </c>
      <c r="D511" s="7" t="inlineStr">
        <is>
          <t>OPERACIONES</t>
        </is>
      </c>
      <c r="E511" s="7" t="inlineStr">
        <is>
          <t>REGIONAL BOGOTA</t>
        </is>
      </c>
      <c r="F511" s="7" t="inlineStr">
        <is>
          <t>BOGOTA CENTRO</t>
        </is>
      </c>
      <c r="G511" s="7" t="inlineStr">
        <is>
          <t>PRESENCIAL</t>
        </is>
      </c>
      <c r="H511" s="7" t="inlineStr">
        <is>
          <t>DOCENTE ASIS/N/TC/ING SISTEM/FUN.ACADE-ADMIN</t>
        </is>
      </c>
      <c r="I511" s="7" t="inlineStr">
        <is>
          <t>INGENIERIA DE SISTEMAS</t>
        </is>
      </c>
      <c r="J511" s="7" t="inlineStr">
        <is>
          <t>PLANTA</t>
        </is>
      </c>
      <c r="K511" s="7" t="inlineStr">
        <is>
          <t>SOFIA ARANZAZU</t>
        </is>
      </c>
      <c r="L511" s="7" t="inlineStr">
        <is>
          <t>SIN RESPUESTA</t>
        </is>
      </c>
      <c r="M511" s="7" t="n">
        <v/>
      </c>
      <c r="N511" s="7" t="n">
        <v>3143135169</v>
      </c>
      <c r="O511" s="7" t="inlineStr">
        <is>
          <t>JOHNCESBEL@GMAIL.COM</t>
        </is>
      </c>
      <c r="P511" s="7" t="inlineStr">
        <is>
          <t>BTA SEDE G</t>
        </is>
      </c>
      <c r="Q511" s="7" t="inlineStr">
        <is>
          <t>INGENIERIA</t>
        </is>
      </c>
      <c r="R511" s="7" t="n">
        <v>502</v>
      </c>
    </row>
    <row r="512" ht="20" customHeight="1">
      <c r="A512" s="3" t="inlineStr">
        <is>
          <t>1116807112</t>
        </is>
      </c>
      <c r="B512" s="4" t="inlineStr">
        <is>
          <t>PRESENCIAL BOGOTÁ</t>
        </is>
      </c>
      <c r="C512" s="4" t="inlineStr">
        <is>
          <t>MARIA CAMILA RINCON NAVARRO</t>
        </is>
      </c>
      <c r="D512" s="4" t="inlineStr">
        <is>
          <t>OPERACIONES</t>
        </is>
      </c>
      <c r="E512" s="4" t="inlineStr">
        <is>
          <t>REGIONAL BOGOTA</t>
        </is>
      </c>
      <c r="F512" s="4" t="inlineStr">
        <is>
          <t>BOGOTA CENTRO</t>
        </is>
      </c>
      <c r="G512" s="4" t="inlineStr">
        <is>
          <t>PRESENCIAL</t>
        </is>
      </c>
      <c r="H512" s="4" t="inlineStr">
        <is>
          <t>DOC AUX T&amp;T/N/TC/ING SISTEM/FUN.ACADE-ADMIN</t>
        </is>
      </c>
      <c r="I512" s="4" t="inlineStr">
        <is>
          <t>INGENIERIA DE SISTEMAS</t>
        </is>
      </c>
      <c r="J512" s="4" t="inlineStr">
        <is>
          <t>PLANTA</t>
        </is>
      </c>
      <c r="K512" s="4" t="inlineStr">
        <is>
          <t>SOFIA ARANZAZU</t>
        </is>
      </c>
      <c r="L512" s="4" t="inlineStr">
        <is>
          <t>SIN RESPUESTA</t>
        </is>
      </c>
      <c r="M512" s="4" t="n">
        <v/>
      </c>
      <c r="N512" s="4" t="n">
        <v>3143187529</v>
      </c>
      <c r="O512" s="4" t="inlineStr">
        <is>
          <t>MCRN.1523@GMAIL.COM</t>
        </is>
      </c>
      <c r="P512" s="4" t="inlineStr">
        <is>
          <t>BTA SEDE G</t>
        </is>
      </c>
      <c r="Q512" s="4" t="inlineStr">
        <is>
          <t>INGENIERIA</t>
        </is>
      </c>
      <c r="R512" s="4" t="n">
        <v>502</v>
      </c>
    </row>
    <row r="513" ht="20" customHeight="1">
      <c r="A513" s="6" t="inlineStr">
        <is>
          <t>14395380</t>
        </is>
      </c>
      <c r="B513" s="7" t="inlineStr">
        <is>
          <t>PRESENCIAL REGIONAL</t>
        </is>
      </c>
      <c r="C513" s="7" t="inlineStr">
        <is>
          <t>JORGE MARIO GONZALES CANIZALES</t>
        </is>
      </c>
      <c r="D513" s="7" t="inlineStr">
        <is>
          <t>OPERACIONES</t>
        </is>
      </c>
      <c r="E513" s="7" t="inlineStr">
        <is>
          <t>REGIONAL TOLIMA</t>
        </is>
      </c>
      <c r="F513" s="7" t="inlineStr">
        <is>
          <t>IBAGUÉ</t>
        </is>
      </c>
      <c r="G513" s="7" t="inlineStr">
        <is>
          <t>VIRTUAL</t>
        </is>
      </c>
      <c r="H513" s="7" t="inlineStr">
        <is>
          <t>DOC AUX/N/V/TC/ING DE SISTEMAS/FUN.ACADE-ADMIN</t>
        </is>
      </c>
      <c r="I513" s="7" t="inlineStr">
        <is>
          <t>INGENIERIA DE SISTEMAS</t>
        </is>
      </c>
      <c r="J513" s="7" t="inlineStr">
        <is>
          <t>PLANTA</t>
        </is>
      </c>
      <c r="K513" s="7" t="inlineStr">
        <is>
          <t>SOFIA ARANZAZU</t>
        </is>
      </c>
      <c r="L513" s="7" t="inlineStr">
        <is>
          <t>CONFIRMADO PRESENCIAL</t>
        </is>
      </c>
      <c r="M513" s="7" t="n">
        <v/>
      </c>
      <c r="N513" s="7" t="n">
        <v>3013406320</v>
      </c>
      <c r="O513" s="7" t="inlineStr">
        <is>
          <t>jomagozstar@gmail.com</t>
        </is>
      </c>
      <c r="P513" s="7" t="inlineStr">
        <is>
          <t>IBAGUE SEDE</t>
        </is>
      </c>
      <c r="Q513" s="7" t="inlineStr">
        <is>
          <t>INGENIERIA</t>
        </is>
      </c>
      <c r="R513" s="7" t="n">
        <v/>
      </c>
    </row>
    <row r="514" ht="20" customHeight="1">
      <c r="A514" s="3" t="inlineStr">
        <is>
          <t>1030584024</t>
        </is>
      </c>
      <c r="B514" s="4" t="inlineStr">
        <is>
          <t>PRESENCIAL BOGOTÁ</t>
        </is>
      </c>
      <c r="C514" s="4" t="inlineStr">
        <is>
          <t>DORIAN ESNEIDER TORRES DELGADO</t>
        </is>
      </c>
      <c r="D514" s="4" t="inlineStr">
        <is>
          <t>OPERACIONES</t>
        </is>
      </c>
      <c r="E514" s="4" t="inlineStr">
        <is>
          <t>REGIONAL BOGOTA</t>
        </is>
      </c>
      <c r="F514" s="4" t="inlineStr">
        <is>
          <t>BOGOTA CENTRO</t>
        </is>
      </c>
      <c r="G514" s="4" t="inlineStr">
        <is>
          <t>PRESENCIAL</t>
        </is>
      </c>
      <c r="H514" s="4" t="inlineStr">
        <is>
          <t>DOCENTE AUX/N/TC/ING SISTEM/FUN.ACADE-ADMIN</t>
        </is>
      </c>
      <c r="I514" s="4" t="inlineStr">
        <is>
          <t>INGENIERIA DE SISTEMAS</t>
        </is>
      </c>
      <c r="J514" s="4" t="inlineStr">
        <is>
          <t>PLANTA</t>
        </is>
      </c>
      <c r="K514" s="4" t="inlineStr">
        <is>
          <t>SOFIA ARANZAZU</t>
        </is>
      </c>
      <c r="L514" s="4" t="inlineStr">
        <is>
          <t>SIN RESPUESTA</t>
        </is>
      </c>
      <c r="M514" s="4" t="n">
        <v/>
      </c>
      <c r="N514" s="4" t="n">
        <v>3224471687</v>
      </c>
      <c r="O514" s="4" t="inlineStr">
        <is>
          <t>doriantorres84@gmail.com</t>
        </is>
      </c>
      <c r="P514" s="4" t="inlineStr">
        <is>
          <t>BTA SEDE G</t>
        </is>
      </c>
      <c r="Q514" s="4" t="inlineStr">
        <is>
          <t>INGENIERIA</t>
        </is>
      </c>
      <c r="R514" s="4" t="n">
        <v>502</v>
      </c>
    </row>
    <row r="515" ht="20" customHeight="1">
      <c r="A515" s="6" t="inlineStr">
        <is>
          <t>1234338289</t>
        </is>
      </c>
      <c r="B515" s="7" t="inlineStr">
        <is>
          <t>VIRTUAL</t>
        </is>
      </c>
      <c r="C515" s="7" t="inlineStr">
        <is>
          <t>SERGIO ANDRES ARDILA GONZALEZ</t>
        </is>
      </c>
      <c r="D515" s="7" t="inlineStr">
        <is>
          <t>OPERACIONES</t>
        </is>
      </c>
      <c r="E515" s="7" t="inlineStr">
        <is>
          <t>REGIONAL SANTANDER</t>
        </is>
      </c>
      <c r="F515" s="7" t="inlineStr">
        <is>
          <t>BUCARAMANGA</t>
        </is>
      </c>
      <c r="G515" s="7" t="inlineStr">
        <is>
          <t>VIRTUAL</t>
        </is>
      </c>
      <c r="H515" s="7" t="inlineStr">
        <is>
          <t>DOC AUX/N/V/TC/ING DE SISTEMAS/FUN.ACADE-ADMIN</t>
        </is>
      </c>
      <c r="I515" s="7" t="inlineStr">
        <is>
          <t>INGENIERIA DE SISTEMAS</t>
        </is>
      </c>
      <c r="J515" s="7" t="inlineStr">
        <is>
          <t>PLANTA</t>
        </is>
      </c>
      <c r="K515" s="7" t="inlineStr">
        <is>
          <t>SOFIA ARANZAZU</t>
        </is>
      </c>
      <c r="L515" s="7" t="inlineStr">
        <is>
          <t>CONFIRMADO VIRTUAL</t>
        </is>
      </c>
      <c r="M515" s="7" t="n">
        <v/>
      </c>
      <c r="N515" s="7" t="n">
        <v>3172481428</v>
      </c>
      <c r="O515" s="7" t="inlineStr">
        <is>
          <t>sergiochecho15@hotmail.com</t>
        </is>
      </c>
      <c r="P515" s="7" t="inlineStr">
        <is>
          <t>BGA SEDE</t>
        </is>
      </c>
      <c r="Q515" s="7" t="inlineStr">
        <is>
          <t>INGENIERIA</t>
        </is>
      </c>
      <c r="R515" s="7" t="n">
        <v/>
      </c>
    </row>
    <row r="516" ht="20" customHeight="1">
      <c r="A516" s="3" t="inlineStr">
        <is>
          <t>1007415324</t>
        </is>
      </c>
      <c r="B516" s="4" t="inlineStr">
        <is>
          <t>PRESENCIAL BOGOTÁ</t>
        </is>
      </c>
      <c r="C516" s="4" t="inlineStr">
        <is>
          <t>PEDRO DANIEL OSPINA ARIAS</t>
        </is>
      </c>
      <c r="D516" s="4" t="inlineStr">
        <is>
          <t>OPERACIONES</t>
        </is>
      </c>
      <c r="E516" s="4" t="inlineStr">
        <is>
          <t>REGIONAL BOGOTA</t>
        </is>
      </c>
      <c r="F516" s="4" t="inlineStr">
        <is>
          <t>BOGOTA CENTRO</t>
        </is>
      </c>
      <c r="G516" s="4" t="inlineStr">
        <is>
          <t>PRESENCIAL</t>
        </is>
      </c>
      <c r="H516" s="4" t="inlineStr">
        <is>
          <t>DOC AUX T&amp;T/N/TC/ING SISTEM/FUN.ACADE-ADMIN</t>
        </is>
      </c>
      <c r="I516" s="4" t="inlineStr">
        <is>
          <t>INGENIERIA DE SISTEMAS</t>
        </is>
      </c>
      <c r="J516" s="4" t="inlineStr">
        <is>
          <t>PLANTA</t>
        </is>
      </c>
      <c r="K516" s="4" t="inlineStr">
        <is>
          <t>SOFIA ARANZAZU</t>
        </is>
      </c>
      <c r="L516" s="4" t="inlineStr">
        <is>
          <t>CONFIRMADO PRESENCIAL</t>
        </is>
      </c>
      <c r="M516" s="4" t="n">
        <v/>
      </c>
      <c r="N516" s="4" t="n">
        <v>3028580196</v>
      </c>
      <c r="O516" s="4" t="inlineStr">
        <is>
          <t>daniel.ospina12@gmail.com</t>
        </is>
      </c>
      <c r="P516" s="4" t="inlineStr">
        <is>
          <t>BTA SEDE G</t>
        </is>
      </c>
      <c r="Q516" s="4" t="inlineStr">
        <is>
          <t>INGENIERIA</t>
        </is>
      </c>
      <c r="R516" s="4" t="n">
        <v>502</v>
      </c>
    </row>
    <row r="517" ht="20" customHeight="1">
      <c r="A517" s="6" t="inlineStr">
        <is>
          <t>1015401392</t>
        </is>
      </c>
      <c r="B517" s="7" t="inlineStr">
        <is>
          <t>PRESENCIAL BOGOTÁ</t>
        </is>
      </c>
      <c r="C517" s="7" t="inlineStr">
        <is>
          <t>OSCAR DANIEL CARRERO ROMERO</t>
        </is>
      </c>
      <c r="D517" s="7" t="inlineStr">
        <is>
          <t>OPERACIONES</t>
        </is>
      </c>
      <c r="E517" s="7" t="inlineStr">
        <is>
          <t>REGIONAL BOGOTA</t>
        </is>
      </c>
      <c r="F517" s="7" t="inlineStr">
        <is>
          <t>BOGOTA CENTRO</t>
        </is>
      </c>
      <c r="G517" s="7" t="inlineStr">
        <is>
          <t>VIRTUAL</t>
        </is>
      </c>
      <c r="H517" s="7" t="inlineStr">
        <is>
          <t>DOC ASIS/N/V/TC/ING DE SISTEMAS/FUN.ACADE-ADMIN</t>
        </is>
      </c>
      <c r="I517" s="7" t="inlineStr">
        <is>
          <t>INGENIERIA DE SISTEMAS</t>
        </is>
      </c>
      <c r="J517" s="7" t="inlineStr">
        <is>
          <t>PLANTA</t>
        </is>
      </c>
      <c r="K517" s="7" t="inlineStr">
        <is>
          <t>SOFIA ARANZAZU</t>
        </is>
      </c>
      <c r="L517" s="7" t="inlineStr">
        <is>
          <t>CONFIRMADO PRESENCIAL</t>
        </is>
      </c>
      <c r="M517" s="7" t="n">
        <v/>
      </c>
      <c r="N517" s="7" t="n">
        <v>3214068920</v>
      </c>
      <c r="O517" s="7" t="inlineStr">
        <is>
          <t>PROFESORDANIELCARRERO@GMAIL.COM</t>
        </is>
      </c>
      <c r="P517" s="7" t="inlineStr">
        <is>
          <t>BTA SEDE A</t>
        </is>
      </c>
      <c r="Q517" s="7" t="inlineStr">
        <is>
          <t>INGENIERIA</t>
        </is>
      </c>
      <c r="R517" s="7" t="n">
        <v>502</v>
      </c>
    </row>
    <row r="518" ht="20" customHeight="1">
      <c r="A518" s="3" t="inlineStr">
        <is>
          <t>80020383</t>
        </is>
      </c>
      <c r="B518" s="4" t="inlineStr">
        <is>
          <t>PRESENCIAL BOGOTÁ</t>
        </is>
      </c>
      <c r="C518" s="4" t="inlineStr">
        <is>
          <t>JORGE ALBERTO BERNAL OLAYA</t>
        </is>
      </c>
      <c r="D518" s="4" t="inlineStr">
        <is>
          <t>OPERACIONES</t>
        </is>
      </c>
      <c r="E518" s="4" t="inlineStr">
        <is>
          <t>REGIONAL BOGOTA</t>
        </is>
      </c>
      <c r="F518" s="4" t="inlineStr">
        <is>
          <t>BOGOTA CENTRO</t>
        </is>
      </c>
      <c r="G518" s="4" t="inlineStr">
        <is>
          <t>PRESENCIAL</t>
        </is>
      </c>
      <c r="H518" s="4" t="inlineStr">
        <is>
          <t>DOC AUX T&amp;T/N/TC/ING SISTEM/FUN.ACADE-ADMIN</t>
        </is>
      </c>
      <c r="I518" s="4" t="inlineStr">
        <is>
          <t>INGENIERIA DE SISTEMAS</t>
        </is>
      </c>
      <c r="J518" s="4" t="inlineStr">
        <is>
          <t>PLANTA</t>
        </is>
      </c>
      <c r="K518" s="4" t="inlineStr">
        <is>
          <t>SOFIA ARANZAZU</t>
        </is>
      </c>
      <c r="L518" s="4" t="inlineStr">
        <is>
          <t>CONFIRMADO PRESENCIAL</t>
        </is>
      </c>
      <c r="M518" s="4" t="n">
        <v/>
      </c>
      <c r="N518" s="4" t="n">
        <v>3178942750</v>
      </c>
      <c r="O518" s="4" t="inlineStr">
        <is>
          <t>alberto@impactoweb.net</t>
        </is>
      </c>
      <c r="P518" s="4" t="inlineStr">
        <is>
          <t>BTA SEDE G</t>
        </is>
      </c>
      <c r="Q518" s="4" t="inlineStr">
        <is>
          <t>INGENIERIA</t>
        </is>
      </c>
      <c r="R518" s="4" t="n">
        <v>502</v>
      </c>
    </row>
    <row r="519" ht="20" customHeight="1">
      <c r="A519" s="6" t="inlineStr">
        <is>
          <t>80724211</t>
        </is>
      </c>
      <c r="B519" s="7" t="inlineStr">
        <is>
          <t>PRESENCIAL BOGOTÁ</t>
        </is>
      </c>
      <c r="C519" s="7" t="inlineStr">
        <is>
          <t>IVAN ANDRES TRUJILLO GUTIERREZ</t>
        </is>
      </c>
      <c r="D519" s="7" t="inlineStr">
        <is>
          <t>OPERACIONES</t>
        </is>
      </c>
      <c r="E519" s="7" t="inlineStr">
        <is>
          <t>REGIONAL BOGOTA</t>
        </is>
      </c>
      <c r="F519" s="7" t="inlineStr">
        <is>
          <t>BOGOTA CENTRO</t>
        </is>
      </c>
      <c r="G519" s="7" t="inlineStr">
        <is>
          <t>PRESENCIAL</t>
        </is>
      </c>
      <c r="H519" s="7" t="inlineStr">
        <is>
          <t>DOC AUX T&amp;T/N/TC/ING SISTEM/FUN.ACADE-ADMIN</t>
        </is>
      </c>
      <c r="I519" s="7" t="inlineStr">
        <is>
          <t>INGENIERIA DE SISTEMAS</t>
        </is>
      </c>
      <c r="J519" s="7" t="inlineStr">
        <is>
          <t>PLANTA</t>
        </is>
      </c>
      <c r="K519" s="7" t="inlineStr">
        <is>
          <t>SOFIA ARANZAZU</t>
        </is>
      </c>
      <c r="L519" s="7" t="inlineStr">
        <is>
          <t>CONFIRMADO PRESENCIAL</t>
        </is>
      </c>
      <c r="M519" s="7" t="n">
        <v/>
      </c>
      <c r="N519" s="7" t="n">
        <v>3505212542</v>
      </c>
      <c r="O519" s="7" t="inlineStr">
        <is>
          <t>ivantrugu@gmail.com</t>
        </is>
      </c>
      <c r="P519" s="7" t="inlineStr">
        <is>
          <t>BTA SEDE G</t>
        </is>
      </c>
      <c r="Q519" s="7" t="inlineStr">
        <is>
          <t>INGENIERIA</t>
        </is>
      </c>
      <c r="R519" s="7" t="n">
        <v>502</v>
      </c>
    </row>
    <row r="520" ht="20" customHeight="1">
      <c r="A520" s="3" t="inlineStr">
        <is>
          <t>1026274937</t>
        </is>
      </c>
      <c r="B520" s="4" t="inlineStr">
        <is>
          <t>PRESENCIAL BOGOTÁ</t>
        </is>
      </c>
      <c r="C520" s="4" t="inlineStr">
        <is>
          <t>JOHN HENRY NAUSA ALARCON</t>
        </is>
      </c>
      <c r="D520" s="4" t="inlineStr">
        <is>
          <t>OPERACIONES</t>
        </is>
      </c>
      <c r="E520" s="4" t="inlineStr">
        <is>
          <t>REGIONAL BOGOTA</t>
        </is>
      </c>
      <c r="F520" s="4" t="inlineStr">
        <is>
          <t>BOGOTA RESTREPO</t>
        </is>
      </c>
      <c r="G520" s="4" t="inlineStr">
        <is>
          <t>PRESENCIAL</t>
        </is>
      </c>
      <c r="H520" s="4" t="inlineStr">
        <is>
          <t>DOC AUX T&amp;T/N/TC/ING SISTEM/FUN.ACADE-ADMIN</t>
        </is>
      </c>
      <c r="I520" s="4" t="inlineStr">
        <is>
          <t>INGENIERIA DE SISTEMAS</t>
        </is>
      </c>
      <c r="J520" s="4" t="inlineStr">
        <is>
          <t>PLANTA</t>
        </is>
      </c>
      <c r="K520" s="4" t="inlineStr">
        <is>
          <t>SOFIA ARANZAZU</t>
        </is>
      </c>
      <c r="L520" s="4" t="inlineStr">
        <is>
          <t>SIN RESPUESTA</t>
        </is>
      </c>
      <c r="M520" s="4" t="n">
        <v/>
      </c>
      <c r="N520" s="4" t="n">
        <v>3203049981</v>
      </c>
      <c r="O520" s="4" t="inlineStr">
        <is>
          <t>john.nausa@hotmail.com</t>
        </is>
      </c>
      <c r="P520" s="4" t="inlineStr">
        <is>
          <t>BTA SEDE RESTREPO</t>
        </is>
      </c>
      <c r="Q520" s="4" t="inlineStr">
        <is>
          <t>INGENIERIA</t>
        </is>
      </c>
      <c r="R520" s="4" t="n">
        <v>502</v>
      </c>
    </row>
    <row r="521" ht="20" customHeight="1">
      <c r="A521" s="6" t="inlineStr">
        <is>
          <t>1100958499</t>
        </is>
      </c>
      <c r="B521" s="7" t="inlineStr">
        <is>
          <t>PRESENCIAL BOGOTÁ</t>
        </is>
      </c>
      <c r="C521" s="7" t="inlineStr">
        <is>
          <t>SERGIO ALEXANDER MORA NOVOA</t>
        </is>
      </c>
      <c r="D521" s="7" t="inlineStr">
        <is>
          <t>OPERACIONES</t>
        </is>
      </c>
      <c r="E521" s="7" t="inlineStr">
        <is>
          <t>REGIONAL CUNDINAMARCA</t>
        </is>
      </c>
      <c r="F521" s="7" t="inlineStr">
        <is>
          <t>CHÍA</t>
        </is>
      </c>
      <c r="G521" s="7" t="inlineStr">
        <is>
          <t>VIRTUAL</t>
        </is>
      </c>
      <c r="H521" s="7" t="inlineStr">
        <is>
          <t>DOC AUX/N/V/TC/ING DE SISTEMAS/FUN.ACADE-ADMIN</t>
        </is>
      </c>
      <c r="I521" s="7" t="inlineStr">
        <is>
          <t>INGENIERIA DE SISTEMAS</t>
        </is>
      </c>
      <c r="J521" s="7" t="inlineStr">
        <is>
          <t>PLANTA</t>
        </is>
      </c>
      <c r="K521" s="7" t="inlineStr">
        <is>
          <t>SOFIA ARANZAZU</t>
        </is>
      </c>
      <c r="L521" s="7" t="inlineStr">
        <is>
          <t>CONFIRMADO PRESENCIAL</t>
        </is>
      </c>
      <c r="M521" s="7" t="n">
        <v/>
      </c>
      <c r="N521" s="7" t="n">
        <v>3174907984</v>
      </c>
      <c r="O521" s="7" t="inlineStr">
        <is>
          <t>alexmn_91@hotmail.com</t>
        </is>
      </c>
      <c r="P521" s="7" t="inlineStr">
        <is>
          <t>CHIA SEDE</t>
        </is>
      </c>
      <c r="Q521" s="7" t="inlineStr">
        <is>
          <t>INGENIERIA</t>
        </is>
      </c>
      <c r="R521" s="7" t="n">
        <v/>
      </c>
    </row>
    <row r="522" ht="20" customHeight="1">
      <c r="A522" s="3" t="inlineStr">
        <is>
          <t>1032374176</t>
        </is>
      </c>
      <c r="B522" s="4" t="inlineStr">
        <is>
          <t>VIRTUAL</t>
        </is>
      </c>
      <c r="C522" s="4" t="inlineStr">
        <is>
          <t>JOSE FRANCISCO ACOSTA RUBIO</t>
        </is>
      </c>
      <c r="D522" s="4" t="inlineStr">
        <is>
          <t>OPERACIONES</t>
        </is>
      </c>
      <c r="E522" s="4" t="inlineStr">
        <is>
          <t>REGIONAL BOGOTA</t>
        </is>
      </c>
      <c r="F522" s="4" t="inlineStr">
        <is>
          <t>BOGOTA SUR</t>
        </is>
      </c>
      <c r="G522" s="4" t="inlineStr">
        <is>
          <t>VIRTUAL</t>
        </is>
      </c>
      <c r="H522" s="4" t="inlineStr">
        <is>
          <t>DOC AUX/N/V/TC/ING DE SISTEMAS/FUN.ACADE-ADMIN</t>
        </is>
      </c>
      <c r="I522" s="4" t="inlineStr">
        <is>
          <t>INGENIERIA DE SISTEMAS</t>
        </is>
      </c>
      <c r="J522" s="4" t="inlineStr">
        <is>
          <t>PLANTA</t>
        </is>
      </c>
      <c r="K522" s="4" t="inlineStr">
        <is>
          <t>SOFIA ARANZAZU</t>
        </is>
      </c>
      <c r="L522" s="4" t="inlineStr">
        <is>
          <t>CONFIRMADO VIRTUAL</t>
        </is>
      </c>
      <c r="M522" s="4" t="n">
        <v/>
      </c>
      <c r="N522" s="4" t="n">
        <v>3164659129</v>
      </c>
      <c r="O522" s="4" t="inlineStr">
        <is>
          <t>darkness863@gmail.com</t>
        </is>
      </c>
      <c r="P522" s="4" t="inlineStr">
        <is>
          <t>BTA SEDE SUR</t>
        </is>
      </c>
      <c r="Q522" s="4" t="inlineStr">
        <is>
          <t>INGENIERIA</t>
        </is>
      </c>
      <c r="R522" s="4" t="n">
        <v>502</v>
      </c>
    </row>
    <row r="523" ht="20" customHeight="1">
      <c r="A523" s="6" t="inlineStr">
        <is>
          <t>1010046675</t>
        </is>
      </c>
      <c r="B523" s="7" t="inlineStr">
        <is>
          <t>VIRTUAL</t>
        </is>
      </c>
      <c r="C523" s="7" t="inlineStr">
        <is>
          <t>FELIPE ALEXANDER GARZON CASTILLO</t>
        </is>
      </c>
      <c r="D523" s="7" t="inlineStr">
        <is>
          <t>OPERACIONES</t>
        </is>
      </c>
      <c r="E523" s="7" t="inlineStr">
        <is>
          <t>REGIONAL BOGOTA</t>
        </is>
      </c>
      <c r="F523" s="7" t="inlineStr">
        <is>
          <t>BOGOTA CENTRO</t>
        </is>
      </c>
      <c r="G523" s="7" t="inlineStr">
        <is>
          <t>VIRTUAL</t>
        </is>
      </c>
      <c r="H523" s="7" t="inlineStr">
        <is>
          <t>DOC ASIS/N/V/TC/ING DE SISTEMAS/FUN.ACADE-ADMIN</t>
        </is>
      </c>
      <c r="I523" s="7" t="inlineStr">
        <is>
          <t>INGENIERIA DE SISTEMAS</t>
        </is>
      </c>
      <c r="J523" s="7" t="inlineStr">
        <is>
          <t>PLANTA</t>
        </is>
      </c>
      <c r="K523" s="7" t="inlineStr">
        <is>
          <t>SOFIA ARANZAZU</t>
        </is>
      </c>
      <c r="L523" s="7" t="inlineStr">
        <is>
          <t>CONFIRMADO VIRTUAL</t>
        </is>
      </c>
      <c r="M523" s="7" t="n">
        <v/>
      </c>
      <c r="N523" s="7" t="n">
        <v>3132808168</v>
      </c>
      <c r="O523" s="7" t="inlineStr">
        <is>
          <t>FELIPEALEXANDERG7@GMAIL.COM</t>
        </is>
      </c>
      <c r="P523" s="7" t="inlineStr">
        <is>
          <t>BTA SEDE A</t>
        </is>
      </c>
      <c r="Q523" s="7" t="inlineStr">
        <is>
          <t>INGENIERIA</t>
        </is>
      </c>
      <c r="R523" s="7" t="n">
        <v>502</v>
      </c>
    </row>
    <row r="524" ht="20" customHeight="1">
      <c r="A524" s="3" t="inlineStr">
        <is>
          <t>1098759763</t>
        </is>
      </c>
      <c r="B524" s="4" t="inlineStr">
        <is>
          <t>VIRTUAL</t>
        </is>
      </c>
      <c r="C524" s="4" t="inlineStr">
        <is>
          <t>HEYNER LEONEL BECERRA RAMIREZ</t>
        </is>
      </c>
      <c r="D524" s="4" t="inlineStr">
        <is>
          <t>OPERACIONES</t>
        </is>
      </c>
      <c r="E524" s="4" t="inlineStr">
        <is>
          <t>REGIONAL SANTANDER</t>
        </is>
      </c>
      <c r="F524" s="4" t="inlineStr">
        <is>
          <t>BUCARAMANGA</t>
        </is>
      </c>
      <c r="G524" s="4" t="inlineStr">
        <is>
          <t>VIRTUAL</t>
        </is>
      </c>
      <c r="H524" s="4" t="inlineStr">
        <is>
          <t>DOC ASIS/N/V/MT/ING DE SISTEMAS</t>
        </is>
      </c>
      <c r="I524" s="4" t="inlineStr">
        <is>
          <t>INGENIERIA DE SISTEMAS</t>
        </is>
      </c>
      <c r="J524" s="4" t="inlineStr">
        <is>
          <t>PLANTA</t>
        </is>
      </c>
      <c r="K524" s="4" t="inlineStr">
        <is>
          <t>SOFIA ARANZAZU</t>
        </is>
      </c>
      <c r="L524" s="4" t="inlineStr">
        <is>
          <t>CONFIRMADO VIRTUAL</t>
        </is>
      </c>
      <c r="M524" s="4" t="n">
        <v/>
      </c>
      <c r="N524" s="4" t="n">
        <v>3192807632</v>
      </c>
      <c r="O524" s="4" t="inlineStr">
        <is>
          <t>heynerlbr@gmail.com</t>
        </is>
      </c>
      <c r="P524" s="4" t="inlineStr">
        <is>
          <t>BGA SEDE</t>
        </is>
      </c>
      <c r="Q524" s="4" t="inlineStr">
        <is>
          <t>INGENIERIA</t>
        </is>
      </c>
      <c r="R524" s="4" t="n">
        <v/>
      </c>
    </row>
    <row r="525" ht="20" customHeight="1">
      <c r="A525" s="6" t="inlineStr">
        <is>
          <t>7727092</t>
        </is>
      </c>
      <c r="B525" s="7" t="inlineStr">
        <is>
          <t>PRESENCIAL BOGOTÁ</t>
        </is>
      </c>
      <c r="C525" s="7" t="inlineStr">
        <is>
          <t>JOSE SANTIAGO HERNANDEZ SUAREZ</t>
        </is>
      </c>
      <c r="D525" s="7" t="inlineStr">
        <is>
          <t>OPERACIONES</t>
        </is>
      </c>
      <c r="E525" s="7" t="inlineStr">
        <is>
          <t>REGIONAL BOGOTA</t>
        </is>
      </c>
      <c r="F525" s="7" t="inlineStr">
        <is>
          <t>BOGOTA CENTRO</t>
        </is>
      </c>
      <c r="G525" s="7" t="inlineStr">
        <is>
          <t>PRESENCIAL</t>
        </is>
      </c>
      <c r="H525" s="7" t="inlineStr">
        <is>
          <t>DOC AUX T&amp;T/N/TC/ING SISTEM/FUN.ACADE-ADMIN</t>
        </is>
      </c>
      <c r="I525" s="7" t="inlineStr">
        <is>
          <t>INGENIERIA DE SISTEMAS</t>
        </is>
      </c>
      <c r="J525" s="7" t="inlineStr">
        <is>
          <t>PLANTA</t>
        </is>
      </c>
      <c r="K525" s="7" t="inlineStr">
        <is>
          <t>SOFIA ARANZAZU</t>
        </is>
      </c>
      <c r="L525" s="7" t="inlineStr">
        <is>
          <t>CONFIRMADO PRESENCIAL</t>
        </is>
      </c>
      <c r="M525" s="7" t="n">
        <v/>
      </c>
      <c r="N525" s="7" t="n">
        <v>3138267874</v>
      </c>
      <c r="O525" s="7" t="inlineStr">
        <is>
          <t>ingenierosantiagohernandez@hotmail.com</t>
        </is>
      </c>
      <c r="P525" s="7" t="inlineStr">
        <is>
          <t>BTA SEDE G</t>
        </is>
      </c>
      <c r="Q525" s="7" t="inlineStr">
        <is>
          <t>INGENIERIA</t>
        </is>
      </c>
      <c r="R525" s="7" t="n">
        <v>502</v>
      </c>
    </row>
    <row r="526" ht="20" customHeight="1">
      <c r="A526" s="3" t="inlineStr">
        <is>
          <t>1144137913</t>
        </is>
      </c>
      <c r="B526" s="4" t="inlineStr">
        <is>
          <t>PRESENCIAL BOGOTÁ</t>
        </is>
      </c>
      <c r="C526" s="4" t="inlineStr">
        <is>
          <t>FRANCISCO ANTONIO RIASCOS SANCHEZ</t>
        </is>
      </c>
      <c r="D526" s="4" t="inlineStr">
        <is>
          <t>OPERACIONES</t>
        </is>
      </c>
      <c r="E526" s="4" t="inlineStr">
        <is>
          <t>REGIONAL BOGOTA</t>
        </is>
      </c>
      <c r="F526" s="4" t="inlineStr">
        <is>
          <t>BOGOTA CENTRO</t>
        </is>
      </c>
      <c r="G526" s="4" t="inlineStr">
        <is>
          <t>PRESENCIAL</t>
        </is>
      </c>
      <c r="H526" s="4" t="inlineStr">
        <is>
          <t>DOCENTE AUX/N/MT/ING SISTEM</t>
        </is>
      </c>
      <c r="I526" s="4" t="inlineStr">
        <is>
          <t>INGENIERIA DE SISTEMAS</t>
        </is>
      </c>
      <c r="J526" s="4" t="inlineStr">
        <is>
          <t>PLANTA</t>
        </is>
      </c>
      <c r="K526" s="4" t="inlineStr">
        <is>
          <t>SOFIA ARANZAZU</t>
        </is>
      </c>
      <c r="L526" s="4" t="inlineStr">
        <is>
          <t>SIN RESPUESTA</t>
        </is>
      </c>
      <c r="M526" s="4" t="n">
        <v/>
      </c>
      <c r="N526" s="4" t="inlineStr">
        <is>
          <t>321 6421747</t>
        </is>
      </c>
      <c r="O526" s="4" t="inlineStr">
        <is>
          <t>FRANCISCO.RIASCOSS@GMAIL.COM</t>
        </is>
      </c>
      <c r="P526" s="4" t="inlineStr">
        <is>
          <t>BTA SEDE G</t>
        </is>
      </c>
      <c r="Q526" s="4" t="inlineStr">
        <is>
          <t>INGENIERIA</t>
        </is>
      </c>
      <c r="R526" s="4" t="n">
        <v>502</v>
      </c>
    </row>
    <row r="527" ht="20" customHeight="1">
      <c r="A527" s="6" t="inlineStr">
        <is>
          <t>79598362</t>
        </is>
      </c>
      <c r="B527" s="7" t="inlineStr">
        <is>
          <t>PRESENCIAL BOGOTÁ</t>
        </is>
      </c>
      <c r="C527" s="7" t="inlineStr">
        <is>
          <t>SAID PINZON CASTANEDA</t>
        </is>
      </c>
      <c r="D527" s="7" t="inlineStr">
        <is>
          <t>OPERACIONES</t>
        </is>
      </c>
      <c r="E527" s="7" t="inlineStr">
        <is>
          <t>REGIONAL BOGOTA</t>
        </is>
      </c>
      <c r="F527" s="7" t="inlineStr">
        <is>
          <t>BOGOTA CENTRO</t>
        </is>
      </c>
      <c r="G527" s="7" t="inlineStr">
        <is>
          <t>PRESENCIAL</t>
        </is>
      </c>
      <c r="H527" s="7" t="inlineStr">
        <is>
          <t>DOCENTE ASIS/N/TC/ING ELECTRO/FUN.ACADE-ADMIN</t>
        </is>
      </c>
      <c r="I527" s="7" t="inlineStr">
        <is>
          <t>INGENIERIA ELECTRONICA</t>
        </is>
      </c>
      <c r="J527" s="7" t="inlineStr">
        <is>
          <t>PLANTA</t>
        </is>
      </c>
      <c r="K527" s="7" t="inlineStr">
        <is>
          <t>SOFIA ARANZAZU</t>
        </is>
      </c>
      <c r="L527" s="7" t="inlineStr">
        <is>
          <t>CONFIRMADO PRESENCIAL</t>
        </is>
      </c>
      <c r="M527" s="7" t="n">
        <v/>
      </c>
      <c r="N527" s="7" t="n">
        <v>3204686537</v>
      </c>
      <c r="O527" s="7" t="inlineStr">
        <is>
          <t>SAIDPINZON145@GMAIL.COM</t>
        </is>
      </c>
      <c r="P527" s="7" t="inlineStr">
        <is>
          <t>BTA SEDE I</t>
        </is>
      </c>
      <c r="Q527" s="7" t="inlineStr">
        <is>
          <t>INGENIERIA</t>
        </is>
      </c>
      <c r="R527" s="7" t="n">
        <v>502</v>
      </c>
    </row>
    <row r="528" ht="20" customHeight="1">
      <c r="A528" s="3" t="inlineStr">
        <is>
          <t>80274104</t>
        </is>
      </c>
      <c r="B528" s="4" t="inlineStr">
        <is>
          <t>PRESENCIAL BOGOTÁ</t>
        </is>
      </c>
      <c r="C528" s="4" t="inlineStr">
        <is>
          <t>JUAN FRANCISCO LOPEZ FERNANDEZ</t>
        </is>
      </c>
      <c r="D528" s="4" t="inlineStr">
        <is>
          <t>OPERACIONES</t>
        </is>
      </c>
      <c r="E528" s="4" t="inlineStr">
        <is>
          <t>REGIONAL BOGOTA</t>
        </is>
      </c>
      <c r="F528" s="4" t="inlineStr">
        <is>
          <t>BOGOTA CENTRO</t>
        </is>
      </c>
      <c r="G528" s="4" t="inlineStr">
        <is>
          <t>PRESENCIAL</t>
        </is>
      </c>
      <c r="H528" s="4" t="inlineStr">
        <is>
          <t>DOC AUX T&amp;T/N/TC/ING ELECTRO/FUN.ACADE-ADMIN</t>
        </is>
      </c>
      <c r="I528" s="4" t="inlineStr">
        <is>
          <t>INGENIERIA ELECTRONICA</t>
        </is>
      </c>
      <c r="J528" s="4" t="inlineStr">
        <is>
          <t>PLANTA</t>
        </is>
      </c>
      <c r="K528" s="4" t="inlineStr">
        <is>
          <t>SOFIA ARANZAZU</t>
        </is>
      </c>
      <c r="L528" s="4" t="inlineStr">
        <is>
          <t>SIN RESPUESTA</t>
        </is>
      </c>
      <c r="M528" s="4" t="n">
        <v/>
      </c>
      <c r="N528" s="4" t="n">
        <v>3132695609</v>
      </c>
      <c r="O528" s="4" t="inlineStr">
        <is>
          <t>fralo030@gmail.com</t>
        </is>
      </c>
      <c r="P528" s="4" t="inlineStr">
        <is>
          <t>BTA SEDE I</t>
        </is>
      </c>
      <c r="Q528" s="4" t="inlineStr">
        <is>
          <t>INGENIERIA</t>
        </is>
      </c>
      <c r="R528" s="4" t="n">
        <v>502</v>
      </c>
    </row>
    <row r="529" ht="20" customHeight="1">
      <c r="A529" s="6" t="inlineStr">
        <is>
          <t>1014211418</t>
        </is>
      </c>
      <c r="B529" s="7" t="inlineStr">
        <is>
          <t>PRESENCIAL BOGOTÁ</t>
        </is>
      </c>
      <c r="C529" s="7" t="inlineStr">
        <is>
          <t>GUSTAVO ADOLFO BRICEÑO GUERRERO</t>
        </is>
      </c>
      <c r="D529" s="7" t="inlineStr">
        <is>
          <t>OPERACIONES</t>
        </is>
      </c>
      <c r="E529" s="7" t="inlineStr">
        <is>
          <t>REGIONAL BOGOTA</t>
        </is>
      </c>
      <c r="F529" s="7" t="inlineStr">
        <is>
          <t>BOGOTA CENTRO</t>
        </is>
      </c>
      <c r="G529" s="7" t="inlineStr">
        <is>
          <t>PRESENCIAL</t>
        </is>
      </c>
      <c r="H529" s="7" t="inlineStr">
        <is>
          <t>DOC AUX T&amp;T/N/TC/ING ELECTRO/FUN.ACADE-ADMIN</t>
        </is>
      </c>
      <c r="I529" s="7" t="inlineStr">
        <is>
          <t>INGENIERIA ELECTRONICA</t>
        </is>
      </c>
      <c r="J529" s="7" t="inlineStr">
        <is>
          <t>PLANTA</t>
        </is>
      </c>
      <c r="K529" s="7" t="inlineStr">
        <is>
          <t>SOFIA ARANZAZU</t>
        </is>
      </c>
      <c r="L529" s="7" t="inlineStr">
        <is>
          <t>SIN RESPUESTA</t>
        </is>
      </c>
      <c r="M529" s="7" t="n">
        <v/>
      </c>
      <c r="N529" s="7" t="n">
        <v>3195417613</v>
      </c>
      <c r="O529" s="7" t="inlineStr">
        <is>
          <t>devsigner.gb@gmail.com</t>
        </is>
      </c>
      <c r="P529" s="7" t="inlineStr">
        <is>
          <t>BTA SEDE I</t>
        </is>
      </c>
      <c r="Q529" s="7" t="inlineStr">
        <is>
          <t>INGENIERIA</t>
        </is>
      </c>
      <c r="R529" s="7" t="n">
        <v>502</v>
      </c>
    </row>
    <row r="530" ht="20" customHeight="1">
      <c r="A530" s="3" t="inlineStr">
        <is>
          <t>79783997</t>
        </is>
      </c>
      <c r="B530" s="4" t="inlineStr">
        <is>
          <t>PRESENCIAL BOGOTÁ</t>
        </is>
      </c>
      <c r="C530" s="4" t="inlineStr">
        <is>
          <t>DANTE GIOVANNI STERPIN BUITRAGO</t>
        </is>
      </c>
      <c r="D530" s="4" t="inlineStr">
        <is>
          <t>OPERACIONES</t>
        </is>
      </c>
      <c r="E530" s="4" t="inlineStr">
        <is>
          <t>REGIONAL BOGOTA</t>
        </is>
      </c>
      <c r="F530" s="4" t="inlineStr">
        <is>
          <t>BOGOTA CENTRO</t>
        </is>
      </c>
      <c r="G530" s="4" t="inlineStr">
        <is>
          <t>PRESENCIAL</t>
        </is>
      </c>
      <c r="H530" s="4" t="inlineStr">
        <is>
          <t>DOCENTE ASOC/N/TC/ING ELECTRO/INVESTIGAC</t>
        </is>
      </c>
      <c r="I530" s="4" t="inlineStr">
        <is>
          <t>INGENIERIA ELECTRONICA</t>
        </is>
      </c>
      <c r="J530" s="4" t="inlineStr">
        <is>
          <t>PLANTA</t>
        </is>
      </c>
      <c r="K530" s="4" t="inlineStr">
        <is>
          <t>SOFIA ARANZAZU</t>
        </is>
      </c>
      <c r="L530" s="4" t="inlineStr">
        <is>
          <t>SIN RESPUESTA</t>
        </is>
      </c>
      <c r="M530" s="4" t="n">
        <v/>
      </c>
      <c r="N530" s="4" t="n">
        <v>3187660563</v>
      </c>
      <c r="O530" s="4" t="inlineStr">
        <is>
          <t>dantesterpin@yahoo.com</t>
        </is>
      </c>
      <c r="P530" s="4" t="inlineStr">
        <is>
          <t>BTA SEDE I</t>
        </is>
      </c>
      <c r="Q530" s="4" t="inlineStr">
        <is>
          <t>INGENIERIA</t>
        </is>
      </c>
      <c r="R530" s="4" t="n">
        <v>502</v>
      </c>
    </row>
    <row r="531" ht="20" customHeight="1">
      <c r="A531" s="6" t="inlineStr">
        <is>
          <t>51988353</t>
        </is>
      </c>
      <c r="B531" s="7" t="inlineStr">
        <is>
          <t>PRESENCIAL BOGOTÁ</t>
        </is>
      </c>
      <c r="C531" s="7" t="inlineStr">
        <is>
          <t>MARY LUZ REYES CORREDOR</t>
        </is>
      </c>
      <c r="D531" s="7" t="inlineStr">
        <is>
          <t>OPERACIONES</t>
        </is>
      </c>
      <c r="E531" s="7" t="inlineStr">
        <is>
          <t>REGIONAL BOGOTA</t>
        </is>
      </c>
      <c r="F531" s="7" t="inlineStr">
        <is>
          <t>BOGOTA CENTRO</t>
        </is>
      </c>
      <c r="G531" s="7" t="inlineStr">
        <is>
          <t>PRESENCIAL</t>
        </is>
      </c>
      <c r="H531" s="7" t="inlineStr">
        <is>
          <t>DOCENTE ASIS/N/TC/ING ELECTRO/PROYECCION</t>
        </is>
      </c>
      <c r="I531" s="7" t="inlineStr">
        <is>
          <t>INGENIERIA ELECTRONICA</t>
        </is>
      </c>
      <c r="J531" s="7" t="inlineStr">
        <is>
          <t>PLANTA</t>
        </is>
      </c>
      <c r="K531" s="7" t="inlineStr">
        <is>
          <t>SOFIA ARANZAZU</t>
        </is>
      </c>
      <c r="L531" s="7" t="inlineStr">
        <is>
          <t>SIN RESPUESTA</t>
        </is>
      </c>
      <c r="M531" s="7" t="n">
        <v/>
      </c>
      <c r="N531" s="7" t="n">
        <v>3046239357</v>
      </c>
      <c r="O531" s="7" t="inlineStr">
        <is>
          <t>myda2006@outlook.com</t>
        </is>
      </c>
      <c r="P531" s="7" t="inlineStr">
        <is>
          <t>BTA SEDE I</t>
        </is>
      </c>
      <c r="Q531" s="7" t="inlineStr">
        <is>
          <t>INGENIERIA</t>
        </is>
      </c>
      <c r="R531" s="7" t="n">
        <v>502</v>
      </c>
    </row>
    <row r="532" ht="20" customHeight="1">
      <c r="A532" s="3" t="inlineStr">
        <is>
          <t>46454699</t>
        </is>
      </c>
      <c r="B532" s="4" t="inlineStr">
        <is>
          <t>PRESENCIAL BOGOTÁ</t>
        </is>
      </c>
      <c r="C532" s="4" t="inlineStr">
        <is>
          <t>DIANA ASTRID FAJARDO SUA</t>
        </is>
      </c>
      <c r="D532" s="4" t="inlineStr">
        <is>
          <t>OPERACIONES</t>
        </is>
      </c>
      <c r="E532" s="4" t="inlineStr">
        <is>
          <t>REGIONAL BOGOTA</t>
        </is>
      </c>
      <c r="F532" s="4" t="inlineStr">
        <is>
          <t>BOGOTA CENTRO</t>
        </is>
      </c>
      <c r="G532" s="4" t="inlineStr">
        <is>
          <t>PRESENCIAL</t>
        </is>
      </c>
      <c r="H532" s="4" t="inlineStr">
        <is>
          <t>DOCENTE ASIS/N/TC/ING ELECTRO/FUN.ACADE-ADMIN</t>
        </is>
      </c>
      <c r="I532" s="4" t="inlineStr">
        <is>
          <t>INGENIERIA ELECTRONICA</t>
        </is>
      </c>
      <c r="J532" s="4" t="inlineStr">
        <is>
          <t>PLANTA</t>
        </is>
      </c>
      <c r="K532" s="4" t="inlineStr">
        <is>
          <t>SOFIA ARANZAZU</t>
        </is>
      </c>
      <c r="L532" s="4" t="inlineStr">
        <is>
          <t>SIN RESPUESTA</t>
        </is>
      </c>
      <c r="M532" s="4" t="n">
        <v/>
      </c>
      <c r="N532" s="4" t="n">
        <v>3045466643</v>
      </c>
      <c r="O532" s="4" t="inlineStr">
        <is>
          <t>diana.fajardos@gmail.com</t>
        </is>
      </c>
      <c r="P532" s="4" t="inlineStr">
        <is>
          <t>BTA SEDE I</t>
        </is>
      </c>
      <c r="Q532" s="4" t="inlineStr">
        <is>
          <t>INGENIERIA</t>
        </is>
      </c>
      <c r="R532" s="4" t="n">
        <v>502</v>
      </c>
    </row>
    <row r="533" ht="20" customHeight="1">
      <c r="A533" s="6" t="inlineStr">
        <is>
          <t>1015477295</t>
        </is>
      </c>
      <c r="B533" s="7" t="inlineStr">
        <is>
          <t>PRESENCIAL BOGOTÁ</t>
        </is>
      </c>
      <c r="C533" s="7" t="inlineStr">
        <is>
          <t>DANIELA ALEJANDRA ARDILA YOPAZA</t>
        </is>
      </c>
      <c r="D533" s="7" t="inlineStr">
        <is>
          <t>OPERACIONES</t>
        </is>
      </c>
      <c r="E533" s="7" t="inlineStr">
        <is>
          <t>REGIONAL BOGOTA</t>
        </is>
      </c>
      <c r="F533" s="7" t="inlineStr">
        <is>
          <t>BOGOTA CENTRO</t>
        </is>
      </c>
      <c r="G533" s="7" t="inlineStr">
        <is>
          <t>PRESENCIAL</t>
        </is>
      </c>
      <c r="H533" s="7" t="inlineStr">
        <is>
          <t>DOC AUX T&amp;T/N/TC/ING ELECTRO/FUN.ACADE-ADMIN</t>
        </is>
      </c>
      <c r="I533" s="7" t="inlineStr">
        <is>
          <t>INGENIERIA ELECTRONICA</t>
        </is>
      </c>
      <c r="J533" s="7" t="inlineStr">
        <is>
          <t>PLANTA</t>
        </is>
      </c>
      <c r="K533" s="7" t="inlineStr">
        <is>
          <t>SOFIA ARANZAZU</t>
        </is>
      </c>
      <c r="L533" s="7" t="inlineStr">
        <is>
          <t>CONFIRMADO PRESENCIAL</t>
        </is>
      </c>
      <c r="M533" s="7" t="n">
        <v/>
      </c>
      <c r="N533" s="7" t="n">
        <v>3014068756</v>
      </c>
      <c r="O533" s="7" t="inlineStr">
        <is>
          <t>dani060998@gmail.com</t>
        </is>
      </c>
      <c r="P533" s="7" t="inlineStr">
        <is>
          <t>BTA SEDE I</t>
        </is>
      </c>
      <c r="Q533" s="7" t="inlineStr">
        <is>
          <t>INGENIERIA</t>
        </is>
      </c>
      <c r="R533" s="7" t="n">
        <v>502</v>
      </c>
    </row>
    <row r="534" ht="20" customHeight="1">
      <c r="A534" s="3" t="inlineStr">
        <is>
          <t>79864150</t>
        </is>
      </c>
      <c r="B534" s="4" t="inlineStr">
        <is>
          <t>PRESENCIAL BOGOTÁ</t>
        </is>
      </c>
      <c r="C534" s="4" t="inlineStr">
        <is>
          <t>ALVARO ANDRES GONZALEZ CHAPARRO</t>
        </is>
      </c>
      <c r="D534" s="4" t="inlineStr">
        <is>
          <t>OPERACIONES</t>
        </is>
      </c>
      <c r="E534" s="4" t="inlineStr">
        <is>
          <t>REGIONAL BOGOTA</t>
        </is>
      </c>
      <c r="F534" s="4" t="inlineStr">
        <is>
          <t>BOGOTA CENTRO</t>
        </is>
      </c>
      <c r="G534" s="4" t="inlineStr">
        <is>
          <t>PRESENCIAL</t>
        </is>
      </c>
      <c r="H534" s="4" t="inlineStr">
        <is>
          <t>DOCENTE ASOC/N/TC/ING ELECTRO/FUN.ACADE-ADMIN</t>
        </is>
      </c>
      <c r="I534" s="4" t="inlineStr">
        <is>
          <t>INGENIERIA ELECTRONICA</t>
        </is>
      </c>
      <c r="J534" s="4" t="inlineStr">
        <is>
          <t>PLANTA</t>
        </is>
      </c>
      <c r="K534" s="4" t="inlineStr">
        <is>
          <t>SOFIA ARANZAZU</t>
        </is>
      </c>
      <c r="L534" s="4" t="inlineStr">
        <is>
          <t>SIN RESPUESTA</t>
        </is>
      </c>
      <c r="M534" s="4" t="n">
        <v/>
      </c>
      <c r="N534" s="4" t="n">
        <v>3114516625</v>
      </c>
      <c r="O534" s="4" t="inlineStr">
        <is>
          <t>alvan0410@yahoo.es</t>
        </is>
      </c>
      <c r="P534" s="4" t="inlineStr">
        <is>
          <t>BTA SEDE I</t>
        </is>
      </c>
      <c r="Q534" s="4" t="inlineStr">
        <is>
          <t>INGENIERIA</t>
        </is>
      </c>
      <c r="R534" s="4" t="n">
        <v>502</v>
      </c>
    </row>
    <row r="535" ht="20" customHeight="1">
      <c r="A535" s="6" t="inlineStr">
        <is>
          <t>3251929</t>
        </is>
      </c>
      <c r="B535" s="7" t="inlineStr">
        <is>
          <t>VIRTUAL</t>
        </is>
      </c>
      <c r="C535" s="7" t="inlineStr">
        <is>
          <t>WILDAR BONILLA PARRA</t>
        </is>
      </c>
      <c r="D535" s="7" t="inlineStr">
        <is>
          <t>OPERACIONES</t>
        </is>
      </c>
      <c r="E535" s="7" t="inlineStr">
        <is>
          <t>REGIONAL BOGOTA</t>
        </is>
      </c>
      <c r="F535" s="7" t="inlineStr">
        <is>
          <t>BOGOTA CENTRO</t>
        </is>
      </c>
      <c r="G535" s="7" t="inlineStr">
        <is>
          <t>VIRTUAL</t>
        </is>
      </c>
      <c r="H535" s="7" t="inlineStr">
        <is>
          <t>DOC ASIS/N/V/TC/ING INDUS/FUN.ACADE-ADMIN</t>
        </is>
      </c>
      <c r="I535" s="7" t="inlineStr">
        <is>
          <t>INGENIERIA INDUSTRIAL</t>
        </is>
      </c>
      <c r="J535" s="7" t="inlineStr">
        <is>
          <t>PLANTA</t>
        </is>
      </c>
      <c r="K535" s="7" t="inlineStr">
        <is>
          <t>SOFIA ARANZAZU</t>
        </is>
      </c>
      <c r="L535" s="7" t="inlineStr">
        <is>
          <t>CONFIRMADO VIRTUAL</t>
        </is>
      </c>
      <c r="M535" s="7" t="n">
        <v/>
      </c>
      <c r="N535" s="7" t="n">
        <v>3102885684</v>
      </c>
      <c r="O535" s="7" t="inlineStr">
        <is>
          <t>wildarbonilla@gmail.com</t>
        </is>
      </c>
      <c r="P535" s="7" t="inlineStr">
        <is>
          <t>BTA SEDE A</t>
        </is>
      </c>
      <c r="Q535" s="7" t="inlineStr">
        <is>
          <t>INGENIERIA</t>
        </is>
      </c>
      <c r="R535" s="7" t="n">
        <v>502</v>
      </c>
    </row>
    <row r="536" ht="20" customHeight="1">
      <c r="A536" s="3" t="inlineStr">
        <is>
          <t>79962217</t>
        </is>
      </c>
      <c r="B536" s="4" t="inlineStr">
        <is>
          <t>PRESENCIAL BOGOTÁ</t>
        </is>
      </c>
      <c r="C536" s="4" t="inlineStr">
        <is>
          <t>WILBER GIRSEAHO MENDEZ ZOTAQUIRA</t>
        </is>
      </c>
      <c r="D536" s="4" t="inlineStr">
        <is>
          <t>OPERACIONES</t>
        </is>
      </c>
      <c r="E536" s="4" t="inlineStr">
        <is>
          <t>REGIONAL BOGOTA</t>
        </is>
      </c>
      <c r="F536" s="4" t="inlineStr">
        <is>
          <t>BOGOTA CENTRO</t>
        </is>
      </c>
      <c r="G536" s="4" t="inlineStr">
        <is>
          <t>VIRTUAL</t>
        </is>
      </c>
      <c r="H536" s="4" t="inlineStr">
        <is>
          <t>DOC ASIS/N/V/TC/ING INDUS/FUN.ACADE-ADMIN</t>
        </is>
      </c>
      <c r="I536" s="4" t="inlineStr">
        <is>
          <t>INGENIERIA INDUSTRIAL</t>
        </is>
      </c>
      <c r="J536" s="4" t="inlineStr">
        <is>
          <t>PLANTA</t>
        </is>
      </c>
      <c r="K536" s="4" t="inlineStr">
        <is>
          <t>SOFIA ARANZAZU</t>
        </is>
      </c>
      <c r="L536" s="4" t="inlineStr">
        <is>
          <t>CONFIRMADO PRESENCIAL</t>
        </is>
      </c>
      <c r="M536" s="4" t="n">
        <v/>
      </c>
      <c r="N536" s="4" t="n">
        <v>3158527679</v>
      </c>
      <c r="O536" s="4" t="inlineStr">
        <is>
          <t>ingewilme@gmail.com</t>
        </is>
      </c>
      <c r="P536" s="4" t="inlineStr">
        <is>
          <t>BTA SEDE A</t>
        </is>
      </c>
      <c r="Q536" s="4" t="inlineStr">
        <is>
          <t>INGENIERIA</t>
        </is>
      </c>
      <c r="R536" s="4" t="n">
        <v>502</v>
      </c>
    </row>
    <row r="537" ht="20" customHeight="1">
      <c r="A537" s="6" t="inlineStr">
        <is>
          <t>75064436</t>
        </is>
      </c>
      <c r="B537" s="7" t="inlineStr">
        <is>
          <t>PRESENCIAL REGIONAL</t>
        </is>
      </c>
      <c r="C537" s="7" t="inlineStr">
        <is>
          <t>MARCELO TORRES ARANGO</t>
        </is>
      </c>
      <c r="D537" s="7" t="inlineStr">
        <is>
          <t>OPERACIONES</t>
        </is>
      </c>
      <c r="E537" s="7" t="inlineStr">
        <is>
          <t>REGIONAL ANTIOQUIA</t>
        </is>
      </c>
      <c r="F537" s="7" t="inlineStr">
        <is>
          <t>MEDELLIN</t>
        </is>
      </c>
      <c r="G537" s="7" t="inlineStr">
        <is>
          <t>VIRTUAL</t>
        </is>
      </c>
      <c r="H537" s="7" t="inlineStr">
        <is>
          <t>DOC ASIS/N/V/TC/ING INDUS/FUN.ACADE-ADMIN</t>
        </is>
      </c>
      <c r="I537" s="7" t="inlineStr">
        <is>
          <t>INGENIERIA INDUSTRIAL</t>
        </is>
      </c>
      <c r="J537" s="7" t="inlineStr">
        <is>
          <t>PLANTA</t>
        </is>
      </c>
      <c r="K537" s="7" t="inlineStr">
        <is>
          <t>SOFIA ARANZAZU</t>
        </is>
      </c>
      <c r="L537" s="7" t="inlineStr">
        <is>
          <t>SIN RESPUESTA</t>
        </is>
      </c>
      <c r="M537" s="7" t="n">
        <v/>
      </c>
      <c r="N537" s="7" t="n">
        <v>3004738022</v>
      </c>
      <c r="O537" s="7" t="inlineStr">
        <is>
          <t>MARCELOTORRESARANGO@YAHOO.COM</t>
        </is>
      </c>
      <c r="P537" s="7" t="inlineStr">
        <is>
          <t>MEDELLIN SEDE</t>
        </is>
      </c>
      <c r="Q537" s="7" t="inlineStr">
        <is>
          <t>INGENIERIA</t>
        </is>
      </c>
      <c r="R537" s="7" t="n">
        <v/>
      </c>
    </row>
    <row r="538" ht="20" customHeight="1">
      <c r="A538" s="3" t="inlineStr">
        <is>
          <t>1090479144</t>
        </is>
      </c>
      <c r="B538" s="4" t="inlineStr">
        <is>
          <t>VIRTUAL</t>
        </is>
      </c>
      <c r="C538" s="4" t="inlineStr">
        <is>
          <t>YEISON SIERRA CHACON</t>
        </is>
      </c>
      <c r="D538" s="4" t="inlineStr">
        <is>
          <t>OPERACIONES</t>
        </is>
      </c>
      <c r="E538" s="4" t="inlineStr">
        <is>
          <t>REGIONAL NORTE DE SANTANDER</t>
        </is>
      </c>
      <c r="F538" s="4" t="inlineStr">
        <is>
          <t>CUCUTÁ</t>
        </is>
      </c>
      <c r="G538" s="4" t="inlineStr">
        <is>
          <t>VIRTUAL</t>
        </is>
      </c>
      <c r="H538" s="4" t="inlineStr">
        <is>
          <t>DOC AUX/N/V/TC/ING INDUS/FUN.ACADE-ADMIN</t>
        </is>
      </c>
      <c r="I538" s="4" t="inlineStr">
        <is>
          <t>INGENIERIA INDUSTRIAL</t>
        </is>
      </c>
      <c r="J538" s="4" t="inlineStr">
        <is>
          <t>PLANTA</t>
        </is>
      </c>
      <c r="K538" s="4" t="inlineStr">
        <is>
          <t>SOFIA ARANZAZU</t>
        </is>
      </c>
      <c r="L538" s="4" t="inlineStr">
        <is>
          <t>SIN RESPUESTA</t>
        </is>
      </c>
      <c r="M538" s="4" t="n">
        <v/>
      </c>
      <c r="N538" s="4" t="n">
        <v>3118055457</v>
      </c>
      <c r="O538" s="4" t="inlineStr">
        <is>
          <t>chaconjeison@gmail.com</t>
        </is>
      </c>
      <c r="P538" s="4" t="inlineStr">
        <is>
          <t>CUCUTA SEDE</t>
        </is>
      </c>
      <c r="Q538" s="4" t="inlineStr">
        <is>
          <t>INGENIERIA</t>
        </is>
      </c>
      <c r="R538" s="4" t="n">
        <v/>
      </c>
    </row>
    <row r="539" ht="20" customHeight="1">
      <c r="A539" s="6" t="inlineStr">
        <is>
          <t>1143358414</t>
        </is>
      </c>
      <c r="B539" s="7" t="inlineStr">
        <is>
          <t>VIRTUAL</t>
        </is>
      </c>
      <c r="C539" s="7" t="inlineStr">
        <is>
          <t>MARY JIMENEZ TOVAR</t>
        </is>
      </c>
      <c r="D539" s="7" t="inlineStr">
        <is>
          <t>OPERACIONES</t>
        </is>
      </c>
      <c r="E539" s="7" t="inlineStr">
        <is>
          <t>REGIONAL BOLIVAR</t>
        </is>
      </c>
      <c r="F539" s="7" t="inlineStr">
        <is>
          <t>CARTAGENA</t>
        </is>
      </c>
      <c r="G539" s="7" t="inlineStr">
        <is>
          <t>VIRTUAL</t>
        </is>
      </c>
      <c r="H539" s="7" t="inlineStr">
        <is>
          <t>DOC ASIS/N/V/TC/ING INDUS/FUN.ACADE-ADMIN</t>
        </is>
      </c>
      <c r="I539" s="7" t="inlineStr">
        <is>
          <t>INGENIERIA INDUSTRIAL</t>
        </is>
      </c>
      <c r="J539" s="7" t="inlineStr">
        <is>
          <t>PLANTA</t>
        </is>
      </c>
      <c r="K539" s="7" t="inlineStr">
        <is>
          <t>SOFIA ARANZAZU</t>
        </is>
      </c>
      <c r="L539" s="7" t="inlineStr">
        <is>
          <t>SIN RESPUESTA</t>
        </is>
      </c>
      <c r="M539" s="7" t="n">
        <v/>
      </c>
      <c r="N539" s="7" t="n">
        <v>3017909188</v>
      </c>
      <c r="O539" s="7" t="inlineStr">
        <is>
          <t>maryjimenez.ing@gmail.com</t>
        </is>
      </c>
      <c r="P539" s="7" t="inlineStr">
        <is>
          <t>CARTAGENA SEDE</t>
        </is>
      </c>
      <c r="Q539" s="7" t="inlineStr">
        <is>
          <t>INGENIERIA</t>
        </is>
      </c>
      <c r="R539" s="7" t="n">
        <v/>
      </c>
    </row>
    <row r="540" ht="20" customHeight="1">
      <c r="A540" s="3" t="inlineStr">
        <is>
          <t>1015406707</t>
        </is>
      </c>
      <c r="B540" s="4" t="inlineStr">
        <is>
          <t>VIRTUAL</t>
        </is>
      </c>
      <c r="C540" s="4" t="inlineStr">
        <is>
          <t>OSCAR DAVID RAMIREZ BARRERA</t>
        </is>
      </c>
      <c r="D540" s="4" t="inlineStr">
        <is>
          <t>OPERACIONES</t>
        </is>
      </c>
      <c r="E540" s="4" t="inlineStr">
        <is>
          <t>REGIONAL BOGOTA</t>
        </is>
      </c>
      <c r="F540" s="4" t="inlineStr">
        <is>
          <t>BOGOTA CENTRO</t>
        </is>
      </c>
      <c r="G540" s="4" t="inlineStr">
        <is>
          <t>VIRTUAL</t>
        </is>
      </c>
      <c r="H540" s="4" t="inlineStr">
        <is>
          <t>DOC ASIS/N/V/TC/ING INDUS/FUN.ACADE-ADMIN</t>
        </is>
      </c>
      <c r="I540" s="4" t="inlineStr">
        <is>
          <t>INGENIERIA INDUSTRIAL</t>
        </is>
      </c>
      <c r="J540" s="4" t="inlineStr">
        <is>
          <t>PLANTA</t>
        </is>
      </c>
      <c r="K540" s="4" t="inlineStr">
        <is>
          <t>SOFIA ARANZAZU</t>
        </is>
      </c>
      <c r="L540" s="4" t="inlineStr">
        <is>
          <t>CONFIRMADO VIRTUAL</t>
        </is>
      </c>
      <c r="M540" s="4" t="n">
        <v/>
      </c>
      <c r="N540" s="4" t="inlineStr">
        <is>
          <t>312 3815145</t>
        </is>
      </c>
      <c r="O540" s="4" t="inlineStr">
        <is>
          <t>davidramirez31@gmail.com</t>
        </is>
      </c>
      <c r="P540" s="4" t="inlineStr">
        <is>
          <t>BTA SEDE A</t>
        </is>
      </c>
      <c r="Q540" s="4" t="inlineStr">
        <is>
          <t>INGENIERIA</t>
        </is>
      </c>
      <c r="R540" s="4" t="n">
        <v>502</v>
      </c>
    </row>
    <row r="541" ht="20" customHeight="1">
      <c r="A541" s="6" t="inlineStr">
        <is>
          <t>1093759989</t>
        </is>
      </c>
      <c r="B541" s="7" t="inlineStr">
        <is>
          <t>VIRTUAL</t>
        </is>
      </c>
      <c r="C541" s="7" t="inlineStr">
        <is>
          <t>JESSIKA ALEXANDRA SIERRA VILLAMIZAR</t>
        </is>
      </c>
      <c r="D541" s="7" t="inlineStr">
        <is>
          <t>OPERACIONES</t>
        </is>
      </c>
      <c r="E541" s="7" t="inlineStr">
        <is>
          <t>REGIONAL NORTE DE SANTANDER</t>
        </is>
      </c>
      <c r="F541" s="7" t="inlineStr">
        <is>
          <t>CUCUTÁ</t>
        </is>
      </c>
      <c r="G541" s="7" t="inlineStr">
        <is>
          <t>VIRTUAL</t>
        </is>
      </c>
      <c r="H541" s="7" t="inlineStr">
        <is>
          <t>DOC ASIS/N/V/TC/ING INDUS/PROYECCION SO</t>
        </is>
      </c>
      <c r="I541" s="7" t="inlineStr">
        <is>
          <t>INGENIERIA INDUSTRIAL</t>
        </is>
      </c>
      <c r="J541" s="7" t="inlineStr">
        <is>
          <t>PLANTA</t>
        </is>
      </c>
      <c r="K541" s="7" t="inlineStr">
        <is>
          <t>SOFIA ARANZAZU</t>
        </is>
      </c>
      <c r="L541" s="7" t="inlineStr">
        <is>
          <t>CONFIRMADO VIRTUAL</t>
        </is>
      </c>
      <c r="M541" s="7" t="n">
        <v/>
      </c>
      <c r="N541" s="7" t="n">
        <v>3187171041</v>
      </c>
      <c r="O541" s="7" t="inlineStr">
        <is>
          <t>jessk_112@hotmail.com</t>
        </is>
      </c>
      <c r="P541" s="7" t="inlineStr">
        <is>
          <t>CUCUTA SEDE</t>
        </is>
      </c>
      <c r="Q541" s="7" t="inlineStr">
        <is>
          <t>INGENIERIA</t>
        </is>
      </c>
      <c r="R541" s="7" t="n">
        <v/>
      </c>
    </row>
    <row r="542" ht="20" customHeight="1">
      <c r="A542" s="3" t="inlineStr">
        <is>
          <t>13569291</t>
        </is>
      </c>
      <c r="B542" s="4" t="inlineStr">
        <is>
          <t>PRESENCIAL BOGOTÁ</t>
        </is>
      </c>
      <c r="C542" s="4" t="inlineStr">
        <is>
          <t>WALTER AREVALO GUILLIN</t>
        </is>
      </c>
      <c r="D542" s="4" t="inlineStr">
        <is>
          <t>OPERACIONES</t>
        </is>
      </c>
      <c r="E542" s="4" t="inlineStr">
        <is>
          <t>REGIONAL BOGOTA</t>
        </is>
      </c>
      <c r="F542" s="4" t="inlineStr">
        <is>
          <t>BOGOTA CENTRO</t>
        </is>
      </c>
      <c r="G542" s="4" t="inlineStr">
        <is>
          <t>VIRTUAL</t>
        </is>
      </c>
      <c r="H542" s="4" t="inlineStr">
        <is>
          <t>DOC ASIS/N/V/TC/ING INDUS/FUN.ACADE-ADMIN</t>
        </is>
      </c>
      <c r="I542" s="4" t="inlineStr">
        <is>
          <t>INGENIERIA INDUSTRIAL</t>
        </is>
      </c>
      <c r="J542" s="4" t="inlineStr">
        <is>
          <t>PLANTA</t>
        </is>
      </c>
      <c r="K542" s="4" t="inlineStr">
        <is>
          <t>SOFIA ARANZAZU</t>
        </is>
      </c>
      <c r="L542" s="4" t="inlineStr">
        <is>
          <t>SIN RESPUESTA</t>
        </is>
      </c>
      <c r="M542" s="4" t="n">
        <v/>
      </c>
      <c r="N542" s="4" t="n">
        <v>3156183682</v>
      </c>
      <c r="O542" s="4" t="inlineStr">
        <is>
          <t>walter.arevalo@hotmail.com</t>
        </is>
      </c>
      <c r="P542" s="4" t="inlineStr">
        <is>
          <t>BTA SEDE A</t>
        </is>
      </c>
      <c r="Q542" s="4" t="inlineStr">
        <is>
          <t>INGENIERIA</t>
        </is>
      </c>
      <c r="R542" s="4" t="n">
        <v>503</v>
      </c>
    </row>
    <row r="543" ht="20" customHeight="1">
      <c r="A543" s="6" t="inlineStr">
        <is>
          <t>1020795177</t>
        </is>
      </c>
      <c r="B543" s="7" t="inlineStr">
        <is>
          <t>PRESENCIAL BOGOTÁ</t>
        </is>
      </c>
      <c r="C543" s="7" t="inlineStr">
        <is>
          <t>MARIO ALFONSO LUQUE Y GUZMAN SAENZ</t>
        </is>
      </c>
      <c r="D543" s="7" t="inlineStr">
        <is>
          <t>OPERACIONES</t>
        </is>
      </c>
      <c r="E543" s="7" t="inlineStr">
        <is>
          <t>REGIONAL BOGOTA</t>
        </is>
      </c>
      <c r="F543" s="7" t="inlineStr">
        <is>
          <t>BOGOTA CENTRO</t>
        </is>
      </c>
      <c r="G543" s="7" t="inlineStr">
        <is>
          <t>VIRTUAL</t>
        </is>
      </c>
      <c r="H543" s="7" t="inlineStr">
        <is>
          <t>DOC ASIS/N/V/MT/ING INDUS</t>
        </is>
      </c>
      <c r="I543" s="7" t="inlineStr">
        <is>
          <t>INGENIERIA INDUSTRIAL</t>
        </is>
      </c>
      <c r="J543" s="7" t="inlineStr">
        <is>
          <t>PLANTA</t>
        </is>
      </c>
      <c r="K543" s="7" t="inlineStr">
        <is>
          <t>SOFIA ARANZAZU</t>
        </is>
      </c>
      <c r="L543" s="7" t="inlineStr">
        <is>
          <t>CONFIRMADO PRESENCIAL</t>
        </is>
      </c>
      <c r="M543" s="7" t="n">
        <v/>
      </c>
      <c r="N543" s="7" t="n">
        <v>3112094473</v>
      </c>
      <c r="O543" s="7" t="inlineStr">
        <is>
          <t>marioluque1@hotmail.com</t>
        </is>
      </c>
      <c r="P543" s="7" t="inlineStr">
        <is>
          <t>BTA SEDE A</t>
        </is>
      </c>
      <c r="Q543" s="7" t="inlineStr">
        <is>
          <t>INGENIERIA</t>
        </is>
      </c>
      <c r="R543" s="7" t="n">
        <v>503</v>
      </c>
    </row>
    <row r="544" ht="20" customHeight="1">
      <c r="A544" s="3" t="inlineStr">
        <is>
          <t>1010182655</t>
        </is>
      </c>
      <c r="B544" s="4" t="inlineStr">
        <is>
          <t>VIRTUAL</t>
        </is>
      </c>
      <c r="C544" s="4" t="inlineStr">
        <is>
          <t>JHON ALEXANDER GONZÁLEZ GARZON</t>
        </is>
      </c>
      <c r="D544" s="4" t="inlineStr">
        <is>
          <t>OPERACIONES</t>
        </is>
      </c>
      <c r="E544" s="4" t="inlineStr">
        <is>
          <t>REGIONAL META</t>
        </is>
      </c>
      <c r="F544" s="4" t="inlineStr">
        <is>
          <t>VILLAVICENCIO</t>
        </is>
      </c>
      <c r="G544" s="4" t="inlineStr">
        <is>
          <t>VIRTUAL</t>
        </is>
      </c>
      <c r="H544" s="4" t="inlineStr">
        <is>
          <t>DOC ASIS/N/V/TC/ING INDUS/FUN.ACADE-ADMIN</t>
        </is>
      </c>
      <c r="I544" s="4" t="inlineStr">
        <is>
          <t>INGENIERIA INDUSTRIAL</t>
        </is>
      </c>
      <c r="J544" s="4" t="inlineStr">
        <is>
          <t>PLANTA</t>
        </is>
      </c>
      <c r="K544" s="4" t="inlineStr">
        <is>
          <t>SOFIA ARANZAZU</t>
        </is>
      </c>
      <c r="L544" s="4" t="inlineStr">
        <is>
          <t>CONFIRMADO VIRTUAL</t>
        </is>
      </c>
      <c r="M544" s="4" t="n">
        <v/>
      </c>
      <c r="N544" s="4" t="n">
        <v>3226861961</v>
      </c>
      <c r="O544" s="4" t="inlineStr">
        <is>
          <t>saludocupacional131d@gmail.com</t>
        </is>
      </c>
      <c r="P544" s="4" t="inlineStr">
        <is>
          <t>VILLAVICENCIO SEDE</t>
        </is>
      </c>
      <c r="Q544" s="4" t="inlineStr">
        <is>
          <t>INGENIERIA</t>
        </is>
      </c>
      <c r="R544" s="4" t="n">
        <v/>
      </c>
    </row>
    <row r="545" ht="20" customHeight="1">
      <c r="A545" s="6" t="inlineStr">
        <is>
          <t>1023887942</t>
        </is>
      </c>
      <c r="B545" s="7" t="inlineStr">
        <is>
          <t>PRESENCIAL BOGOTÁ</t>
        </is>
      </c>
      <c r="C545" s="7" t="inlineStr">
        <is>
          <t>JONATAHN MAURICIO LOPEZ LEON</t>
        </is>
      </c>
      <c r="D545" s="7" t="inlineStr">
        <is>
          <t>OPERACIONES</t>
        </is>
      </c>
      <c r="E545" s="7" t="inlineStr">
        <is>
          <t>REGIONAL BOGOTA</t>
        </is>
      </c>
      <c r="F545" s="7" t="inlineStr">
        <is>
          <t>BOGOTA CENTRO</t>
        </is>
      </c>
      <c r="G545" s="7" t="inlineStr">
        <is>
          <t>VIRTUAL</t>
        </is>
      </c>
      <c r="H545" s="7" t="inlineStr">
        <is>
          <t>DOC ASIS/N/V/TC/ING INDUS/FUN.ACADE-ADMIN</t>
        </is>
      </c>
      <c r="I545" s="7" t="inlineStr">
        <is>
          <t>INGENIERIA INDUSTRIAL</t>
        </is>
      </c>
      <c r="J545" s="7" t="inlineStr">
        <is>
          <t>PLANTA</t>
        </is>
      </c>
      <c r="K545" s="7" t="inlineStr">
        <is>
          <t>SOFIA ARANZAZU</t>
        </is>
      </c>
      <c r="L545" s="7" t="inlineStr">
        <is>
          <t>CONFIRMADO PRESENCIAL</t>
        </is>
      </c>
      <c r="M545" s="7" t="n">
        <v/>
      </c>
      <c r="N545" s="7" t="n">
        <v>3204873981</v>
      </c>
      <c r="O545" s="7" t="inlineStr">
        <is>
          <t>jonathanlole@unisabana.edu.co</t>
        </is>
      </c>
      <c r="P545" s="7" t="inlineStr">
        <is>
          <t>BTA SEDE A</t>
        </is>
      </c>
      <c r="Q545" s="7" t="inlineStr">
        <is>
          <t>INGENIERIA</t>
        </is>
      </c>
      <c r="R545" s="7" t="n">
        <v>503</v>
      </c>
    </row>
    <row r="546" ht="20" customHeight="1">
      <c r="A546" s="3" t="inlineStr">
        <is>
          <t>1067858299</t>
        </is>
      </c>
      <c r="B546" s="4" t="inlineStr">
        <is>
          <t>PRESENCIAL BOGOTÁ</t>
        </is>
      </c>
      <c r="C546" s="4" t="inlineStr">
        <is>
          <t>JUAN EMILIO TOBON GUZMAN</t>
        </is>
      </c>
      <c r="D546" s="4" t="inlineStr">
        <is>
          <t>OPERACIONES</t>
        </is>
      </c>
      <c r="E546" s="4" t="inlineStr">
        <is>
          <t>REGIONAL CUNDINAMARCA</t>
        </is>
      </c>
      <c r="F546" s="4" t="inlineStr">
        <is>
          <t>CHÍA</t>
        </is>
      </c>
      <c r="G546" s="4" t="inlineStr">
        <is>
          <t>VIRTUAL</t>
        </is>
      </c>
      <c r="H546" s="4" t="inlineStr">
        <is>
          <t>DOC ASIS/N/V/MT/ING INDUS</t>
        </is>
      </c>
      <c r="I546" s="4" t="inlineStr">
        <is>
          <t>INGENIERIA INDUSTRIAL</t>
        </is>
      </c>
      <c r="J546" s="4" t="inlineStr">
        <is>
          <t>PLANTA</t>
        </is>
      </c>
      <c r="K546" s="4" t="inlineStr">
        <is>
          <t>SOFIA ARANZAZU</t>
        </is>
      </c>
      <c r="L546" s="4" t="inlineStr">
        <is>
          <t>CONFIRMADO PRESENCIAL</t>
        </is>
      </c>
      <c r="M546" s="4" t="n">
        <v/>
      </c>
      <c r="N546" s="4" t="n">
        <v>3197021805</v>
      </c>
      <c r="O546" s="4" t="inlineStr">
        <is>
          <t>juan.tobon.mkt@gmail.com</t>
        </is>
      </c>
      <c r="P546" s="4" t="inlineStr">
        <is>
          <t>CHIA SEDE</t>
        </is>
      </c>
      <c r="Q546" s="4" t="inlineStr">
        <is>
          <t>INGENIERIA</t>
        </is>
      </c>
      <c r="R546" s="4" t="n">
        <v/>
      </c>
    </row>
    <row r="547" ht="20" customHeight="1">
      <c r="A547" s="6" t="inlineStr">
        <is>
          <t>1094885424</t>
        </is>
      </c>
      <c r="B547" s="7" t="inlineStr">
        <is>
          <t>VIRTUAL</t>
        </is>
      </c>
      <c r="C547" s="7" t="inlineStr">
        <is>
          <t>JULIAN ANDRES PINTO MONTES</t>
        </is>
      </c>
      <c r="D547" s="7" t="inlineStr">
        <is>
          <t>OPERACIONES</t>
        </is>
      </c>
      <c r="E547" s="7" t="inlineStr">
        <is>
          <t>REGIONAL CALDAS</t>
        </is>
      </c>
      <c r="F547" s="7" t="inlineStr">
        <is>
          <t>MANIZALES</t>
        </is>
      </c>
      <c r="G547" s="7" t="inlineStr">
        <is>
          <t>VIRTUAL</t>
        </is>
      </c>
      <c r="H547" s="7" t="inlineStr">
        <is>
          <t>DOC AUX T&amp;T/N/V/MT/ING INDUS</t>
        </is>
      </c>
      <c r="I547" s="7" t="inlineStr">
        <is>
          <t>INGENIERIA INDUSTRIAL</t>
        </is>
      </c>
      <c r="J547" s="7" t="inlineStr">
        <is>
          <t>PLANTA</t>
        </is>
      </c>
      <c r="K547" s="7" t="inlineStr">
        <is>
          <t>SOFIA ARANZAZU</t>
        </is>
      </c>
      <c r="L547" s="7" t="inlineStr">
        <is>
          <t>CONFIRMADO VIRTUAL</t>
        </is>
      </c>
      <c r="M547" s="7" t="n">
        <v/>
      </c>
      <c r="N547" s="7" t="n">
        <v>3106279205</v>
      </c>
      <c r="O547" s="7" t="inlineStr">
        <is>
          <t>julian.pinto840@gmail.com</t>
        </is>
      </c>
      <c r="P547" s="7" t="inlineStr">
        <is>
          <t>MANIZALES SEDE</t>
        </is>
      </c>
      <c r="Q547" s="7" t="inlineStr">
        <is>
          <t>INGENIERIA</t>
        </is>
      </c>
      <c r="R547" s="7" t="n">
        <v/>
      </c>
    </row>
    <row r="548" ht="20" customHeight="1">
      <c r="A548" s="3" t="inlineStr">
        <is>
          <t>1052383034</t>
        </is>
      </c>
      <c r="B548" s="4" t="inlineStr">
        <is>
          <t>VIRTUAL</t>
        </is>
      </c>
      <c r="C548" s="4" t="inlineStr">
        <is>
          <t>JOHANNA CAROLINA CHAVEZ PINZON</t>
        </is>
      </c>
      <c r="D548" s="4" t="inlineStr">
        <is>
          <t>OPERACIONES</t>
        </is>
      </c>
      <c r="E548" s="4" t="inlineStr">
        <is>
          <t>REGIONAL BOYACA</t>
        </is>
      </c>
      <c r="F548" s="4" t="inlineStr">
        <is>
          <t>TUNJA</t>
        </is>
      </c>
      <c r="G548" s="4" t="inlineStr">
        <is>
          <t>VIRTUAL</t>
        </is>
      </c>
      <c r="H548" s="4" t="inlineStr">
        <is>
          <t>DOC AUX/N/V/MT/ING INDUS</t>
        </is>
      </c>
      <c r="I548" s="4" t="inlineStr">
        <is>
          <t>INGENIERIA INDUSTRIAL</t>
        </is>
      </c>
      <c r="J548" s="4" t="inlineStr">
        <is>
          <t>PLANTA</t>
        </is>
      </c>
      <c r="K548" s="4" t="inlineStr">
        <is>
          <t>SOFIA ARANZAZU</t>
        </is>
      </c>
      <c r="L548" s="4" t="inlineStr">
        <is>
          <t>SIN RESPUESTA</t>
        </is>
      </c>
      <c r="M548" s="4" t="n">
        <v/>
      </c>
      <c r="N548" s="4" t="n">
        <v>3112911723</v>
      </c>
      <c r="O548" s="4" t="inlineStr">
        <is>
          <t>johannac.chavez@gmail.com</t>
        </is>
      </c>
      <c r="P548" s="4" t="inlineStr">
        <is>
          <t>TUNJA SEDE</t>
        </is>
      </c>
      <c r="Q548" s="4" t="inlineStr">
        <is>
          <t>INGENIERIA</t>
        </is>
      </c>
      <c r="R548" s="4" t="n">
        <v/>
      </c>
    </row>
    <row r="549" ht="20" customHeight="1">
      <c r="A549" s="6" t="inlineStr">
        <is>
          <t>79496712</t>
        </is>
      </c>
      <c r="B549" s="7" t="inlineStr">
        <is>
          <t>PRESENCIAL BOGOTÁ</t>
        </is>
      </c>
      <c r="C549" s="7" t="inlineStr">
        <is>
          <t>MANUEL SALGADO ALBA</t>
        </is>
      </c>
      <c r="D549" s="7" t="inlineStr">
        <is>
          <t>INNOVACION E INVESTIGACION</t>
        </is>
      </c>
      <c r="E549" s="7" t="inlineStr">
        <is>
          <t>REGIONAL BOGOTA</t>
        </is>
      </c>
      <c r="F549" s="7" t="inlineStr">
        <is>
          <t>BOGOTA CENTRO</t>
        </is>
      </c>
      <c r="G549" s="7" t="inlineStr">
        <is>
          <t>PRESENCIAL</t>
        </is>
      </c>
      <c r="H549" s="7" t="inlineStr">
        <is>
          <t>DOCENTE ASOC/N/TC/INVESTIGACIONES/INVEST</t>
        </is>
      </c>
      <c r="I549" s="7" t="inlineStr">
        <is>
          <t>INVESTIGACIONES</t>
        </is>
      </c>
      <c r="J549" s="7" t="inlineStr">
        <is>
          <t>PLANTA</t>
        </is>
      </c>
      <c r="K549" s="7" t="inlineStr">
        <is>
          <t>SOFIA ARANZAZU</t>
        </is>
      </c>
      <c r="L549" s="7" t="inlineStr">
        <is>
          <t>SIN RESPUESTA</t>
        </is>
      </c>
      <c r="M549" s="7" t="n">
        <v/>
      </c>
      <c r="N549" s="7" t="n">
        <v>3152816069</v>
      </c>
      <c r="O549" s="7" t="inlineStr">
        <is>
          <t>ingmanuelsalgado@yahoo.es</t>
        </is>
      </c>
      <c r="P549" s="7" t="inlineStr">
        <is>
          <t>BTA SEDE G</t>
        </is>
      </c>
      <c r="Q549" s="7" t="inlineStr">
        <is>
          <t>INVESTIGACIONES</t>
        </is>
      </c>
      <c r="R549" s="7" t="inlineStr">
        <is>
          <t>Salón Audiencia sede F</t>
        </is>
      </c>
    </row>
    <row r="550" ht="20" customHeight="1">
      <c r="A550" s="3" t="inlineStr">
        <is>
          <t>7628681</t>
        </is>
      </c>
      <c r="B550" s="4" t="inlineStr">
        <is>
          <t>VIRTUAL</t>
        </is>
      </c>
      <c r="C550" s="4" t="inlineStr">
        <is>
          <t>LEONAR JAVIER BRICEÑO ARIZA</t>
        </is>
      </c>
      <c r="D550" s="4" t="inlineStr">
        <is>
          <t>INNOVACION E INVESTIGACION</t>
        </is>
      </c>
      <c r="E550" s="4" t="inlineStr">
        <is>
          <t>REGIONAL MAGDALENA</t>
        </is>
      </c>
      <c r="F550" s="4" t="inlineStr">
        <is>
          <t>SANTA MARTA</t>
        </is>
      </c>
      <c r="G550" s="4" t="inlineStr">
        <is>
          <t>PRESENCIAL</t>
        </is>
      </c>
      <c r="H550" s="4" t="inlineStr">
        <is>
          <t>DOCENTE TITU/N/TC/INVESTIGA/INVESTIGACIO</t>
        </is>
      </c>
      <c r="I550" s="4" t="inlineStr">
        <is>
          <t>INVESTIGACIONES</t>
        </is>
      </c>
      <c r="J550" s="4" t="inlineStr">
        <is>
          <t>PLANTA</t>
        </is>
      </c>
      <c r="K550" s="4" t="inlineStr">
        <is>
          <t>SOFIA ARANZAZU</t>
        </is>
      </c>
      <c r="L550" s="4" t="inlineStr">
        <is>
          <t>PENDIENTE POR CONFIRMAR</t>
        </is>
      </c>
      <c r="M550" s="4" t="n">
        <v/>
      </c>
      <c r="N550" s="4" t="n">
        <v>3005619468</v>
      </c>
      <c r="O550" s="4" t="inlineStr">
        <is>
          <t>leobri2010@gmail.com</t>
        </is>
      </c>
      <c r="P550" s="4" t="inlineStr">
        <is>
          <t>SANTA MARTA SEDE</t>
        </is>
      </c>
      <c r="Q550" s="4" t="inlineStr">
        <is>
          <t>INVESTIGACIONES</t>
        </is>
      </c>
      <c r="R550" s="4" t="n">
        <v/>
      </c>
    </row>
    <row r="551" ht="20" customHeight="1">
      <c r="A551" s="6" t="inlineStr">
        <is>
          <t>80850111</t>
        </is>
      </c>
      <c r="B551" s="7" t="inlineStr">
        <is>
          <t>PRESENCIAL REGIONAL</t>
        </is>
      </c>
      <c r="C551" s="7" t="inlineStr">
        <is>
          <t>ANDRES FELIPE PINZON RODRIGUEZ</t>
        </is>
      </c>
      <c r="D551" s="7" t="inlineStr">
        <is>
          <t>INNOVACION E INVESTIGACION</t>
        </is>
      </c>
      <c r="E551" s="7" t="inlineStr">
        <is>
          <t>REGIONAL TOLIMA</t>
        </is>
      </c>
      <c r="F551" s="7" t="inlineStr">
        <is>
          <t>IBAGUÉ</t>
        </is>
      </c>
      <c r="G551" s="7" t="inlineStr">
        <is>
          <t>PRESENCIAL</t>
        </is>
      </c>
      <c r="H551" s="7" t="inlineStr">
        <is>
          <t>DOCENTE ASOC/N/TC/INVESTIGA/INVESTIGACIO</t>
        </is>
      </c>
      <c r="I551" s="7" t="inlineStr">
        <is>
          <t>INVESTIGACIONES</t>
        </is>
      </c>
      <c r="J551" s="7" t="inlineStr">
        <is>
          <t>PLANTA</t>
        </is>
      </c>
      <c r="K551" s="7" t="inlineStr">
        <is>
          <t>SOFIA ARANZAZU</t>
        </is>
      </c>
      <c r="L551" s="7" t="inlineStr">
        <is>
          <t>SIN RESPUESTA</t>
        </is>
      </c>
      <c r="M551" s="7" t="n">
        <v/>
      </c>
      <c r="N551" s="7" t="n">
        <v>3212098694</v>
      </c>
      <c r="O551" s="7" t="inlineStr">
        <is>
          <t>pinzonandresfelipe@hotmail.com</t>
        </is>
      </c>
      <c r="P551" s="7" t="inlineStr">
        <is>
          <t>IBAGUE SEDE</t>
        </is>
      </c>
      <c r="Q551" s="7" t="inlineStr">
        <is>
          <t>INVESTIGACIONES</t>
        </is>
      </c>
      <c r="R551" s="7" t="n">
        <v/>
      </c>
    </row>
    <row r="552" ht="20" customHeight="1">
      <c r="A552" s="3" t="inlineStr">
        <is>
          <t>1064989313</t>
        </is>
      </c>
      <c r="B552" s="4" t="inlineStr">
        <is>
          <t>PRESENCIAL REGIONAL</t>
        </is>
      </c>
      <c r="C552" s="4" t="inlineStr">
        <is>
          <t>TOBIAS ALFONSO PARODI CAMAÑO</t>
        </is>
      </c>
      <c r="D552" s="4" t="inlineStr">
        <is>
          <t>INNOVACION E INVESTIGACION</t>
        </is>
      </c>
      <c r="E552" s="4" t="inlineStr">
        <is>
          <t>REGIONAL CORDOBA</t>
        </is>
      </c>
      <c r="F552" s="4" t="inlineStr">
        <is>
          <t>MONTERIA</t>
        </is>
      </c>
      <c r="G552" s="4" t="inlineStr">
        <is>
          <t>VIRTUAL</t>
        </is>
      </c>
      <c r="H552" s="4" t="inlineStr">
        <is>
          <t>DOC TITU/N/V/TC/INVESTIGACIONES/INVESTIG</t>
        </is>
      </c>
      <c r="I552" s="4" t="inlineStr">
        <is>
          <t>INVESTIGACIONES</t>
        </is>
      </c>
      <c r="J552" s="4" t="inlineStr">
        <is>
          <t>PLANTA</t>
        </is>
      </c>
      <c r="K552" s="4" t="inlineStr">
        <is>
          <t>SOFIA ARANZAZU</t>
        </is>
      </c>
      <c r="L552" s="4" t="inlineStr">
        <is>
          <t>SIN RESPUESTA</t>
        </is>
      </c>
      <c r="M552" s="4" t="n">
        <v/>
      </c>
      <c r="N552" s="4" t="n">
        <v>3146751346</v>
      </c>
      <c r="O552" s="4" t="inlineStr">
        <is>
          <t>toalpha712@gmail.com</t>
        </is>
      </c>
      <c r="P552" s="4" t="inlineStr">
        <is>
          <t>MONTERIA SEDE</t>
        </is>
      </c>
      <c r="Q552" s="4" t="inlineStr">
        <is>
          <t>INVESTIGACIONES</t>
        </is>
      </c>
      <c r="R552" s="4" t="n">
        <v/>
      </c>
    </row>
    <row r="553" ht="20" customHeight="1">
      <c r="A553" s="6" t="inlineStr">
        <is>
          <t>94533302</t>
        </is>
      </c>
      <c r="B553" s="7" t="inlineStr">
        <is>
          <t>PRESENCIAL BOGOTÁ</t>
        </is>
      </c>
      <c r="C553" s="7" t="inlineStr">
        <is>
          <t>DARIO FERNANDO CORTES TOBAR</t>
        </is>
      </c>
      <c r="D553" s="7" t="inlineStr">
        <is>
          <t>INNOVACION E INVESTIGACION</t>
        </is>
      </c>
      <c r="E553" s="7" t="inlineStr">
        <is>
          <t>REGIONAL BOGOTA</t>
        </is>
      </c>
      <c r="F553" s="7" t="inlineStr">
        <is>
          <t>BOGOTA CENTRO</t>
        </is>
      </c>
      <c r="G553" s="7" t="inlineStr">
        <is>
          <t>VIRTUAL</t>
        </is>
      </c>
      <c r="H553" s="7" t="inlineStr">
        <is>
          <t>DOC ASOC/N/V/TC/INVESTIGACIONES/INVESTIGAC</t>
        </is>
      </c>
      <c r="I553" s="7" t="inlineStr">
        <is>
          <t>INVESTIGACIONES</t>
        </is>
      </c>
      <c r="J553" s="7" t="inlineStr">
        <is>
          <t>PLANTA</t>
        </is>
      </c>
      <c r="K553" s="7" t="inlineStr">
        <is>
          <t>SOFIA ARANZAZU</t>
        </is>
      </c>
      <c r="L553" s="7" t="inlineStr">
        <is>
          <t>SIN RESPUESTA</t>
        </is>
      </c>
      <c r="M553" s="7" t="n">
        <v/>
      </c>
      <c r="N553" s="7" t="n">
        <v>3175474448</v>
      </c>
      <c r="O553" s="7" t="inlineStr">
        <is>
          <t>dacortes00@hotmail.com</t>
        </is>
      </c>
      <c r="P553" s="7" t="inlineStr">
        <is>
          <t>BTA SEDE A</t>
        </is>
      </c>
      <c r="Q553" s="7" t="inlineStr">
        <is>
          <t>INVESTIGACIONES</t>
        </is>
      </c>
      <c r="R553" s="7" t="inlineStr">
        <is>
          <t>Salón Audiencia sede F</t>
        </is>
      </c>
    </row>
    <row r="554" ht="20" customHeight="1">
      <c r="A554" s="3" t="inlineStr">
        <is>
          <t>1110553429</t>
        </is>
      </c>
      <c r="B554" s="4" t="inlineStr">
        <is>
          <t>PRESENCIAL REGIONAL</t>
        </is>
      </c>
      <c r="C554" s="4" t="inlineStr">
        <is>
          <t>AURA VETSY MUNERA MONSALVE</t>
        </is>
      </c>
      <c r="D554" s="4" t="inlineStr">
        <is>
          <t>INNOVACION E INVESTIGACION</t>
        </is>
      </c>
      <c r="E554" s="4" t="inlineStr">
        <is>
          <t>REGIONAL TOLIMA</t>
        </is>
      </c>
      <c r="F554" s="4" t="inlineStr">
        <is>
          <t>IBAGUÉ</t>
        </is>
      </c>
      <c r="G554" s="4" t="inlineStr">
        <is>
          <t>PRESENCIAL</t>
        </is>
      </c>
      <c r="H554" s="4" t="inlineStr">
        <is>
          <t>DOC AUX T&amp;T/N/TC/INVESTIGACIONES/INVESTI</t>
        </is>
      </c>
      <c r="I554" s="4" t="inlineStr">
        <is>
          <t>INVESTIGACIONES</t>
        </is>
      </c>
      <c r="J554" s="4" t="inlineStr">
        <is>
          <t>PLANTA</t>
        </is>
      </c>
      <c r="K554" s="4" t="inlineStr">
        <is>
          <t>SOFIA ARANZAZU</t>
        </is>
      </c>
      <c r="L554" s="4" t="inlineStr">
        <is>
          <t>SIN RESPUESTA</t>
        </is>
      </c>
      <c r="M554" s="4" t="n">
        <v/>
      </c>
      <c r="N554" s="4" t="n">
        <v>3184512782</v>
      </c>
      <c r="O554" s="4" t="inlineStr">
        <is>
          <t>urimumo11@gmail.com</t>
        </is>
      </c>
      <c r="P554" s="4" t="inlineStr">
        <is>
          <t>IBAGUE SEDE</t>
        </is>
      </c>
      <c r="Q554" s="4" t="inlineStr">
        <is>
          <t>INVESTIGACIONES</t>
        </is>
      </c>
      <c r="R554" s="4" t="n">
        <v/>
      </c>
    </row>
    <row r="555" ht="20" customHeight="1">
      <c r="A555" s="6" t="inlineStr">
        <is>
          <t>28554711</t>
        </is>
      </c>
      <c r="B555" s="7" t="inlineStr">
        <is>
          <t>PRESENCIAL BOGOTÁ</t>
        </is>
      </c>
      <c r="C555" s="7" t="inlineStr">
        <is>
          <t>ANGÉLICA MARÍA GONZÁLEZ  FLOREZ</t>
        </is>
      </c>
      <c r="D555" s="7" t="inlineStr">
        <is>
          <t>INNOVACION E INVESTIGACION</t>
        </is>
      </c>
      <c r="E555" s="7" t="inlineStr">
        <is>
          <t>REGIONAL BOGOTA</t>
        </is>
      </c>
      <c r="F555" s="7" t="inlineStr">
        <is>
          <t>BOGOTA CENTRO</t>
        </is>
      </c>
      <c r="G555" s="7" t="inlineStr">
        <is>
          <t>VIRTUAL</t>
        </is>
      </c>
      <c r="H555" s="7" t="inlineStr">
        <is>
          <t>DOC AUX/N/V/TC/INVESTIGACIONES/INVESTIGACI</t>
        </is>
      </c>
      <c r="I555" s="7" t="inlineStr">
        <is>
          <t>INVESTIGACIONES</t>
        </is>
      </c>
      <c r="J555" s="7" t="inlineStr">
        <is>
          <t>PLANTA</t>
        </is>
      </c>
      <c r="K555" s="7" t="inlineStr">
        <is>
          <t>SOFIA ARANZAZU</t>
        </is>
      </c>
      <c r="L555" s="7" t="inlineStr">
        <is>
          <t>SIN RESPUESTA</t>
        </is>
      </c>
      <c r="M555" s="7" t="n">
        <v/>
      </c>
      <c r="N555" s="7" t="n">
        <v>3183606033</v>
      </c>
      <c r="O555" s="7" t="inlineStr">
        <is>
          <t>gonflo21@gmail.com</t>
        </is>
      </c>
      <c r="P555" s="7" t="inlineStr">
        <is>
          <t>BTA SEDE A</t>
        </is>
      </c>
      <c r="Q555" s="7" t="inlineStr">
        <is>
          <t>INVESTIGACIONES</t>
        </is>
      </c>
      <c r="R555" s="7" t="inlineStr">
        <is>
          <t>Salón Audiencia sede F</t>
        </is>
      </c>
    </row>
    <row r="556" ht="20" customHeight="1">
      <c r="A556" s="3" t="inlineStr">
        <is>
          <t>1019039648</t>
        </is>
      </c>
      <c r="B556" s="4" t="inlineStr">
        <is>
          <t>VIRTUAL</t>
        </is>
      </c>
      <c r="C556" s="4" t="inlineStr">
        <is>
          <t>CARLOS ALBERTO GÓMEZ CANO</t>
        </is>
      </c>
      <c r="D556" s="4" t="inlineStr">
        <is>
          <t>INNOVACION E INVESTIGACION</t>
        </is>
      </c>
      <c r="E556" s="4" t="inlineStr">
        <is>
          <t>REGIONAL CAQUETA</t>
        </is>
      </c>
      <c r="F556" s="4" t="inlineStr">
        <is>
          <t>FLORENCIA</t>
        </is>
      </c>
      <c r="G556" s="4" t="inlineStr">
        <is>
          <t>PRESENCIAL</t>
        </is>
      </c>
      <c r="H556" s="4" t="inlineStr">
        <is>
          <t>DOCENTE ASOC/N/TC/INVESTIGA/INVESTIGACIO</t>
        </is>
      </c>
      <c r="I556" s="4" t="inlineStr">
        <is>
          <t>INVESTIGACIONES</t>
        </is>
      </c>
      <c r="J556" s="4" t="inlineStr">
        <is>
          <t>PLANTA</t>
        </is>
      </c>
      <c r="K556" s="4" t="inlineStr">
        <is>
          <t>SOFIA ARANZAZU</t>
        </is>
      </c>
      <c r="L556" s="4" t="inlineStr">
        <is>
          <t>CONFIRMADO VIRTUAL</t>
        </is>
      </c>
      <c r="M556" s="4" t="n">
        <v/>
      </c>
      <c r="N556" s="4" t="n">
        <v>3125631203</v>
      </c>
      <c r="O556" s="4" t="inlineStr">
        <is>
          <t>carlosgomez325@gmail.com</t>
        </is>
      </c>
      <c r="P556" s="4" t="inlineStr">
        <is>
          <t>FLORENCIA SEDE</t>
        </is>
      </c>
      <c r="Q556" s="4" t="inlineStr">
        <is>
          <t>INVESTIGACIONES</t>
        </is>
      </c>
      <c r="R556" s="4" t="n">
        <v/>
      </c>
    </row>
    <row r="557" ht="20" customHeight="1">
      <c r="A557" s="6" t="inlineStr">
        <is>
          <t>87717473</t>
        </is>
      </c>
      <c r="B557" s="7" t="inlineStr">
        <is>
          <t>VIRTUAL</t>
        </is>
      </c>
      <c r="C557" s="7" t="inlineStr">
        <is>
          <t>EDUARDO DAVID CHALAPUD NARVÁEZ</t>
        </is>
      </c>
      <c r="D557" s="7" t="inlineStr">
        <is>
          <t>INNOVACION E INVESTIGACION</t>
        </is>
      </c>
      <c r="E557" s="7" t="inlineStr">
        <is>
          <t>REGIONAL NARIÑO</t>
        </is>
      </c>
      <c r="F557" s="7" t="inlineStr">
        <is>
          <t>IPIALES</t>
        </is>
      </c>
      <c r="G557" s="7" t="inlineStr">
        <is>
          <t>PRESENCIAL</t>
        </is>
      </c>
      <c r="H557" s="7" t="inlineStr">
        <is>
          <t>DOCENTE ASIS/N/TC/INVESTIGA/INVESTIGACIO</t>
        </is>
      </c>
      <c r="I557" s="7" t="inlineStr">
        <is>
          <t>INVESTIGACIONES</t>
        </is>
      </c>
      <c r="J557" s="7" t="inlineStr">
        <is>
          <t>PLANTA</t>
        </is>
      </c>
      <c r="K557" s="7" t="inlineStr">
        <is>
          <t>SOFIA ARANZAZU</t>
        </is>
      </c>
      <c r="L557" s="7" t="inlineStr">
        <is>
          <t>CONFIRMADO VIRTUAL</t>
        </is>
      </c>
      <c r="M557" s="7" t="n">
        <v/>
      </c>
      <c r="N557" s="7" t="n">
        <v>3163856836</v>
      </c>
      <c r="O557" s="7" t="inlineStr">
        <is>
          <t>ecpdavid@gmail.com</t>
        </is>
      </c>
      <c r="P557" s="7" t="inlineStr">
        <is>
          <t>IPIALES SEDE</t>
        </is>
      </c>
      <c r="Q557" s="7" t="inlineStr">
        <is>
          <t>INVESTIGACIONES</t>
        </is>
      </c>
      <c r="R557" s="7" t="n">
        <v/>
      </c>
    </row>
    <row r="558" ht="20" customHeight="1">
      <c r="A558" s="3" t="inlineStr">
        <is>
          <t>1032438503</t>
        </is>
      </c>
      <c r="B558" s="4" t="inlineStr">
        <is>
          <t>PRESENCIAL BOGOTÁ</t>
        </is>
      </c>
      <c r="C558" s="4" t="inlineStr">
        <is>
          <t>PAOLA ANDREA PLATA PACHECO</t>
        </is>
      </c>
      <c r="D558" s="4" t="inlineStr">
        <is>
          <t>INNOVACION E INVESTIGACION</t>
        </is>
      </c>
      <c r="E558" s="4" t="inlineStr">
        <is>
          <t>REGIONAL BOGOTA</t>
        </is>
      </c>
      <c r="F558" s="4" t="inlineStr">
        <is>
          <t>BOGOTA CENTRO</t>
        </is>
      </c>
      <c r="G558" s="4" t="inlineStr">
        <is>
          <t>VIRTUAL</t>
        </is>
      </c>
      <c r="H558" s="4" t="inlineStr">
        <is>
          <t>DOC ASOC/N/V/TC/INVESTIGACIONES/INVESTIG</t>
        </is>
      </c>
      <c r="I558" s="4" t="inlineStr">
        <is>
          <t>INVESTIGACIONES</t>
        </is>
      </c>
      <c r="J558" s="4" t="inlineStr">
        <is>
          <t>PLANTA</t>
        </is>
      </c>
      <c r="K558" s="4" t="inlineStr">
        <is>
          <t>SOFIA ARANZAZU</t>
        </is>
      </c>
      <c r="L558" s="4" t="inlineStr">
        <is>
          <t>SIN RESPUESTA</t>
        </is>
      </c>
      <c r="M558" s="4" t="n">
        <v/>
      </c>
      <c r="N558" s="4" t="n">
        <v>3102511352</v>
      </c>
      <c r="O558" s="4" t="inlineStr">
        <is>
          <t>ANDREAPLATAP@GMAIL.COM</t>
        </is>
      </c>
      <c r="P558" s="4" t="inlineStr">
        <is>
          <t>BTA SEDE N</t>
        </is>
      </c>
      <c r="Q558" s="4" t="inlineStr">
        <is>
          <t>INVESTIGACIONES</t>
        </is>
      </c>
      <c r="R558" s="4" t="inlineStr">
        <is>
          <t>Salón Audiencia sede F</t>
        </is>
      </c>
    </row>
    <row r="559" ht="20" customHeight="1">
      <c r="A559" s="6" t="inlineStr">
        <is>
          <t>1121862398</t>
        </is>
      </c>
      <c r="B559" s="7" t="inlineStr">
        <is>
          <t>VIRTUAL</t>
        </is>
      </c>
      <c r="C559" s="7" t="inlineStr">
        <is>
          <t>AURA LUZ RODRIGUEZ</t>
        </is>
      </c>
      <c r="D559" s="7" t="inlineStr">
        <is>
          <t>INNOVACION E INVESTIGACION</t>
        </is>
      </c>
      <c r="E559" s="7" t="inlineStr">
        <is>
          <t>REGIONAL META</t>
        </is>
      </c>
      <c r="F559" s="7" t="inlineStr">
        <is>
          <t>VILLAVICENCIO</t>
        </is>
      </c>
      <c r="G559" s="7" t="inlineStr">
        <is>
          <t>PRESENCIAL</t>
        </is>
      </c>
      <c r="H559" s="7" t="inlineStr">
        <is>
          <t>DOCENTE ASOC/N/TC/INVESTIGA/INVESTIGACIO</t>
        </is>
      </c>
      <c r="I559" s="7" t="inlineStr">
        <is>
          <t>INVESTIGACIONES</t>
        </is>
      </c>
      <c r="J559" s="7" t="inlineStr">
        <is>
          <t>PLANTA</t>
        </is>
      </c>
      <c r="K559" s="7" t="inlineStr">
        <is>
          <t>SOFIA ARANZAZU</t>
        </is>
      </c>
      <c r="L559" s="7" t="inlineStr">
        <is>
          <t>CONFIRMADO VIRTUAL</t>
        </is>
      </c>
      <c r="M559" s="7" t="n">
        <v/>
      </c>
      <c r="N559" s="7" t="n">
        <v>3013825561</v>
      </c>
      <c r="O559" s="7" t="inlineStr">
        <is>
          <t>RODRIGUEZAURALUZ1@GMAIL.COM</t>
        </is>
      </c>
      <c r="P559" s="7" t="inlineStr">
        <is>
          <t>VILLAVICENCIO SEDE</t>
        </is>
      </c>
      <c r="Q559" s="7" t="inlineStr">
        <is>
          <t>INVESTIGACIONES</t>
        </is>
      </c>
      <c r="R559" s="7" t="n">
        <v/>
      </c>
    </row>
    <row r="560" ht="20" customHeight="1">
      <c r="A560" s="3" t="inlineStr">
        <is>
          <t>1061716730</t>
        </is>
      </c>
      <c r="B560" s="4" t="inlineStr">
        <is>
          <t>VIRTUAL</t>
        </is>
      </c>
      <c r="C560" s="4" t="inlineStr">
        <is>
          <t>ANGELA MARCELA LUNA JARAMILLO</t>
        </is>
      </c>
      <c r="D560" s="4" t="inlineStr">
        <is>
          <t>INNOVACION E INVESTIGACION</t>
        </is>
      </c>
      <c r="E560" s="4" t="inlineStr">
        <is>
          <t>REGIONAL BOGOTA</t>
        </is>
      </c>
      <c r="F560" s="4" t="inlineStr">
        <is>
          <t>BOGOTA CENTRO</t>
        </is>
      </c>
      <c r="G560" s="4" t="inlineStr">
        <is>
          <t>PRESENCIAL</t>
        </is>
      </c>
      <c r="H560" s="4" t="inlineStr">
        <is>
          <t>DOCENTE ASOC/N/TC/INVESTIGA/INVESTIGACIO</t>
        </is>
      </c>
      <c r="I560" s="4" t="inlineStr">
        <is>
          <t>INVESTIGACIONES</t>
        </is>
      </c>
      <c r="J560" s="4" t="inlineStr">
        <is>
          <t>PLANTA</t>
        </is>
      </c>
      <c r="K560" s="4" t="inlineStr">
        <is>
          <t>SOFIA ARANZAZU</t>
        </is>
      </c>
      <c r="L560" s="4" t="inlineStr">
        <is>
          <t>CONFIRMADO VIRTUAL</t>
        </is>
      </c>
      <c r="M560" s="4" t="n">
        <v/>
      </c>
      <c r="N560" s="4" t="n">
        <v>3173092265</v>
      </c>
      <c r="O560" s="4" t="inlineStr">
        <is>
          <t>angelalunaj@gmail.com</t>
        </is>
      </c>
      <c r="P560" s="4" t="inlineStr">
        <is>
          <t>BTA SEDE G</t>
        </is>
      </c>
      <c r="Q560" s="4" t="inlineStr">
        <is>
          <t>INVESTIGACIONES</t>
        </is>
      </c>
      <c r="R560" s="4" t="inlineStr">
        <is>
          <t>Salón Audiencia sede F</t>
        </is>
      </c>
    </row>
    <row r="561" ht="20" customHeight="1">
      <c r="A561" s="6" t="inlineStr">
        <is>
          <t>1019135139</t>
        </is>
      </c>
      <c r="B561" s="7" t="inlineStr">
        <is>
          <t>PRESENCIAL BOGOTÁ</t>
        </is>
      </c>
      <c r="C561" s="7" t="inlineStr">
        <is>
          <t>SANTIAGO ALFONSO BOLAÑOS SUÁREZ</t>
        </is>
      </c>
      <c r="D561" s="7" t="inlineStr">
        <is>
          <t>INNOVACION E INVESTIGACION</t>
        </is>
      </c>
      <c r="E561" s="7" t="inlineStr">
        <is>
          <t>REGIONAL BOGOTA</t>
        </is>
      </c>
      <c r="F561" s="7" t="inlineStr">
        <is>
          <t>BOGOTA CENTRO</t>
        </is>
      </c>
      <c r="G561" s="7" t="inlineStr">
        <is>
          <t>VIRTUAL</t>
        </is>
      </c>
      <c r="H561" s="7" t="inlineStr">
        <is>
          <t>DOC ASOC/N/V/TC/INVESTIGACIONES/INVESTIG</t>
        </is>
      </c>
      <c r="I561" s="7" t="inlineStr">
        <is>
          <t>INVESTIGACIONES</t>
        </is>
      </c>
      <c r="J561" s="7" t="inlineStr">
        <is>
          <t>PLANTA</t>
        </is>
      </c>
      <c r="K561" s="7" t="inlineStr">
        <is>
          <t>SOFIA ARANZAZU</t>
        </is>
      </c>
      <c r="L561" s="7" t="inlineStr">
        <is>
          <t>CONFIRMADO PRESENCIAL</t>
        </is>
      </c>
      <c r="M561" s="7" t="n">
        <v/>
      </c>
      <c r="N561" s="7" t="n">
        <v>3142006993</v>
      </c>
      <c r="O561" s="7" t="inlineStr">
        <is>
          <t>santibola.multimedia@gmail.com</t>
        </is>
      </c>
      <c r="P561" s="7" t="inlineStr">
        <is>
          <t>BTA SEDE CHAP</t>
        </is>
      </c>
      <c r="Q561" s="7" t="inlineStr">
        <is>
          <t>INVESTIGACIONES</t>
        </is>
      </c>
      <c r="R561" s="7" t="inlineStr">
        <is>
          <t>Salón Audiencia sede F</t>
        </is>
      </c>
    </row>
    <row r="562" ht="20" customHeight="1">
      <c r="A562" s="3" t="inlineStr">
        <is>
          <t>55172799</t>
        </is>
      </c>
      <c r="B562" s="4" t="inlineStr">
        <is>
          <t>PRESENCIAL BOGOTÁ</t>
        </is>
      </c>
      <c r="C562" s="4" t="inlineStr">
        <is>
          <t>JASLEIDY ASTRID PRADA SEGURA</t>
        </is>
      </c>
      <c r="D562" s="4" t="inlineStr">
        <is>
          <t>INNOVACION E INVESTIGACION</t>
        </is>
      </c>
      <c r="E562" s="4" t="inlineStr">
        <is>
          <t>REGIONAL BOGOTA</t>
        </is>
      </c>
      <c r="F562" s="4" t="inlineStr">
        <is>
          <t>BOGOTA CENTRO</t>
        </is>
      </c>
      <c r="G562" s="4" t="inlineStr">
        <is>
          <t>PRESENCIAL</t>
        </is>
      </c>
      <c r="H562" s="4" t="inlineStr">
        <is>
          <t>DOCENTE TITU/N/TC/INVESTIGA/INVESTIGACIO</t>
        </is>
      </c>
      <c r="I562" s="4" t="inlineStr">
        <is>
          <t>INVESTIGACIONES</t>
        </is>
      </c>
      <c r="J562" s="4" t="inlineStr">
        <is>
          <t>PLANTA</t>
        </is>
      </c>
      <c r="K562" s="4" t="inlineStr">
        <is>
          <t>YEISON OYOLA</t>
        </is>
      </c>
      <c r="L562" s="4" t="inlineStr">
        <is>
          <t>CONFIRMADO PRESENCIAL</t>
        </is>
      </c>
      <c r="M562" s="4" t="n">
        <v/>
      </c>
      <c r="N562" s="4" t="n">
        <v>3123421408</v>
      </c>
      <c r="O562" s="4" t="inlineStr">
        <is>
          <t>JASLEIDY_PRADA@cun.edu.co</t>
        </is>
      </c>
      <c r="P562" s="4" t="inlineStr">
        <is>
          <t>BTA SEDE G</t>
        </is>
      </c>
      <c r="Q562" s="4" t="inlineStr">
        <is>
          <t>INVESTIGACIONES</t>
        </is>
      </c>
      <c r="R562" s="4" t="inlineStr">
        <is>
          <t>Salón Audiencia sede F</t>
        </is>
      </c>
    </row>
    <row r="563" ht="20" customHeight="1">
      <c r="A563" s="6" t="inlineStr">
        <is>
          <t>1023024030</t>
        </is>
      </c>
      <c r="B563" s="7" t="inlineStr">
        <is>
          <t>PRESENCIAL BOGOTÁ</t>
        </is>
      </c>
      <c r="C563" s="7" t="inlineStr">
        <is>
          <t>YULI TATIANA NOVOA BOBADILLA</t>
        </is>
      </c>
      <c r="D563" s="7" t="inlineStr">
        <is>
          <t>INNOVACION E INVESTIGACION</t>
        </is>
      </c>
      <c r="E563" s="7" t="inlineStr">
        <is>
          <t>REGIONAL BOGOTA</t>
        </is>
      </c>
      <c r="F563" s="7" t="inlineStr">
        <is>
          <t>BOGOTA CENTRO</t>
        </is>
      </c>
      <c r="G563" s="7" t="inlineStr">
        <is>
          <t>PRESENCIAL</t>
        </is>
      </c>
      <c r="H563" s="7" t="inlineStr">
        <is>
          <t>DOC AUX T&amp;T/N/TC/INVESTIGACIONES/INVESTI</t>
        </is>
      </c>
      <c r="I563" s="7" t="inlineStr">
        <is>
          <t>INVESTIGACIONES</t>
        </is>
      </c>
      <c r="J563" s="7" t="inlineStr">
        <is>
          <t>PLANTA</t>
        </is>
      </c>
      <c r="K563" s="7" t="inlineStr">
        <is>
          <t>YEISON OYOLA</t>
        </is>
      </c>
      <c r="L563" s="7" t="inlineStr">
        <is>
          <t>CONFIRMADO PRESENCIAL</t>
        </is>
      </c>
      <c r="M563" s="7" t="n">
        <v/>
      </c>
      <c r="N563" s="7" t="n">
        <v>3214852041</v>
      </c>
      <c r="O563" s="7" t="inlineStr">
        <is>
          <t>TATIANANOVOA6@GMAIL.COM</t>
        </is>
      </c>
      <c r="P563" s="7" t="inlineStr">
        <is>
          <t>BTA SEDE D</t>
        </is>
      </c>
      <c r="Q563" s="7" t="inlineStr">
        <is>
          <t>INVESTIGACIONES</t>
        </is>
      </c>
      <c r="R563" s="7" t="inlineStr">
        <is>
          <t>Salón Audiencia sede F</t>
        </is>
      </c>
    </row>
    <row r="564" ht="20" customHeight="1">
      <c r="A564" s="3" t="inlineStr">
        <is>
          <t>74795889</t>
        </is>
      </c>
      <c r="B564" s="4" t="inlineStr">
        <is>
          <t>VIRTUAL</t>
        </is>
      </c>
      <c r="C564" s="4" t="inlineStr">
        <is>
          <t>WILQUER HERNEY CRUZ MEDINA</t>
        </is>
      </c>
      <c r="D564" s="4" t="inlineStr">
        <is>
          <t>INNOVACION E INVESTIGACION</t>
        </is>
      </c>
      <c r="E564" s="4" t="inlineStr">
        <is>
          <t>REGIONAL CASANARE</t>
        </is>
      </c>
      <c r="F564" s="4" t="inlineStr">
        <is>
          <t>YOPAL</t>
        </is>
      </c>
      <c r="G564" s="4" t="inlineStr">
        <is>
          <t>PRESENCIAL</t>
        </is>
      </c>
      <c r="H564" s="4" t="inlineStr">
        <is>
          <t>DOCENTE ASOC/N/TC/INVESTIGA/INVESTIGACIO</t>
        </is>
      </c>
      <c r="I564" s="4" t="inlineStr">
        <is>
          <t>INVESTIGACIONES</t>
        </is>
      </c>
      <c r="J564" s="4" t="inlineStr">
        <is>
          <t>PLANTA</t>
        </is>
      </c>
      <c r="K564" s="4" t="inlineStr">
        <is>
          <t>YEISON OYOLA</t>
        </is>
      </c>
      <c r="L564" s="4" t="inlineStr">
        <is>
          <t>SIN RESPUESTA</t>
        </is>
      </c>
      <c r="M564" s="4" t="inlineStr">
        <is>
          <t>4 llamadas a correo de voz</t>
        </is>
      </c>
      <c r="N564" s="4" t="n">
        <v>3212130350</v>
      </c>
      <c r="O564" s="4" t="inlineStr">
        <is>
          <t>wilkercruzm@gmail.com</t>
        </is>
      </c>
      <c r="P564" s="4" t="inlineStr">
        <is>
          <t>YOPAL SEDE</t>
        </is>
      </c>
      <c r="Q564" s="4" t="inlineStr">
        <is>
          <t>INVESTIGACIONES</t>
        </is>
      </c>
      <c r="R564" s="4" t="n">
        <v/>
      </c>
    </row>
    <row r="565" ht="20" customHeight="1">
      <c r="A565" s="6" t="inlineStr">
        <is>
          <t>11448272</t>
        </is>
      </c>
      <c r="B565" s="7" t="inlineStr">
        <is>
          <t>VIRTUAL</t>
        </is>
      </c>
      <c r="C565" s="7" t="inlineStr">
        <is>
          <t>FABIO ORLANDO CRUZ PÁEZ</t>
        </is>
      </c>
      <c r="D565" s="7" t="inlineStr">
        <is>
          <t>INNOVACION E INVESTIGACION</t>
        </is>
      </c>
      <c r="E565" s="7" t="inlineStr">
        <is>
          <t>REGIONAL CUNDINAMARCA</t>
        </is>
      </c>
      <c r="F565" s="7" t="inlineStr">
        <is>
          <t>CHÍA</t>
        </is>
      </c>
      <c r="G565" s="7" t="inlineStr">
        <is>
          <t>VIRTUAL</t>
        </is>
      </c>
      <c r="H565" s="7" t="inlineStr">
        <is>
          <t>DOC ASOC/N/V/TC/INVESTIGACIONES/INVESTIG</t>
        </is>
      </c>
      <c r="I565" s="7" t="inlineStr">
        <is>
          <t>INVESTIGACIONES</t>
        </is>
      </c>
      <c r="J565" s="7" t="inlineStr">
        <is>
          <t>PLANTA</t>
        </is>
      </c>
      <c r="K565" s="7" t="inlineStr">
        <is>
          <t>YEISON OYOLA</t>
        </is>
      </c>
      <c r="L565" s="7" t="inlineStr">
        <is>
          <t>CONFIRMADO VIRTUAL</t>
        </is>
      </c>
      <c r="M565" s="7" t="n">
        <v/>
      </c>
      <c r="N565" s="7" t="n">
        <v>3125191719</v>
      </c>
      <c r="O565" s="7" t="inlineStr">
        <is>
          <t>fabio_cruzp@yahoo.es</t>
        </is>
      </c>
      <c r="P565" s="7" t="inlineStr">
        <is>
          <t>CHIA SEDE</t>
        </is>
      </c>
      <c r="Q565" s="7" t="inlineStr">
        <is>
          <t>INVESTIGACIONES</t>
        </is>
      </c>
      <c r="R565" s="7" t="n">
        <v/>
      </c>
    </row>
    <row r="566" ht="20" customHeight="1">
      <c r="A566" s="3" t="inlineStr">
        <is>
          <t>1016008240</t>
        </is>
      </c>
      <c r="B566" s="4" t="inlineStr">
        <is>
          <t>PRESENCIAL BOGOTÁ</t>
        </is>
      </c>
      <c r="C566" s="4" t="inlineStr">
        <is>
          <t>RICARDO JAVIER ALBARRACIN VANOY</t>
        </is>
      </c>
      <c r="D566" s="4" t="inlineStr">
        <is>
          <t>INNOVACION E INVESTIGACION</t>
        </is>
      </c>
      <c r="E566" s="4" t="inlineStr">
        <is>
          <t>REGIONAL BOGOTA</t>
        </is>
      </c>
      <c r="F566" s="4" t="inlineStr">
        <is>
          <t>BOGOTA CENTRO</t>
        </is>
      </c>
      <c r="G566" s="4" t="inlineStr">
        <is>
          <t>PRESENCIAL</t>
        </is>
      </c>
      <c r="H566" s="4" t="inlineStr">
        <is>
          <t>DOCENTE ASOC/N/TC/INVESTIGACIONES/INVEST</t>
        </is>
      </c>
      <c r="I566" s="4" t="inlineStr">
        <is>
          <t>INVESTIGACIONES</t>
        </is>
      </c>
      <c r="J566" s="4" t="inlineStr">
        <is>
          <t>PLANTA</t>
        </is>
      </c>
      <c r="K566" s="4" t="inlineStr">
        <is>
          <t>YEISON OYOLA</t>
        </is>
      </c>
      <c r="L566" s="4" t="inlineStr">
        <is>
          <t>CONFIRMADO PRESENCIAL</t>
        </is>
      </c>
      <c r="M566" s="4" t="n">
        <v/>
      </c>
      <c r="N566" s="4" t="n">
        <v>3106131718</v>
      </c>
      <c r="O566" s="4" t="inlineStr">
        <is>
          <t>RICARDOVANOY@HOTMAIL.COM</t>
        </is>
      </c>
      <c r="P566" s="4" t="inlineStr">
        <is>
          <t>BTA SEDE D</t>
        </is>
      </c>
      <c r="Q566" s="4" t="inlineStr">
        <is>
          <t>INVESTIGACIONES</t>
        </is>
      </c>
      <c r="R566" s="4" t="inlineStr">
        <is>
          <t>Salón Audiencia sede F</t>
        </is>
      </c>
    </row>
    <row r="567" ht="20" customHeight="1">
      <c r="A567" s="6" t="inlineStr">
        <is>
          <t>52432846</t>
        </is>
      </c>
      <c r="B567" s="7" t="inlineStr">
        <is>
          <t>PRESENCIAL BOGOTÁ</t>
        </is>
      </c>
      <c r="C567" s="7" t="inlineStr">
        <is>
          <t>YENNY LUJAN CORREAL</t>
        </is>
      </c>
      <c r="D567" s="7" t="inlineStr">
        <is>
          <t>INNOVACION E INVESTIGACION</t>
        </is>
      </c>
      <c r="E567" s="7" t="inlineStr">
        <is>
          <t>REGIONAL BOGOTA</t>
        </is>
      </c>
      <c r="F567" s="7" t="inlineStr">
        <is>
          <t>BOGOTA CENTRO</t>
        </is>
      </c>
      <c r="G567" s="7" t="inlineStr">
        <is>
          <t>PRESENCIAL</t>
        </is>
      </c>
      <c r="H567" s="7" t="inlineStr">
        <is>
          <t>DOCENTE ASOC/N/TC/INVESTIGACIONES/INVEST</t>
        </is>
      </c>
      <c r="I567" s="7" t="inlineStr">
        <is>
          <t>INVESTIGACIONES</t>
        </is>
      </c>
      <c r="J567" s="7" t="inlineStr">
        <is>
          <t>PLANTA</t>
        </is>
      </c>
      <c r="K567" s="7" t="inlineStr">
        <is>
          <t>YEISON OYOLA</t>
        </is>
      </c>
      <c r="L567" s="7" t="inlineStr">
        <is>
          <t>CONFIRMADO PRESENCIAL</t>
        </is>
      </c>
      <c r="M567" s="7" t="n">
        <v/>
      </c>
      <c r="N567" s="7" t="n">
        <v>3503324265</v>
      </c>
      <c r="O567" s="7" t="inlineStr">
        <is>
          <t>yelujanco@gmail.com</t>
        </is>
      </c>
      <c r="P567" s="7" t="inlineStr">
        <is>
          <t>BTA SEDE J</t>
        </is>
      </c>
      <c r="Q567" s="7" t="inlineStr">
        <is>
          <t>INVESTIGACIONES</t>
        </is>
      </c>
      <c r="R567" s="7" t="inlineStr">
        <is>
          <t>Salón Audiencia sede F</t>
        </is>
      </c>
    </row>
    <row r="568" ht="20" customHeight="1">
      <c r="A568" s="3" t="inlineStr">
        <is>
          <t>92098029</t>
        </is>
      </c>
      <c r="B568" s="4" t="inlineStr">
        <is>
          <t>PRESENCIAL REGIONAL</t>
        </is>
      </c>
      <c r="C568" s="4" t="inlineStr">
        <is>
          <t>JAYDER FRANCISCO HERNANDEZ IRIARTE</t>
        </is>
      </c>
      <c r="D568" s="4" t="inlineStr">
        <is>
          <t>INNOVACION E INVESTIGACION</t>
        </is>
      </c>
      <c r="E568" s="4" t="inlineStr">
        <is>
          <t>REGIONAL SUCRE</t>
        </is>
      </c>
      <c r="F568" s="4" t="inlineStr">
        <is>
          <t>SINCELEJO</t>
        </is>
      </c>
      <c r="G568" s="4" t="inlineStr">
        <is>
          <t>PRESENCIAL</t>
        </is>
      </c>
      <c r="H568" s="4" t="inlineStr">
        <is>
          <t>DOCENTE ASOC/N/TC/INVESTIGA/INVESTIGACIO</t>
        </is>
      </c>
      <c r="I568" s="4" t="inlineStr">
        <is>
          <t>INVESTIGACIONES</t>
        </is>
      </c>
      <c r="J568" s="4" t="inlineStr">
        <is>
          <t>PLANTA</t>
        </is>
      </c>
      <c r="K568" s="4" t="inlineStr">
        <is>
          <t>YEISON OYOLA</t>
        </is>
      </c>
      <c r="L568" s="4" t="inlineStr">
        <is>
          <t>SIN RESPUESTA</t>
        </is>
      </c>
      <c r="M568" s="4" t="inlineStr">
        <is>
          <t>5 llamadas a correo de voz</t>
        </is>
      </c>
      <c r="N568" s="4" t="n">
        <v>3014584823</v>
      </c>
      <c r="O568" s="4" t="inlineStr">
        <is>
          <t>jayderh@gmail.com</t>
        </is>
      </c>
      <c r="P568" s="4" t="inlineStr">
        <is>
          <t>SINCELEJO SEDE</t>
        </is>
      </c>
      <c r="Q568" s="4" t="inlineStr">
        <is>
          <t>INVESTIGACIONES</t>
        </is>
      </c>
      <c r="R568" s="4" t="n">
        <v/>
      </c>
    </row>
    <row r="569" ht="20" customHeight="1">
      <c r="A569" s="6" t="inlineStr">
        <is>
          <t>52961282</t>
        </is>
      </c>
      <c r="B569" s="7" t="inlineStr">
        <is>
          <t>VIRTUAL</t>
        </is>
      </c>
      <c r="C569" s="7" t="inlineStr">
        <is>
          <t>ANDREA CAROLINA CAMACHO</t>
        </is>
      </c>
      <c r="D569" s="7" t="inlineStr">
        <is>
          <t>INNOVACION E INVESTIGACION</t>
        </is>
      </c>
      <c r="E569" s="7" t="inlineStr">
        <is>
          <t>REGIONAL BOGOTA</t>
        </is>
      </c>
      <c r="F569" s="7" t="inlineStr">
        <is>
          <t>BOGOTA CENTRO</t>
        </is>
      </c>
      <c r="G569" s="7" t="inlineStr">
        <is>
          <t>PRESENCIAL</t>
        </is>
      </c>
      <c r="H569" s="7" t="inlineStr">
        <is>
          <t>DOCENTE ASOC/N/TC/INVESTIGACIONES/INVEST</t>
        </is>
      </c>
      <c r="I569" s="7" t="inlineStr">
        <is>
          <t>INVESTIGACIONES</t>
        </is>
      </c>
      <c r="J569" s="7" t="inlineStr">
        <is>
          <t>PLANTA</t>
        </is>
      </c>
      <c r="K569" s="7" t="inlineStr">
        <is>
          <t>YEISON OYOLA</t>
        </is>
      </c>
      <c r="L569" s="7" t="inlineStr">
        <is>
          <t>CONFIRMADO VIRTUAL</t>
        </is>
      </c>
      <c r="M569" s="7" t="n">
        <v/>
      </c>
      <c r="N569" s="7" t="n">
        <v>3165790897</v>
      </c>
      <c r="O569" s="7" t="inlineStr">
        <is>
          <t>acamachoyanez@gmail.com</t>
        </is>
      </c>
      <c r="P569" s="7" t="inlineStr">
        <is>
          <t>BTA SEDE G</t>
        </is>
      </c>
      <c r="Q569" s="7" t="inlineStr">
        <is>
          <t>INVESTIGACIONES</t>
        </is>
      </c>
      <c r="R569" s="7" t="inlineStr">
        <is>
          <t>Salón Audiencia sede F</t>
        </is>
      </c>
    </row>
    <row r="570" ht="20" customHeight="1">
      <c r="A570" s="3" t="inlineStr">
        <is>
          <t>52162436</t>
        </is>
      </c>
      <c r="B570" s="4" t="inlineStr">
        <is>
          <t>PRESENCIAL BOGOTÁ</t>
        </is>
      </c>
      <c r="C570" s="4" t="inlineStr">
        <is>
          <t>LAY ARACELY RODRIGUEZ HERNANDEZ</t>
        </is>
      </c>
      <c r="D570" s="4" t="inlineStr">
        <is>
          <t>INNOVACION E INVESTIGACION</t>
        </is>
      </c>
      <c r="E570" s="4" t="inlineStr">
        <is>
          <t>REGIONAL BOGOTA</t>
        </is>
      </c>
      <c r="F570" s="4" t="inlineStr">
        <is>
          <t>BOGOTA CENTRO</t>
        </is>
      </c>
      <c r="G570" s="4" t="inlineStr">
        <is>
          <t>VIRTUAL</t>
        </is>
      </c>
      <c r="H570" s="4" t="inlineStr">
        <is>
          <t>DOC ASIS/N/V/TC/INVESTIGACIONES/INVESTIG</t>
        </is>
      </c>
      <c r="I570" s="4" t="inlineStr">
        <is>
          <t>INVESTIGACIONES</t>
        </is>
      </c>
      <c r="J570" s="4" t="inlineStr">
        <is>
          <t>PLANTA</t>
        </is>
      </c>
      <c r="K570" s="4" t="inlineStr">
        <is>
          <t>YEISON OYOLA</t>
        </is>
      </c>
      <c r="L570" s="4" t="inlineStr">
        <is>
          <t>SIN RESPUESTA</t>
        </is>
      </c>
      <c r="M570" s="4" t="inlineStr">
        <is>
          <t>4 llamadas a correo de voz</t>
        </is>
      </c>
      <c r="N570" s="4" t="n">
        <v>3114606915</v>
      </c>
      <c r="O570" s="4" t="inlineStr">
        <is>
          <t>lrlayyrodriguez2@gmail.com</t>
        </is>
      </c>
      <c r="P570" s="4" t="inlineStr">
        <is>
          <t>BTA SEDE A</t>
        </is>
      </c>
      <c r="Q570" s="4" t="inlineStr">
        <is>
          <t>INVESTIGACIONES</t>
        </is>
      </c>
      <c r="R570" s="4" t="inlineStr">
        <is>
          <t>Salón Audiencia sede F</t>
        </is>
      </c>
    </row>
    <row r="571" ht="20" customHeight="1">
      <c r="A571" s="6" t="inlineStr">
        <is>
          <t>1019123955</t>
        </is>
      </c>
      <c r="B571" s="7" t="inlineStr">
        <is>
          <t>PRESENCIAL BOGOTÁ</t>
        </is>
      </c>
      <c r="C571" s="7" t="inlineStr">
        <is>
          <t>IRMA VICTORIA QUINTERO SAAVEDRA</t>
        </is>
      </c>
      <c r="D571" s="7" t="inlineStr">
        <is>
          <t>INNOVACION E INVESTIGACION</t>
        </is>
      </c>
      <c r="E571" s="7" t="inlineStr">
        <is>
          <t>REGIONAL BOGOTA</t>
        </is>
      </c>
      <c r="F571" s="7" t="inlineStr">
        <is>
          <t>BOGOTA CENTRO</t>
        </is>
      </c>
      <c r="G571" s="7" t="inlineStr">
        <is>
          <t>PRESENCIAL</t>
        </is>
      </c>
      <c r="H571" s="7" t="inlineStr">
        <is>
          <t>DOCENTE ASIS/N/TC/INVESTIGA/INVESTIGACIO</t>
        </is>
      </c>
      <c r="I571" s="7" t="inlineStr">
        <is>
          <t>INVESTIGACIONES</t>
        </is>
      </c>
      <c r="J571" s="7" t="inlineStr">
        <is>
          <t>PLANTA</t>
        </is>
      </c>
      <c r="K571" s="7" t="inlineStr">
        <is>
          <t>YEISON OYOLA</t>
        </is>
      </c>
      <c r="L571" s="7" t="inlineStr">
        <is>
          <t>SIN RESPUESTA</t>
        </is>
      </c>
      <c r="M571" s="7" t="inlineStr">
        <is>
          <t>4 llamadas a correo de voz</t>
        </is>
      </c>
      <c r="N571" s="7" t="n">
        <v>3506111322</v>
      </c>
      <c r="O571" s="7" t="inlineStr">
        <is>
          <t>ivquinteros@unal.edu.co</t>
        </is>
      </c>
      <c r="P571" s="7" t="inlineStr">
        <is>
          <t>BTA SEDE G</t>
        </is>
      </c>
      <c r="Q571" s="7" t="inlineStr">
        <is>
          <t>INVESTIGACIONES</t>
        </is>
      </c>
      <c r="R571" s="7" t="inlineStr">
        <is>
          <t>Salón Audiencia sede F</t>
        </is>
      </c>
    </row>
    <row r="572" ht="20" customHeight="1">
      <c r="A572" s="3" t="inlineStr">
        <is>
          <t>9237379</t>
        </is>
      </c>
      <c r="B572" s="4" t="inlineStr">
        <is>
          <t>VIRTUAL</t>
        </is>
      </c>
      <c r="C572" s="4" t="inlineStr">
        <is>
          <t>LUIS ALFREDO BLANQUICETT BENAVIDES</t>
        </is>
      </c>
      <c r="D572" s="4" t="inlineStr">
        <is>
          <t>INNOVACION E INVESTIGACION</t>
        </is>
      </c>
      <c r="E572" s="4" t="inlineStr">
        <is>
          <t>REGIONAL BOLIVAR</t>
        </is>
      </c>
      <c r="F572" s="4" t="inlineStr">
        <is>
          <t>CARTAGENA</t>
        </is>
      </c>
      <c r="G572" s="4" t="inlineStr">
        <is>
          <t>VIRTUAL</t>
        </is>
      </c>
      <c r="H572" s="4" t="inlineStr">
        <is>
          <t>DOC AUX/N/V/TC/INVESTIGACIONES/INVESTIGACI</t>
        </is>
      </c>
      <c r="I572" s="4" t="inlineStr">
        <is>
          <t>INVESTIGACIONES</t>
        </is>
      </c>
      <c r="J572" s="4" t="inlineStr">
        <is>
          <t>PLANTA</t>
        </is>
      </c>
      <c r="K572" s="4" t="inlineStr">
        <is>
          <t>YEISON OYOLA</t>
        </is>
      </c>
      <c r="L572" s="4" t="inlineStr">
        <is>
          <t>CONFIRMADO VIRTUAL</t>
        </is>
      </c>
      <c r="M572" s="4" t="n">
        <v/>
      </c>
      <c r="N572" s="4" t="n">
        <v>3155752722</v>
      </c>
      <c r="O572" s="4" t="inlineStr">
        <is>
          <t>luisblanquicett@gmail.com</t>
        </is>
      </c>
      <c r="P572" s="4" t="inlineStr">
        <is>
          <t>CARTAGENA SEDE</t>
        </is>
      </c>
      <c r="Q572" s="4" t="inlineStr">
        <is>
          <t>INVESTIGACIONES</t>
        </is>
      </c>
      <c r="R572" s="4" t="n">
        <v/>
      </c>
    </row>
    <row r="573" ht="20" customHeight="1">
      <c r="A573" s="6" t="inlineStr">
        <is>
          <t>10772338</t>
        </is>
      </c>
      <c r="B573" s="7" t="inlineStr">
        <is>
          <t>PRESENCIAL REGIONAL</t>
        </is>
      </c>
      <c r="C573" s="7" t="inlineStr">
        <is>
          <t>KAVIR ALA OVIEDO PRIOLO</t>
        </is>
      </c>
      <c r="D573" s="7" t="inlineStr">
        <is>
          <t>INNOVACION E INVESTIGACION</t>
        </is>
      </c>
      <c r="E573" s="7" t="inlineStr">
        <is>
          <t>REGIONAL CORDOBA</t>
        </is>
      </c>
      <c r="F573" s="7" t="inlineStr">
        <is>
          <t>MONTERIA</t>
        </is>
      </c>
      <c r="G573" s="7" t="inlineStr">
        <is>
          <t>PRESENCIAL</t>
        </is>
      </c>
      <c r="H573" s="7" t="inlineStr">
        <is>
          <t>DOCENTE ASIS/N/TC/INVESTIGA/INVESTIGACIO</t>
        </is>
      </c>
      <c r="I573" s="7" t="inlineStr">
        <is>
          <t>INVESTIGACIONES</t>
        </is>
      </c>
      <c r="J573" s="7" t="inlineStr">
        <is>
          <t>PLANTA</t>
        </is>
      </c>
      <c r="K573" s="7" t="inlineStr">
        <is>
          <t>YEISON OYOLA</t>
        </is>
      </c>
      <c r="L573" s="7" t="inlineStr">
        <is>
          <t>SIN RESPUESTA</t>
        </is>
      </c>
      <c r="M573" s="7" t="inlineStr">
        <is>
          <t>4 llamadas a correo de voz</t>
        </is>
      </c>
      <c r="N573" s="7" t="n">
        <v>3215284718</v>
      </c>
      <c r="O573" s="7" t="inlineStr">
        <is>
          <t>kaval125@hotmail.com</t>
        </is>
      </c>
      <c r="P573" s="7" t="inlineStr">
        <is>
          <t>MONTERIA SEDE</t>
        </is>
      </c>
      <c r="Q573" s="7" t="inlineStr">
        <is>
          <t>INVESTIGACIONES</t>
        </is>
      </c>
      <c r="R573" s="7" t="n">
        <v/>
      </c>
    </row>
    <row r="574" ht="20" customHeight="1">
      <c r="A574" s="3" t="inlineStr">
        <is>
          <t>6892687</t>
        </is>
      </c>
      <c r="B574" s="4" t="inlineStr">
        <is>
          <t>PRESENCIAL REGIONAL</t>
        </is>
      </c>
      <c r="C574" s="4" t="inlineStr">
        <is>
          <t>JUAN CARLOS BUENDIA PASTRANA</t>
        </is>
      </c>
      <c r="D574" s="4" t="inlineStr">
        <is>
          <t>INNOVACION E INVESTIGACION</t>
        </is>
      </c>
      <c r="E574" s="4" t="inlineStr">
        <is>
          <t>REGIONAL CORDOBA</t>
        </is>
      </c>
      <c r="F574" s="4" t="inlineStr">
        <is>
          <t>MONTERIA</t>
        </is>
      </c>
      <c r="G574" s="4" t="inlineStr">
        <is>
          <t>PRESENCIAL</t>
        </is>
      </c>
      <c r="H574" s="4" t="inlineStr">
        <is>
          <t>DOCENTE ASOC/N/TC/INVESTIGA/INVESTIGACIO</t>
        </is>
      </c>
      <c r="I574" s="4" t="inlineStr">
        <is>
          <t>INVESTIGACIONES</t>
        </is>
      </c>
      <c r="J574" s="4" t="inlineStr">
        <is>
          <t>PLANTA</t>
        </is>
      </c>
      <c r="K574" s="4" t="inlineStr">
        <is>
          <t>YEISON OYOLA</t>
        </is>
      </c>
      <c r="L574" s="4" t="inlineStr">
        <is>
          <t>CONFIRMADO PRESENCIAL</t>
        </is>
      </c>
      <c r="M574" s="4" t="n">
        <v/>
      </c>
      <c r="N574" s="4" t="n">
        <v>3004135947</v>
      </c>
      <c r="O574" s="4" t="inlineStr">
        <is>
          <t>juanc2030@gmail.com</t>
        </is>
      </c>
      <c r="P574" s="4" t="inlineStr">
        <is>
          <t>MONTERIA SEDE</t>
        </is>
      </c>
      <c r="Q574" s="4" t="inlineStr">
        <is>
          <t>INVESTIGACIONES</t>
        </is>
      </c>
      <c r="R574" s="4" t="n">
        <v/>
      </c>
    </row>
    <row r="575" ht="20" customHeight="1">
      <c r="A575" s="6" t="inlineStr">
        <is>
          <t>36452647</t>
        </is>
      </c>
      <c r="B575" s="7" t="inlineStr">
        <is>
          <t>VIRTUAL</t>
        </is>
      </c>
      <c r="C575" s="7" t="inlineStr">
        <is>
          <t>IRIS MARIA CANTILLO VELASQUEZ</t>
        </is>
      </c>
      <c r="D575" s="7" t="inlineStr">
        <is>
          <t>INNOVACION E INVESTIGACION</t>
        </is>
      </c>
      <c r="E575" s="7" t="inlineStr">
        <is>
          <t>REGIONAL MAGDALENA</t>
        </is>
      </c>
      <c r="F575" s="7" t="inlineStr">
        <is>
          <t>SANTA MARTA</t>
        </is>
      </c>
      <c r="G575" s="7" t="inlineStr">
        <is>
          <t>PRESENCIAL</t>
        </is>
      </c>
      <c r="H575" s="7" t="inlineStr">
        <is>
          <t>DOCENTE TITU/N/TC/INVESTIGA/INVESTIGACIO</t>
        </is>
      </c>
      <c r="I575" s="7" t="inlineStr">
        <is>
          <t>INVESTIGACIONES</t>
        </is>
      </c>
      <c r="J575" s="7" t="inlineStr">
        <is>
          <t>PLANTA</t>
        </is>
      </c>
      <c r="K575" s="7" t="inlineStr">
        <is>
          <t>YEISON OYOLA</t>
        </is>
      </c>
      <c r="L575" s="7" t="inlineStr">
        <is>
          <t>PENDIENTE POR CONFIRMAR</t>
        </is>
      </c>
      <c r="M575" s="7" t="n">
        <v/>
      </c>
      <c r="N575" s="7" t="n">
        <v>3005998086</v>
      </c>
      <c r="O575" s="7" t="inlineStr">
        <is>
          <t>iriscantillov@gmail.com</t>
        </is>
      </c>
      <c r="P575" s="7" t="inlineStr">
        <is>
          <t>SANTA MARTA SEDE</t>
        </is>
      </c>
      <c r="Q575" s="7" t="inlineStr">
        <is>
          <t>INVESTIGACIONES</t>
        </is>
      </c>
      <c r="R575" s="7" t="n">
        <v/>
      </c>
    </row>
    <row r="576" ht="20" customHeight="1">
      <c r="A576" s="3" t="inlineStr">
        <is>
          <t>52426062</t>
        </is>
      </c>
      <c r="B576" s="4" t="inlineStr">
        <is>
          <t>VIRTUAL</t>
        </is>
      </c>
      <c r="C576" s="4" t="inlineStr">
        <is>
          <t>DIANA PAOLA ANGARITA NIÑO</t>
        </is>
      </c>
      <c r="D576" s="4" t="inlineStr">
        <is>
          <t>INNOVACION E INVESTIGACION</t>
        </is>
      </c>
      <c r="E576" s="4" t="inlineStr">
        <is>
          <t>REGIONAL MAGDALENA</t>
        </is>
      </c>
      <c r="F576" s="4" t="inlineStr">
        <is>
          <t>SANTA MARTA</t>
        </is>
      </c>
      <c r="G576" s="4" t="inlineStr">
        <is>
          <t>PRESENCIAL</t>
        </is>
      </c>
      <c r="H576" s="4" t="inlineStr">
        <is>
          <t>DOCENTE ASOC/N/TC/INVESTIGA/INVESTIGACIO</t>
        </is>
      </c>
      <c r="I576" s="4" t="inlineStr">
        <is>
          <t>INVESTIGACIONES</t>
        </is>
      </c>
      <c r="J576" s="4" t="inlineStr">
        <is>
          <t>PLANTA</t>
        </is>
      </c>
      <c r="K576" s="4" t="inlineStr">
        <is>
          <t>YEISON OYOLA</t>
        </is>
      </c>
      <c r="L576" s="4" t="inlineStr">
        <is>
          <t>PENDIENTE POR CONFIRMAR</t>
        </is>
      </c>
      <c r="M576" s="4" t="n">
        <v/>
      </c>
      <c r="N576" s="4" t="n">
        <v>3202366215</v>
      </c>
      <c r="O576" s="4" t="inlineStr">
        <is>
          <t>paola.angarita@gmail.com</t>
        </is>
      </c>
      <c r="P576" s="4" t="inlineStr">
        <is>
          <t>SANTA MARTA SEDE</t>
        </is>
      </c>
      <c r="Q576" s="4" t="inlineStr">
        <is>
          <t>INVESTIGACIONES</t>
        </is>
      </c>
      <c r="R576" s="4" t="n">
        <v/>
      </c>
    </row>
    <row r="577" ht="20" customHeight="1">
      <c r="A577" s="6" t="inlineStr">
        <is>
          <t>64573945</t>
        </is>
      </c>
      <c r="B577" s="7" t="inlineStr">
        <is>
          <t>PRESENCIAL REGIONAL</t>
        </is>
      </c>
      <c r="C577" s="7" t="inlineStr">
        <is>
          <t>ERIKA ASTRID ARAQUE GENEY</t>
        </is>
      </c>
      <c r="D577" s="7" t="inlineStr">
        <is>
          <t>INNOVACION E INVESTIGACION</t>
        </is>
      </c>
      <c r="E577" s="7" t="inlineStr">
        <is>
          <t>REGIONAL SUCRE</t>
        </is>
      </c>
      <c r="F577" s="7" t="inlineStr">
        <is>
          <t>SINCELEJO</t>
        </is>
      </c>
      <c r="G577" s="7" t="inlineStr">
        <is>
          <t>PRESENCIAL</t>
        </is>
      </c>
      <c r="H577" s="7" t="inlineStr">
        <is>
          <t>DOCENTE ASOC/N/TC/INVESTIGA/INVESTIGACIO</t>
        </is>
      </c>
      <c r="I577" s="7" t="inlineStr">
        <is>
          <t>INVESTIGACIONES</t>
        </is>
      </c>
      <c r="J577" s="7" t="inlineStr">
        <is>
          <t>PLANTA</t>
        </is>
      </c>
      <c r="K577" s="7" t="inlineStr">
        <is>
          <t>YEISON OYOLA</t>
        </is>
      </c>
      <c r="L577" s="7" t="inlineStr">
        <is>
          <t>CONFIRMADO PRESENCIAL</t>
        </is>
      </c>
      <c r="M577" s="7" t="n">
        <v/>
      </c>
      <c r="N577" s="7" t="n">
        <v>3126402909</v>
      </c>
      <c r="O577" s="7" t="inlineStr">
        <is>
          <t>erika_araqueg@hotmail.com</t>
        </is>
      </c>
      <c r="P577" s="7" t="inlineStr">
        <is>
          <t>SINCELEJO SEDE</t>
        </is>
      </c>
      <c r="Q577" s="7" t="inlineStr">
        <is>
          <t>INVESTIGACIONES</t>
        </is>
      </c>
      <c r="R577" s="7" t="n">
        <v/>
      </c>
    </row>
    <row r="578" ht="20" customHeight="1">
      <c r="A578" s="3" t="inlineStr">
        <is>
          <t>80034893</t>
        </is>
      </c>
      <c r="B578" s="4" t="inlineStr">
        <is>
          <t>PRESENCIAL BOGOTÁ</t>
        </is>
      </c>
      <c r="C578" s="4" t="inlineStr">
        <is>
          <t>YEYSON ALEJANDRO BECERRA MORA</t>
        </is>
      </c>
      <c r="D578" s="4" t="inlineStr">
        <is>
          <t>INNOVACION E INVESTIGACION</t>
        </is>
      </c>
      <c r="E578" s="4" t="inlineStr">
        <is>
          <t>REGIONAL BOGOTA</t>
        </is>
      </c>
      <c r="F578" s="4" t="inlineStr">
        <is>
          <t>BOGOTA CENTRO</t>
        </is>
      </c>
      <c r="G578" s="4" t="inlineStr">
        <is>
          <t>VIRTUAL</t>
        </is>
      </c>
      <c r="H578" s="4" t="inlineStr">
        <is>
          <t>DOC ASOC/N/V/TC/INVESTIGACIONES/INVESTIG</t>
        </is>
      </c>
      <c r="I578" s="4" t="inlineStr">
        <is>
          <t>INVESTIGACIONES</t>
        </is>
      </c>
      <c r="J578" s="4" t="inlineStr">
        <is>
          <t>PLANTA</t>
        </is>
      </c>
      <c r="K578" s="4" t="inlineStr">
        <is>
          <t>YEISON OYOLA</t>
        </is>
      </c>
      <c r="L578" s="4" t="inlineStr">
        <is>
          <t>SIN RESPUESTA</t>
        </is>
      </c>
      <c r="M578" s="4" t="inlineStr">
        <is>
          <t>4 llamadas a correo de voz</t>
        </is>
      </c>
      <c r="N578" s="4" t="n">
        <v>3138924282</v>
      </c>
      <c r="O578" s="4" t="inlineStr">
        <is>
          <t>becerrayeyson@gmail.com</t>
        </is>
      </c>
      <c r="P578" s="4" t="inlineStr">
        <is>
          <t>BTA SEDE O</t>
        </is>
      </c>
      <c r="Q578" s="4" t="inlineStr">
        <is>
          <t>INVESTIGACIONES</t>
        </is>
      </c>
      <c r="R578" s="4" t="inlineStr">
        <is>
          <t>Salón Audiencia sede F</t>
        </is>
      </c>
    </row>
    <row r="579" ht="20" customHeight="1">
      <c r="A579" s="6" t="inlineStr">
        <is>
          <t>60262891</t>
        </is>
      </c>
      <c r="B579" s="7" t="inlineStr">
        <is>
          <t>PRESENCIAL BOGOTÁ</t>
        </is>
      </c>
      <c r="C579" s="7" t="inlineStr">
        <is>
          <t>LAURA ESPERANZA GELVEZ GARCIA</t>
        </is>
      </c>
      <c r="D579" s="7" t="inlineStr">
        <is>
          <t>INNOVACION E INVESTIGACION</t>
        </is>
      </c>
      <c r="E579" s="7" t="inlineStr">
        <is>
          <t>REGIONAL BOGOTA</t>
        </is>
      </c>
      <c r="F579" s="7" t="inlineStr">
        <is>
          <t>BOGOTA CENTRO</t>
        </is>
      </c>
      <c r="G579" s="7" t="inlineStr">
        <is>
          <t>PRESENCIAL</t>
        </is>
      </c>
      <c r="H579" s="7" t="inlineStr">
        <is>
          <t>DOCENTE ASOC/N/TC/INVESTIGA/INVESTIGACIO</t>
        </is>
      </c>
      <c r="I579" s="7" t="inlineStr">
        <is>
          <t>INVESTIGACIONES</t>
        </is>
      </c>
      <c r="J579" s="7" t="inlineStr">
        <is>
          <t>PLANTA</t>
        </is>
      </c>
      <c r="K579" s="7" t="inlineStr">
        <is>
          <t>YEISON OYOLA</t>
        </is>
      </c>
      <c r="L579" s="7" t="inlineStr">
        <is>
          <t>CONFIRMADO PRESENCIAL</t>
        </is>
      </c>
      <c r="M579" s="7" t="n">
        <v/>
      </c>
      <c r="N579" s="7" t="n">
        <v>3004549231</v>
      </c>
      <c r="O579" s="7" t="inlineStr">
        <is>
          <t>lauris4430@gmail.com</t>
        </is>
      </c>
      <c r="P579" s="7" t="inlineStr">
        <is>
          <t>BTA SEDE J</t>
        </is>
      </c>
      <c r="Q579" s="7" t="inlineStr">
        <is>
          <t>INVESTIGACIONES</t>
        </is>
      </c>
      <c r="R579" s="7" t="inlineStr">
        <is>
          <t>Salón Audiencia sede F</t>
        </is>
      </c>
    </row>
    <row r="580" ht="20" customHeight="1">
      <c r="A580" s="3" t="inlineStr">
        <is>
          <t>70418218</t>
        </is>
      </c>
      <c r="B580" s="4" t="inlineStr">
        <is>
          <t>PRESENCIAL REGIONAL</t>
        </is>
      </c>
      <c r="C580" s="4" t="inlineStr">
        <is>
          <t>LUIS CARLOS RESTREPO JIMENEZ</t>
        </is>
      </c>
      <c r="D580" s="4" t="inlineStr">
        <is>
          <t>INNOVACION E INVESTIGACION</t>
        </is>
      </c>
      <c r="E580" s="4" t="inlineStr">
        <is>
          <t>REGIONAL CORDOBA</t>
        </is>
      </c>
      <c r="F580" s="4" t="inlineStr">
        <is>
          <t>MONTERIA</t>
        </is>
      </c>
      <c r="G580" s="4" t="inlineStr">
        <is>
          <t>PRESENCIAL</t>
        </is>
      </c>
      <c r="H580" s="4" t="inlineStr">
        <is>
          <t>DOCENTE TITU/N/TC/INVESTIGA/INVESTIGACIO</t>
        </is>
      </c>
      <c r="I580" s="4" t="inlineStr">
        <is>
          <t>INVESTIGACIONES</t>
        </is>
      </c>
      <c r="J580" s="4" t="inlineStr">
        <is>
          <t>PLANTA</t>
        </is>
      </c>
      <c r="K580" s="4" t="inlineStr">
        <is>
          <t>YEISON OYOLA</t>
        </is>
      </c>
      <c r="L580" s="4" t="inlineStr">
        <is>
          <t>CONFIRMADO PRESENCIAL</t>
        </is>
      </c>
      <c r="M580" s="4" t="n">
        <v/>
      </c>
      <c r="N580" s="4" t="n">
        <v>3205701442</v>
      </c>
      <c r="O580" s="4" t="inlineStr">
        <is>
          <t>luis.restrepo8218@gmail.com</t>
        </is>
      </c>
      <c r="P580" s="4" t="inlineStr">
        <is>
          <t>MONTERIA SEDE</t>
        </is>
      </c>
      <c r="Q580" s="4" t="inlineStr">
        <is>
          <t>INVESTIGACIONES</t>
        </is>
      </c>
      <c r="R580" s="4" t="n">
        <v/>
      </c>
    </row>
    <row r="581" ht="20" customHeight="1">
      <c r="A581" s="6" t="inlineStr">
        <is>
          <t>1075244076</t>
        </is>
      </c>
      <c r="B581" s="7" t="inlineStr">
        <is>
          <t>PRESENCIAL REGIONAL</t>
        </is>
      </c>
      <c r="C581" s="7" t="inlineStr">
        <is>
          <t>JOHN EDISSON GARCIA PEÑALOZA</t>
        </is>
      </c>
      <c r="D581" s="7" t="inlineStr">
        <is>
          <t>INNOVACION E INVESTIGACION</t>
        </is>
      </c>
      <c r="E581" s="7" t="inlineStr">
        <is>
          <t>REGIONAL HUILA</t>
        </is>
      </c>
      <c r="F581" s="7" t="inlineStr">
        <is>
          <t>NEIVA</t>
        </is>
      </c>
      <c r="G581" s="7" t="inlineStr">
        <is>
          <t>PRESENCIAL</t>
        </is>
      </c>
      <c r="H581" s="7" t="inlineStr">
        <is>
          <t>DOCENTE ASOC/N/TC/INVESTIGACIONES/INVEST</t>
        </is>
      </c>
      <c r="I581" s="7" t="inlineStr">
        <is>
          <t>INVESTIGACIONES</t>
        </is>
      </c>
      <c r="J581" s="7" t="inlineStr">
        <is>
          <t>PLANTA</t>
        </is>
      </c>
      <c r="K581" s="7" t="inlineStr">
        <is>
          <t>YEISON OYOLA</t>
        </is>
      </c>
      <c r="L581" s="7" t="inlineStr">
        <is>
          <t>CONFIRMADO PRESENCIAL</t>
        </is>
      </c>
      <c r="M581" s="7" t="n">
        <v/>
      </c>
      <c r="N581" s="7" t="n">
        <v>3144122656</v>
      </c>
      <c r="O581" s="7" t="inlineStr">
        <is>
          <t>john.garciawtf@gmail.com</t>
        </is>
      </c>
      <c r="P581" s="7" t="inlineStr">
        <is>
          <t>NEIVA SEDE</t>
        </is>
      </c>
      <c r="Q581" s="7" t="inlineStr">
        <is>
          <t>INVESTIGACIONES</t>
        </is>
      </c>
      <c r="R581" s="7" t="n">
        <v/>
      </c>
    </row>
    <row r="582" ht="20" customHeight="1">
      <c r="A582" s="3" t="inlineStr">
        <is>
          <t>1018430455</t>
        </is>
      </c>
      <c r="B582" s="4" t="inlineStr">
        <is>
          <t>PRESENCIAL BOGOTÁ</t>
        </is>
      </c>
      <c r="C582" s="4" t="inlineStr">
        <is>
          <t>FRANCISCO JAVIER BUENDIA PUYO</t>
        </is>
      </c>
      <c r="D582" s="4" t="inlineStr">
        <is>
          <t>INNOVACION E INVESTIGACION</t>
        </is>
      </c>
      <c r="E582" s="4" t="inlineStr">
        <is>
          <t>REGIONAL BOGOTA</t>
        </is>
      </c>
      <c r="F582" s="4" t="inlineStr">
        <is>
          <t>BOGOTA CENTRO</t>
        </is>
      </c>
      <c r="G582" s="4" t="inlineStr">
        <is>
          <t>PRESENCIAL</t>
        </is>
      </c>
      <c r="H582" s="4" t="inlineStr">
        <is>
          <t>DOCENTE ASOC/N/TC/INVESTIGA/INVESTIGACIO</t>
        </is>
      </c>
      <c r="I582" s="4" t="inlineStr">
        <is>
          <t>INVESTIGACIONES</t>
        </is>
      </c>
      <c r="J582" s="4" t="inlineStr">
        <is>
          <t>PLANTA</t>
        </is>
      </c>
      <c r="K582" s="4" t="inlineStr">
        <is>
          <t>YEISON OYOLA</t>
        </is>
      </c>
      <c r="L582" s="4" t="inlineStr">
        <is>
          <t>CONFIRMADO PRESENCIAL</t>
        </is>
      </c>
      <c r="M582" s="4" t="n">
        <v/>
      </c>
      <c r="N582" s="4" t="n">
        <v>3165464064</v>
      </c>
      <c r="O582" s="4" t="inlineStr">
        <is>
          <t>FRANCISCOJAVIERBUENDIA@HOTMAIL.COM</t>
        </is>
      </c>
      <c r="P582" s="4" t="inlineStr">
        <is>
          <t>BTA SEDE F</t>
        </is>
      </c>
      <c r="Q582" s="4" t="inlineStr">
        <is>
          <t>INVESTIGACIONES</t>
        </is>
      </c>
      <c r="R582" s="4" t="inlineStr">
        <is>
          <t>Salón Audiencia sede F</t>
        </is>
      </c>
    </row>
    <row r="583" ht="20" customHeight="1">
      <c r="A583" s="6" t="inlineStr">
        <is>
          <t>93374523</t>
        </is>
      </c>
      <c r="B583" s="7" t="inlineStr">
        <is>
          <t>VIRTUAL</t>
        </is>
      </c>
      <c r="C583" s="7" t="inlineStr">
        <is>
          <t>HELMER MUÑOZ HERNANDEZ</t>
        </is>
      </c>
      <c r="D583" s="7" t="inlineStr">
        <is>
          <t>INNOVACION E INVESTIGACION</t>
        </is>
      </c>
      <c r="E583" s="7" t="inlineStr">
        <is>
          <t>REGIONAL CORDOBA</t>
        </is>
      </c>
      <c r="F583" s="7" t="inlineStr">
        <is>
          <t>MONTERIA</t>
        </is>
      </c>
      <c r="G583" s="7" t="inlineStr">
        <is>
          <t>PRESENCIAL</t>
        </is>
      </c>
      <c r="H583" s="7" t="inlineStr">
        <is>
          <t>DOCENTE TITU/N/TC/INVESTIGA/INVESTIGACIO</t>
        </is>
      </c>
      <c r="I583" s="7" t="inlineStr">
        <is>
          <t>INVESTIGACIONES</t>
        </is>
      </c>
      <c r="J583" s="7" t="inlineStr">
        <is>
          <t>PLANTA</t>
        </is>
      </c>
      <c r="K583" s="7" t="inlineStr">
        <is>
          <t>YEISON OYOLA</t>
        </is>
      </c>
      <c r="L583" s="7" t="inlineStr">
        <is>
          <t>CONFIRMADO VIRTUAL</t>
        </is>
      </c>
      <c r="M583" s="7" t="n">
        <v/>
      </c>
      <c r="N583" s="7" t="n">
        <v>3118746734</v>
      </c>
      <c r="O583" s="7" t="inlineStr">
        <is>
          <t>inghelmer@gmail.com</t>
        </is>
      </c>
      <c r="P583" s="7" t="inlineStr">
        <is>
          <t>MONTERIA SEDE</t>
        </is>
      </c>
      <c r="Q583" s="7" t="inlineStr">
        <is>
          <t>INVESTIGACIONES</t>
        </is>
      </c>
      <c r="R583" s="7" t="n">
        <v/>
      </c>
    </row>
    <row r="584" ht="20" customHeight="1">
      <c r="A584" s="3" t="inlineStr">
        <is>
          <t>10131355</t>
        </is>
      </c>
      <c r="B584" s="4" t="inlineStr">
        <is>
          <t>PRESENCIAL BOGOTÁ</t>
        </is>
      </c>
      <c r="C584" s="4" t="inlineStr">
        <is>
          <t>LUIS FERNANDO GASCA BAZURTO</t>
        </is>
      </c>
      <c r="D584" s="4" t="inlineStr">
        <is>
          <t>INNOVACION E INVESTIGACION</t>
        </is>
      </c>
      <c r="E584" s="4" t="inlineStr">
        <is>
          <t>REGIONAL BOGOTA</t>
        </is>
      </c>
      <c r="F584" s="4" t="inlineStr">
        <is>
          <t>BOGOTA CENTRO</t>
        </is>
      </c>
      <c r="G584" s="4" t="inlineStr">
        <is>
          <t>PRESENCIAL</t>
        </is>
      </c>
      <c r="H584" s="4" t="inlineStr">
        <is>
          <t>DOCENTE ASOC/N/TC/INVESTIGACIONES/INVEST</t>
        </is>
      </c>
      <c r="I584" s="4" t="inlineStr">
        <is>
          <t>INVESTIGACIONES</t>
        </is>
      </c>
      <c r="J584" s="4" t="inlineStr">
        <is>
          <t>PLANTA</t>
        </is>
      </c>
      <c r="K584" s="4" t="inlineStr">
        <is>
          <t>YEISON OYOLA</t>
        </is>
      </c>
      <c r="L584" s="4" t="inlineStr">
        <is>
          <t>CONFIRMADO PRESENCIAL</t>
        </is>
      </c>
      <c r="M584" s="4" t="n">
        <v/>
      </c>
      <c r="N584" s="4" t="n">
        <v>3209409130</v>
      </c>
      <c r="O584" s="4" t="inlineStr">
        <is>
          <t>luisf.gascab@gmail.com</t>
        </is>
      </c>
      <c r="P584" s="4" t="inlineStr">
        <is>
          <t>BTA SEDE D</t>
        </is>
      </c>
      <c r="Q584" s="4" t="inlineStr">
        <is>
          <t>INVESTIGACIONES</t>
        </is>
      </c>
      <c r="R584" s="4" t="inlineStr">
        <is>
          <t>Salón Audiencia sede F</t>
        </is>
      </c>
    </row>
    <row r="585" ht="20" customHeight="1">
      <c r="A585" s="6" t="inlineStr">
        <is>
          <t>1023932570</t>
        </is>
      </c>
      <c r="B585" s="7" t="inlineStr">
        <is>
          <t>VIRTUAL</t>
        </is>
      </c>
      <c r="C585" s="7" t="inlineStr">
        <is>
          <t>LUIS ANDRES TELLEZ TINJACA</t>
        </is>
      </c>
      <c r="D585" s="7" t="inlineStr">
        <is>
          <t>INNOVACION E INVESTIGACION</t>
        </is>
      </c>
      <c r="E585" s="7" t="inlineStr">
        <is>
          <t>REGIONAL BOYACA</t>
        </is>
      </c>
      <c r="F585" s="7" t="inlineStr">
        <is>
          <t>TUNJA</t>
        </is>
      </c>
      <c r="G585" s="7" t="inlineStr">
        <is>
          <t>PRESENCIAL</t>
        </is>
      </c>
      <c r="H585" s="7" t="inlineStr">
        <is>
          <t>DOCENTE ASOC/N/TC/INVESTIGACIONES/INVEST</t>
        </is>
      </c>
      <c r="I585" s="7" t="inlineStr">
        <is>
          <t>INVESTIGACIONES</t>
        </is>
      </c>
      <c r="J585" s="7" t="inlineStr">
        <is>
          <t>PLANTA</t>
        </is>
      </c>
      <c r="K585" s="7" t="inlineStr">
        <is>
          <t>YEISON OYOLA</t>
        </is>
      </c>
      <c r="L585" s="7" t="inlineStr">
        <is>
          <t>CONFIRMADO VIRTUAL</t>
        </is>
      </c>
      <c r="M585" s="7" t="n">
        <v/>
      </c>
      <c r="N585" s="7" t="n">
        <v>3017848882</v>
      </c>
      <c r="O585" s="7" t="inlineStr">
        <is>
          <t>andrestt10@hotmail.com</t>
        </is>
      </c>
      <c r="P585" s="7" t="inlineStr">
        <is>
          <t>TUNJA SEDE</t>
        </is>
      </c>
      <c r="Q585" s="7" t="inlineStr">
        <is>
          <t>INVESTIGACIONES</t>
        </is>
      </c>
      <c r="R585" s="7" t="n">
        <v/>
      </c>
    </row>
    <row r="586" ht="20" customHeight="1">
      <c r="A586" s="3" t="inlineStr">
        <is>
          <t>1052409524</t>
        </is>
      </c>
      <c r="B586" s="4" t="inlineStr">
        <is>
          <t>PRESENCIAL BOGOTÁ</t>
        </is>
      </c>
      <c r="C586" s="4" t="inlineStr">
        <is>
          <t>JOHAN FELIPE RODRIGUEZ PALACIO</t>
        </is>
      </c>
      <c r="D586" s="4" t="inlineStr">
        <is>
          <t>INNOVACION E INVESTIGACION</t>
        </is>
      </c>
      <c r="E586" s="4" t="inlineStr">
        <is>
          <t>REGIONAL BOGOTA</t>
        </is>
      </c>
      <c r="F586" s="4" t="inlineStr">
        <is>
          <t>BOGOTA CENTRO</t>
        </is>
      </c>
      <c r="G586" s="4" t="inlineStr">
        <is>
          <t>PRESENCIAL</t>
        </is>
      </c>
      <c r="H586" s="4" t="inlineStr">
        <is>
          <t>DOCENTE AUX/N/TC/INVESTIGA/INVESTIGACION</t>
        </is>
      </c>
      <c r="I586" s="4" t="inlineStr">
        <is>
          <t>INVESTIGACIONES</t>
        </is>
      </c>
      <c r="J586" s="4" t="inlineStr">
        <is>
          <t>PLANTA</t>
        </is>
      </c>
      <c r="K586" s="4" t="inlineStr">
        <is>
          <t>YEISON OYOLA</t>
        </is>
      </c>
      <c r="L586" s="4" t="inlineStr">
        <is>
          <t>CONFIRMADO PRESENCIAL</t>
        </is>
      </c>
      <c r="M586" s="4" t="n">
        <v/>
      </c>
      <c r="N586" s="4" t="n">
        <v>3105750083</v>
      </c>
      <c r="O586" s="4" t="inlineStr">
        <is>
          <t>jfrp97@gmail.com</t>
        </is>
      </c>
      <c r="P586" s="4" t="inlineStr">
        <is>
          <t>BTA SEDE G</t>
        </is>
      </c>
      <c r="Q586" s="4" t="inlineStr">
        <is>
          <t>INVESTIGACIONES</t>
        </is>
      </c>
      <c r="R586" s="4" t="inlineStr">
        <is>
          <t>Salón Audiencia sede F</t>
        </is>
      </c>
    </row>
    <row r="587" ht="20" customHeight="1">
      <c r="A587" s="6" t="inlineStr">
        <is>
          <t>1033691508</t>
        </is>
      </c>
      <c r="B587" s="7" t="inlineStr">
        <is>
          <t>PRESENCIAL BOGOTÁ</t>
        </is>
      </c>
      <c r="C587" s="7" t="inlineStr">
        <is>
          <t>JOSE LEON LEON</t>
        </is>
      </c>
      <c r="D587" s="7" t="inlineStr">
        <is>
          <t>INNOVACION E INVESTIGACION</t>
        </is>
      </c>
      <c r="E587" s="7" t="inlineStr">
        <is>
          <t>REGIONAL BOGOTA</t>
        </is>
      </c>
      <c r="F587" s="7" t="inlineStr">
        <is>
          <t>BOGOTA SUR</t>
        </is>
      </c>
      <c r="G587" s="7" t="inlineStr">
        <is>
          <t>PRESENCIAL</t>
        </is>
      </c>
      <c r="H587" s="7" t="inlineStr">
        <is>
          <t>DOCENTE ASOC/N/TC/INVESTIGA/INVESTIGACIO</t>
        </is>
      </c>
      <c r="I587" s="7" t="inlineStr">
        <is>
          <t>INVESTIGACIONES</t>
        </is>
      </c>
      <c r="J587" s="7" t="inlineStr">
        <is>
          <t>PLANTA</t>
        </is>
      </c>
      <c r="K587" s="7" t="inlineStr">
        <is>
          <t>YEISON OYOLA</t>
        </is>
      </c>
      <c r="L587" s="7" t="inlineStr">
        <is>
          <t>CONFIRMADO PRESENCIAL</t>
        </is>
      </c>
      <c r="M587" s="7" t="n">
        <v/>
      </c>
      <c r="N587" s="7" t="n">
        <v>3197491359</v>
      </c>
      <c r="O587" s="7" t="inlineStr">
        <is>
          <t>joseleon1024@gmail.com</t>
        </is>
      </c>
      <c r="P587" s="7" t="inlineStr">
        <is>
          <t>BTA SEDE CHAP</t>
        </is>
      </c>
      <c r="Q587" s="7" t="inlineStr">
        <is>
          <t>INVESTIGACIONES</t>
        </is>
      </c>
      <c r="R587" s="7" t="inlineStr">
        <is>
          <t>Salón Audiencia sede F</t>
        </is>
      </c>
    </row>
    <row r="588" ht="20" customHeight="1">
      <c r="A588" s="3" t="inlineStr">
        <is>
          <t>80132798</t>
        </is>
      </c>
      <c r="B588" s="4" t="inlineStr">
        <is>
          <t>PRESENCIAL BOGOTÁ</t>
        </is>
      </c>
      <c r="C588" s="4" t="inlineStr">
        <is>
          <t>ALEXANDER MONTEALEGRE SAAVEDRA</t>
        </is>
      </c>
      <c r="D588" s="4" t="inlineStr">
        <is>
          <t>INNOVACION E INVESTIGACION</t>
        </is>
      </c>
      <c r="E588" s="4" t="inlineStr">
        <is>
          <t>REGIONAL BOGOTA</t>
        </is>
      </c>
      <c r="F588" s="4" t="inlineStr">
        <is>
          <t>BOGOTA CENTRO</t>
        </is>
      </c>
      <c r="G588" s="4" t="inlineStr">
        <is>
          <t>PRESENCIAL</t>
        </is>
      </c>
      <c r="H588" s="4" t="inlineStr">
        <is>
          <t>DOCENTE ASOC/N/TC/INVESTIGACIONES/INVEST</t>
        </is>
      </c>
      <c r="I588" s="4" t="inlineStr">
        <is>
          <t>INVESTIGACIONES</t>
        </is>
      </c>
      <c r="J588" s="4" t="inlineStr">
        <is>
          <t>PLANTA</t>
        </is>
      </c>
      <c r="K588" s="4" t="inlineStr">
        <is>
          <t>YEISON OYOLA</t>
        </is>
      </c>
      <c r="L588" s="4" t="inlineStr">
        <is>
          <t>SIN RESPUESTA</t>
        </is>
      </c>
      <c r="M588" s="4" t="inlineStr">
        <is>
          <t>4 llamadas a correo de voz</t>
        </is>
      </c>
      <c r="N588" s="4" t="n">
        <v>3152669737</v>
      </c>
      <c r="O588" s="4" t="inlineStr">
        <is>
          <t>ramiro459@gmail.com</t>
        </is>
      </c>
      <c r="P588" s="4" t="inlineStr">
        <is>
          <t>BTA SEDE D</t>
        </is>
      </c>
      <c r="Q588" s="4" t="inlineStr">
        <is>
          <t>INVESTIGACIONES</t>
        </is>
      </c>
      <c r="R588" s="4" t="inlineStr">
        <is>
          <t>Salón Audiencia sede F</t>
        </is>
      </c>
    </row>
    <row r="589" ht="20" customHeight="1">
      <c r="A589" s="6" t="inlineStr">
        <is>
          <t>80820052</t>
        </is>
      </c>
      <c r="B589" s="7" t="inlineStr">
        <is>
          <t>PRESENCIAL BOGOTÁ</t>
        </is>
      </c>
      <c r="C589" s="7" t="inlineStr">
        <is>
          <t>ISIDRO AREVALO VARGAS</t>
        </is>
      </c>
      <c r="D589" s="7" t="inlineStr">
        <is>
          <t>INNOVACION E INVESTIGACION</t>
        </is>
      </c>
      <c r="E589" s="7" t="inlineStr">
        <is>
          <t>REGIONAL BOGOTA</t>
        </is>
      </c>
      <c r="F589" s="7" t="inlineStr">
        <is>
          <t>BOGOTA CENTRO</t>
        </is>
      </c>
      <c r="G589" s="7" t="inlineStr">
        <is>
          <t>VIRTUAL</t>
        </is>
      </c>
      <c r="H589" s="7" t="inlineStr">
        <is>
          <t>DOC ASOC/N/V/TC/INVESTIGACIONES/INVESTIG</t>
        </is>
      </c>
      <c r="I589" s="7" t="inlineStr">
        <is>
          <t>INVESTIGACIONES</t>
        </is>
      </c>
      <c r="J589" s="7" t="inlineStr">
        <is>
          <t>PLANTA</t>
        </is>
      </c>
      <c r="K589" s="7" t="inlineStr">
        <is>
          <t>YEISON OYOLA</t>
        </is>
      </c>
      <c r="L589" s="7" t="inlineStr">
        <is>
          <t>PENDIENTE POR CONFIRMAR</t>
        </is>
      </c>
      <c r="M589" s="7" t="inlineStr">
        <is>
          <t>Número erróneo</t>
        </is>
      </c>
      <c r="N589" s="7" t="n">
        <v>3462425594</v>
      </c>
      <c r="O589" s="7" t="inlineStr">
        <is>
          <t>idrosi@gmail.com</t>
        </is>
      </c>
      <c r="P589" s="7" t="inlineStr">
        <is>
          <t>BTA SEDE A</t>
        </is>
      </c>
      <c r="Q589" s="7" t="inlineStr">
        <is>
          <t>INVESTIGACIONES</t>
        </is>
      </c>
      <c r="R589" s="7" t="inlineStr">
        <is>
          <t>Salón Audiencia sede F</t>
        </is>
      </c>
    </row>
    <row r="590" ht="20" customHeight="1">
      <c r="A590" s="3" t="inlineStr">
        <is>
          <t>1013598944</t>
        </is>
      </c>
      <c r="B590" s="4" t="inlineStr">
        <is>
          <t>PRESENCIAL BOGOTÁ</t>
        </is>
      </c>
      <c r="C590" s="4" t="inlineStr">
        <is>
          <t>MARIA ANGELICA ROJAS BERNAL</t>
        </is>
      </c>
      <c r="D590" s="4" t="inlineStr">
        <is>
          <t>INNOVACION E INVESTIGACION</t>
        </is>
      </c>
      <c r="E590" s="4" t="inlineStr">
        <is>
          <t>REGIONAL BOGOTA</t>
        </is>
      </c>
      <c r="F590" s="4" t="inlineStr">
        <is>
          <t>BOGOTA CENTRO</t>
        </is>
      </c>
      <c r="G590" s="4" t="inlineStr">
        <is>
          <t>PRESENCIAL</t>
        </is>
      </c>
      <c r="H590" s="4" t="inlineStr">
        <is>
          <t>DOCENTE ASOC/N/TC/INVESTIGACIONES/INVEST</t>
        </is>
      </c>
      <c r="I590" s="4" t="inlineStr">
        <is>
          <t>INVESTIGACIONES</t>
        </is>
      </c>
      <c r="J590" s="4" t="inlineStr">
        <is>
          <t>PLANTA</t>
        </is>
      </c>
      <c r="K590" s="4" t="inlineStr">
        <is>
          <t>YEISON OYOLA</t>
        </is>
      </c>
      <c r="L590" s="4" t="inlineStr">
        <is>
          <t>CONFIRMADO PRESENCIAL</t>
        </is>
      </c>
      <c r="M590" s="4" t="n">
        <v/>
      </c>
      <c r="N590" s="4" t="n">
        <v>3174791547</v>
      </c>
      <c r="O590" s="4" t="inlineStr">
        <is>
          <t>angelica.rojas.bernal@gmail.com</t>
        </is>
      </c>
      <c r="P590" s="4" t="inlineStr">
        <is>
          <t>BTA SEDE D</t>
        </is>
      </c>
      <c r="Q590" s="4" t="inlineStr">
        <is>
          <t>INVESTIGACIONES</t>
        </is>
      </c>
      <c r="R590" s="4" t="inlineStr">
        <is>
          <t>Salón Audiencia sede F</t>
        </is>
      </c>
    </row>
    <row r="591" ht="20" customHeight="1">
      <c r="A591" s="6" t="inlineStr">
        <is>
          <t>6889219</t>
        </is>
      </c>
      <c r="B591" s="7" t="inlineStr">
        <is>
          <t>PRESENCIAL REGIONAL</t>
        </is>
      </c>
      <c r="C591" s="7" t="inlineStr">
        <is>
          <t>LUIS MANUEL ZUÑIGA PEREZ</t>
        </is>
      </c>
      <c r="D591" s="7" t="inlineStr">
        <is>
          <t>INNOVACION E INVESTIGACION</t>
        </is>
      </c>
      <c r="E591" s="7" t="inlineStr">
        <is>
          <t>REGIONAL CORDOBA</t>
        </is>
      </c>
      <c r="F591" s="7" t="inlineStr">
        <is>
          <t>MONTERIA</t>
        </is>
      </c>
      <c r="G591" s="7" t="inlineStr">
        <is>
          <t>PRESENCIAL</t>
        </is>
      </c>
      <c r="H591" s="7" t="inlineStr">
        <is>
          <t>DOCENTE ASOC/N/TC/INVESTIGA/INVESTIGACIO</t>
        </is>
      </c>
      <c r="I591" s="7" t="inlineStr">
        <is>
          <t>INVESTIGACIONES</t>
        </is>
      </c>
      <c r="J591" s="7" t="inlineStr">
        <is>
          <t>PLANTA</t>
        </is>
      </c>
      <c r="K591" s="7" t="inlineStr">
        <is>
          <t>YEISON OYOLA</t>
        </is>
      </c>
      <c r="L591" s="7" t="inlineStr">
        <is>
          <t>SIN RESPUESTA</t>
        </is>
      </c>
      <c r="M591" s="7" t="inlineStr">
        <is>
          <t>4 llamadas a correo de voz</t>
        </is>
      </c>
      <c r="N591" s="7" t="n">
        <v>3005398095</v>
      </c>
      <c r="O591" s="7" t="inlineStr">
        <is>
          <t>luis_zp22@hotmail.com</t>
        </is>
      </c>
      <c r="P591" s="7" t="inlineStr">
        <is>
          <t>MONTERIA SEDE</t>
        </is>
      </c>
      <c r="Q591" s="7" t="inlineStr">
        <is>
          <t>INVESTIGACIONES</t>
        </is>
      </c>
      <c r="R591" s="7" t="n">
        <v/>
      </c>
    </row>
    <row r="592" ht="20" customHeight="1">
      <c r="A592" s="3" t="inlineStr">
        <is>
          <t>80098581</t>
        </is>
      </c>
      <c r="B592" s="4" t="inlineStr">
        <is>
          <t>PRESENCIAL BOGOTÁ</t>
        </is>
      </c>
      <c r="C592" s="4" t="inlineStr">
        <is>
          <t>JUAN CARLOS FORERO RODRIGUEZ</t>
        </is>
      </c>
      <c r="D592" s="4" t="inlineStr">
        <is>
          <t>INNOVACION E INVESTIGACION</t>
        </is>
      </c>
      <c r="E592" s="4" t="inlineStr">
        <is>
          <t>REGIONAL BOGOTA</t>
        </is>
      </c>
      <c r="F592" s="4" t="inlineStr">
        <is>
          <t>BOGOTA CENTRO</t>
        </is>
      </c>
      <c r="G592" s="4" t="inlineStr">
        <is>
          <t>PRESENCIAL</t>
        </is>
      </c>
      <c r="H592" s="4" t="inlineStr">
        <is>
          <t>DOCENTE ASOC/N/TC/INVESTIGACIONES/INVEST</t>
        </is>
      </c>
      <c r="I592" s="4" t="inlineStr">
        <is>
          <t>INVESTIGACIONES</t>
        </is>
      </c>
      <c r="J592" s="4" t="inlineStr">
        <is>
          <t>PLANTA</t>
        </is>
      </c>
      <c r="K592" s="4" t="inlineStr">
        <is>
          <t>YEISON OYOLA</t>
        </is>
      </c>
      <c r="L592" s="4" t="inlineStr">
        <is>
          <t>CONFIRMADO PRESENCIAL</t>
        </is>
      </c>
      <c r="M592" s="4" t="n">
        <v/>
      </c>
      <c r="N592" s="4" t="n">
        <v>3107720845</v>
      </c>
      <c r="O592" s="4" t="inlineStr">
        <is>
          <t>forero0525@gmail.com</t>
        </is>
      </c>
      <c r="P592" s="4" t="inlineStr">
        <is>
          <t>BTA SEDE J</t>
        </is>
      </c>
      <c r="Q592" s="4" t="inlineStr">
        <is>
          <t>INVESTIGACIONES</t>
        </is>
      </c>
      <c r="R592" s="4" t="inlineStr">
        <is>
          <t>Salón Audiencia sede F</t>
        </is>
      </c>
    </row>
    <row r="593" ht="20" customHeight="1">
      <c r="A593" s="6" t="inlineStr">
        <is>
          <t>1020765371</t>
        </is>
      </c>
      <c r="B593" s="7" t="inlineStr">
        <is>
          <t>PRESENCIAL BOGOTÁ</t>
        </is>
      </c>
      <c r="C593" s="7" t="inlineStr">
        <is>
          <t>OSCAR MAURICIO GOMEZ MIRANDA</t>
        </is>
      </c>
      <c r="D593" s="7" t="inlineStr">
        <is>
          <t>INNOVACION E INVESTIGACION</t>
        </is>
      </c>
      <c r="E593" s="7" t="inlineStr">
        <is>
          <t>REGIONAL BOGOTA</t>
        </is>
      </c>
      <c r="F593" s="7" t="inlineStr">
        <is>
          <t>BOGOTA CENTRO</t>
        </is>
      </c>
      <c r="G593" s="7" t="inlineStr">
        <is>
          <t>PRESENCIAL</t>
        </is>
      </c>
      <c r="H593" s="7" t="inlineStr">
        <is>
          <t>DOCENTE ASOC/N/TC/INVESTIGA/INVESTIGACIO</t>
        </is>
      </c>
      <c r="I593" s="7" t="inlineStr">
        <is>
          <t>INVESTIGACIONES</t>
        </is>
      </c>
      <c r="J593" s="7" t="inlineStr">
        <is>
          <t>PLANTA</t>
        </is>
      </c>
      <c r="K593" s="7" t="inlineStr">
        <is>
          <t>YEISON OYOLA</t>
        </is>
      </c>
      <c r="L593" s="7" t="inlineStr">
        <is>
          <t>CONFIRMADO PRESENCIAL</t>
        </is>
      </c>
      <c r="M593" s="7" t="n">
        <v/>
      </c>
      <c r="N593" s="7" t="n">
        <v>3144169967</v>
      </c>
      <c r="O593" s="7" t="inlineStr">
        <is>
          <t>OMGM_12@HOTMAIL.COM</t>
        </is>
      </c>
      <c r="P593" s="7" t="inlineStr">
        <is>
          <t>BTA SEDE J</t>
        </is>
      </c>
      <c r="Q593" s="7" t="inlineStr">
        <is>
          <t>INVESTIGACIONES</t>
        </is>
      </c>
      <c r="R593" s="7" t="inlineStr">
        <is>
          <t>Salón Audiencia sede F</t>
        </is>
      </c>
    </row>
    <row r="594" ht="20" customHeight="1">
      <c r="A594" s="3" t="inlineStr">
        <is>
          <t>1032480362</t>
        </is>
      </c>
      <c r="B594" s="4" t="inlineStr">
        <is>
          <t>PRESENCIAL BOGOTÁ</t>
        </is>
      </c>
      <c r="C594" s="4" t="inlineStr">
        <is>
          <t>JOHAN SEBASTIÁN OSORIO CHAVES</t>
        </is>
      </c>
      <c r="D594" s="4" t="inlineStr">
        <is>
          <t>INNOVACION E INVESTIGACION</t>
        </is>
      </c>
      <c r="E594" s="4" t="inlineStr">
        <is>
          <t>REGIONAL BOGOTA</t>
        </is>
      </c>
      <c r="F594" s="4" t="inlineStr">
        <is>
          <t>BOGOTA CENTRO</t>
        </is>
      </c>
      <c r="G594" s="4" t="inlineStr">
        <is>
          <t>VIRTUAL</t>
        </is>
      </c>
      <c r="H594" s="4" t="inlineStr">
        <is>
          <t>DOC AUX T&amp;T/N/V/TC/INVESTIGACIONES/INVESTI</t>
        </is>
      </c>
      <c r="I594" s="4" t="inlineStr">
        <is>
          <t>INVESTIGACIONES</t>
        </is>
      </c>
      <c r="J594" s="4" t="inlineStr">
        <is>
          <t>PLANTA</t>
        </is>
      </c>
      <c r="K594" s="4" t="inlineStr">
        <is>
          <t>YEISON OYOLA</t>
        </is>
      </c>
      <c r="L594" s="4" t="inlineStr">
        <is>
          <t>CONFIRMADO PRESENCIAL</t>
        </is>
      </c>
      <c r="M594" s="4" t="n">
        <v/>
      </c>
      <c r="N594" s="4" t="n">
        <v>3004704255</v>
      </c>
      <c r="O594" s="4" t="inlineStr">
        <is>
          <t>johan.0401@hotmail.com</t>
        </is>
      </c>
      <c r="P594" s="4" t="inlineStr">
        <is>
          <t>BTA SEDE A</t>
        </is>
      </c>
      <c r="Q594" s="4" t="inlineStr">
        <is>
          <t>INVESTIGACIONES</t>
        </is>
      </c>
      <c r="R594" s="4" t="inlineStr">
        <is>
          <t>Salón Audiencia sede F</t>
        </is>
      </c>
    </row>
    <row r="595" ht="20" customHeight="1">
      <c r="A595" s="6" t="inlineStr">
        <is>
          <t>1075598622</t>
        </is>
      </c>
      <c r="B595" s="7" t="inlineStr">
        <is>
          <t>PRESENCIAL REGIONAL</t>
        </is>
      </c>
      <c r="C595" s="7" t="inlineStr">
        <is>
          <t>ANA TULIA SANCHEZ REYES</t>
        </is>
      </c>
      <c r="D595" s="7" t="inlineStr">
        <is>
          <t>INNOVACION E INVESTIGACION</t>
        </is>
      </c>
      <c r="E595" s="7" t="inlineStr">
        <is>
          <t>REGIONAL HUILA</t>
        </is>
      </c>
      <c r="F595" s="7" t="inlineStr">
        <is>
          <t>NEIVA</t>
        </is>
      </c>
      <c r="G595" s="7" t="inlineStr">
        <is>
          <t>PRESENCIAL</t>
        </is>
      </c>
      <c r="H595" s="7" t="inlineStr">
        <is>
          <t>DOCENTE ASIS/N/TC/INVESTIGA/INVESTIGACIO</t>
        </is>
      </c>
      <c r="I595" s="7" t="inlineStr">
        <is>
          <t>INVESTIGACIONES</t>
        </is>
      </c>
      <c r="J595" s="7" t="inlineStr">
        <is>
          <t>PLANTA</t>
        </is>
      </c>
      <c r="K595" s="7" t="inlineStr">
        <is>
          <t>YEISON OYOLA</t>
        </is>
      </c>
      <c r="L595" s="7" t="inlineStr">
        <is>
          <t>CONFIRMADO PRESENCIAL</t>
        </is>
      </c>
      <c r="M595" s="7" t="n">
        <v/>
      </c>
      <c r="N595" s="7" t="n">
        <v>3124986133</v>
      </c>
      <c r="O595" s="7" t="inlineStr">
        <is>
          <t xml:space="preserve">anatuliasan@gmail.com </t>
        </is>
      </c>
      <c r="P595" s="7" t="inlineStr">
        <is>
          <t>NEIVA SEDE</t>
        </is>
      </c>
      <c r="Q595" s="7" t="inlineStr">
        <is>
          <t>INVESTIGACIONES</t>
        </is>
      </c>
      <c r="R595" s="7" t="n">
        <v/>
      </c>
    </row>
    <row r="596" ht="20" customHeight="1">
      <c r="A596" s="3" t="inlineStr">
        <is>
          <t>1012325080</t>
        </is>
      </c>
      <c r="B596" s="4" t="inlineStr">
        <is>
          <t>PRESENCIAL BOGOTÁ</t>
        </is>
      </c>
      <c r="C596" s="4" t="inlineStr">
        <is>
          <t>HELBER MAURICIO BERNAL MORENO</t>
        </is>
      </c>
      <c r="D596" s="4" t="inlineStr">
        <is>
          <t>INNOVACION E INVESTIGACION</t>
        </is>
      </c>
      <c r="E596" s="4" t="inlineStr">
        <is>
          <t>REGIONAL BOGOTA</t>
        </is>
      </c>
      <c r="F596" s="4" t="inlineStr">
        <is>
          <t>BOGOTA CENTRO</t>
        </is>
      </c>
      <c r="G596" s="4" t="inlineStr">
        <is>
          <t>PRESENCIAL</t>
        </is>
      </c>
      <c r="H596" s="4" t="inlineStr">
        <is>
          <t>DOCENTE ASOC/N/TC/INVESTIGA/INVESTIGACIO</t>
        </is>
      </c>
      <c r="I596" s="4" t="inlineStr">
        <is>
          <t>INVESTIGACIONES</t>
        </is>
      </c>
      <c r="J596" s="4" t="inlineStr">
        <is>
          <t>PLANTA</t>
        </is>
      </c>
      <c r="K596" s="4" t="inlineStr">
        <is>
          <t>YEISON OYOLA</t>
        </is>
      </c>
      <c r="L596" s="4" t="inlineStr">
        <is>
          <t>CONFIRMADO PRESENCIAL</t>
        </is>
      </c>
      <c r="M596" s="4" t="n">
        <v/>
      </c>
      <c r="N596" s="4" t="n">
        <v>3003610107</v>
      </c>
      <c r="O596" s="4" t="inlineStr">
        <is>
          <t>elmaurobm@hotmail.com</t>
        </is>
      </c>
      <c r="P596" s="4" t="inlineStr">
        <is>
          <t>BTA SEDE CHAP</t>
        </is>
      </c>
      <c r="Q596" s="4" t="inlineStr">
        <is>
          <t>INVESTIGACIONES</t>
        </is>
      </c>
      <c r="R596" s="4" t="inlineStr">
        <is>
          <t>Salón Audiencia sede F</t>
        </is>
      </c>
    </row>
    <row r="597" ht="20" customHeight="1">
      <c r="A597" s="6" t="inlineStr">
        <is>
          <t>80038708</t>
        </is>
      </c>
      <c r="B597" s="7" t="inlineStr">
        <is>
          <t>PRESENCIAL BOGOTÁ</t>
        </is>
      </c>
      <c r="C597" s="7" t="inlineStr">
        <is>
          <t>NIKOLAI ALEXANDER NARVAEZ CABALLERO</t>
        </is>
      </c>
      <c r="D597" s="7" t="inlineStr">
        <is>
          <t>INNOVACION E INVESTIGACION</t>
        </is>
      </c>
      <c r="E597" s="7" t="inlineStr">
        <is>
          <t>REGIONAL BOGOTA</t>
        </is>
      </c>
      <c r="F597" s="7" t="inlineStr">
        <is>
          <t>BOGOTA CENTRO</t>
        </is>
      </c>
      <c r="G597" s="7" t="inlineStr">
        <is>
          <t>PRESENCIAL</t>
        </is>
      </c>
      <c r="H597" s="7" t="inlineStr">
        <is>
          <t>DOCENTE ASOC/N/TC/INVESTIGA/INVESTIGACIO</t>
        </is>
      </c>
      <c r="I597" s="7" t="inlineStr">
        <is>
          <t>INVESTIGACIONES</t>
        </is>
      </c>
      <c r="J597" s="7" t="inlineStr">
        <is>
          <t>PLANTA</t>
        </is>
      </c>
      <c r="K597" s="7" t="inlineStr">
        <is>
          <t>YEISON OYOLA</t>
        </is>
      </c>
      <c r="L597" s="7" t="inlineStr">
        <is>
          <t>CONFIRMADO PRESENCIAL</t>
        </is>
      </c>
      <c r="M597" s="7" t="n">
        <v/>
      </c>
      <c r="N597" s="7" t="n">
        <v>3204762333</v>
      </c>
      <c r="O597" s="7" t="inlineStr">
        <is>
          <t>diniko.narvaez@gmail.com</t>
        </is>
      </c>
      <c r="P597" s="7" t="inlineStr">
        <is>
          <t>BTA SEDE D</t>
        </is>
      </c>
      <c r="Q597" s="7" t="inlineStr">
        <is>
          <t>INVESTIGACIONES</t>
        </is>
      </c>
      <c r="R597" s="7" t="inlineStr">
        <is>
          <t>Salón Audiencia sede F</t>
        </is>
      </c>
    </row>
    <row r="598" ht="20" customHeight="1">
      <c r="A598" s="3" t="inlineStr">
        <is>
          <t>18958510</t>
        </is>
      </c>
      <c r="B598" s="4" t="inlineStr">
        <is>
          <t>PRESENCIAL BOGOTÁ</t>
        </is>
      </c>
      <c r="C598" s="4" t="inlineStr">
        <is>
          <t>JORGE LUIS MATTOS MEJIA</t>
        </is>
      </c>
      <c r="D598" s="4" t="inlineStr">
        <is>
          <t>INNOVACION E INVESTIGACION</t>
        </is>
      </c>
      <c r="E598" s="4" t="inlineStr">
        <is>
          <t>REGIONAL BOGOTA</t>
        </is>
      </c>
      <c r="F598" s="4" t="inlineStr">
        <is>
          <t>BOGOTA CENTRO</t>
        </is>
      </c>
      <c r="G598" s="4" t="inlineStr">
        <is>
          <t>PRESENCIAL</t>
        </is>
      </c>
      <c r="H598" s="4" t="inlineStr">
        <is>
          <t>DOCENTE TITU/N/TC/INVESTIGA/INVESTIGACIO</t>
        </is>
      </c>
      <c r="I598" s="4" t="inlineStr">
        <is>
          <t>INVESTIGACIONES</t>
        </is>
      </c>
      <c r="J598" s="4" t="inlineStr">
        <is>
          <t>PLANTA</t>
        </is>
      </c>
      <c r="K598" s="4" t="inlineStr">
        <is>
          <t>YEISON OYOLA</t>
        </is>
      </c>
      <c r="L598" s="4" t="inlineStr">
        <is>
          <t>CONFIRMADO PRESENCIAL</t>
        </is>
      </c>
      <c r="M598" s="4" t="n">
        <v/>
      </c>
      <c r="N598" s="4" t="n">
        <v>3007682611</v>
      </c>
      <c r="O598" s="4" t="inlineStr">
        <is>
          <t>jorgemattos@unicesar.edu.co</t>
        </is>
      </c>
      <c r="P598" s="4" t="inlineStr">
        <is>
          <t>BTA SEDE D</t>
        </is>
      </c>
      <c r="Q598" s="4" t="inlineStr">
        <is>
          <t>INVESTIGACIONES</t>
        </is>
      </c>
      <c r="R598" s="4" t="inlineStr">
        <is>
          <t>Salón Audiencia sede F</t>
        </is>
      </c>
    </row>
    <row r="599" ht="20" customHeight="1">
      <c r="A599" s="6" t="inlineStr">
        <is>
          <t>1032364843</t>
        </is>
      </c>
      <c r="B599" s="7" t="inlineStr">
        <is>
          <t>PRESENCIAL BOGOTÁ</t>
        </is>
      </c>
      <c r="C599" s="7" t="inlineStr">
        <is>
          <t>MARTIN EDUARDO ESPITIA NERY</t>
        </is>
      </c>
      <c r="D599" s="7" t="inlineStr">
        <is>
          <t>INNOVACION E INVESTIGACION</t>
        </is>
      </c>
      <c r="E599" s="7" t="inlineStr">
        <is>
          <t>REGIONAL BOGOTA</t>
        </is>
      </c>
      <c r="F599" s="7" t="inlineStr">
        <is>
          <t>BOGOTA CENTRO</t>
        </is>
      </c>
      <c r="G599" s="7" t="inlineStr">
        <is>
          <t>VIRTUAL</t>
        </is>
      </c>
      <c r="H599" s="7" t="inlineStr">
        <is>
          <t>DOC ASOC/N/V/TC/INVESTIGACIONES/INVESTIG</t>
        </is>
      </c>
      <c r="I599" s="7" t="inlineStr">
        <is>
          <t>INVESTIGACIONES</t>
        </is>
      </c>
      <c r="J599" s="7" t="inlineStr">
        <is>
          <t>PLANTA</t>
        </is>
      </c>
      <c r="K599" s="7" t="inlineStr">
        <is>
          <t>YEISON OYOLA</t>
        </is>
      </c>
      <c r="L599" s="7" t="inlineStr">
        <is>
          <t>SIN RESPUESTA</t>
        </is>
      </c>
      <c r="M599" s="7" t="inlineStr">
        <is>
          <t>2 llamadas a correo de voz</t>
        </is>
      </c>
      <c r="N599" s="7" t="n">
        <v>3112285413</v>
      </c>
      <c r="O599" s="7" t="inlineStr">
        <is>
          <t>mespitian@yahoo.com</t>
        </is>
      </c>
      <c r="P599" s="7" t="inlineStr">
        <is>
          <t>BTA SEDE A</t>
        </is>
      </c>
      <c r="Q599" s="7" t="inlineStr">
        <is>
          <t>INVESTIGACIONES</t>
        </is>
      </c>
      <c r="R599" s="7" t="inlineStr">
        <is>
          <t>Salón Audiencia sede F</t>
        </is>
      </c>
    </row>
    <row r="600" ht="20" customHeight="1">
      <c r="A600" s="3" t="inlineStr">
        <is>
          <t>32852406</t>
        </is>
      </c>
      <c r="B600" s="4" t="inlineStr">
        <is>
          <t>PRESENCIAL REGIONAL</t>
        </is>
      </c>
      <c r="C600" s="4" t="inlineStr">
        <is>
          <t>ANGELICA MARIA JIMENEZ CORONADO</t>
        </is>
      </c>
      <c r="D600" s="4" t="inlineStr">
        <is>
          <t>INNOVACION E INVESTIGACION</t>
        </is>
      </c>
      <c r="E600" s="4" t="inlineStr">
        <is>
          <t>REGIONAL ATLANTICO</t>
        </is>
      </c>
      <c r="F600" s="4" t="inlineStr">
        <is>
          <t>BARRANQUILLA</t>
        </is>
      </c>
      <c r="G600" s="4" t="inlineStr">
        <is>
          <t>PRESENCIAL</t>
        </is>
      </c>
      <c r="H600" s="4" t="inlineStr">
        <is>
          <t>DOCENTE TITU/N/TC/INVESTIGA/INVESTIGACIO</t>
        </is>
      </c>
      <c r="I600" s="4" t="inlineStr">
        <is>
          <t>INVESTIGACIONES</t>
        </is>
      </c>
      <c r="J600" s="4" t="inlineStr">
        <is>
          <t>PLANTA</t>
        </is>
      </c>
      <c r="K600" s="4" t="inlineStr">
        <is>
          <t>YEISON OYOLA</t>
        </is>
      </c>
      <c r="L600" s="4" t="inlineStr">
        <is>
          <t>CONFIRMADO PRESENCIAL</t>
        </is>
      </c>
      <c r="M600" s="4" t="n">
        <v/>
      </c>
      <c r="N600" s="4" t="n">
        <v>3132141638</v>
      </c>
      <c r="O600" s="4" t="inlineStr">
        <is>
          <t xml:space="preserve">anmajico77@hotmail.com </t>
        </is>
      </c>
      <c r="P600" s="4" t="inlineStr">
        <is>
          <t>BQUILLA SEDE</t>
        </is>
      </c>
      <c r="Q600" s="4" t="inlineStr">
        <is>
          <t>INVESTIGACIONES</t>
        </is>
      </c>
      <c r="R600" s="4" t="n">
        <v/>
      </c>
    </row>
    <row r="601" ht="20" customHeight="1">
      <c r="A601" s="6" t="inlineStr">
        <is>
          <t>1010232652</t>
        </is>
      </c>
      <c r="B601" s="7" t="inlineStr">
        <is>
          <t>PRESENCIAL BOGOTÁ</t>
        </is>
      </c>
      <c r="C601" s="7" t="inlineStr">
        <is>
          <t>LAURA CAMILA URREA SEPÚLVEDA</t>
        </is>
      </c>
      <c r="D601" s="7" t="inlineStr">
        <is>
          <t>INNOVACION E INVESTIGACION</t>
        </is>
      </c>
      <c r="E601" s="7" t="inlineStr">
        <is>
          <t>REGIONAL BOGOTA</t>
        </is>
      </c>
      <c r="F601" s="7" t="inlineStr">
        <is>
          <t>BOGOTA CENTRO</t>
        </is>
      </c>
      <c r="G601" s="7" t="inlineStr">
        <is>
          <t>PRESENCIAL</t>
        </is>
      </c>
      <c r="H601" s="7" t="inlineStr">
        <is>
          <t>DOCENTE AUX/N/TC/INVESTIGA/INVESTIGACION</t>
        </is>
      </c>
      <c r="I601" s="7" t="inlineStr">
        <is>
          <t>INVESTIGACIONES</t>
        </is>
      </c>
      <c r="J601" s="7" t="inlineStr">
        <is>
          <t>PLANTA</t>
        </is>
      </c>
      <c r="K601" s="7" t="inlineStr">
        <is>
          <t>YEISON OYOLA</t>
        </is>
      </c>
      <c r="L601" s="7" t="inlineStr">
        <is>
          <t>CONFIRMADO PRESENCIAL</t>
        </is>
      </c>
      <c r="M601" s="7" t="n">
        <v/>
      </c>
      <c r="N601" s="7" t="n">
        <v>3195979198</v>
      </c>
      <c r="O601" s="7" t="inlineStr">
        <is>
          <t>lauraurrea9731@gmail.com</t>
        </is>
      </c>
      <c r="P601" s="7" t="inlineStr">
        <is>
          <t>BTA SEDE G</t>
        </is>
      </c>
      <c r="Q601" s="7" t="inlineStr">
        <is>
          <t>INVESTIGACIONES</t>
        </is>
      </c>
      <c r="R601" s="7" t="inlineStr">
        <is>
          <t>Salón Audiencia sede F</t>
        </is>
      </c>
    </row>
    <row r="602" ht="20" customHeight="1">
      <c r="A602" s="3" t="inlineStr">
        <is>
          <t>94541068</t>
        </is>
      </c>
      <c r="B602" s="4" t="inlineStr">
        <is>
          <t>VIRTUAL</t>
        </is>
      </c>
      <c r="C602" s="4" t="inlineStr">
        <is>
          <t>CESAR AUGUSTO GUTIERREZ RODRIGUEZ</t>
        </is>
      </c>
      <c r="D602" s="4" t="inlineStr">
        <is>
          <t>INNOVACION E INVESTIGACION</t>
        </is>
      </c>
      <c r="E602" s="4" t="inlineStr">
        <is>
          <t>REGIONAL VALLE DELCAUCA</t>
        </is>
      </c>
      <c r="F602" s="4" t="inlineStr">
        <is>
          <t>BUENAVENTURA</t>
        </is>
      </c>
      <c r="G602" s="4" t="inlineStr">
        <is>
          <t>VIRTUAL</t>
        </is>
      </c>
      <c r="H602" s="4" t="inlineStr">
        <is>
          <t>DOC ASOC/N/V/TC/INVESTIGACIONES/INVESTIGAC</t>
        </is>
      </c>
      <c r="I602" s="4" t="inlineStr">
        <is>
          <t>INVESTIGACIONES</t>
        </is>
      </c>
      <c r="J602" s="4" t="inlineStr">
        <is>
          <t>PLANTA</t>
        </is>
      </c>
      <c r="K602" s="4" t="inlineStr">
        <is>
          <t>YEISON OYOLA</t>
        </is>
      </c>
      <c r="L602" s="4" t="inlineStr">
        <is>
          <t>SIN RESPUESTA</t>
        </is>
      </c>
      <c r="M602" s="4" t="inlineStr">
        <is>
          <t>4 llamadas a correo de voz</t>
        </is>
      </c>
      <c r="N602" s="4" t="n">
        <v>3176455503</v>
      </c>
      <c r="O602" s="4" t="inlineStr">
        <is>
          <t>PROFECESAR15@GMAIL.COM</t>
        </is>
      </c>
      <c r="P602" s="4" t="inlineStr">
        <is>
          <t>BUENAVENTURA SEDE</t>
        </is>
      </c>
      <c r="Q602" s="4" t="inlineStr">
        <is>
          <t>INVESTIGACIONES</t>
        </is>
      </c>
      <c r="R602" s="4" t="n">
        <v/>
      </c>
    </row>
    <row r="603" ht="20" customHeight="1">
      <c r="A603" s="6" t="inlineStr">
        <is>
          <t>1014205233</t>
        </is>
      </c>
      <c r="B603" s="7" t="inlineStr">
        <is>
          <t>PRESENCIAL BOGOTÁ</t>
        </is>
      </c>
      <c r="C603" s="7" t="inlineStr">
        <is>
          <t>ANGIE PATRICIA SALAS CARRANZA</t>
        </is>
      </c>
      <c r="D603" s="7" t="inlineStr">
        <is>
          <t>INNOVACION E INVESTIGACION</t>
        </is>
      </c>
      <c r="E603" s="7" t="inlineStr">
        <is>
          <t>REGIONAL BOGOTA</t>
        </is>
      </c>
      <c r="F603" s="7" t="inlineStr">
        <is>
          <t>BOGOTA CENTRO</t>
        </is>
      </c>
      <c r="G603" s="7" t="inlineStr">
        <is>
          <t>PRESENCIAL</t>
        </is>
      </c>
      <c r="H603" s="7" t="inlineStr">
        <is>
          <t>DOCENTE ASIS/N/TC/INVESTIGA/INVESTIGACIO</t>
        </is>
      </c>
      <c r="I603" s="7" t="inlineStr">
        <is>
          <t>INVESTIGACIONES</t>
        </is>
      </c>
      <c r="J603" s="7" t="inlineStr">
        <is>
          <t>PLANTA</t>
        </is>
      </c>
      <c r="K603" s="7" t="inlineStr">
        <is>
          <t>YEISON OYOLA</t>
        </is>
      </c>
      <c r="L603" s="7" t="inlineStr">
        <is>
          <t>SIN RESPUESTA</t>
        </is>
      </c>
      <c r="M603" s="7" t="inlineStr">
        <is>
          <t>4 llamadas a correo de voz</t>
        </is>
      </c>
      <c r="N603" s="7" t="n">
        <v>3102558061</v>
      </c>
      <c r="O603" s="7" t="inlineStr">
        <is>
          <t>angiepsalasc@gmail.com</t>
        </is>
      </c>
      <c r="P603" s="7" t="inlineStr">
        <is>
          <t>BTA SEDE J</t>
        </is>
      </c>
      <c r="Q603" s="7" t="inlineStr">
        <is>
          <t>INVESTIGACIONES</t>
        </is>
      </c>
      <c r="R603" s="7" t="inlineStr">
        <is>
          <t>Salón Audiencia sede F</t>
        </is>
      </c>
    </row>
    <row r="604" ht="20" customHeight="1">
      <c r="A604" s="3" t="inlineStr">
        <is>
          <t>1102845521</t>
        </is>
      </c>
      <c r="B604" s="4" t="inlineStr">
        <is>
          <t>PRESENCIAL REGIONAL</t>
        </is>
      </c>
      <c r="C604" s="4" t="inlineStr">
        <is>
          <t>ADOLFO JOSE GALINDO MESA</t>
        </is>
      </c>
      <c r="D604" s="4" t="inlineStr">
        <is>
          <t>INNOVACION E INVESTIGACION</t>
        </is>
      </c>
      <c r="E604" s="4" t="inlineStr">
        <is>
          <t>REGIONAL SUCRE</t>
        </is>
      </c>
      <c r="F604" s="4" t="inlineStr">
        <is>
          <t>SINCELEJO</t>
        </is>
      </c>
      <c r="G604" s="4" t="inlineStr">
        <is>
          <t>PRESENCIAL</t>
        </is>
      </c>
      <c r="H604" s="4" t="inlineStr">
        <is>
          <t>DOCENTE ASOC/N/TC/INVESTIGA/INVESTIGACIO</t>
        </is>
      </c>
      <c r="I604" s="4" t="inlineStr">
        <is>
          <t>INVESTIGACIONES</t>
        </is>
      </c>
      <c r="J604" s="4" t="inlineStr">
        <is>
          <t>PLANTA</t>
        </is>
      </c>
      <c r="K604" s="4" t="inlineStr">
        <is>
          <t>YEISON OYOLA</t>
        </is>
      </c>
      <c r="L604" s="4" t="inlineStr">
        <is>
          <t>SIN RESPUESTA</t>
        </is>
      </c>
      <c r="M604" s="4" t="inlineStr">
        <is>
          <t>4 llamadas a correo de voz</t>
        </is>
      </c>
      <c r="N604" s="4" t="n">
        <v>3005901367</v>
      </c>
      <c r="O604" s="4" t="inlineStr">
        <is>
          <t>adolfogalindomeza@gmail.com</t>
        </is>
      </c>
      <c r="P604" s="4" t="inlineStr">
        <is>
          <t>SINCELEJO SEDE</t>
        </is>
      </c>
      <c r="Q604" s="4" t="inlineStr">
        <is>
          <t>INVESTIGACIONES</t>
        </is>
      </c>
      <c r="R604" s="4" t="n">
        <v/>
      </c>
    </row>
    <row r="605" ht="20" customHeight="1">
      <c r="A605" s="6" t="inlineStr">
        <is>
          <t>79510750</t>
        </is>
      </c>
      <c r="B605" s="7" t="inlineStr">
        <is>
          <t>PRESENCIAL BOGOTÁ</t>
        </is>
      </c>
      <c r="C605" s="7" t="inlineStr">
        <is>
          <t>WILFREDO GUEVARA RODRIGUEZ</t>
        </is>
      </c>
      <c r="D605" s="7" t="inlineStr">
        <is>
          <t>INNOVACION E INVESTIGACION</t>
        </is>
      </c>
      <c r="E605" s="7" t="inlineStr">
        <is>
          <t>REGIONAL BOGOTA</t>
        </is>
      </c>
      <c r="F605" s="7" t="inlineStr">
        <is>
          <t>BOGOTA CENTRO</t>
        </is>
      </c>
      <c r="G605" s="7" t="inlineStr">
        <is>
          <t>PRESENCIAL</t>
        </is>
      </c>
      <c r="H605" s="7" t="inlineStr">
        <is>
          <t>DOCENTE ASOC/N/TC/INVESTIGA/INVESTIGACIO</t>
        </is>
      </c>
      <c r="I605" s="7" t="inlineStr">
        <is>
          <t>INVESTIGACIONES</t>
        </is>
      </c>
      <c r="J605" s="7" t="inlineStr">
        <is>
          <t>PLANTA</t>
        </is>
      </c>
      <c r="K605" s="7" t="inlineStr">
        <is>
          <t>YEISON OYOLA</t>
        </is>
      </c>
      <c r="L605" s="7" t="inlineStr">
        <is>
          <t>SIN RESPUESTA</t>
        </is>
      </c>
      <c r="M605" s="7" t="inlineStr">
        <is>
          <t>4 llamadas a correo de voz</t>
        </is>
      </c>
      <c r="N605" s="7" t="n">
        <v>3115578764</v>
      </c>
      <c r="O605" s="7" t="inlineStr">
        <is>
          <t>wmarines@hotmail.com</t>
        </is>
      </c>
      <c r="P605" s="7" t="inlineStr">
        <is>
          <t>BTA SEDE G</t>
        </is>
      </c>
      <c r="Q605" s="7" t="inlineStr">
        <is>
          <t>INVESTIGACIONES</t>
        </is>
      </c>
      <c r="R605" s="7" t="inlineStr">
        <is>
          <t>Salón Audiencia sede F</t>
        </is>
      </c>
    </row>
    <row r="606" ht="20" customHeight="1">
      <c r="A606" s="3" t="inlineStr">
        <is>
          <t>1014205872</t>
        </is>
      </c>
      <c r="B606" s="4" t="inlineStr">
        <is>
          <t>PRESENCIAL BOGOTÁ</t>
        </is>
      </c>
      <c r="C606" s="4" t="inlineStr">
        <is>
          <t>YERAZZI EDGARDO CLARO LA ROTTA</t>
        </is>
      </c>
      <c r="D606" s="4" t="inlineStr">
        <is>
          <t>INNOVACION E INVESTIGACION</t>
        </is>
      </c>
      <c r="E606" s="4" t="inlineStr">
        <is>
          <t>REGIONAL BOGOTA</t>
        </is>
      </c>
      <c r="F606" s="4" t="inlineStr">
        <is>
          <t>BOGOTA CENTRO</t>
        </is>
      </c>
      <c r="G606" s="4" t="inlineStr">
        <is>
          <t>VIRTUAL</t>
        </is>
      </c>
      <c r="H606" s="4" t="inlineStr">
        <is>
          <t>DOC ASOC/N/V/TC/INVESTIGACIONES/INVESTIG</t>
        </is>
      </c>
      <c r="I606" s="4" t="inlineStr">
        <is>
          <t>INVESTIGACIONES</t>
        </is>
      </c>
      <c r="J606" s="4" t="inlineStr">
        <is>
          <t>PLANTA</t>
        </is>
      </c>
      <c r="K606" s="4" t="inlineStr">
        <is>
          <t>YEISON OYOLA</t>
        </is>
      </c>
      <c r="L606" s="4" t="inlineStr">
        <is>
          <t>PENDIENTE POR CONFIRMAR</t>
        </is>
      </c>
      <c r="M606" s="4" t="inlineStr">
        <is>
          <t>Número erróneo</t>
        </is>
      </c>
      <c r="N606" s="4" t="n">
        <v>5638817868</v>
      </c>
      <c r="O606" s="4" t="inlineStr">
        <is>
          <t>edgardoclaro2020@gmail.com</t>
        </is>
      </c>
      <c r="P606" s="4" t="inlineStr">
        <is>
          <t>BTA SEDE A</t>
        </is>
      </c>
      <c r="Q606" s="4" t="inlineStr">
        <is>
          <t>INVESTIGACIONES</t>
        </is>
      </c>
      <c r="R606" s="4" t="inlineStr">
        <is>
          <t>Salón Audiencia sede F</t>
        </is>
      </c>
    </row>
    <row r="607" ht="20" customHeight="1">
      <c r="A607" s="6" t="inlineStr">
        <is>
          <t>91260826</t>
        </is>
      </c>
      <c r="B607" s="7" t="inlineStr">
        <is>
          <t>PRESENCIAL BOGOTÁ</t>
        </is>
      </c>
      <c r="C607" s="7" t="inlineStr">
        <is>
          <t>RAUL BAREÑO GUTIERREZ</t>
        </is>
      </c>
      <c r="D607" s="7" t="inlineStr">
        <is>
          <t>INNOVACION E INVESTIGACION</t>
        </is>
      </c>
      <c r="E607" s="7" t="inlineStr">
        <is>
          <t>REGIONAL BOGOTA</t>
        </is>
      </c>
      <c r="F607" s="7" t="inlineStr">
        <is>
          <t>BOGOTA CENTRO</t>
        </is>
      </c>
      <c r="G607" s="7" t="inlineStr">
        <is>
          <t>PRESENCIAL</t>
        </is>
      </c>
      <c r="H607" s="7" t="inlineStr">
        <is>
          <t>DOCENTE ASOC/N/TC/INVESTIGA/INVESTIGACIO</t>
        </is>
      </c>
      <c r="I607" s="7" t="inlineStr">
        <is>
          <t>INVESTIGACIONES</t>
        </is>
      </c>
      <c r="J607" s="7" t="inlineStr">
        <is>
          <t>PLANTA</t>
        </is>
      </c>
      <c r="K607" s="7" t="inlineStr">
        <is>
          <t>YEISON OYOLA</t>
        </is>
      </c>
      <c r="L607" s="7" t="inlineStr">
        <is>
          <t>PENDIENTE POR CONFIRMAR</t>
        </is>
      </c>
      <c r="M607" s="7" t="inlineStr">
        <is>
          <t>8 agosto vacaiones</t>
        </is>
      </c>
      <c r="N607" s="7" t="n">
        <v>3184313047</v>
      </c>
      <c r="O607" s="7" t="inlineStr">
        <is>
          <t>RAULBARE@YAHOO.ES</t>
        </is>
      </c>
      <c r="P607" s="7" t="inlineStr">
        <is>
          <t>BTA SEDE CHAP</t>
        </is>
      </c>
      <c r="Q607" s="7" t="inlineStr">
        <is>
          <t>INVESTIGACIONES</t>
        </is>
      </c>
      <c r="R607" s="7" t="inlineStr">
        <is>
          <t>Salón Audiencia sede F</t>
        </is>
      </c>
    </row>
    <row r="608" ht="20" customHeight="1">
      <c r="A608" s="3" t="inlineStr">
        <is>
          <t>1110475543</t>
        </is>
      </c>
      <c r="B608" s="4" t="inlineStr">
        <is>
          <t>PRESENCIAL REGIONAL</t>
        </is>
      </c>
      <c r="C608" s="4" t="inlineStr">
        <is>
          <t>YULLI XIMENA VILLANUEVA GARCIA</t>
        </is>
      </c>
      <c r="D608" s="4" t="inlineStr">
        <is>
          <t>INNOVACION E INVESTIGACION</t>
        </is>
      </c>
      <c r="E608" s="4" t="inlineStr">
        <is>
          <t>REGIONAL TOLIMA</t>
        </is>
      </c>
      <c r="F608" s="4" t="inlineStr">
        <is>
          <t>IBAGUÉ</t>
        </is>
      </c>
      <c r="G608" s="4" t="inlineStr">
        <is>
          <t>PRESENCIAL</t>
        </is>
      </c>
      <c r="H608" s="4" t="inlineStr">
        <is>
          <t>DOCENTE ASOC/N/TC/INVESTIGACIONES/INVEST</t>
        </is>
      </c>
      <c r="I608" s="4" t="inlineStr">
        <is>
          <t>INVESTIGACIONES</t>
        </is>
      </c>
      <c r="J608" s="4" t="inlineStr">
        <is>
          <t>PLANTA</t>
        </is>
      </c>
      <c r="K608" s="4" t="inlineStr">
        <is>
          <t>YEISON OYOLA</t>
        </is>
      </c>
      <c r="L608" s="4" t="inlineStr">
        <is>
          <t>CONFIRMADO PRESENCIAL</t>
        </is>
      </c>
      <c r="M608" s="4" t="n">
        <v/>
      </c>
      <c r="N608" s="4" t="n">
        <v>3002731348</v>
      </c>
      <c r="O608" s="4" t="inlineStr">
        <is>
          <t>yullivillanueva@gmail.com</t>
        </is>
      </c>
      <c r="P608" s="4" t="inlineStr">
        <is>
          <t>IBAGUE SEDE</t>
        </is>
      </c>
      <c r="Q608" s="4" t="inlineStr">
        <is>
          <t>INVESTIGACIONES</t>
        </is>
      </c>
      <c r="R608" s="4" t="n">
        <v/>
      </c>
    </row>
    <row r="609" ht="20" customHeight="1">
      <c r="A609" s="6" t="inlineStr">
        <is>
          <t>1019135861</t>
        </is>
      </c>
      <c r="B609" s="7" t="inlineStr">
        <is>
          <t>PRESENCIAL BOGOTÁ</t>
        </is>
      </c>
      <c r="C609" s="7" t="inlineStr">
        <is>
          <t>SERGIO ESTEBAN MARTÍNEZ BENÍTEZ</t>
        </is>
      </c>
      <c r="D609" s="7" t="inlineStr">
        <is>
          <t>INNOVACION E INVESTIGACION</t>
        </is>
      </c>
      <c r="E609" s="7" t="inlineStr">
        <is>
          <t>REGIONAL BOGOTA</t>
        </is>
      </c>
      <c r="F609" s="7" t="inlineStr">
        <is>
          <t>BOGOTA CENTRO</t>
        </is>
      </c>
      <c r="G609" s="7" t="inlineStr">
        <is>
          <t>PRESENCIAL</t>
        </is>
      </c>
      <c r="H609" s="7" t="inlineStr">
        <is>
          <t>DOCENTE AUX/N/TC/INVESTIGA/INVESTIGACION</t>
        </is>
      </c>
      <c r="I609" s="7" t="inlineStr">
        <is>
          <t>INVESTIGACIONES</t>
        </is>
      </c>
      <c r="J609" s="7" t="inlineStr">
        <is>
          <t>PLANTA</t>
        </is>
      </c>
      <c r="K609" s="7" t="inlineStr">
        <is>
          <t>YEISON OYOLA</t>
        </is>
      </c>
      <c r="L609" s="7" t="inlineStr">
        <is>
          <t>CONFIRMADO PRESENCIAL</t>
        </is>
      </c>
      <c r="M609" s="7" t="n">
        <v/>
      </c>
      <c r="N609" s="7" t="n">
        <v>3506859317</v>
      </c>
      <c r="O609" s="7" t="inlineStr">
        <is>
          <t>s19martinez97@gmail.com</t>
        </is>
      </c>
      <c r="P609" s="7" t="inlineStr">
        <is>
          <t>BTA SEDE J</t>
        </is>
      </c>
      <c r="Q609" s="7" t="inlineStr">
        <is>
          <t>INVESTIGACIONES</t>
        </is>
      </c>
      <c r="R609" s="7" t="inlineStr">
        <is>
          <t>Salón Audiencia sede F</t>
        </is>
      </c>
    </row>
    <row r="610" ht="20" customHeight="1">
      <c r="A610" s="3" t="inlineStr">
        <is>
          <t>25285106</t>
        </is>
      </c>
      <c r="B610" s="4" t="inlineStr">
        <is>
          <t>VIRTUAL</t>
        </is>
      </c>
      <c r="C610" s="4" t="inlineStr">
        <is>
          <t>MARIA FERNANDA RIVERA SANCLEMENTE</t>
        </is>
      </c>
      <c r="D610" s="4" t="inlineStr">
        <is>
          <t>INNOVACION E INVESTIGACION</t>
        </is>
      </c>
      <c r="E610" s="4" t="inlineStr">
        <is>
          <t>REGIONAL SANTANDER</t>
        </is>
      </c>
      <c r="F610" s="4" t="inlineStr">
        <is>
          <t>BUCARAMANGA</t>
        </is>
      </c>
      <c r="G610" s="4" t="inlineStr">
        <is>
          <t>VIRTUAL</t>
        </is>
      </c>
      <c r="H610" s="4" t="inlineStr">
        <is>
          <t>DOC TITULAR/N/V/TC/INVESTIGACIONES/INVESTI</t>
        </is>
      </c>
      <c r="I610" s="4" t="inlineStr">
        <is>
          <t>INVESTIGACIONES</t>
        </is>
      </c>
      <c r="J610" s="4" t="inlineStr">
        <is>
          <t>PLANTA</t>
        </is>
      </c>
      <c r="K610" s="4" t="inlineStr">
        <is>
          <t>YEISON OYOLA</t>
        </is>
      </c>
      <c r="L610" s="4" t="inlineStr">
        <is>
          <t>SIN RESPUESTA</t>
        </is>
      </c>
      <c r="M610" s="4" t="inlineStr">
        <is>
          <t>2 llamadas a correo de voz</t>
        </is>
      </c>
      <c r="N610" s="4" t="n">
        <v>3017618407</v>
      </c>
      <c r="O610" s="4" t="inlineStr">
        <is>
          <t>chafer333@gmail.com</t>
        </is>
      </c>
      <c r="P610" s="4" t="inlineStr">
        <is>
          <t>BGA SEDE</t>
        </is>
      </c>
      <c r="Q610" s="4" t="inlineStr">
        <is>
          <t>INVESTIGACIONES</t>
        </is>
      </c>
      <c r="R610" s="4" t="n">
        <v/>
      </c>
    </row>
    <row r="611" ht="20" customHeight="1">
      <c r="A611" s="6" t="inlineStr">
        <is>
          <t>93387266</t>
        </is>
      </c>
      <c r="B611" s="7" t="inlineStr">
        <is>
          <t>PRESENCIAL BOGOTÁ</t>
        </is>
      </c>
      <c r="C611" s="7" t="inlineStr">
        <is>
          <t>SERGIO ELADIO BALLESTEROS HERRERA</t>
        </is>
      </c>
      <c r="D611" s="7" t="inlineStr">
        <is>
          <t>INNOVACION E INVESTIGACION</t>
        </is>
      </c>
      <c r="E611" s="7" t="inlineStr">
        <is>
          <t>REGIONAL BOGOTA</t>
        </is>
      </c>
      <c r="F611" s="7" t="inlineStr">
        <is>
          <t>BOGOTA CENTRO</t>
        </is>
      </c>
      <c r="G611" s="7" t="inlineStr">
        <is>
          <t>PRESENCIAL</t>
        </is>
      </c>
      <c r="H611" s="7" t="inlineStr">
        <is>
          <t>DOCENTE ASOC/N/TC/INVESTIGA/INVESTIGACIO</t>
        </is>
      </c>
      <c r="I611" s="7" t="inlineStr">
        <is>
          <t>INVESTIGACIONES</t>
        </is>
      </c>
      <c r="J611" s="7" t="inlineStr">
        <is>
          <t>PLANTA</t>
        </is>
      </c>
      <c r="K611" s="7" t="inlineStr">
        <is>
          <t>YEISON OYOLA</t>
        </is>
      </c>
      <c r="L611" s="7" t="inlineStr">
        <is>
          <t>CONFIRMADO PRESENCIAL</t>
        </is>
      </c>
      <c r="M611" s="7" t="n">
        <v/>
      </c>
      <c r="N611" s="7" t="n">
        <v>3157294226</v>
      </c>
      <c r="O611" s="7" t="inlineStr">
        <is>
          <t>sergioebh@gmail.com</t>
        </is>
      </c>
      <c r="P611" s="7" t="inlineStr">
        <is>
          <t>BTA SEDE D</t>
        </is>
      </c>
      <c r="Q611" s="7" t="inlineStr">
        <is>
          <t>INVESTIGACIONES</t>
        </is>
      </c>
      <c r="R611" s="7" t="inlineStr">
        <is>
          <t>Salón Audiencia sede F</t>
        </is>
      </c>
    </row>
    <row r="612" ht="20" customHeight="1">
      <c r="A612" s="3" t="inlineStr">
        <is>
          <t>1032363918</t>
        </is>
      </c>
      <c r="B612" s="4" t="inlineStr">
        <is>
          <t>PRESENCIAL BOGOTÁ</t>
        </is>
      </c>
      <c r="C612" s="4" t="inlineStr">
        <is>
          <t>MARCO ANTONIO RUIZ NIEVES</t>
        </is>
      </c>
      <c r="D612" s="4" t="inlineStr">
        <is>
          <t>INNOVACION E INVESTIGACION</t>
        </is>
      </c>
      <c r="E612" s="4" t="inlineStr">
        <is>
          <t>REGIONAL BOGOTA</t>
        </is>
      </c>
      <c r="F612" s="4" t="inlineStr">
        <is>
          <t>BOGOTA CENTRO</t>
        </is>
      </c>
      <c r="G612" s="4" t="inlineStr">
        <is>
          <t>PRESENCIAL</t>
        </is>
      </c>
      <c r="H612" s="4" t="inlineStr">
        <is>
          <t>DOCENTE ASOC/N/TC/INVESTIGACIONES/INVEST</t>
        </is>
      </c>
      <c r="I612" s="4" t="inlineStr">
        <is>
          <t>INVESTIGACIONES</t>
        </is>
      </c>
      <c r="J612" s="4" t="inlineStr">
        <is>
          <t>PLANTA</t>
        </is>
      </c>
      <c r="K612" s="4" t="inlineStr">
        <is>
          <t>YEISON OYOLA</t>
        </is>
      </c>
      <c r="L612" s="4" t="inlineStr">
        <is>
          <t>SIN RESPUESTA</t>
        </is>
      </c>
      <c r="M612" s="4" t="inlineStr">
        <is>
          <t>2 llamadas a correo de voz</t>
        </is>
      </c>
      <c r="N612" s="4" t="n">
        <v>3234840130</v>
      </c>
      <c r="O612" s="4" t="inlineStr">
        <is>
          <t>endefensadh@gmail.com</t>
        </is>
      </c>
      <c r="P612" s="4" t="inlineStr">
        <is>
          <t>BTA SEDE CHAP</t>
        </is>
      </c>
      <c r="Q612" s="4" t="inlineStr">
        <is>
          <t>INVESTIGACIONES</t>
        </is>
      </c>
      <c r="R612" s="4" t="inlineStr">
        <is>
          <t>Salón Audiencia sede F</t>
        </is>
      </c>
    </row>
    <row r="613" ht="20" customHeight="1">
      <c r="A613" s="6" t="inlineStr">
        <is>
          <t>1128277335</t>
        </is>
      </c>
      <c r="B613" s="7" t="inlineStr">
        <is>
          <t>PRESENCIAL REGIONAL</t>
        </is>
      </c>
      <c r="C613" s="7" t="inlineStr">
        <is>
          <t>MARIA JOSE ESCOBAR MEJIA</t>
        </is>
      </c>
      <c r="D613" s="7" t="inlineStr">
        <is>
          <t>INNOVACION E INVESTIGACION</t>
        </is>
      </c>
      <c r="E613" s="7" t="inlineStr">
        <is>
          <t>REGIONAL ANTIOQUIA</t>
        </is>
      </c>
      <c r="F613" s="7" t="inlineStr">
        <is>
          <t>MEDELLIN</t>
        </is>
      </c>
      <c r="G613" s="7" t="inlineStr">
        <is>
          <t>PRESENCIAL</t>
        </is>
      </c>
      <c r="H613" s="7" t="inlineStr">
        <is>
          <t>DOCENTE ASOC/N/TC/INVESTIGA/INVESTIGACIO</t>
        </is>
      </c>
      <c r="I613" s="7" t="inlineStr">
        <is>
          <t>INVESTIGACIONES</t>
        </is>
      </c>
      <c r="J613" s="7" t="inlineStr">
        <is>
          <t>PLANTA</t>
        </is>
      </c>
      <c r="K613" s="7" t="inlineStr">
        <is>
          <t>YEISON OYOLA</t>
        </is>
      </c>
      <c r="L613" s="7" t="inlineStr">
        <is>
          <t>SIN RESPUESTA</t>
        </is>
      </c>
      <c r="M613" s="7" t="inlineStr">
        <is>
          <t>2 llamadas a correo de voz</t>
        </is>
      </c>
      <c r="N613" s="7" t="n">
        <v>3105005579</v>
      </c>
      <c r="O613" s="7" t="inlineStr">
        <is>
          <t>interlab.creativo@gmail.com</t>
        </is>
      </c>
      <c r="P613" s="7" t="inlineStr">
        <is>
          <t>MEDELLIN SEDE</t>
        </is>
      </c>
      <c r="Q613" s="7" t="inlineStr">
        <is>
          <t>INVESTIGACIONES</t>
        </is>
      </c>
      <c r="R613" s="7" t="n">
        <v/>
      </c>
    </row>
    <row r="614" ht="20" customHeight="1">
      <c r="A614" s="3" t="inlineStr">
        <is>
          <t>1082870328</t>
        </is>
      </c>
      <c r="B614" s="4" t="inlineStr">
        <is>
          <t>VIRTUAL</t>
        </is>
      </c>
      <c r="C614" s="4" t="inlineStr">
        <is>
          <t>YULIANA KARIN DE JESUS BOLAÑO BORNACHERA</t>
        </is>
      </c>
      <c r="D614" s="4" t="inlineStr">
        <is>
          <t>INNOVACION E INVESTIGACION</t>
        </is>
      </c>
      <c r="E614" s="4" t="inlineStr">
        <is>
          <t>REGIONAL MAGDALENA</t>
        </is>
      </c>
      <c r="F614" s="4" t="inlineStr">
        <is>
          <t>SANTA MARTA</t>
        </is>
      </c>
      <c r="G614" s="4" t="inlineStr">
        <is>
          <t>PRESENCIAL</t>
        </is>
      </c>
      <c r="H614" s="4" t="inlineStr">
        <is>
          <t>DOC AUX T&amp;T/N/TC/INVESTIGACIONES/INVESTI</t>
        </is>
      </c>
      <c r="I614" s="4" t="inlineStr">
        <is>
          <t>INVESTIGACIONES</t>
        </is>
      </c>
      <c r="J614" s="4" t="inlineStr">
        <is>
          <t>PLANTA</t>
        </is>
      </c>
      <c r="K614" s="4" t="inlineStr">
        <is>
          <t>YEISON OYOLA</t>
        </is>
      </c>
      <c r="L614" s="4" t="n">
        <v/>
      </c>
      <c r="M614" s="4" t="n">
        <v/>
      </c>
      <c r="N614" s="4" t="n">
        <v>3014865937</v>
      </c>
      <c r="O614" s="4" t="inlineStr">
        <is>
          <t>yulianakarin1@gmail.com</t>
        </is>
      </c>
      <c r="P614" s="4" t="inlineStr">
        <is>
          <t>SANTA MARTA SEDE</t>
        </is>
      </c>
      <c r="Q614" s="4" t="inlineStr">
        <is>
          <t>INVESTIGACIONES</t>
        </is>
      </c>
      <c r="R614" s="4" t="n">
        <v/>
      </c>
    </row>
    <row r="615" ht="20" customHeight="1">
      <c r="A615" s="6" t="inlineStr">
        <is>
          <t>1032493171</t>
        </is>
      </c>
      <c r="B615" s="7" t="inlineStr">
        <is>
          <t>PRESENCIAL BOGOTÁ</t>
        </is>
      </c>
      <c r="C615" s="7" t="inlineStr">
        <is>
          <t>ASSIAH UMMANI SOLARIS ABDALA GONZALEZ</t>
        </is>
      </c>
      <c r="D615" s="7" t="inlineStr">
        <is>
          <t>INNOVACION E INVESTIGACION</t>
        </is>
      </c>
      <c r="E615" s="7" t="inlineStr">
        <is>
          <t>REGIONAL BOGOTA</t>
        </is>
      </c>
      <c r="F615" s="7" t="inlineStr">
        <is>
          <t>BOGOTA CENTRO</t>
        </is>
      </c>
      <c r="G615" s="7" t="inlineStr">
        <is>
          <t>PRESENCIAL</t>
        </is>
      </c>
      <c r="H615" s="7" t="inlineStr">
        <is>
          <t>DOC AUX T&amp;T/N/TC/INVESTIGACIONES/INVESTI</t>
        </is>
      </c>
      <c r="I615" s="7" t="inlineStr">
        <is>
          <t>INVESTIGACIONES</t>
        </is>
      </c>
      <c r="J615" s="7" t="inlineStr">
        <is>
          <t>PLANTA</t>
        </is>
      </c>
      <c r="K615" s="7" t="inlineStr">
        <is>
          <t>YEISON OYOLA</t>
        </is>
      </c>
      <c r="L615" s="7" t="inlineStr">
        <is>
          <t>SIN RESPUESTA</t>
        </is>
      </c>
      <c r="M615" s="7" t="inlineStr">
        <is>
          <t>2 llamadas a correo de voz</t>
        </is>
      </c>
      <c r="N615" s="7" t="n">
        <v>3044024847</v>
      </c>
      <c r="O615" s="7" t="inlineStr">
        <is>
          <t>assiabdala@gmail.com</t>
        </is>
      </c>
      <c r="P615" s="7" t="inlineStr">
        <is>
          <t>BTA SEDE J</t>
        </is>
      </c>
      <c r="Q615" s="7" t="inlineStr">
        <is>
          <t>INVESTIGACIONES</t>
        </is>
      </c>
      <c r="R615" s="7" t="inlineStr">
        <is>
          <t>Salón Audiencia sede F</t>
        </is>
      </c>
    </row>
    <row r="616" ht="20" customHeight="1">
      <c r="A616" s="3" t="inlineStr">
        <is>
          <t>52517964</t>
        </is>
      </c>
      <c r="B616" s="4" t="inlineStr">
        <is>
          <t>PRESENCIAL BOGOTÁ</t>
        </is>
      </c>
      <c r="C616" s="4" t="inlineStr">
        <is>
          <t>JOHANNA CAROLINA URICOECHEA FLOREZ</t>
        </is>
      </c>
      <c r="D616" s="4" t="inlineStr">
        <is>
          <t>INNOVACION E INVESTIGACION</t>
        </is>
      </c>
      <c r="E616" s="4" t="inlineStr">
        <is>
          <t>REGIONAL BOGOTA</t>
        </is>
      </c>
      <c r="F616" s="4" t="inlineStr">
        <is>
          <t>BOGOTA CENTRO</t>
        </is>
      </c>
      <c r="G616" s="4" t="inlineStr">
        <is>
          <t>PRESENCIAL</t>
        </is>
      </c>
      <c r="H616" s="4" t="inlineStr">
        <is>
          <t>DOC AUX T&amp;T/N/TC/INVESTIGACIONES/INVESTI</t>
        </is>
      </c>
      <c r="I616" s="4" t="inlineStr">
        <is>
          <t>INVESTIGACIONES</t>
        </is>
      </c>
      <c r="J616" s="4" t="inlineStr">
        <is>
          <t>PLANTA</t>
        </is>
      </c>
      <c r="K616" s="4" t="inlineStr">
        <is>
          <t>YEISON OYOLA</t>
        </is>
      </c>
      <c r="L616" s="4" t="inlineStr">
        <is>
          <t>SIN RESPUESTA</t>
        </is>
      </c>
      <c r="M616" s="4" t="inlineStr">
        <is>
          <t>2 llamadas a correo de voz</t>
        </is>
      </c>
      <c r="N616" s="4" t="n">
        <v>3006361884</v>
      </c>
      <c r="O616" s="4" t="inlineStr">
        <is>
          <t>johanna.uricoechea@gmail.com</t>
        </is>
      </c>
      <c r="P616" s="4" t="inlineStr">
        <is>
          <t>BTA SEDE J</t>
        </is>
      </c>
      <c r="Q616" s="4" t="inlineStr">
        <is>
          <t>INVESTIGACIONES</t>
        </is>
      </c>
      <c r="R616" s="4" t="inlineStr">
        <is>
          <t>Salón Audiencia sede F</t>
        </is>
      </c>
    </row>
    <row r="617" ht="20" customHeight="1">
      <c r="A617" s="6" t="inlineStr">
        <is>
          <t>1107085116</t>
        </is>
      </c>
      <c r="B617" s="7" t="inlineStr">
        <is>
          <t>PRESENCIAL BOGOTÁ</t>
        </is>
      </c>
      <c r="C617" s="7" t="inlineStr">
        <is>
          <t>BRENDA CAROLINA CHACON CAICEDO</t>
        </is>
      </c>
      <c r="D617" s="7" t="inlineStr">
        <is>
          <t>INNOVACION E INVESTIGACION</t>
        </is>
      </c>
      <c r="E617" s="7" t="inlineStr">
        <is>
          <t>REGIONAL BOGOTA</t>
        </is>
      </c>
      <c r="F617" s="7" t="inlineStr">
        <is>
          <t>BOGOTA CENTRO</t>
        </is>
      </c>
      <c r="G617" s="7" t="inlineStr">
        <is>
          <t>PRESENCIAL</t>
        </is>
      </c>
      <c r="H617" s="7" t="inlineStr">
        <is>
          <t>DOC AUX T&amp;T/N/TC/INVESTIGACIONES/INVESTI</t>
        </is>
      </c>
      <c r="I617" s="7" t="inlineStr">
        <is>
          <t>INVESTIGACIONES</t>
        </is>
      </c>
      <c r="J617" s="7" t="inlineStr">
        <is>
          <t>PLANTA</t>
        </is>
      </c>
      <c r="K617" s="7" t="inlineStr">
        <is>
          <t>YEISON OYOLA</t>
        </is>
      </c>
      <c r="L617" s="7" t="inlineStr">
        <is>
          <t>CONFIRMADO PRESENCIAL</t>
        </is>
      </c>
      <c r="M617" s="7" t="n">
        <v/>
      </c>
      <c r="N617" s="7" t="n">
        <v>3045859002</v>
      </c>
      <c r="O617" s="7" t="inlineStr">
        <is>
          <t>BRECHASPACE@GMAIL.COM</t>
        </is>
      </c>
      <c r="P617" s="7" t="inlineStr">
        <is>
          <t>BTA SEDE J</t>
        </is>
      </c>
      <c r="Q617" s="7" t="inlineStr">
        <is>
          <t>INVESTIGACIONES</t>
        </is>
      </c>
      <c r="R617" s="7" t="inlineStr">
        <is>
          <t>Salón Audiencia sede F</t>
        </is>
      </c>
    </row>
    <row r="618" ht="20" customHeight="1">
      <c r="A618" s="3" t="inlineStr">
        <is>
          <t>53107435</t>
        </is>
      </c>
      <c r="B618" s="4" t="inlineStr">
        <is>
          <t>PRESENCIAL BOGOTÁ</t>
        </is>
      </c>
      <c r="C618" s="4" t="inlineStr">
        <is>
          <t>LIRA ISIS VALENCIA QUECANO</t>
        </is>
      </c>
      <c r="D618" s="4" t="inlineStr">
        <is>
          <t>INNOVACION E INVESTIGACION</t>
        </is>
      </c>
      <c r="E618" s="4" t="inlineStr">
        <is>
          <t>REGIONAL BOGOTA</t>
        </is>
      </c>
      <c r="F618" s="4" t="inlineStr">
        <is>
          <t>BOGOTA CENTRO</t>
        </is>
      </c>
      <c r="G618" s="4" t="inlineStr">
        <is>
          <t>VIRTUAL</t>
        </is>
      </c>
      <c r="H618" s="4" t="inlineStr">
        <is>
          <t>DOC ASOC/N/V/TC/INVESTIGACIONES/INVESTIG</t>
        </is>
      </c>
      <c r="I618" s="4" t="inlineStr">
        <is>
          <t>INVESTIGACIONES</t>
        </is>
      </c>
      <c r="J618" s="4" t="inlineStr">
        <is>
          <t>PLANTA</t>
        </is>
      </c>
      <c r="K618" s="4" t="inlineStr">
        <is>
          <t>YEISON OYOLA</t>
        </is>
      </c>
      <c r="L618" s="4" t="inlineStr">
        <is>
          <t>CONFIRMADO PRESENCIAL</t>
        </is>
      </c>
      <c r="M618" s="4" t="n">
        <v/>
      </c>
      <c r="N618" s="4" t="n">
        <v>3125021078</v>
      </c>
      <c r="O618" s="4" t="inlineStr">
        <is>
          <t>liraisis@yahoo.es</t>
        </is>
      </c>
      <c r="P618" s="4" t="inlineStr">
        <is>
          <t>BTA SEDE A</t>
        </is>
      </c>
      <c r="Q618" s="4" t="inlineStr">
        <is>
          <t>INVESTIGACIONES</t>
        </is>
      </c>
      <c r="R618" s="4" t="inlineStr">
        <is>
          <t>Salón Audiencia sede F</t>
        </is>
      </c>
    </row>
    <row r="619" ht="20" customHeight="1">
      <c r="A619" s="6" t="inlineStr">
        <is>
          <t>1118540621</t>
        </is>
      </c>
      <c r="B619" s="7" t="inlineStr">
        <is>
          <t>VIRTUAL</t>
        </is>
      </c>
      <c r="C619" s="7" t="inlineStr">
        <is>
          <t>BERTOLT DELFIN RIVERA COLMENARES</t>
        </is>
      </c>
      <c r="D619" s="7" t="inlineStr">
        <is>
          <t>INNOVACION E INVESTIGACION</t>
        </is>
      </c>
      <c r="E619" s="7" t="inlineStr">
        <is>
          <t>REGIONAL BOYACA</t>
        </is>
      </c>
      <c r="F619" s="7" t="inlineStr">
        <is>
          <t>TUNJA</t>
        </is>
      </c>
      <c r="G619" s="7" t="inlineStr">
        <is>
          <t>VIRTUAL</t>
        </is>
      </c>
      <c r="H619" s="7" t="inlineStr">
        <is>
          <t>DOC ASOC/N/V/TC/INVESTIGACIONES/INVESTIG</t>
        </is>
      </c>
      <c r="I619" s="7" t="inlineStr">
        <is>
          <t>INVESTIGACIONES</t>
        </is>
      </c>
      <c r="J619" s="7" t="inlineStr">
        <is>
          <t>PLANTA</t>
        </is>
      </c>
      <c r="K619" s="7" t="inlineStr">
        <is>
          <t>YEISON OYOLA</t>
        </is>
      </c>
      <c r="L619" s="7" t="inlineStr">
        <is>
          <t>CONFIRMADO VIRTUAL</t>
        </is>
      </c>
      <c r="M619" s="7" t="inlineStr">
        <is>
          <t>BERTOLT_RIVERAC@cun.edu.co</t>
        </is>
      </c>
      <c r="N619" s="7" t="n">
        <v>3012791890</v>
      </c>
      <c r="O619" s="7" t="inlineStr">
        <is>
          <t>bertoltrivera@gmail.com</t>
        </is>
      </c>
      <c r="P619" s="7" t="inlineStr">
        <is>
          <t>TUNJA SEDE</t>
        </is>
      </c>
      <c r="Q619" s="7" t="inlineStr">
        <is>
          <t>INVESTIGACIONES</t>
        </is>
      </c>
      <c r="R619" s="7" t="n">
        <v/>
      </c>
    </row>
    <row r="620" ht="20" customHeight="1">
      <c r="A620" s="3" t="inlineStr">
        <is>
          <t>88209112</t>
        </is>
      </c>
      <c r="B620" s="4" t="inlineStr">
        <is>
          <t>VIRTUAL</t>
        </is>
      </c>
      <c r="C620" s="4" t="inlineStr">
        <is>
          <t>WILSON BONILLA PABON</t>
        </is>
      </c>
      <c r="D620" s="4" t="inlineStr">
        <is>
          <t>INNOVACION E INVESTIGACION</t>
        </is>
      </c>
      <c r="E620" s="4" t="inlineStr">
        <is>
          <t>REGIONAL SANTANDER</t>
        </is>
      </c>
      <c r="F620" s="4" t="inlineStr">
        <is>
          <t>BUCARAMANGA</t>
        </is>
      </c>
      <c r="G620" s="4" t="inlineStr">
        <is>
          <t>VIRTUAL</t>
        </is>
      </c>
      <c r="H620" s="4" t="inlineStr">
        <is>
          <t>DOC TITULAR/N/V/TC/INVESTIGACIONES/INVESTI</t>
        </is>
      </c>
      <c r="I620" s="4" t="inlineStr">
        <is>
          <t>INVESTIGACIONES</t>
        </is>
      </c>
      <c r="J620" s="4" t="inlineStr">
        <is>
          <t>PLANTA</t>
        </is>
      </c>
      <c r="K620" s="4" t="inlineStr">
        <is>
          <t>YEISON OYOLA</t>
        </is>
      </c>
      <c r="L620" s="4" t="inlineStr">
        <is>
          <t>SIN RESPUESTA</t>
        </is>
      </c>
      <c r="M620" s="4" t="inlineStr">
        <is>
          <t>2 llamadas a correo de voz</t>
        </is>
      </c>
      <c r="N620" s="4" t="n">
        <v>3182405025</v>
      </c>
      <c r="O620" s="4" t="inlineStr">
        <is>
          <t>ingwilsonbonilla@yahoo.es</t>
        </is>
      </c>
      <c r="P620" s="4" t="inlineStr">
        <is>
          <t>BGA SEDE</t>
        </is>
      </c>
      <c r="Q620" s="4" t="inlineStr">
        <is>
          <t>INVESTIGACIONES</t>
        </is>
      </c>
      <c r="R620" s="4" t="n">
        <v/>
      </c>
    </row>
    <row r="621" ht="20" customHeight="1">
      <c r="A621" s="6" t="inlineStr">
        <is>
          <t>63524441</t>
        </is>
      </c>
      <c r="B621" s="7" t="inlineStr">
        <is>
          <t>VIRTUAL</t>
        </is>
      </c>
      <c r="C621" s="7" t="inlineStr">
        <is>
          <t>MARIA EDELMIRA LESMES GOMEZ</t>
        </is>
      </c>
      <c r="D621" s="7" t="inlineStr">
        <is>
          <t>INNOVACION E INVESTIGACION</t>
        </is>
      </c>
      <c r="E621" s="7" t="inlineStr">
        <is>
          <t>REGIONAL SANTANDER</t>
        </is>
      </c>
      <c r="F621" s="7" t="inlineStr">
        <is>
          <t>BUCARAMANGA</t>
        </is>
      </c>
      <c r="G621" s="7" t="inlineStr">
        <is>
          <t>VIRTUAL</t>
        </is>
      </c>
      <c r="H621" s="7" t="inlineStr">
        <is>
          <t>DOC ASOC/N/V/TC/INVESTIGACIONES/INVESTIG</t>
        </is>
      </c>
      <c r="I621" s="7" t="inlineStr">
        <is>
          <t>INVESTIGACIONES</t>
        </is>
      </c>
      <c r="J621" s="7" t="inlineStr">
        <is>
          <t>PLANTA</t>
        </is>
      </c>
      <c r="K621" s="7" t="inlineStr">
        <is>
          <t>YEISON OYOLA</t>
        </is>
      </c>
      <c r="L621" s="7" t="inlineStr">
        <is>
          <t>CONFIRMADO VIRTUAL</t>
        </is>
      </c>
      <c r="M621" s="7" t="inlineStr">
        <is>
          <t>envio de enlase</t>
        </is>
      </c>
      <c r="N621" s="7" t="n">
        <v>3162694946</v>
      </c>
      <c r="O621" s="7" t="inlineStr">
        <is>
          <t>mlesmes1@gmail.com</t>
        </is>
      </c>
      <c r="P621" s="7" t="inlineStr">
        <is>
          <t>BGA SEDE</t>
        </is>
      </c>
      <c r="Q621" s="7" t="inlineStr">
        <is>
          <t>INVESTIGACIONES</t>
        </is>
      </c>
      <c r="R621" s="7" t="n">
        <v/>
      </c>
    </row>
    <row r="622" ht="20" customHeight="1">
      <c r="A622" s="3" t="inlineStr">
        <is>
          <t>78304161</t>
        </is>
      </c>
      <c r="B622" s="4" t="inlineStr">
        <is>
          <t>VIRTUAL</t>
        </is>
      </c>
      <c r="C622" s="4" t="inlineStr">
        <is>
          <t>MARIANO ESTEBAN ROMERO TORRES</t>
        </is>
      </c>
      <c r="D622" s="4" t="inlineStr">
        <is>
          <t>INNOVACION E INVESTIGACION</t>
        </is>
      </c>
      <c r="E622" s="4" t="inlineStr">
        <is>
          <t>REGIONAL CORDOBA</t>
        </is>
      </c>
      <c r="F622" s="4" t="inlineStr">
        <is>
          <t>MONTERIA</t>
        </is>
      </c>
      <c r="G622" s="4" t="inlineStr">
        <is>
          <t>VIRTUAL</t>
        </is>
      </c>
      <c r="H622" s="4" t="inlineStr">
        <is>
          <t>DOC ASOC/N/V/TC/INVESTIGACIONES/INVESTIG</t>
        </is>
      </c>
      <c r="I622" s="4" t="inlineStr">
        <is>
          <t>INVESTIGACIONES</t>
        </is>
      </c>
      <c r="J622" s="4" t="inlineStr">
        <is>
          <t>PLANTA</t>
        </is>
      </c>
      <c r="K622" s="4" t="inlineStr">
        <is>
          <t>YEISON OYOLA</t>
        </is>
      </c>
      <c r="L622" s="4" t="inlineStr">
        <is>
          <t>CONFIRMADO VIRTUAL</t>
        </is>
      </c>
      <c r="M622" s="4" t="n">
        <v/>
      </c>
      <c r="N622" s="4" t="n">
        <v>3205704972</v>
      </c>
      <c r="O622" s="4" t="inlineStr">
        <is>
          <t>meromerot@gmail.com</t>
        </is>
      </c>
      <c r="P622" s="4" t="inlineStr">
        <is>
          <t>MONTERIA SEDE</t>
        </is>
      </c>
      <c r="Q622" s="4" t="inlineStr">
        <is>
          <t>INVESTIGACIONES</t>
        </is>
      </c>
      <c r="R622" s="4" t="n">
        <v/>
      </c>
    </row>
    <row r="623" ht="20" customHeight="1">
      <c r="A623" s="6" t="inlineStr">
        <is>
          <t>6343646</t>
        </is>
      </c>
      <c r="B623" s="7" t="inlineStr">
        <is>
          <t>VIRTUAL</t>
        </is>
      </c>
      <c r="C623" s="7" t="inlineStr">
        <is>
          <t>ANDRES FELIPE VALENCIA VIDAL</t>
        </is>
      </c>
      <c r="D623" s="7" t="inlineStr">
        <is>
          <t>INNOVACION E INVESTIGACION</t>
        </is>
      </c>
      <c r="E623" s="7" t="inlineStr">
        <is>
          <t>REGIONAL VALLE DELCAUCA</t>
        </is>
      </c>
      <c r="F623" s="7" t="inlineStr">
        <is>
          <t>CALI</t>
        </is>
      </c>
      <c r="G623" s="7" t="inlineStr">
        <is>
          <t>VIRTUAL</t>
        </is>
      </c>
      <c r="H623" s="7" t="inlineStr">
        <is>
          <t>DOC ASIS/N/V/TC/INVESTIGACIONES/INVESTIG</t>
        </is>
      </c>
      <c r="I623" s="7" t="inlineStr">
        <is>
          <t>INVESTIGACIONES</t>
        </is>
      </c>
      <c r="J623" s="7" t="inlineStr">
        <is>
          <t>PLANTA</t>
        </is>
      </c>
      <c r="K623" s="7" t="inlineStr">
        <is>
          <t>YEISON OYOLA</t>
        </is>
      </c>
      <c r="L623" s="7" t="inlineStr">
        <is>
          <t>CONFIRMADO VIRTUAL</t>
        </is>
      </c>
      <c r="M623" s="7" t="n">
        <v/>
      </c>
      <c r="N623" s="7" t="n">
        <v>3127757499</v>
      </c>
      <c r="O623" s="7" t="inlineStr">
        <is>
          <t>andresvvidal@gmail.com</t>
        </is>
      </c>
      <c r="P623" s="7" t="inlineStr">
        <is>
          <t>CALI</t>
        </is>
      </c>
      <c r="Q623" s="7" t="inlineStr">
        <is>
          <t>INVESTIGACIONES</t>
        </is>
      </c>
      <c r="R623" s="7" t="n">
        <v/>
      </c>
    </row>
    <row r="624" ht="20" customHeight="1">
      <c r="A624" s="3" t="inlineStr">
        <is>
          <t>91491578</t>
        </is>
      </c>
      <c r="B624" s="4" t="inlineStr">
        <is>
          <t>VIRTUAL</t>
        </is>
      </c>
      <c r="C624" s="4" t="inlineStr">
        <is>
          <t>OSCAR JAVIER ZAMBRANO VALDIVIESO</t>
        </is>
      </c>
      <c r="D624" s="4" t="inlineStr">
        <is>
          <t>INNOVACION E INVESTIGACION</t>
        </is>
      </c>
      <c r="E624" s="4" t="inlineStr">
        <is>
          <t>REGIONAL SANTANDER</t>
        </is>
      </c>
      <c r="F624" s="4" t="inlineStr">
        <is>
          <t>BUCARAMANGA</t>
        </is>
      </c>
      <c r="G624" s="4" t="inlineStr">
        <is>
          <t>VIRTUAL</t>
        </is>
      </c>
      <c r="H624" s="4" t="inlineStr">
        <is>
          <t>DOC ASOC/N/V/TC/INVESTIGACIONES/INVESTIG</t>
        </is>
      </c>
      <c r="I624" s="4" t="inlineStr">
        <is>
          <t>INVESTIGACIONES</t>
        </is>
      </c>
      <c r="J624" s="4" t="inlineStr">
        <is>
          <t>PLANTA</t>
        </is>
      </c>
      <c r="K624" s="4" t="inlineStr">
        <is>
          <t>YEISON OYOLA</t>
        </is>
      </c>
      <c r="L624" s="4" t="inlineStr">
        <is>
          <t>SIN RESPUESTA</t>
        </is>
      </c>
      <c r="M624" s="4" t="inlineStr">
        <is>
          <t>4 llamadas a correo de voz</t>
        </is>
      </c>
      <c r="N624" s="4" t="n">
        <v>3106957697</v>
      </c>
      <c r="O624" s="4" t="inlineStr">
        <is>
          <t>zambranoscar@gmail.com</t>
        </is>
      </c>
      <c r="P624" s="4" t="inlineStr">
        <is>
          <t>BGA SEDE</t>
        </is>
      </c>
      <c r="Q624" s="4" t="inlineStr">
        <is>
          <t>INVESTIGACIONES</t>
        </is>
      </c>
      <c r="R624" s="4" t="n">
        <v/>
      </c>
    </row>
    <row r="625" ht="20" customHeight="1">
      <c r="A625" s="6" t="inlineStr">
        <is>
          <t>1075291304</t>
        </is>
      </c>
      <c r="B625" s="7" t="inlineStr">
        <is>
          <t>PRESENCIAL REGIONAL</t>
        </is>
      </c>
      <c r="C625" s="7" t="inlineStr">
        <is>
          <t>CAMILO EDUARDO TOVAR CLAROS</t>
        </is>
      </c>
      <c r="D625" s="7" t="inlineStr">
        <is>
          <t>INNOVACION E INVESTIGACION</t>
        </is>
      </c>
      <c r="E625" s="7" t="inlineStr">
        <is>
          <t>REGIONAL HUILA</t>
        </is>
      </c>
      <c r="F625" s="7" t="inlineStr">
        <is>
          <t>NEIVA</t>
        </is>
      </c>
      <c r="G625" s="7" t="inlineStr">
        <is>
          <t>PRESENCIAL</t>
        </is>
      </c>
      <c r="H625" s="7" t="inlineStr">
        <is>
          <t>DOC AUX T&amp;T/N/TC/INVESTIGACIONES/INVESTI</t>
        </is>
      </c>
      <c r="I625" s="7" t="inlineStr">
        <is>
          <t>INVESTIGACIONES</t>
        </is>
      </c>
      <c r="J625" s="7" t="inlineStr">
        <is>
          <t>PLANTA</t>
        </is>
      </c>
      <c r="K625" s="7" t="inlineStr">
        <is>
          <t>YEISON OYOLA</t>
        </is>
      </c>
      <c r="L625" s="7" t="inlineStr">
        <is>
          <t>CONFIRMADO PRESENCIAL</t>
        </is>
      </c>
      <c r="M625" s="7" t="n">
        <v/>
      </c>
      <c r="N625" s="7" t="n">
        <v>3203234297</v>
      </c>
      <c r="O625" s="7" t="inlineStr">
        <is>
          <t>designzeero@gmail.com</t>
        </is>
      </c>
      <c r="P625" s="7" t="inlineStr">
        <is>
          <t>NEIVA SEDE</t>
        </is>
      </c>
      <c r="Q625" s="7" t="inlineStr">
        <is>
          <t>INVESTIGACIONES</t>
        </is>
      </c>
      <c r="R625" s="7" t="n">
        <v/>
      </c>
    </row>
    <row r="626" ht="20" customHeight="1">
      <c r="A626" s="3" t="inlineStr">
        <is>
          <t>1061773124</t>
        </is>
      </c>
      <c r="B626" s="4" t="inlineStr">
        <is>
          <t>VIRTUAL</t>
        </is>
      </c>
      <c r="C626" s="4" t="inlineStr">
        <is>
          <t>ANDRES FELIPE SOLIZ PINO</t>
        </is>
      </c>
      <c r="D626" s="4" t="inlineStr">
        <is>
          <t>INNOVACION E INVESTIGACION</t>
        </is>
      </c>
      <c r="E626" s="4" t="inlineStr">
        <is>
          <t>REGIONAL VALLE DELCAUCA</t>
        </is>
      </c>
      <c r="F626" s="4" t="inlineStr">
        <is>
          <t>BUENAVENTURA</t>
        </is>
      </c>
      <c r="G626" s="4" t="inlineStr">
        <is>
          <t>VIRTUAL</t>
        </is>
      </c>
      <c r="H626" s="4" t="inlineStr">
        <is>
          <t>DOC ASOC/N/V/TC/INVESTIGACIONES/INVESTIG</t>
        </is>
      </c>
      <c r="I626" s="4" t="inlineStr">
        <is>
          <t>INVESTIGACIONES</t>
        </is>
      </c>
      <c r="J626" s="4" t="inlineStr">
        <is>
          <t>PLANTA</t>
        </is>
      </c>
      <c r="K626" s="4" t="inlineStr">
        <is>
          <t>YEISON OYOLA</t>
        </is>
      </c>
      <c r="L626" s="4" t="inlineStr">
        <is>
          <t>CONFIRMADO VIRTUAL</t>
        </is>
      </c>
      <c r="M626" s="4" t="n">
        <v/>
      </c>
      <c r="N626" s="4" t="n">
        <v>3006591749</v>
      </c>
      <c r="O626" s="4" t="inlineStr">
        <is>
          <t>felipe1594@hotmail.es</t>
        </is>
      </c>
      <c r="P626" s="4" t="inlineStr">
        <is>
          <t>BUENAVENTURA SEDE</t>
        </is>
      </c>
      <c r="Q626" s="4" t="inlineStr">
        <is>
          <t>INVESTIGACIONES</t>
        </is>
      </c>
      <c r="R626" s="4" t="n">
        <v/>
      </c>
    </row>
    <row r="627" ht="20" customHeight="1">
      <c r="A627" s="6" t="inlineStr">
        <is>
          <t>1110481707</t>
        </is>
      </c>
      <c r="B627" s="7" t="inlineStr">
        <is>
          <t>PRESENCIAL BOGOTÁ</t>
        </is>
      </c>
      <c r="C627" s="7" t="inlineStr">
        <is>
          <t>LUIS FERNANDO SERNA HERNANDEZ</t>
        </is>
      </c>
      <c r="D627" s="7" t="inlineStr">
        <is>
          <t>INNOVACION E INVESTIGACION</t>
        </is>
      </c>
      <c r="E627" s="7" t="inlineStr">
        <is>
          <t>REGIONAL CUNDINAMARCA</t>
        </is>
      </c>
      <c r="F627" s="7" t="inlineStr">
        <is>
          <t>CHÍA</t>
        </is>
      </c>
      <c r="G627" s="7" t="inlineStr">
        <is>
          <t>VIRTUAL</t>
        </is>
      </c>
      <c r="H627" s="7" t="inlineStr">
        <is>
          <t>DOC ASOC/N/V/TC/INVESTIGACIONES/INVESTIG</t>
        </is>
      </c>
      <c r="I627" s="7" t="inlineStr">
        <is>
          <t>INVESTIGACIONES</t>
        </is>
      </c>
      <c r="J627" s="7" t="inlineStr">
        <is>
          <t>PLANTA</t>
        </is>
      </c>
      <c r="K627" s="7" t="inlineStr">
        <is>
          <t>YEISON OYOLA</t>
        </is>
      </c>
      <c r="L627" s="7" t="inlineStr">
        <is>
          <t>SIN RESPUESTA</t>
        </is>
      </c>
      <c r="M627" s="7" t="inlineStr">
        <is>
          <t>4 llamadas a correo de voz</t>
        </is>
      </c>
      <c r="N627" s="7" t="n">
        <v>3015235498</v>
      </c>
      <c r="O627" s="7" t="inlineStr">
        <is>
          <t>luisfsernah@gmail.com</t>
        </is>
      </c>
      <c r="P627" s="7" t="inlineStr">
        <is>
          <t>CHIA SEDE</t>
        </is>
      </c>
      <c r="Q627" s="7" t="inlineStr">
        <is>
          <t>INVESTIGACIONES</t>
        </is>
      </c>
      <c r="R627" s="7" t="n">
        <v/>
      </c>
    </row>
    <row r="628" ht="20" customHeight="1">
      <c r="A628" s="3" t="inlineStr">
        <is>
          <t>1032457407</t>
        </is>
      </c>
      <c r="B628" s="4" t="inlineStr">
        <is>
          <t>PRESENCIAL BOGOTÁ</t>
        </is>
      </c>
      <c r="C628" s="4" t="inlineStr">
        <is>
          <t>SERGIO ANDRES CONTRERAS CARDENAS</t>
        </is>
      </c>
      <c r="D628" s="4" t="inlineStr">
        <is>
          <t>INNOVACION E INVESTIGACION</t>
        </is>
      </c>
      <c r="E628" s="4" t="inlineStr">
        <is>
          <t>REGIONAL BOGOTA</t>
        </is>
      </c>
      <c r="F628" s="4" t="inlineStr">
        <is>
          <t>BOGOTA CENTRO</t>
        </is>
      </c>
      <c r="G628" s="4" t="inlineStr">
        <is>
          <t>PRESENCIAL</t>
        </is>
      </c>
      <c r="H628" s="4" t="inlineStr">
        <is>
          <t>DOCENTE INTELIGENCIA ARTIFICIAL</t>
        </is>
      </c>
      <c r="I628" s="4" t="inlineStr">
        <is>
          <t>INVESTIGACIONES</t>
        </is>
      </c>
      <c r="J628" s="4" t="inlineStr">
        <is>
          <t>PLANTA</t>
        </is>
      </c>
      <c r="K628" s="4" t="inlineStr">
        <is>
          <t>YEISON OYOLA</t>
        </is>
      </c>
      <c r="L628" s="4" t="inlineStr">
        <is>
          <t>SIN RESPUESTA</t>
        </is>
      </c>
      <c r="M628" s="4" t="inlineStr">
        <is>
          <t>4 llamadas a correo de voz</t>
        </is>
      </c>
      <c r="N628" s="4" t="n">
        <v>3014086232</v>
      </c>
      <c r="O628" s="4" t="inlineStr">
        <is>
          <t>sacontrerasc21@gmail.com</t>
        </is>
      </c>
      <c r="P628" s="4" t="inlineStr">
        <is>
          <t>BTA SEDE G</t>
        </is>
      </c>
      <c r="Q628" s="4" t="inlineStr">
        <is>
          <t>INVESTIGACIONES</t>
        </is>
      </c>
      <c r="R628" s="4" t="inlineStr">
        <is>
          <t>Salón Audiencia sede F</t>
        </is>
      </c>
    </row>
    <row r="629" ht="20" customHeight="1">
      <c r="A629" s="6" t="inlineStr">
        <is>
          <t>79910923</t>
        </is>
      </c>
      <c r="B629" s="7" t="inlineStr">
        <is>
          <t>PRESENCIAL BOGOTÁ</t>
        </is>
      </c>
      <c r="C629" s="7" t="inlineStr">
        <is>
          <t>SAMIR ALVEIRO MEDINA RONCANCIO</t>
        </is>
      </c>
      <c r="D629" s="7" t="inlineStr">
        <is>
          <t>INNOVACION E INVESTIGACION</t>
        </is>
      </c>
      <c r="E629" s="7" t="inlineStr">
        <is>
          <t>REGIONAL CUNDINAMARCA</t>
        </is>
      </c>
      <c r="F629" s="7" t="inlineStr">
        <is>
          <t>CHÍA</t>
        </is>
      </c>
      <c r="G629" s="7" t="inlineStr">
        <is>
          <t>VIRTUAL</t>
        </is>
      </c>
      <c r="H629" s="7" t="inlineStr">
        <is>
          <t>DOC ASOC/N/V/TC/INVESTIGACIONES/INVESTIG</t>
        </is>
      </c>
      <c r="I629" s="7" t="inlineStr">
        <is>
          <t>INVESTIGACIONES</t>
        </is>
      </c>
      <c r="J629" s="7" t="inlineStr">
        <is>
          <t>PLANTA</t>
        </is>
      </c>
      <c r="K629" s="7" t="inlineStr">
        <is>
          <t>YEISON OYOLA</t>
        </is>
      </c>
      <c r="L629" s="7" t="inlineStr">
        <is>
          <t>CONFIRMADO PRESENCIAL</t>
        </is>
      </c>
      <c r="M629" s="7" t="n">
        <v/>
      </c>
      <c r="N629" s="7" t="n">
        <v>3186965902</v>
      </c>
      <c r="O629" s="7" t="inlineStr">
        <is>
          <t>samirmedina.network@gmail.com</t>
        </is>
      </c>
      <c r="P629" s="7" t="inlineStr">
        <is>
          <t>CHIA SEDE</t>
        </is>
      </c>
      <c r="Q629" s="7" t="inlineStr">
        <is>
          <t>INVESTIGACIONES</t>
        </is>
      </c>
      <c r="R629" s="7" t="n">
        <v/>
      </c>
    </row>
    <row r="630" ht="20" customHeight="1">
      <c r="A630" s="3" t="inlineStr">
        <is>
          <t>1032421780</t>
        </is>
      </c>
      <c r="B630" s="4" t="inlineStr">
        <is>
          <t>PRESENCIAL BOGOTÁ</t>
        </is>
      </c>
      <c r="C630" s="4" t="inlineStr">
        <is>
          <t>MANUEL FRANCISCO ACOSTA TRUJILLO</t>
        </is>
      </c>
      <c r="D630" s="4" t="inlineStr">
        <is>
          <t>INNOVACION E INVESTIGACION</t>
        </is>
      </c>
      <c r="E630" s="4" t="inlineStr">
        <is>
          <t>REGIONAL BOGOTA</t>
        </is>
      </c>
      <c r="F630" s="4" t="inlineStr">
        <is>
          <t>BOGOTA CENTRO</t>
        </is>
      </c>
      <c r="G630" s="4" t="inlineStr">
        <is>
          <t>PRESENCIAL</t>
        </is>
      </c>
      <c r="H630" s="4" t="inlineStr">
        <is>
          <t>DOCENTE ASIS/N/TC/INVESTIGA/INVESTIGACIO</t>
        </is>
      </c>
      <c r="I630" s="4" t="inlineStr">
        <is>
          <t>INVESTIGACIONES</t>
        </is>
      </c>
      <c r="J630" s="4" t="inlineStr">
        <is>
          <t>PLANTA</t>
        </is>
      </c>
      <c r="K630" s="4" t="inlineStr">
        <is>
          <t>YEISON OYOLA</t>
        </is>
      </c>
      <c r="L630" s="4" t="inlineStr">
        <is>
          <t>SIN RESPUESTA</t>
        </is>
      </c>
      <c r="M630" s="4" t="inlineStr">
        <is>
          <t>4 llamadas a correo de voz</t>
        </is>
      </c>
      <c r="N630" s="4" t="n">
        <v>3214954294</v>
      </c>
      <c r="O630" s="4" t="inlineStr">
        <is>
          <t>manufacosta13@gmail.com</t>
        </is>
      </c>
      <c r="P630" s="4" t="inlineStr">
        <is>
          <t>BTA SEDE G</t>
        </is>
      </c>
      <c r="Q630" s="4" t="inlineStr">
        <is>
          <t>INVESTIGACIONES</t>
        </is>
      </c>
      <c r="R630" s="4" t="inlineStr">
        <is>
          <t>Salón Audiencia sede F</t>
        </is>
      </c>
    </row>
    <row r="631" ht="20" customHeight="1">
      <c r="A631" s="6" t="inlineStr">
        <is>
          <t>91505984</t>
        </is>
      </c>
      <c r="B631" s="7" t="inlineStr">
        <is>
          <t>PRESENCIAL BOGOTÁ</t>
        </is>
      </c>
      <c r="C631" s="7" t="inlineStr">
        <is>
          <t>ABELARDO LEAL HERNANDEZ</t>
        </is>
      </c>
      <c r="D631" s="7" t="inlineStr">
        <is>
          <t>INNOVACION E INVESTIGACION</t>
        </is>
      </c>
      <c r="E631" s="7" t="inlineStr">
        <is>
          <t>REGIONAL BOGOTA</t>
        </is>
      </c>
      <c r="F631" s="7" t="inlineStr">
        <is>
          <t>BOGOTA CENTRO</t>
        </is>
      </c>
      <c r="G631" s="7" t="inlineStr">
        <is>
          <t>VIRTUAL</t>
        </is>
      </c>
      <c r="H631" s="7" t="inlineStr">
        <is>
          <t>DOC TITU/N/V/TC/INVESTIGACIONES/INVESTIG</t>
        </is>
      </c>
      <c r="I631" s="7" t="inlineStr">
        <is>
          <t>INVESTIGACIONES</t>
        </is>
      </c>
      <c r="J631" s="7" t="inlineStr">
        <is>
          <t>PLANTA</t>
        </is>
      </c>
      <c r="K631" s="7" t="inlineStr">
        <is>
          <t>YEISON OYOLA</t>
        </is>
      </c>
      <c r="L631" s="7" t="inlineStr">
        <is>
          <t>CONFIRMADO PRESENCIAL</t>
        </is>
      </c>
      <c r="M631" s="7" t="n">
        <v/>
      </c>
      <c r="N631" s="7" t="n">
        <v>3102216986</v>
      </c>
      <c r="O631" s="7" t="inlineStr">
        <is>
          <t>alealh@unal.edu.co</t>
        </is>
      </c>
      <c r="P631" s="7" t="inlineStr">
        <is>
          <t>BTA SEDE A</t>
        </is>
      </c>
      <c r="Q631" s="7" t="inlineStr">
        <is>
          <t>INVESTIGACIONES</t>
        </is>
      </c>
      <c r="R631" s="7" t="inlineStr">
        <is>
          <t>Salón Audiencia sede F</t>
        </is>
      </c>
    </row>
    <row r="632" ht="20" customHeight="1">
      <c r="A632" s="3" t="inlineStr">
        <is>
          <t>6446210</t>
        </is>
      </c>
      <c r="B632" s="4" t="inlineStr">
        <is>
          <t>VIRTUAL</t>
        </is>
      </c>
      <c r="C632" s="4" t="inlineStr">
        <is>
          <t>ADRIAN MARCEL GARCIA CAICEDO</t>
        </is>
      </c>
      <c r="D632" s="4" t="inlineStr">
        <is>
          <t>INNOVACION E INVESTIGACION</t>
        </is>
      </c>
      <c r="E632" s="4" t="inlineStr">
        <is>
          <t>REGIONAL VALLE DELCAUCA</t>
        </is>
      </c>
      <c r="F632" s="4" t="inlineStr">
        <is>
          <t>BUENAVENTURA</t>
        </is>
      </c>
      <c r="G632" s="4" t="inlineStr">
        <is>
          <t>VIRTUAL</t>
        </is>
      </c>
      <c r="H632" s="4" t="inlineStr">
        <is>
          <t>DOC ASIS/N/V/TC/INVESTIGACIONES/INVESTIG</t>
        </is>
      </c>
      <c r="I632" s="4" t="inlineStr">
        <is>
          <t>INVESTIGACIONES</t>
        </is>
      </c>
      <c r="J632" s="4" t="inlineStr">
        <is>
          <t>PLANTA</t>
        </is>
      </c>
      <c r="K632" s="4" t="inlineStr">
        <is>
          <t>YEISON OYOLA</t>
        </is>
      </c>
      <c r="L632" s="4" t="inlineStr">
        <is>
          <t>CONFIRMADO VIRTUAL</t>
        </is>
      </c>
      <c r="M632" s="4" t="inlineStr">
        <is>
          <t>enviar enlse adrina_garcia c@cun.edu.co</t>
        </is>
      </c>
      <c r="N632" s="4" t="n">
        <v>3113647473</v>
      </c>
      <c r="O632" s="4" t="inlineStr">
        <is>
          <t>adriangarciacaicedo017@gmail.com</t>
        </is>
      </c>
      <c r="P632" s="4" t="inlineStr">
        <is>
          <t>BUENAVENTURA SEDE</t>
        </is>
      </c>
      <c r="Q632" s="4" t="inlineStr">
        <is>
          <t>INVESTIGACIONES</t>
        </is>
      </c>
      <c r="R632" s="4" t="n">
        <v/>
      </c>
    </row>
    <row r="633" ht="20" customHeight="1">
      <c r="A633" s="6" t="inlineStr">
        <is>
          <t>78701547</t>
        </is>
      </c>
      <c r="B633" s="7" t="inlineStr">
        <is>
          <t>PRESENCIAL REGIONAL</t>
        </is>
      </c>
      <c r="C633" s="7" t="inlineStr">
        <is>
          <t>RAMIRO ANTONIO MARRUGO GONZALEZ</t>
        </is>
      </c>
      <c r="D633" s="7" t="inlineStr">
        <is>
          <t>INNOVACION E INVESTIGACION</t>
        </is>
      </c>
      <c r="E633" s="7" t="inlineStr">
        <is>
          <t>REGIONAL CORDOBA</t>
        </is>
      </c>
      <c r="F633" s="7" t="inlineStr">
        <is>
          <t>MONTERIA</t>
        </is>
      </c>
      <c r="G633" s="7" t="inlineStr">
        <is>
          <t>VIRTUAL</t>
        </is>
      </c>
      <c r="H633" s="7" t="inlineStr">
        <is>
          <t>DOC ASIS/N/V/TC/INVESTIGACIONES/INVESTIG</t>
        </is>
      </c>
      <c r="I633" s="7" t="inlineStr">
        <is>
          <t>INVESTIGACIONES</t>
        </is>
      </c>
      <c r="J633" s="7" t="inlineStr">
        <is>
          <t>PLANTA</t>
        </is>
      </c>
      <c r="K633" s="7" t="inlineStr">
        <is>
          <t>YEISON OYOLA</t>
        </is>
      </c>
      <c r="L633" s="7" t="inlineStr">
        <is>
          <t>CONFIRMADO PRESENCIAL</t>
        </is>
      </c>
      <c r="M633" s="7" t="n">
        <v/>
      </c>
      <c r="N633" s="7" t="n">
        <v>3158629959</v>
      </c>
      <c r="O633" s="7" t="inlineStr">
        <is>
          <t>ramarrgo@yahoo.es</t>
        </is>
      </c>
      <c r="P633" s="7" t="inlineStr">
        <is>
          <t>MONTERIA SEDE</t>
        </is>
      </c>
      <c r="Q633" s="7" t="inlineStr">
        <is>
          <t>INVESTIGACIONES</t>
        </is>
      </c>
      <c r="R633" s="7" t="n">
        <v/>
      </c>
    </row>
    <row r="634" ht="20" customHeight="1">
      <c r="A634" s="3" t="inlineStr">
        <is>
          <t>1019113556</t>
        </is>
      </c>
      <c r="B634" s="4" t="inlineStr">
        <is>
          <t>PRESENCIAL BOGOTÁ</t>
        </is>
      </c>
      <c r="C634" s="4" t="inlineStr">
        <is>
          <t>DANIEL ALBERTO SALAS MENESES</t>
        </is>
      </c>
      <c r="D634" s="4" t="inlineStr">
        <is>
          <t>INNOVACION E INVESTIGACION</t>
        </is>
      </c>
      <c r="E634" s="4" t="inlineStr">
        <is>
          <t>REGIONAL BOGOTA</t>
        </is>
      </c>
      <c r="F634" s="4" t="inlineStr">
        <is>
          <t>BOGOTA CENTRO</t>
        </is>
      </c>
      <c r="G634" s="4" t="inlineStr">
        <is>
          <t>PRESENCIAL</t>
        </is>
      </c>
      <c r="H634" s="4" t="inlineStr">
        <is>
          <t>DOCENTE ASIS/N/TC/INVESTIGA/INVESTIGACIO</t>
        </is>
      </c>
      <c r="I634" s="4" t="inlineStr">
        <is>
          <t>INVESTIGACIONES</t>
        </is>
      </c>
      <c r="J634" s="4" t="inlineStr">
        <is>
          <t>PLANTA</t>
        </is>
      </c>
      <c r="K634" s="4" t="inlineStr">
        <is>
          <t>YEISON OYOLA</t>
        </is>
      </c>
      <c r="L634" s="4" t="inlineStr">
        <is>
          <t>CONFIRMADO PRESENCIAL</t>
        </is>
      </c>
      <c r="M634" s="4" t="n">
        <v/>
      </c>
      <c r="N634" s="4" t="n">
        <v>3133256226</v>
      </c>
      <c r="O634" s="4" t="inlineStr">
        <is>
          <t>lasendalisa@gmail.com</t>
        </is>
      </c>
      <c r="P634" s="4" t="inlineStr">
        <is>
          <t>BTA SEDE G</t>
        </is>
      </c>
      <c r="Q634" s="4" t="inlineStr">
        <is>
          <t>INVESTIGACIONES</t>
        </is>
      </c>
      <c r="R634" s="4" t="inlineStr">
        <is>
          <t>Salón Audiencia sede F</t>
        </is>
      </c>
    </row>
    <row r="635" ht="20" customHeight="1">
      <c r="A635" s="6" t="inlineStr">
        <is>
          <t>80221696</t>
        </is>
      </c>
      <c r="B635" s="7" t="inlineStr">
        <is>
          <t>PRESENCIAL BOGOTÁ</t>
        </is>
      </c>
      <c r="C635" s="7" t="inlineStr">
        <is>
          <t>DAGOBERTO GARZON QUEVEDO</t>
        </is>
      </c>
      <c r="D635" s="7" t="inlineStr">
        <is>
          <t>INNOVACION E INVESTIGACION</t>
        </is>
      </c>
      <c r="E635" s="7" t="inlineStr">
        <is>
          <t>REGIONAL BOGOTA</t>
        </is>
      </c>
      <c r="F635" s="7" t="inlineStr">
        <is>
          <t>BOGOTA RESTREPO</t>
        </is>
      </c>
      <c r="G635" s="7" t="inlineStr">
        <is>
          <t>PRESENCIAL</t>
        </is>
      </c>
      <c r="H635" s="7" t="inlineStr">
        <is>
          <t>DOCENTE ASIS/N/TC/INVESTIGA/INVESTIGACIO</t>
        </is>
      </c>
      <c r="I635" s="7" t="inlineStr">
        <is>
          <t>INVESTIGACIONES</t>
        </is>
      </c>
      <c r="J635" s="7" t="inlineStr">
        <is>
          <t>PLANTA</t>
        </is>
      </c>
      <c r="K635" s="7" t="inlineStr">
        <is>
          <t>YEISON OYOLA</t>
        </is>
      </c>
      <c r="L635" s="7" t="inlineStr">
        <is>
          <t>CONFIRMADO PRESENCIAL</t>
        </is>
      </c>
      <c r="M635" s="7" t="n">
        <v/>
      </c>
      <c r="N635" s="7" t="n">
        <v>3028496683</v>
      </c>
      <c r="O635" s="7" t="inlineStr">
        <is>
          <t>dgarzonquevedo@gmail.com</t>
        </is>
      </c>
      <c r="P635" s="7" t="inlineStr">
        <is>
          <t>BTA SEDE RESTREPO</t>
        </is>
      </c>
      <c r="Q635" s="7" t="inlineStr">
        <is>
          <t>INVESTIGACIONES</t>
        </is>
      </c>
      <c r="R635" s="7" t="inlineStr">
        <is>
          <t>Salón Audiencia sede F</t>
        </is>
      </c>
    </row>
    <row r="636" ht="20" customHeight="1">
      <c r="A636" s="3" t="inlineStr">
        <is>
          <t>1067879307</t>
        </is>
      </c>
      <c r="B636" s="4" t="inlineStr">
        <is>
          <t>PRESENCIAL REGIONAL</t>
        </is>
      </c>
      <c r="C636" s="4" t="inlineStr">
        <is>
          <t>RODRIGO JUNIOR GARCIA HOYOS</t>
        </is>
      </c>
      <c r="D636" s="4" t="inlineStr">
        <is>
          <t>INNOVACION E INVESTIGACION</t>
        </is>
      </c>
      <c r="E636" s="4" t="inlineStr">
        <is>
          <t>REGIONAL CORDOBA</t>
        </is>
      </c>
      <c r="F636" s="4" t="inlineStr">
        <is>
          <t>MONTERIA</t>
        </is>
      </c>
      <c r="G636" s="4" t="inlineStr">
        <is>
          <t>VIRTUAL</t>
        </is>
      </c>
      <c r="H636" s="4" t="inlineStr">
        <is>
          <t>DOC TITULAR/N/V/TC/INVESTIGACIONES/INVESTI</t>
        </is>
      </c>
      <c r="I636" s="4" t="inlineStr">
        <is>
          <t>INVESTIGACIONES</t>
        </is>
      </c>
      <c r="J636" s="4" t="inlineStr">
        <is>
          <t>PLANTA</t>
        </is>
      </c>
      <c r="K636" s="4" t="inlineStr">
        <is>
          <t>YEISON OYOLA</t>
        </is>
      </c>
      <c r="L636" s="4" t="inlineStr">
        <is>
          <t>SIN RESPUESTA</t>
        </is>
      </c>
      <c r="M636" s="4" t="inlineStr">
        <is>
          <t>2 llamadas a correo de voz</t>
        </is>
      </c>
      <c r="N636" s="4" t="n">
        <v>3106763499</v>
      </c>
      <c r="O636" s="4" t="inlineStr">
        <is>
          <t>rodrigogarciahoyos@gmail.com</t>
        </is>
      </c>
      <c r="P636" s="4" t="inlineStr">
        <is>
          <t>MONTERIA SEDE</t>
        </is>
      </c>
      <c r="Q636" s="4" t="inlineStr">
        <is>
          <t>INVESTIGACIONES</t>
        </is>
      </c>
      <c r="R636" s="4" t="n">
        <v/>
      </c>
    </row>
    <row r="637" ht="20" customHeight="1">
      <c r="A637" s="6" t="inlineStr">
        <is>
          <t>39532102</t>
        </is>
      </c>
      <c r="B637" s="7" t="inlineStr">
        <is>
          <t>PRESENCIAL BOGOTÁ</t>
        </is>
      </c>
      <c r="C637" s="7" t="inlineStr">
        <is>
          <t>LUZ MARINA ESCAMILLA FONSECA</t>
        </is>
      </c>
      <c r="D637" s="7" t="inlineStr">
        <is>
          <t>INNOVACION E INVESTIGACION</t>
        </is>
      </c>
      <c r="E637" s="7" t="inlineStr">
        <is>
          <t>REGIONAL BOGOTA</t>
        </is>
      </c>
      <c r="F637" s="7" t="inlineStr">
        <is>
          <t>BOGOTA CENTRO</t>
        </is>
      </c>
      <c r="G637" s="7" t="inlineStr">
        <is>
          <t>VIRTUAL</t>
        </is>
      </c>
      <c r="H637" s="7" t="inlineStr">
        <is>
          <t>DOC ASOC/N/V/TC/INVESTIGACIONES/INVESTIG</t>
        </is>
      </c>
      <c r="I637" s="7" t="inlineStr">
        <is>
          <t>INVESTIGACIONES</t>
        </is>
      </c>
      <c r="J637" s="7" t="inlineStr">
        <is>
          <t>PLANTA</t>
        </is>
      </c>
      <c r="K637" s="7" t="inlineStr">
        <is>
          <t>YEISON OYOLA</t>
        </is>
      </c>
      <c r="L637" s="7" t="inlineStr">
        <is>
          <t>CONFIRMADO PRESENCIAL</t>
        </is>
      </c>
      <c r="M637" s="7" t="n">
        <v/>
      </c>
      <c r="N637" s="7" t="n">
        <v>3192297139</v>
      </c>
      <c r="O637" s="7" t="inlineStr">
        <is>
          <t>lumaesfo@yahoo.es</t>
        </is>
      </c>
      <c r="P637" s="7" t="inlineStr">
        <is>
          <t>BTA SEDE A</t>
        </is>
      </c>
      <c r="Q637" s="7" t="inlineStr">
        <is>
          <t>INVESTIGACIONES</t>
        </is>
      </c>
      <c r="R637" s="7" t="inlineStr">
        <is>
          <t>Salón Audiencia sede F</t>
        </is>
      </c>
    </row>
    <row r="638" ht="20" customHeight="1">
      <c r="A638" s="3" t="inlineStr">
        <is>
          <t>79460238</t>
        </is>
      </c>
      <c r="B638" s="4" t="inlineStr">
        <is>
          <t>PRESENCIAL BOGOTÁ</t>
        </is>
      </c>
      <c r="C638" s="4" t="inlineStr">
        <is>
          <t>JORGE ENRIQUE CHAPARRO MEDINA</t>
        </is>
      </c>
      <c r="D638" s="4" t="inlineStr">
        <is>
          <t>INNOVACION E INVESTIGACION</t>
        </is>
      </c>
      <c r="E638" s="4" t="inlineStr">
        <is>
          <t>REGIONAL BOGOTA</t>
        </is>
      </c>
      <c r="F638" s="4" t="inlineStr">
        <is>
          <t>BOGOTA CENTRO</t>
        </is>
      </c>
      <c r="G638" s="4" t="inlineStr">
        <is>
          <t>VIRTUAL</t>
        </is>
      </c>
      <c r="H638" s="4" t="inlineStr">
        <is>
          <t>DOC ASOC/N/V/TC/INVESTIGACIONES/INVESTIG</t>
        </is>
      </c>
      <c r="I638" s="4" t="inlineStr">
        <is>
          <t>INVESTIGACIONES</t>
        </is>
      </c>
      <c r="J638" s="4" t="inlineStr">
        <is>
          <t>PLANTA</t>
        </is>
      </c>
      <c r="K638" s="4" t="inlineStr">
        <is>
          <t>YEISON OYOLA</t>
        </is>
      </c>
      <c r="L638" s="4" t="inlineStr">
        <is>
          <t>SIN RESPUESTA</t>
        </is>
      </c>
      <c r="M638" s="4" t="inlineStr">
        <is>
          <t>2 llamadas a correo de voz</t>
        </is>
      </c>
      <c r="N638" s="4" t="n">
        <v>3123681546</v>
      </c>
      <c r="O638" s="4" t="inlineStr">
        <is>
          <t>JECHAPARROM@HOTMAIL.COM</t>
        </is>
      </c>
      <c r="P638" s="4" t="inlineStr">
        <is>
          <t>BTA SEDE A</t>
        </is>
      </c>
      <c r="Q638" s="4" t="inlineStr">
        <is>
          <t>INVESTIGACIONES</t>
        </is>
      </c>
      <c r="R638" s="4" t="inlineStr">
        <is>
          <t>Salón Audiencia sede F</t>
        </is>
      </c>
    </row>
    <row r="639" ht="20" customHeight="1">
      <c r="A639" s="6" t="inlineStr">
        <is>
          <t>1022351022</t>
        </is>
      </c>
      <c r="B639" s="7" t="inlineStr">
        <is>
          <t>PRESENCIAL BOGOTÁ</t>
        </is>
      </c>
      <c r="C639" s="7" t="inlineStr">
        <is>
          <t>ANDRES CARRILLO GONZALEZ</t>
        </is>
      </c>
      <c r="D639" s="7" t="inlineStr">
        <is>
          <t>INNOVACION E INVESTIGACION</t>
        </is>
      </c>
      <c r="E639" s="7" t="inlineStr">
        <is>
          <t>REGIONAL BOGOTA</t>
        </is>
      </c>
      <c r="F639" s="7" t="inlineStr">
        <is>
          <t>BOGOTA CENTRO</t>
        </is>
      </c>
      <c r="G639" s="7" t="inlineStr">
        <is>
          <t>PRESENCIAL</t>
        </is>
      </c>
      <c r="H639" s="7" t="inlineStr">
        <is>
          <t>DOCENTE ASOC/N/TC/INVESTIGACIONES/INVEST</t>
        </is>
      </c>
      <c r="I639" s="7" t="inlineStr">
        <is>
          <t>INVESTIGACIONES</t>
        </is>
      </c>
      <c r="J639" s="7" t="inlineStr">
        <is>
          <t>PLANTA</t>
        </is>
      </c>
      <c r="K639" s="7" t="inlineStr">
        <is>
          <t>YEISON OYOLA</t>
        </is>
      </c>
      <c r="L639" s="7" t="inlineStr">
        <is>
          <t>CONFIRMADO PRESENCIAL</t>
        </is>
      </c>
      <c r="M639" s="7" t="n">
        <v/>
      </c>
      <c r="N639" s="7" t="n">
        <v>3188572270</v>
      </c>
      <c r="O639" s="7" t="inlineStr">
        <is>
          <t>andres_628@hotmail.com</t>
        </is>
      </c>
      <c r="P639" s="7" t="inlineStr">
        <is>
          <t>BTA SEDE G</t>
        </is>
      </c>
      <c r="Q639" s="7" t="inlineStr">
        <is>
          <t>INVESTIGACIONES</t>
        </is>
      </c>
      <c r="R639" s="7" t="inlineStr">
        <is>
          <t>Salón Audiencia sede F</t>
        </is>
      </c>
    </row>
    <row r="640" ht="20" customHeight="1">
      <c r="A640" s="3" t="inlineStr">
        <is>
          <t>1015407503</t>
        </is>
      </c>
      <c r="B640" s="4" t="inlineStr">
        <is>
          <t>PRESENCIAL BOGOTÁ</t>
        </is>
      </c>
      <c r="C640" s="4" t="inlineStr">
        <is>
          <t>ANGELA PATRICIA PULIDO CASTELBLANCO</t>
        </is>
      </c>
      <c r="D640" s="4" t="inlineStr">
        <is>
          <t>INNOVACION E INVESTIGACION</t>
        </is>
      </c>
      <c r="E640" s="4" t="inlineStr">
        <is>
          <t>REGIONAL BOGOTA</t>
        </is>
      </c>
      <c r="F640" s="4" t="inlineStr">
        <is>
          <t>BOGOTA CENTRO</t>
        </is>
      </c>
      <c r="G640" s="4" t="inlineStr">
        <is>
          <t>VIRTUAL</t>
        </is>
      </c>
      <c r="H640" s="4" t="inlineStr">
        <is>
          <t>DOC ASIS/N/V/TC/INVESTIGACIONES/INVESTIG</t>
        </is>
      </c>
      <c r="I640" s="4" t="inlineStr">
        <is>
          <t>INVESTIGACIONES</t>
        </is>
      </c>
      <c r="J640" s="4" t="inlineStr">
        <is>
          <t>PLANTA</t>
        </is>
      </c>
      <c r="K640" s="4" t="inlineStr">
        <is>
          <t>YEISON OYOLA</t>
        </is>
      </c>
      <c r="L640" s="4" t="inlineStr">
        <is>
          <t>CONFIRMADO PRESENCIAL</t>
        </is>
      </c>
      <c r="M640" s="4" t="n">
        <v/>
      </c>
      <c r="N640" s="4" t="n">
        <v>3006761792</v>
      </c>
      <c r="O640" s="4" t="inlineStr">
        <is>
          <t>angelapulido07@icloud.com</t>
        </is>
      </c>
      <c r="P640" s="4" t="inlineStr">
        <is>
          <t>BTA SEDE A</t>
        </is>
      </c>
      <c r="Q640" s="4" t="inlineStr">
        <is>
          <t>INVESTIGACIONES</t>
        </is>
      </c>
      <c r="R640" s="4" t="inlineStr">
        <is>
          <t>Salón Audiencia sede F</t>
        </is>
      </c>
    </row>
    <row r="641" ht="20" customHeight="1">
      <c r="A641" s="6" t="inlineStr">
        <is>
          <t>366012</t>
        </is>
      </c>
      <c r="B641" s="7" t="inlineStr">
        <is>
          <t>PRESENCIAL BOGOTÁ</t>
        </is>
      </c>
      <c r="C641" s="7" t="inlineStr">
        <is>
          <t>VEREL ELVIRA MONROY FLORES</t>
        </is>
      </c>
      <c r="D641" s="7" t="inlineStr">
        <is>
          <t>INNOVACION E INVESTIGACION</t>
        </is>
      </c>
      <c r="E641" s="7" t="inlineStr">
        <is>
          <t>REGIONAL BOGOTA</t>
        </is>
      </c>
      <c r="F641" s="7" t="inlineStr">
        <is>
          <t>BOGOTA CENTRO</t>
        </is>
      </c>
      <c r="G641" s="7" t="inlineStr">
        <is>
          <t>VIRTUAL</t>
        </is>
      </c>
      <c r="H641" s="7" t="inlineStr">
        <is>
          <t>DOC ASOC/N/V/TC/INVESTIGACIONES/INVESTIG</t>
        </is>
      </c>
      <c r="I641" s="7" t="inlineStr">
        <is>
          <t>INVESTIGACIONES</t>
        </is>
      </c>
      <c r="J641" s="7" t="inlineStr">
        <is>
          <t>PLANTA</t>
        </is>
      </c>
      <c r="K641" s="7" t="inlineStr">
        <is>
          <t>YEISON OYOLA</t>
        </is>
      </c>
      <c r="L641" s="7" t="inlineStr">
        <is>
          <t>SIN RESPUESTA</t>
        </is>
      </c>
      <c r="M641" s="7" t="inlineStr">
        <is>
          <t>2 llamadas a correo de voz</t>
        </is>
      </c>
      <c r="N641" s="7" t="n">
        <v>3238115769</v>
      </c>
      <c r="O641" s="7" t="inlineStr">
        <is>
          <t>verelmf1@gmail.com</t>
        </is>
      </c>
      <c r="P641" s="7" t="inlineStr">
        <is>
          <t>BTA SEDE A</t>
        </is>
      </c>
      <c r="Q641" s="7" t="inlineStr">
        <is>
          <t>INVESTIGACIONES</t>
        </is>
      </c>
      <c r="R641" s="7" t="inlineStr">
        <is>
          <t>Salón Audiencia sede F</t>
        </is>
      </c>
    </row>
    <row r="642" ht="20" customHeight="1">
      <c r="A642" s="3" t="inlineStr">
        <is>
          <t>80059300</t>
        </is>
      </c>
      <c r="B642" s="4" t="inlineStr">
        <is>
          <t>PRESENCIAL BOGOTÁ</t>
        </is>
      </c>
      <c r="C642" s="4" t="inlineStr">
        <is>
          <t>VICTOR HUGO PIÑEROS BAEZ</t>
        </is>
      </c>
      <c r="D642" s="4" t="inlineStr">
        <is>
          <t>INNOVACION E INVESTIGACION</t>
        </is>
      </c>
      <c r="E642" s="4" t="inlineStr">
        <is>
          <t>REGIONAL BOGOTA</t>
        </is>
      </c>
      <c r="F642" s="4" t="inlineStr">
        <is>
          <t>BOGOTA CENTRO</t>
        </is>
      </c>
      <c r="G642" s="4" t="inlineStr">
        <is>
          <t>VIRTUAL</t>
        </is>
      </c>
      <c r="H642" s="4" t="inlineStr">
        <is>
          <t>DOC TITU/N/V/TC/INVESTIGACIONES/INVESTIG</t>
        </is>
      </c>
      <c r="I642" s="4" t="inlineStr">
        <is>
          <t>INVESTIGACIONES</t>
        </is>
      </c>
      <c r="J642" s="4" t="inlineStr">
        <is>
          <t>PLANTA</t>
        </is>
      </c>
      <c r="K642" s="4" t="inlineStr">
        <is>
          <t>MARGARITA PUERTA</t>
        </is>
      </c>
      <c r="L642" s="4" t="inlineStr">
        <is>
          <t>CONFIRMADO PRESENCIAL</t>
        </is>
      </c>
      <c r="M642" s="4" t="n">
        <v/>
      </c>
      <c r="N642" s="4" t="n">
        <v>3152975330</v>
      </c>
      <c r="O642" s="4" t="inlineStr">
        <is>
          <t>victorh.pineros@gmail.com</t>
        </is>
      </c>
      <c r="P642" s="4" t="inlineStr">
        <is>
          <t>BTA SEDE A</t>
        </is>
      </c>
      <c r="Q642" s="4" t="inlineStr">
        <is>
          <t>INVESTIGACIONES</t>
        </is>
      </c>
      <c r="R642" s="4" t="inlineStr">
        <is>
          <t>Salón Audiencia sede F</t>
        </is>
      </c>
    </row>
    <row r="643" ht="20" customHeight="1">
      <c r="A643" s="6" t="inlineStr">
        <is>
          <t>53032073</t>
        </is>
      </c>
      <c r="B643" s="7" t="inlineStr">
        <is>
          <t>PRESENCIAL BOGOTÁ</t>
        </is>
      </c>
      <c r="C643" s="7" t="inlineStr">
        <is>
          <t>MONICA ANDREA HIDALGO VERGARA</t>
        </is>
      </c>
      <c r="D643" s="7" t="inlineStr">
        <is>
          <t>INNOVACION E INVESTIGACION</t>
        </is>
      </c>
      <c r="E643" s="7" t="inlineStr">
        <is>
          <t>REGIONAL BOGOTA</t>
        </is>
      </c>
      <c r="F643" s="7" t="inlineStr">
        <is>
          <t>BOGOTA CENTRO</t>
        </is>
      </c>
      <c r="G643" s="7" t="inlineStr">
        <is>
          <t>VIRTUAL</t>
        </is>
      </c>
      <c r="H643" s="7" t="inlineStr">
        <is>
          <t>DOC ASOC/N/V/TC/INVESTIGACIONES/INVESTIG</t>
        </is>
      </c>
      <c r="I643" s="7" t="inlineStr">
        <is>
          <t>INVESTIGACIONES</t>
        </is>
      </c>
      <c r="J643" s="7" t="inlineStr">
        <is>
          <t>PLANTA</t>
        </is>
      </c>
      <c r="K643" s="7" t="inlineStr">
        <is>
          <t>MARGARITA PUERTA</t>
        </is>
      </c>
      <c r="L643" s="7" t="inlineStr">
        <is>
          <t>CONFIRMADO PRESENCIAL</t>
        </is>
      </c>
      <c r="M643" s="7" t="inlineStr">
        <is>
          <t xml:space="preserve">Asiste a la ciudad de barranquilla </t>
        </is>
      </c>
      <c r="N643" s="7" t="n">
        <v>3102878462</v>
      </c>
      <c r="O643" s="7" t="inlineStr">
        <is>
          <t>moanhive@gmail.com</t>
        </is>
      </c>
      <c r="P643" s="7" t="inlineStr">
        <is>
          <t>BTA SEDE A</t>
        </is>
      </c>
      <c r="Q643" s="7" t="inlineStr">
        <is>
          <t>INVESTIGACIONES</t>
        </is>
      </c>
      <c r="R643" s="7" t="inlineStr">
        <is>
          <t>Salón Audiencia sede F</t>
        </is>
      </c>
    </row>
    <row r="644" ht="20" customHeight="1">
      <c r="A644" s="3" t="inlineStr">
        <is>
          <t>1143443135</t>
        </is>
      </c>
      <c r="B644" s="4" t="inlineStr">
        <is>
          <t>PRESENCIAL REGIONAL</t>
        </is>
      </c>
      <c r="C644" s="4" t="inlineStr">
        <is>
          <t>DANIELLA RODRIGUEZ MOLINA</t>
        </is>
      </c>
      <c r="D644" s="4" t="inlineStr">
        <is>
          <t>INNOVACION E INVESTIGACION</t>
        </is>
      </c>
      <c r="E644" s="4" t="inlineStr">
        <is>
          <t>REGIONAL HUILA</t>
        </is>
      </c>
      <c r="F644" s="4" t="inlineStr">
        <is>
          <t>NEIVA</t>
        </is>
      </c>
      <c r="G644" s="4" t="inlineStr">
        <is>
          <t>VIRTUAL</t>
        </is>
      </c>
      <c r="H644" s="4" t="inlineStr">
        <is>
          <t>DOC ASOC/N/V/TC/INVESTIGACIONES/INVESTIG</t>
        </is>
      </c>
      <c r="I644" s="4" t="inlineStr">
        <is>
          <t>INVESTIGACIONES</t>
        </is>
      </c>
      <c r="J644" s="4" t="inlineStr">
        <is>
          <t>PLANTA</t>
        </is>
      </c>
      <c r="K644" s="4" t="inlineStr">
        <is>
          <t>MARGARITA PUERTA</t>
        </is>
      </c>
      <c r="L644" s="4" t="inlineStr">
        <is>
          <t>SIN RESPUESTA</t>
        </is>
      </c>
      <c r="M644" s="4" t="n">
        <v/>
      </c>
      <c r="N644" s="4" t="n">
        <v>3016474183</v>
      </c>
      <c r="O644" s="4" t="inlineStr">
        <is>
          <t>daniellarodriguez1993@gmail.com</t>
        </is>
      </c>
      <c r="P644" s="4" t="inlineStr">
        <is>
          <t>NEIVA SEDE</t>
        </is>
      </c>
      <c r="Q644" s="4" t="inlineStr">
        <is>
          <t>INVESTIGACIONES</t>
        </is>
      </c>
      <c r="R644" s="4" t="n">
        <v/>
      </c>
    </row>
    <row r="645" ht="20" customHeight="1">
      <c r="A645" s="6" t="inlineStr">
        <is>
          <t>1129510093</t>
        </is>
      </c>
      <c r="B645" s="7" t="inlineStr">
        <is>
          <t>PRESENCIAL REGIONAL</t>
        </is>
      </c>
      <c r="C645" s="7" t="inlineStr">
        <is>
          <t>LAURA MARCELA POSSO MENCO</t>
        </is>
      </c>
      <c r="D645" s="7" t="inlineStr">
        <is>
          <t>INNOVACION E INVESTIGACION</t>
        </is>
      </c>
      <c r="E645" s="7" t="inlineStr">
        <is>
          <t>REGIONAL ATLANTICO</t>
        </is>
      </c>
      <c r="F645" s="7" t="inlineStr">
        <is>
          <t>BARRANQUILLA</t>
        </is>
      </c>
      <c r="G645" s="7" t="inlineStr">
        <is>
          <t>VIRTUAL</t>
        </is>
      </c>
      <c r="H645" s="7" t="inlineStr">
        <is>
          <t>DOC TITU/N/V/TC/INVESTIGACIONES/INVESTIG</t>
        </is>
      </c>
      <c r="I645" s="7" t="inlineStr">
        <is>
          <t>INVESTIGACIONES</t>
        </is>
      </c>
      <c r="J645" s="7" t="inlineStr">
        <is>
          <t>PLANTA</t>
        </is>
      </c>
      <c r="K645" s="7" t="inlineStr">
        <is>
          <t>MARGARITA PUERTA</t>
        </is>
      </c>
      <c r="L645" s="7" t="inlineStr">
        <is>
          <t>CONFIRMADO PRESENCIAL</t>
        </is>
      </c>
      <c r="M645" s="7" t="inlineStr">
        <is>
          <t xml:space="preserve">Asiste a la ciudad de barranquilla </t>
        </is>
      </c>
      <c r="N645" s="7" t="n">
        <v>3017521755</v>
      </c>
      <c r="O645" s="7" t="inlineStr">
        <is>
          <t>laurapossomenco@gmail.com</t>
        </is>
      </c>
      <c r="P645" s="7" t="inlineStr">
        <is>
          <t>BQUILLA SEDE</t>
        </is>
      </c>
      <c r="Q645" s="7" t="inlineStr">
        <is>
          <t>INVESTIGACIONES</t>
        </is>
      </c>
      <c r="R645" s="7" t="n">
        <v/>
      </c>
    </row>
    <row r="646" ht="20" customHeight="1">
      <c r="A646" s="3" t="inlineStr">
        <is>
          <t>1018454517</t>
        </is>
      </c>
      <c r="B646" s="4" t="inlineStr">
        <is>
          <t>PRESENCIAL BOGOTÁ</t>
        </is>
      </c>
      <c r="C646" s="4" t="inlineStr">
        <is>
          <t>JUAN SEBASTIAN HERNANDEZ MONSALVE</t>
        </is>
      </c>
      <c r="D646" s="4" t="inlineStr">
        <is>
          <t>INNOVACION E INVESTIGACION</t>
        </is>
      </c>
      <c r="E646" s="4" t="inlineStr">
        <is>
          <t>REGIONAL BOGOTA</t>
        </is>
      </c>
      <c r="F646" s="4" t="inlineStr">
        <is>
          <t>BOGOTA RESTREPO</t>
        </is>
      </c>
      <c r="G646" s="4" t="inlineStr">
        <is>
          <t>PRESENCIAL</t>
        </is>
      </c>
      <c r="H646" s="4" t="inlineStr">
        <is>
          <t>DOCENTE ASOC/N/TC/INVESTIGA/INVESTIGACIO</t>
        </is>
      </c>
      <c r="I646" s="4" t="inlineStr">
        <is>
          <t>INVESTIGACIONES</t>
        </is>
      </c>
      <c r="J646" s="4" t="inlineStr">
        <is>
          <t>PLANTA</t>
        </is>
      </c>
      <c r="K646" s="4" t="inlineStr">
        <is>
          <t>MARGARITA PUERTA</t>
        </is>
      </c>
      <c r="L646" s="4" t="inlineStr">
        <is>
          <t>CONFIRMADO PRESENCIAL</t>
        </is>
      </c>
      <c r="M646" s="4" t="n">
        <v/>
      </c>
      <c r="N646" s="4" t="n">
        <v>3176701186</v>
      </c>
      <c r="O646" s="4" t="inlineStr">
        <is>
          <t>sebashmonsalve@gmail.com</t>
        </is>
      </c>
      <c r="P646" s="4" t="inlineStr">
        <is>
          <t>BTA SEDE RESTREPO</t>
        </is>
      </c>
      <c r="Q646" s="4" t="inlineStr">
        <is>
          <t>INVESTIGACIONES</t>
        </is>
      </c>
      <c r="R646" s="4" t="inlineStr">
        <is>
          <t>Salón Audiencia sede F</t>
        </is>
      </c>
    </row>
    <row r="647" ht="20" customHeight="1">
      <c r="A647" s="6" t="inlineStr">
        <is>
          <t>10931421</t>
        </is>
      </c>
      <c r="B647" s="7" t="inlineStr">
        <is>
          <t>PRESENCIAL REGIONAL</t>
        </is>
      </c>
      <c r="C647" s="7" t="inlineStr">
        <is>
          <t>ROBERTO CARLOS OSORIO MASS</t>
        </is>
      </c>
      <c r="D647" s="7" t="inlineStr">
        <is>
          <t>INNOVACION E INVESTIGACION</t>
        </is>
      </c>
      <c r="E647" s="7" t="inlineStr">
        <is>
          <t>REGIONAL CORDOBA</t>
        </is>
      </c>
      <c r="F647" s="7" t="inlineStr">
        <is>
          <t>MONTERIA</t>
        </is>
      </c>
      <c r="G647" s="7" t="inlineStr">
        <is>
          <t>VIRTUAL</t>
        </is>
      </c>
      <c r="H647" s="7" t="inlineStr">
        <is>
          <t>DOC ASOC/N/V/TC/INVESTIGACIONES/INVESTIG</t>
        </is>
      </c>
      <c r="I647" s="7" t="inlineStr">
        <is>
          <t>INVESTIGACIONES</t>
        </is>
      </c>
      <c r="J647" s="7" t="inlineStr">
        <is>
          <t>PLANTA</t>
        </is>
      </c>
      <c r="K647" s="7" t="inlineStr">
        <is>
          <t>MARGARITA PUERTA</t>
        </is>
      </c>
      <c r="L647" s="7" t="inlineStr">
        <is>
          <t>SIN RESPUESTA</t>
        </is>
      </c>
      <c r="M647" s="7" t="inlineStr">
        <is>
          <t>3 llamadas a correo de voz</t>
        </is>
      </c>
      <c r="N647" s="7" t="n">
        <v>3002391074</v>
      </c>
      <c r="O647" s="7" t="inlineStr">
        <is>
          <t>rosoriomass0415@gmail.com</t>
        </is>
      </c>
      <c r="P647" s="7" t="inlineStr">
        <is>
          <t>MONTERIA SEDE</t>
        </is>
      </c>
      <c r="Q647" s="7" t="inlineStr">
        <is>
          <t>INVESTIGACIONES</t>
        </is>
      </c>
      <c r="R647" s="7" t="n">
        <v/>
      </c>
    </row>
    <row r="648" ht="20" customHeight="1">
      <c r="A648" s="3" t="inlineStr">
        <is>
          <t>1073519113</t>
        </is>
      </c>
      <c r="B648" s="4" t="inlineStr">
        <is>
          <t>VIRTUAL</t>
        </is>
      </c>
      <c r="C648" s="4" t="inlineStr">
        <is>
          <t>DIANA MARCELA CASTILLO ORTIZ</t>
        </is>
      </c>
      <c r="D648" s="4" t="inlineStr">
        <is>
          <t>INNOVACION E INVESTIGACION</t>
        </is>
      </c>
      <c r="E648" s="4" t="inlineStr">
        <is>
          <t>REGIONAL CUNDINAMARCA</t>
        </is>
      </c>
      <c r="F648" s="4" t="inlineStr">
        <is>
          <t>MOSQUERA</t>
        </is>
      </c>
      <c r="G648" s="4" t="inlineStr">
        <is>
          <t>VIRTUAL</t>
        </is>
      </c>
      <c r="H648" s="4" t="inlineStr">
        <is>
          <t>DOC ASOC/N/V/TC/INVESTIGACIONES/INVESTIG</t>
        </is>
      </c>
      <c r="I648" s="4" t="inlineStr">
        <is>
          <t>INVESTIGACIONES</t>
        </is>
      </c>
      <c r="J648" s="4" t="inlineStr">
        <is>
          <t>PLANTA</t>
        </is>
      </c>
      <c r="K648" s="4" t="inlineStr">
        <is>
          <t>MARGARITA PUERTA</t>
        </is>
      </c>
      <c r="L648" s="4" t="inlineStr">
        <is>
          <t>SIN RESPUESTA</t>
        </is>
      </c>
      <c r="M648" s="4" t="inlineStr">
        <is>
          <t>3 llamadas a correo de voz</t>
        </is>
      </c>
      <c r="N648" s="4" t="n">
        <v>3224413444</v>
      </c>
      <c r="O648" s="4" t="inlineStr">
        <is>
          <t>DIANIS74.DC@GMAIL.COM</t>
        </is>
      </c>
      <c r="P648" s="4" t="inlineStr">
        <is>
          <t>MOSQUERA SEDE</t>
        </is>
      </c>
      <c r="Q648" s="4" t="inlineStr">
        <is>
          <t>INVESTIGACIONES</t>
        </is>
      </c>
      <c r="R648" s="4" t="n">
        <v/>
      </c>
    </row>
    <row r="649" ht="20" customHeight="1">
      <c r="A649" s="6" t="inlineStr">
        <is>
          <t>1065661987</t>
        </is>
      </c>
      <c r="B649" s="7" t="inlineStr">
        <is>
          <t>PRESENCIAL BOGOTÁ</t>
        </is>
      </c>
      <c r="C649" s="7" t="inlineStr">
        <is>
          <t>VICTOR ALFONSO MOLINA MANDON</t>
        </is>
      </c>
      <c r="D649" s="7" t="inlineStr">
        <is>
          <t>INNOVACION E INVESTIGACION</t>
        </is>
      </c>
      <c r="E649" s="7" t="inlineStr">
        <is>
          <t>REGIONAL BOGOTA</t>
        </is>
      </c>
      <c r="F649" s="7" t="inlineStr">
        <is>
          <t>BOGOTA CENTRO</t>
        </is>
      </c>
      <c r="G649" s="7" t="inlineStr">
        <is>
          <t>VIRTUAL</t>
        </is>
      </c>
      <c r="H649" s="7" t="inlineStr">
        <is>
          <t>DOC ASIS/N/V/TC/INVESTIGACIONES/INVESTIG</t>
        </is>
      </c>
      <c r="I649" s="7" t="inlineStr">
        <is>
          <t>INVESTIGACIONES</t>
        </is>
      </c>
      <c r="J649" s="7" t="inlineStr">
        <is>
          <t>PLANTA</t>
        </is>
      </c>
      <c r="K649" s="7" t="inlineStr">
        <is>
          <t>MARGARITA PUERTA</t>
        </is>
      </c>
      <c r="L649" s="7" t="inlineStr">
        <is>
          <t>CONFIRMADO PRESENCIAL</t>
        </is>
      </c>
      <c r="M649" s="7" t="n">
        <v/>
      </c>
      <c r="N649" s="7" t="n">
        <v>3152008703</v>
      </c>
      <c r="O649" s="7" t="inlineStr">
        <is>
          <t>vicmolinamandon@gmail.com</t>
        </is>
      </c>
      <c r="P649" s="7" t="inlineStr">
        <is>
          <t>BTA SEDE A</t>
        </is>
      </c>
      <c r="Q649" s="7" t="inlineStr">
        <is>
          <t>INVESTIGACIONES</t>
        </is>
      </c>
      <c r="R649" s="7" t="inlineStr">
        <is>
          <t>Salón Audiencia sede F</t>
        </is>
      </c>
    </row>
    <row r="650" ht="20" customHeight="1">
      <c r="A650" s="3" t="inlineStr">
        <is>
          <t>1102799105</t>
        </is>
      </c>
      <c r="B650" s="4" t="inlineStr">
        <is>
          <t>VIRTUAL</t>
        </is>
      </c>
      <c r="C650" s="4" t="inlineStr">
        <is>
          <t>CARLOS ALBERTO SEVERICHE SIERRA</t>
        </is>
      </c>
      <c r="D650" s="4" t="inlineStr">
        <is>
          <t>INNOVACION E INVESTIGACION</t>
        </is>
      </c>
      <c r="E650" s="4" t="inlineStr">
        <is>
          <t>REGIONAL BOLIVAR</t>
        </is>
      </c>
      <c r="F650" s="4" t="inlineStr">
        <is>
          <t>CARTAGENA</t>
        </is>
      </c>
      <c r="G650" s="4" t="inlineStr">
        <is>
          <t>VIRTUAL</t>
        </is>
      </c>
      <c r="H650" s="4" t="inlineStr">
        <is>
          <t>DOC TITU/N/V/TC/INVESTIGACIONES/INVESTIG</t>
        </is>
      </c>
      <c r="I650" s="4" t="inlineStr">
        <is>
          <t>INVESTIGACIONES</t>
        </is>
      </c>
      <c r="J650" s="4" t="inlineStr">
        <is>
          <t>PLANTA</t>
        </is>
      </c>
      <c r="K650" s="4" t="inlineStr">
        <is>
          <t>MARGARITA PUERTA</t>
        </is>
      </c>
      <c r="L650" s="4" t="inlineStr">
        <is>
          <t>SIN RESPUESTA</t>
        </is>
      </c>
      <c r="M650" s="4" t="inlineStr">
        <is>
          <t>3 llamadas a correo de voz</t>
        </is>
      </c>
      <c r="N650" s="4" t="n">
        <v>3217534198</v>
      </c>
      <c r="O650" s="4" t="inlineStr">
        <is>
          <t>cseveriches2025@gmail.com</t>
        </is>
      </c>
      <c r="P650" s="4" t="inlineStr">
        <is>
          <t>CARTAGENA SEDE</t>
        </is>
      </c>
      <c r="Q650" s="4" t="inlineStr">
        <is>
          <t>INVESTIGACIONES</t>
        </is>
      </c>
      <c r="R650" s="4" t="n">
        <v/>
      </c>
    </row>
    <row r="651" ht="20" customHeight="1">
      <c r="A651" s="6" t="inlineStr">
        <is>
          <t>1026567976</t>
        </is>
      </c>
      <c r="B651" s="7" t="inlineStr">
        <is>
          <t>PRESENCIAL BOGOTÁ</t>
        </is>
      </c>
      <c r="C651" s="7" t="inlineStr">
        <is>
          <t>JOHNNATHAN ALEJANDRO CARDENAS BAUTISTA</t>
        </is>
      </c>
      <c r="D651" s="7" t="inlineStr">
        <is>
          <t>INNOVACION E INVESTIGACION</t>
        </is>
      </c>
      <c r="E651" s="7" t="inlineStr">
        <is>
          <t>REGIONAL BOGOTA</t>
        </is>
      </c>
      <c r="F651" s="7" t="inlineStr">
        <is>
          <t>BOGOTA CENTRO</t>
        </is>
      </c>
      <c r="G651" s="7" t="inlineStr">
        <is>
          <t>VIRTUAL</t>
        </is>
      </c>
      <c r="H651" s="7" t="inlineStr">
        <is>
          <t>DOC ASIS/N/V/TC/INVESTIGACIONES/INVESTIG</t>
        </is>
      </c>
      <c r="I651" s="7" t="inlineStr">
        <is>
          <t>INVESTIGACIONES</t>
        </is>
      </c>
      <c r="J651" s="7" t="inlineStr">
        <is>
          <t>PLANTA</t>
        </is>
      </c>
      <c r="K651" s="7" t="inlineStr">
        <is>
          <t>MARGARITA PUERTA</t>
        </is>
      </c>
      <c r="L651" s="7" t="inlineStr">
        <is>
          <t>CONFIRMADO PRESENCIAL</t>
        </is>
      </c>
      <c r="M651" s="7" t="n">
        <v/>
      </c>
      <c r="N651" s="7" t="n">
        <v>3204628987</v>
      </c>
      <c r="O651" s="7" t="inlineStr">
        <is>
          <t>ALEJANDROCARDENASCB@GMAIL.COM</t>
        </is>
      </c>
      <c r="P651" s="7" t="inlineStr">
        <is>
          <t>BTA SEDE A</t>
        </is>
      </c>
      <c r="Q651" s="7" t="inlineStr">
        <is>
          <t>INVESTIGACIONES</t>
        </is>
      </c>
      <c r="R651" s="7" t="inlineStr">
        <is>
          <t>Salón Audiencia sede F</t>
        </is>
      </c>
    </row>
    <row r="652" ht="20" customHeight="1">
      <c r="A652" s="3" t="inlineStr">
        <is>
          <t>1000330756</t>
        </is>
      </c>
      <c r="B652" s="4" t="inlineStr">
        <is>
          <t>PRESENCIAL BOGOTÁ</t>
        </is>
      </c>
      <c r="C652" s="4" t="inlineStr">
        <is>
          <t>MARIANA CORREA MANTILLA</t>
        </is>
      </c>
      <c r="D652" s="4" t="inlineStr">
        <is>
          <t>INNOVACION E INVESTIGACION</t>
        </is>
      </c>
      <c r="E652" s="4" t="inlineStr">
        <is>
          <t>REGIONAL BOGOTA</t>
        </is>
      </c>
      <c r="F652" s="4" t="inlineStr">
        <is>
          <t>BOGOTA CENTRO</t>
        </is>
      </c>
      <c r="G652" s="4" t="inlineStr">
        <is>
          <t>VIRTUAL</t>
        </is>
      </c>
      <c r="H652" s="4" t="inlineStr">
        <is>
          <t>DOC AUX T&amp;T/N/V/TC/INVESTIGACIONES/INVESTI</t>
        </is>
      </c>
      <c r="I652" s="4" t="inlineStr">
        <is>
          <t>INVESTIGACIONES</t>
        </is>
      </c>
      <c r="J652" s="4" t="inlineStr">
        <is>
          <t>PLANTA</t>
        </is>
      </c>
      <c r="K652" s="4" t="inlineStr">
        <is>
          <t>MARGARITA PUERTA</t>
        </is>
      </c>
      <c r="L652" s="4" t="inlineStr">
        <is>
          <t>CONFIRMADO PRESENCIAL</t>
        </is>
      </c>
      <c r="M652" s="4" t="n">
        <v/>
      </c>
      <c r="N652" s="4" t="n">
        <v>3023744939</v>
      </c>
      <c r="O652" s="4" t="inlineStr">
        <is>
          <t>MARIANACORREABOGADA@GMAIL.COM</t>
        </is>
      </c>
      <c r="P652" s="4" t="inlineStr">
        <is>
          <t>BTA SEDE A</t>
        </is>
      </c>
      <c r="Q652" s="4" t="inlineStr">
        <is>
          <t>INVESTIGACIONES</t>
        </is>
      </c>
      <c r="R652" s="4" t="inlineStr">
        <is>
          <t>Salón Audiencia sede F</t>
        </is>
      </c>
    </row>
    <row r="653" ht="20" customHeight="1">
      <c r="A653" s="6" t="inlineStr">
        <is>
          <t>1101693535</t>
        </is>
      </c>
      <c r="B653" s="7" t="inlineStr">
        <is>
          <t>PRESENCIAL BOGOTÁ</t>
        </is>
      </c>
      <c r="C653" s="7" t="inlineStr">
        <is>
          <t>FLOR MARIA TORRES GUZMAN</t>
        </is>
      </c>
      <c r="D653" s="7" t="inlineStr">
        <is>
          <t>INNOVACION E INVESTIGACION</t>
        </is>
      </c>
      <c r="E653" s="7" t="inlineStr">
        <is>
          <t>REGIONAL BOGOTA</t>
        </is>
      </c>
      <c r="F653" s="7" t="inlineStr">
        <is>
          <t>BOGOTA CENTRO</t>
        </is>
      </c>
      <c r="G653" s="7" t="inlineStr">
        <is>
          <t>VIRTUAL</t>
        </is>
      </c>
      <c r="H653" s="7" t="inlineStr">
        <is>
          <t>DOC TITU/N/V/TC/INVESTIGACIONES/INVESTIG</t>
        </is>
      </c>
      <c r="I653" s="7" t="inlineStr">
        <is>
          <t>INVESTIGACIONES</t>
        </is>
      </c>
      <c r="J653" s="7" t="inlineStr">
        <is>
          <t>PLANTA</t>
        </is>
      </c>
      <c r="K653" s="7" t="inlineStr">
        <is>
          <t>MARGARITA PUERTA</t>
        </is>
      </c>
      <c r="L653" s="7" t="inlineStr">
        <is>
          <t>CONFIRMADO PRESENCIAL</t>
        </is>
      </c>
      <c r="M653" s="7" t="n">
        <v/>
      </c>
      <c r="N653" s="7" t="n">
        <v>3123171909</v>
      </c>
      <c r="O653" s="7" t="inlineStr">
        <is>
          <t>FMTG94@HOTMAIL.COM</t>
        </is>
      </c>
      <c r="P653" s="7" t="inlineStr">
        <is>
          <t>BTA SEDE A</t>
        </is>
      </c>
      <c r="Q653" s="7" t="inlineStr">
        <is>
          <t>INVESTIGACIONES</t>
        </is>
      </c>
      <c r="R653" s="7" t="inlineStr">
        <is>
          <t>Salón Audiencia sede F</t>
        </is>
      </c>
    </row>
    <row r="654" ht="20" customHeight="1">
      <c r="A654" s="3" t="inlineStr">
        <is>
          <t>1007255879</t>
        </is>
      </c>
      <c r="B654" s="4" t="inlineStr">
        <is>
          <t>PRESENCIAL REGIONAL</t>
        </is>
      </c>
      <c r="C654" s="4" t="inlineStr">
        <is>
          <t>CAMILO ANDRES ACOSTA ROMERO</t>
        </is>
      </c>
      <c r="D654" s="4" t="inlineStr">
        <is>
          <t>INNOVACION E INVESTIGACION</t>
        </is>
      </c>
      <c r="E654" s="4" t="inlineStr">
        <is>
          <t>REGIONAL HUILA</t>
        </is>
      </c>
      <c r="F654" s="4" t="inlineStr">
        <is>
          <t>NEIVA</t>
        </is>
      </c>
      <c r="G654" s="4" t="inlineStr">
        <is>
          <t>PRESENCIAL</t>
        </is>
      </c>
      <c r="H654" s="4" t="inlineStr">
        <is>
          <t>DOC AUX T&amp;T/N/TC/INVESTIGA/INVESTIGACIO</t>
        </is>
      </c>
      <c r="I654" s="4" t="inlineStr">
        <is>
          <t>INVESTIGACIONES</t>
        </is>
      </c>
      <c r="J654" s="4" t="inlineStr">
        <is>
          <t>PLANTA</t>
        </is>
      </c>
      <c r="K654" s="4" t="inlineStr">
        <is>
          <t>MARGARITA PUERTA</t>
        </is>
      </c>
      <c r="L654" s="4" t="inlineStr">
        <is>
          <t>CONFIRMADO PRESENCIAL</t>
        </is>
      </c>
      <c r="M654" s="4" t="inlineStr">
        <is>
          <t xml:space="preserve">Asiste Neiva </t>
        </is>
      </c>
      <c r="N654" s="4" t="n">
        <v>3012250405</v>
      </c>
      <c r="O654" s="4" t="inlineStr">
        <is>
          <t>CAMARO15006@GMAIL.COM</t>
        </is>
      </c>
      <c r="P654" s="4" t="inlineStr">
        <is>
          <t>NEIVA SEDE</t>
        </is>
      </c>
      <c r="Q654" s="4" t="inlineStr">
        <is>
          <t>INVESTIGACIONES</t>
        </is>
      </c>
      <c r="R654" s="4" t="n">
        <v/>
      </c>
    </row>
    <row r="655" ht="20" customHeight="1">
      <c r="A655" s="6" t="inlineStr">
        <is>
          <t>92641673</t>
        </is>
      </c>
      <c r="B655" s="7" t="inlineStr">
        <is>
          <t>PRESENCIAL REGIONAL</t>
        </is>
      </c>
      <c r="C655" s="7" t="inlineStr">
        <is>
          <t>JESUS EDUARDO SARMIENTO CHADID</t>
        </is>
      </c>
      <c r="D655" s="7" t="inlineStr">
        <is>
          <t>INNOVACION E INVESTIGACION</t>
        </is>
      </c>
      <c r="E655" s="7" t="inlineStr">
        <is>
          <t>REGIONAL SUCRE</t>
        </is>
      </c>
      <c r="F655" s="7" t="inlineStr">
        <is>
          <t>SINCELEJO</t>
        </is>
      </c>
      <c r="G655" s="7" t="inlineStr">
        <is>
          <t>VIRTUAL</t>
        </is>
      </c>
      <c r="H655" s="7" t="inlineStr">
        <is>
          <t>DOC AUX/N/V/TC/INVESTIGACIONES/INVESTIGACI</t>
        </is>
      </c>
      <c r="I655" s="7" t="inlineStr">
        <is>
          <t>INVESTIGACIONES</t>
        </is>
      </c>
      <c r="J655" s="7" t="inlineStr">
        <is>
          <t>PLANTA</t>
        </is>
      </c>
      <c r="K655" s="7" t="inlineStr">
        <is>
          <t>MARGARITA PUERTA</t>
        </is>
      </c>
      <c r="L655" s="7" t="inlineStr">
        <is>
          <t>SIN RESPUESTA</t>
        </is>
      </c>
      <c r="M655" s="7" t="inlineStr">
        <is>
          <t>3 llamadas a correo de voz</t>
        </is>
      </c>
      <c r="N655" s="7" t="n">
        <v>3113145393</v>
      </c>
      <c r="O655" s="7" t="inlineStr">
        <is>
          <t>JESUCHADIDLAWYERS@GMAIL.COM</t>
        </is>
      </c>
      <c r="P655" s="7" t="inlineStr">
        <is>
          <t>SINCELEJO SEDE</t>
        </is>
      </c>
      <c r="Q655" s="7" t="inlineStr">
        <is>
          <t>INVESTIGACIONES</t>
        </is>
      </c>
      <c r="R655" s="7" t="n">
        <v/>
      </c>
    </row>
    <row r="656" ht="20" customHeight="1">
      <c r="A656" s="3" t="inlineStr">
        <is>
          <t>1020803485</t>
        </is>
      </c>
      <c r="B656" s="4" t="inlineStr">
        <is>
          <t>PRESENCIAL BOGOTÁ</t>
        </is>
      </c>
      <c r="C656" s="4" t="inlineStr">
        <is>
          <t>JUAN DAVID VIEDA MEDINA</t>
        </is>
      </c>
      <c r="D656" s="4" t="inlineStr">
        <is>
          <t>INNOVACION E INVESTIGACION</t>
        </is>
      </c>
      <c r="E656" s="4" t="inlineStr">
        <is>
          <t>REGIONAL BOGOTA</t>
        </is>
      </c>
      <c r="F656" s="4" t="inlineStr">
        <is>
          <t>BOGOTA CENTRO</t>
        </is>
      </c>
      <c r="G656" s="4" t="inlineStr">
        <is>
          <t>PRESENCIAL</t>
        </is>
      </c>
      <c r="H656" s="4" t="inlineStr">
        <is>
          <t>DOCENTE AUX/N/TC/INVESTIGA/INVESTIGACION</t>
        </is>
      </c>
      <c r="I656" s="4" t="inlineStr">
        <is>
          <t>INVESTIGACIONES</t>
        </is>
      </c>
      <c r="J656" s="4" t="inlineStr">
        <is>
          <t>PLANTA</t>
        </is>
      </c>
      <c r="K656" s="4" t="inlineStr">
        <is>
          <t>MARGARITA PUERTA</t>
        </is>
      </c>
      <c r="L656" s="4" t="inlineStr">
        <is>
          <t>SIN RESPUESTA</t>
        </is>
      </c>
      <c r="M656" s="4" t="inlineStr">
        <is>
          <t>3 llamadas a correo de voz</t>
        </is>
      </c>
      <c r="N656" s="4" t="n">
        <v>3143586071</v>
      </c>
      <c r="O656" s="4" t="inlineStr">
        <is>
          <t>JUANVIMA1TOO@GMAIL.COM</t>
        </is>
      </c>
      <c r="P656" s="4" t="inlineStr">
        <is>
          <t>BTA SEDE CHAP</t>
        </is>
      </c>
      <c r="Q656" s="4" t="inlineStr">
        <is>
          <t>INVESTIGACIONES</t>
        </is>
      </c>
      <c r="R656" s="4" t="inlineStr">
        <is>
          <t>Salón Audiencia sede F</t>
        </is>
      </c>
    </row>
    <row r="657" ht="20" customHeight="1">
      <c r="A657" s="6" t="inlineStr">
        <is>
          <t>79915903</t>
        </is>
      </c>
      <c r="B657" s="7" t="inlineStr">
        <is>
          <t>PRESENCIAL BOGOTÁ</t>
        </is>
      </c>
      <c r="C657" s="7" t="inlineStr">
        <is>
          <t>JAIME VERGARA HINCAPIE</t>
        </is>
      </c>
      <c r="D657" s="7" t="inlineStr">
        <is>
          <t>INNOVACION E INVESTIGACION</t>
        </is>
      </c>
      <c r="E657" s="7" t="inlineStr">
        <is>
          <t>REGIONAL BOGOTA</t>
        </is>
      </c>
      <c r="F657" s="7" t="inlineStr">
        <is>
          <t>BOGOTA CENTRO</t>
        </is>
      </c>
      <c r="G657" s="7" t="inlineStr">
        <is>
          <t>VIRTUAL</t>
        </is>
      </c>
      <c r="H657" s="7" t="inlineStr">
        <is>
          <t>DOC ASOC/N/V/TC/INVESTIGACIONES/INVESTIG</t>
        </is>
      </c>
      <c r="I657" s="7" t="inlineStr">
        <is>
          <t>INVESTIGACIONES</t>
        </is>
      </c>
      <c r="J657" s="7" t="inlineStr">
        <is>
          <t>PLANTA</t>
        </is>
      </c>
      <c r="K657" s="7" t="inlineStr">
        <is>
          <t>MARGARITA PUERTA</t>
        </is>
      </c>
      <c r="L657" s="7" t="inlineStr">
        <is>
          <t>CONFIRMADO PRESENCIAL</t>
        </is>
      </c>
      <c r="M657" s="7" t="n">
        <v/>
      </c>
      <c r="N657" s="7" t="n">
        <v>3214528129</v>
      </c>
      <c r="O657" s="7" t="inlineStr">
        <is>
          <t>JVERGARAH@UNAL.EDU.CO</t>
        </is>
      </c>
      <c r="P657" s="7" t="inlineStr">
        <is>
          <t>BTA SEDE A</t>
        </is>
      </c>
      <c r="Q657" s="7" t="inlineStr">
        <is>
          <t>INVESTIGACIONES</t>
        </is>
      </c>
      <c r="R657" s="7" t="inlineStr">
        <is>
          <t>Salón Audiencia sede F</t>
        </is>
      </c>
    </row>
    <row r="658" ht="20" customHeight="1">
      <c r="A658" s="3" t="inlineStr">
        <is>
          <t>1098723214</t>
        </is>
      </c>
      <c r="B658" s="4" t="inlineStr">
        <is>
          <t>VIRTUAL</t>
        </is>
      </c>
      <c r="C658" s="4" t="inlineStr">
        <is>
          <t>MARIA ALEJANDRA JAIMES QUINTANILLA</t>
        </is>
      </c>
      <c r="D658" s="4" t="inlineStr">
        <is>
          <t>INNOVACION E INVESTIGACION</t>
        </is>
      </c>
      <c r="E658" s="4" t="inlineStr">
        <is>
          <t>REGIONAL SANTANDER</t>
        </is>
      </c>
      <c r="F658" s="4" t="inlineStr">
        <is>
          <t>BUCARAMANGA</t>
        </is>
      </c>
      <c r="G658" s="4" t="inlineStr">
        <is>
          <t>VIRTUAL</t>
        </is>
      </c>
      <c r="H658" s="4" t="inlineStr">
        <is>
          <t>DOC ASOC/N/V/TC/INVESTIGACIONES/INVESTIG</t>
        </is>
      </c>
      <c r="I658" s="4" t="inlineStr">
        <is>
          <t>INVESTIGACIONES</t>
        </is>
      </c>
      <c r="J658" s="4" t="inlineStr">
        <is>
          <t>PLANTA</t>
        </is>
      </c>
      <c r="K658" s="4" t="inlineStr">
        <is>
          <t>MARGARITA PUERTA</t>
        </is>
      </c>
      <c r="L658" s="4" t="inlineStr">
        <is>
          <t>CONFIRMADO PRESENCIAL</t>
        </is>
      </c>
      <c r="M658" s="4" t="n">
        <v/>
      </c>
      <c r="N658" s="4" t="n">
        <v>3007374949</v>
      </c>
      <c r="O658" s="4" t="inlineStr">
        <is>
          <t>ALEJANDRAJAIMESQ@GMAIL.COM</t>
        </is>
      </c>
      <c r="P658" s="4" t="inlineStr">
        <is>
          <t>BGA SEDE</t>
        </is>
      </c>
      <c r="Q658" s="4" t="inlineStr">
        <is>
          <t>INVESTIGACIONES</t>
        </is>
      </c>
      <c r="R658" s="4" t="n">
        <v/>
      </c>
    </row>
    <row r="659" ht="20" customHeight="1">
      <c r="A659" s="6" t="inlineStr">
        <is>
          <t>1032363588</t>
        </is>
      </c>
      <c r="B659" s="7" t="inlineStr">
        <is>
          <t>PRESENCIAL BOGOTÁ</t>
        </is>
      </c>
      <c r="C659" s="7" t="inlineStr">
        <is>
          <t>MANUEL FERNANDO BLANCO PINEDA</t>
        </is>
      </c>
      <c r="D659" s="7" t="inlineStr">
        <is>
          <t>INNOVACION E INVESTIGACION</t>
        </is>
      </c>
      <c r="E659" s="7" t="inlineStr">
        <is>
          <t>REGIONAL BOGOTA</t>
        </is>
      </c>
      <c r="F659" s="7" t="inlineStr">
        <is>
          <t>BOGOTA CENTRO</t>
        </is>
      </c>
      <c r="G659" s="7" t="inlineStr">
        <is>
          <t>VIRTUAL</t>
        </is>
      </c>
      <c r="H659" s="7" t="inlineStr">
        <is>
          <t>DOC ASIS/N/V/TC/INVESTIGACIONES/INVESTIG</t>
        </is>
      </c>
      <c r="I659" s="7" t="inlineStr">
        <is>
          <t>INVESTIGACIONES</t>
        </is>
      </c>
      <c r="J659" s="7" t="inlineStr">
        <is>
          <t>PLANTA</t>
        </is>
      </c>
      <c r="K659" s="7" t="inlineStr">
        <is>
          <t>MARGARITA PUERTA</t>
        </is>
      </c>
      <c r="L659" s="7" t="inlineStr">
        <is>
          <t>CONFIRMADO PRESENCIAL</t>
        </is>
      </c>
      <c r="M659" s="7" t="n">
        <v/>
      </c>
      <c r="N659" s="7" t="n">
        <v>3178659434</v>
      </c>
      <c r="O659" s="7" t="inlineStr">
        <is>
          <t>MANUEL.BLANCO@ULAGRANCOLOMBIA.EDU.CO</t>
        </is>
      </c>
      <c r="P659" s="7" t="inlineStr">
        <is>
          <t>BTA SEDE A</t>
        </is>
      </c>
      <c r="Q659" s="7" t="inlineStr">
        <is>
          <t>INVESTIGACIONES</t>
        </is>
      </c>
      <c r="R659" s="7" t="inlineStr">
        <is>
          <t>Salón Audiencia sede F</t>
        </is>
      </c>
    </row>
    <row r="660" ht="20" customHeight="1">
      <c r="A660" s="3" t="inlineStr">
        <is>
          <t>1033710412</t>
        </is>
      </c>
      <c r="B660" s="4" t="inlineStr">
        <is>
          <t>PRESENCIAL BOGOTÁ</t>
        </is>
      </c>
      <c r="C660" s="4" t="inlineStr">
        <is>
          <t>LUIS ALBERTO LEÓN LÓPEZ</t>
        </is>
      </c>
      <c r="D660" s="4" t="inlineStr">
        <is>
          <t>INNOVACION E INVESTIGACION</t>
        </is>
      </c>
      <c r="E660" s="4" t="inlineStr">
        <is>
          <t>REGIONAL BOGOTA</t>
        </is>
      </c>
      <c r="F660" s="4" t="inlineStr">
        <is>
          <t>BOGOTA CENTRO</t>
        </is>
      </c>
      <c r="G660" s="4" t="inlineStr">
        <is>
          <t>PRESENCIAL</t>
        </is>
      </c>
      <c r="H660" s="4" t="inlineStr">
        <is>
          <t>DOCENTE ASIS/N/TC/INVESTIGA/INVESTIGACIO</t>
        </is>
      </c>
      <c r="I660" s="4" t="inlineStr">
        <is>
          <t>INVESTIGACIONES</t>
        </is>
      </c>
      <c r="J660" s="4" t="inlineStr">
        <is>
          <t>PLANTA</t>
        </is>
      </c>
      <c r="K660" s="4" t="inlineStr">
        <is>
          <t>MARGARITA PUERTA</t>
        </is>
      </c>
      <c r="L660" s="4" t="inlineStr">
        <is>
          <t>CONFIRMADO PRESENCIAL</t>
        </is>
      </c>
      <c r="M660" s="4" t="n">
        <v/>
      </c>
      <c r="N660" s="4" t="n">
        <v>3057084158</v>
      </c>
      <c r="O660" s="4" t="inlineStr">
        <is>
          <t>LUILEOLO89@GMAIL.COM</t>
        </is>
      </c>
      <c r="P660" s="4" t="inlineStr">
        <is>
          <t>BTA SEDE D</t>
        </is>
      </c>
      <c r="Q660" s="4" t="inlineStr">
        <is>
          <t>INVESTIGACIONES</t>
        </is>
      </c>
      <c r="R660" s="4" t="inlineStr">
        <is>
          <t>Salón Audiencia sede F</t>
        </is>
      </c>
    </row>
    <row r="661" ht="20" customHeight="1">
      <c r="A661" s="6" t="inlineStr">
        <is>
          <t>1075236563</t>
        </is>
      </c>
      <c r="B661" s="7" t="inlineStr">
        <is>
          <t>PRESENCIAL BOGOTÁ</t>
        </is>
      </c>
      <c r="C661" s="7" t="inlineStr">
        <is>
          <t>JULIO CESAR VALDERRAMA LOZANO</t>
        </is>
      </c>
      <c r="D661" s="7" t="inlineStr">
        <is>
          <t>INNOVACION E INVESTIGACION</t>
        </is>
      </c>
      <c r="E661" s="7" t="inlineStr">
        <is>
          <t>REGIONAL BOGOTA</t>
        </is>
      </c>
      <c r="F661" s="7" t="inlineStr">
        <is>
          <t>BOGOTA CENTRO</t>
        </is>
      </c>
      <c r="G661" s="7" t="inlineStr">
        <is>
          <t>PRESENCIAL</t>
        </is>
      </c>
      <c r="H661" s="7" t="inlineStr">
        <is>
          <t>DOCENTE ASIS/N/TC/INVESTIGA/INVESTIGACIO</t>
        </is>
      </c>
      <c r="I661" s="7" t="inlineStr">
        <is>
          <t>INVESTIGACIONES</t>
        </is>
      </c>
      <c r="J661" s="7" t="inlineStr">
        <is>
          <t>PLANTA</t>
        </is>
      </c>
      <c r="K661" s="7" t="inlineStr">
        <is>
          <t>MARGARITA PUERTA</t>
        </is>
      </c>
      <c r="L661" s="7" t="inlineStr">
        <is>
          <t>CONFIRMADO PRESENCIAL</t>
        </is>
      </c>
      <c r="M661" s="7" t="n">
        <v/>
      </c>
      <c r="N661" s="7" t="n">
        <v>3173312962</v>
      </c>
      <c r="O661" s="7" t="inlineStr">
        <is>
          <t>juliocvl1@hotmail.com</t>
        </is>
      </c>
      <c r="P661" s="7" t="inlineStr">
        <is>
          <t>BTA SEDE CHAP</t>
        </is>
      </c>
      <c r="Q661" s="7" t="inlineStr">
        <is>
          <t>INVESTIGACIONES</t>
        </is>
      </c>
      <c r="R661" s="7" t="inlineStr">
        <is>
          <t>Salón Audiencia sede F</t>
        </is>
      </c>
    </row>
    <row r="662" ht="20" customHeight="1">
      <c r="A662" s="3" t="inlineStr">
        <is>
          <t>1110527105</t>
        </is>
      </c>
      <c r="B662" s="4" t="inlineStr">
        <is>
          <t>PRESENCIAL REGIONAL</t>
        </is>
      </c>
      <c r="C662" s="4" t="inlineStr">
        <is>
          <t>HAROLD MEDINA MONTOYA</t>
        </is>
      </c>
      <c r="D662" s="4" t="inlineStr">
        <is>
          <t>INNOVACION E INVESTIGACION</t>
        </is>
      </c>
      <c r="E662" s="4" t="inlineStr">
        <is>
          <t>REGIONAL TOLIMA</t>
        </is>
      </c>
      <c r="F662" s="4" t="inlineStr">
        <is>
          <t>IBAGUÉ</t>
        </is>
      </c>
      <c r="G662" s="4" t="inlineStr">
        <is>
          <t>PRESENCIAL</t>
        </is>
      </c>
      <c r="H662" s="4" t="inlineStr">
        <is>
          <t>DOCENTE AUX/N/TC/INVESTIGA/INVESTIGACION</t>
        </is>
      </c>
      <c r="I662" s="4" t="inlineStr">
        <is>
          <t>INVESTIGACIONES</t>
        </is>
      </c>
      <c r="J662" s="4" t="inlineStr">
        <is>
          <t>PLANTA</t>
        </is>
      </c>
      <c r="K662" s="4" t="inlineStr">
        <is>
          <t>MARGARITA PUERTA</t>
        </is>
      </c>
      <c r="L662" s="4" t="inlineStr">
        <is>
          <t>SIN RESPUESTA</t>
        </is>
      </c>
      <c r="M662" s="4" t="inlineStr">
        <is>
          <t>3 llamadas a correo de voz</t>
        </is>
      </c>
      <c r="N662" s="4" t="n">
        <v>3107173625</v>
      </c>
      <c r="O662" s="4" t="inlineStr">
        <is>
          <t>HAROLD.MEDINAMONTOYA@GMAIL.COM</t>
        </is>
      </c>
      <c r="P662" s="4" t="inlineStr">
        <is>
          <t>IBAGUE SEDE</t>
        </is>
      </c>
      <c r="Q662" s="4" t="inlineStr">
        <is>
          <t>INVESTIGACIONES</t>
        </is>
      </c>
      <c r="R662" s="4" t="n">
        <v/>
      </c>
    </row>
    <row r="663" ht="20" customHeight="1">
      <c r="A663" s="6" t="inlineStr">
        <is>
          <t>72248111</t>
        </is>
      </c>
      <c r="B663" s="7" t="inlineStr">
        <is>
          <t>PRESENCIAL BOGOTÁ</t>
        </is>
      </c>
      <c r="C663" s="7" t="inlineStr">
        <is>
          <t>CESAR ALBERTO VILLA MARTINEZ</t>
        </is>
      </c>
      <c r="D663" s="7" t="inlineStr">
        <is>
          <t>INNOVACION E INVESTIGACION</t>
        </is>
      </c>
      <c r="E663" s="7" t="inlineStr">
        <is>
          <t>REGIONAL BOGOTA</t>
        </is>
      </c>
      <c r="F663" s="7" t="inlineStr">
        <is>
          <t>BOGOTA CENTRO</t>
        </is>
      </c>
      <c r="G663" s="7" t="inlineStr">
        <is>
          <t>PRESENCIAL</t>
        </is>
      </c>
      <c r="H663" s="7" t="inlineStr">
        <is>
          <t>DOCENTE AUX/N/TC/INVESTIGA/INVESTIGACION</t>
        </is>
      </c>
      <c r="I663" s="7" t="inlineStr">
        <is>
          <t>INVESTIGACIONES</t>
        </is>
      </c>
      <c r="J663" s="7" t="inlineStr">
        <is>
          <t>PLANTA</t>
        </is>
      </c>
      <c r="K663" s="7" t="inlineStr">
        <is>
          <t>MARGARITA PUERTA</t>
        </is>
      </c>
      <c r="L663" s="7" t="inlineStr">
        <is>
          <t>SIN RESPUESTA</t>
        </is>
      </c>
      <c r="M663" s="7" t="inlineStr">
        <is>
          <t>3 llamadas a correo de voz</t>
        </is>
      </c>
      <c r="N663" s="7" t="n">
        <v>3126240803</v>
      </c>
      <c r="O663" s="7" t="inlineStr">
        <is>
          <t>cvsports0103@gmail.com</t>
        </is>
      </c>
      <c r="P663" s="7" t="inlineStr">
        <is>
          <t>BTA SEDE CHAP</t>
        </is>
      </c>
      <c r="Q663" s="7" t="inlineStr">
        <is>
          <t>INVESTIGACIONES</t>
        </is>
      </c>
      <c r="R663" s="7" t="inlineStr">
        <is>
          <t>Salón Audiencia sede F</t>
        </is>
      </c>
    </row>
    <row r="664" ht="20" customHeight="1">
      <c r="A664" s="3" t="inlineStr">
        <is>
          <t>88309061</t>
        </is>
      </c>
      <c r="B664" s="4" t="inlineStr">
        <is>
          <t>VIRTUAL</t>
        </is>
      </c>
      <c r="C664" s="4" t="inlineStr">
        <is>
          <t>FABIAN YESID DAVILA LOPEZ</t>
        </is>
      </c>
      <c r="D664" s="4" t="inlineStr">
        <is>
          <t>INNOVACION E INVESTIGACION</t>
        </is>
      </c>
      <c r="E664" s="4" t="inlineStr">
        <is>
          <t>REGIONAL NORTE DE SANTANDER</t>
        </is>
      </c>
      <c r="F664" s="4" t="inlineStr">
        <is>
          <t>CUCUTÁ</t>
        </is>
      </c>
      <c r="G664" s="4" t="inlineStr">
        <is>
          <t>VIRTUAL</t>
        </is>
      </c>
      <c r="H664" s="4" t="inlineStr">
        <is>
          <t>DOC ASIS/N/V/TC/INVESTIGACIONES/INVESTIGAC</t>
        </is>
      </c>
      <c r="I664" s="4" t="inlineStr">
        <is>
          <t>INVESTIGACIONES</t>
        </is>
      </c>
      <c r="J664" s="4" t="inlineStr">
        <is>
          <t>PLANTA</t>
        </is>
      </c>
      <c r="K664" s="4" t="inlineStr">
        <is>
          <t>MARGARITA PUERTA</t>
        </is>
      </c>
      <c r="L664" s="4" t="inlineStr">
        <is>
          <t>SIN RESPUESTA</t>
        </is>
      </c>
      <c r="M664" s="4" t="inlineStr">
        <is>
          <t>3 llamadas a correo de voz</t>
        </is>
      </c>
      <c r="N664" s="4" t="n">
        <v>3138682574</v>
      </c>
      <c r="O664" s="4" t="inlineStr">
        <is>
          <t>fabianyesiddl@ufps.edu.co</t>
        </is>
      </c>
      <c r="P664" s="4" t="inlineStr">
        <is>
          <t>CUCUTA SEDE</t>
        </is>
      </c>
      <c r="Q664" s="4" t="inlineStr">
        <is>
          <t>INVESTIGACIONES</t>
        </is>
      </c>
      <c r="R664" s="4" t="n">
        <v/>
      </c>
    </row>
    <row r="665" ht="20" customHeight="1">
      <c r="A665" s="6" t="inlineStr">
        <is>
          <t>53117704</t>
        </is>
      </c>
      <c r="B665" s="7" t="inlineStr">
        <is>
          <t>PRESENCIAL BOGOTÁ</t>
        </is>
      </c>
      <c r="C665" s="7" t="inlineStr">
        <is>
          <t>INGRID NATHALY RODRÍGUEZ MÉNDEZ</t>
        </is>
      </c>
      <c r="D665" s="7" t="inlineStr">
        <is>
          <t>INNOVACION E INVESTIGACION</t>
        </is>
      </c>
      <c r="E665" s="7" t="inlineStr">
        <is>
          <t>REGIONAL BOGOTA</t>
        </is>
      </c>
      <c r="F665" s="7" t="inlineStr">
        <is>
          <t>BOGOTA CENTRO</t>
        </is>
      </c>
      <c r="G665" s="7" t="inlineStr">
        <is>
          <t>PRESENCIAL</t>
        </is>
      </c>
      <c r="H665" s="7" t="inlineStr">
        <is>
          <t>DOCENTE AUX/N/TC/INVESTIGA/INVESTIGACION</t>
        </is>
      </c>
      <c r="I665" s="7" t="inlineStr">
        <is>
          <t>INVESTIGACIONES</t>
        </is>
      </c>
      <c r="J665" s="7" t="inlineStr">
        <is>
          <t>PLANTA</t>
        </is>
      </c>
      <c r="K665" s="7" t="inlineStr">
        <is>
          <t>MARGARITA PUERTA</t>
        </is>
      </c>
      <c r="L665" s="7" t="inlineStr">
        <is>
          <t>SIN RESPUESTA</t>
        </is>
      </c>
      <c r="M665" s="7" t="inlineStr">
        <is>
          <t>3 llamadas a correo de voz</t>
        </is>
      </c>
      <c r="N665" s="7" t="n">
        <v>3169851328</v>
      </c>
      <c r="O665" s="7" t="inlineStr">
        <is>
          <t>NATHYRODRIGUEZ717@GMAIL.COM</t>
        </is>
      </c>
      <c r="P665" s="7" t="inlineStr">
        <is>
          <t>BTA SEDE J</t>
        </is>
      </c>
      <c r="Q665" s="7" t="inlineStr">
        <is>
          <t>INVESTIGACIONES</t>
        </is>
      </c>
      <c r="R665" s="7" t="inlineStr">
        <is>
          <t>Salón Audiencia sede F</t>
        </is>
      </c>
    </row>
    <row r="666" ht="20" customHeight="1">
      <c r="A666" s="3" t="inlineStr">
        <is>
          <t>1100692388</t>
        </is>
      </c>
      <c r="B666" s="4" t="inlineStr">
        <is>
          <t>PRESENCIAL REGIONAL</t>
        </is>
      </c>
      <c r="C666" s="4" t="inlineStr">
        <is>
          <t>KILLIAM ALBERTO LARA FLOREZ</t>
        </is>
      </c>
      <c r="D666" s="4" t="inlineStr">
        <is>
          <t>INNOVACION E INVESTIGACION</t>
        </is>
      </c>
      <c r="E666" s="4" t="inlineStr">
        <is>
          <t>REGIONAL SUCRE</t>
        </is>
      </c>
      <c r="F666" s="4" t="inlineStr">
        <is>
          <t>SINCELEJO</t>
        </is>
      </c>
      <c r="G666" s="4" t="inlineStr">
        <is>
          <t>PRESENCIAL</t>
        </is>
      </c>
      <c r="H666" s="4" t="inlineStr">
        <is>
          <t>DOCENTE AUX/N/TC/INVESTIGA/INVESTIGACION</t>
        </is>
      </c>
      <c r="I666" s="4" t="inlineStr">
        <is>
          <t>INVESTIGACIONES</t>
        </is>
      </c>
      <c r="J666" s="4" t="inlineStr">
        <is>
          <t>PLANTA</t>
        </is>
      </c>
      <c r="K666" s="4" t="inlineStr">
        <is>
          <t>MARGARITA PUERTA</t>
        </is>
      </c>
      <c r="L666" s="4" t="inlineStr">
        <is>
          <t>CONFIRMADO PRESENCIAL</t>
        </is>
      </c>
      <c r="M666" s="4" t="inlineStr">
        <is>
          <t xml:space="preserve">Asiste Sincelejo </t>
        </is>
      </c>
      <c r="N666" s="4" t="inlineStr">
        <is>
          <t>313 6820108</t>
        </is>
      </c>
      <c r="O666" s="4" t="inlineStr">
        <is>
          <t>KILLIAMLARA95@GMAIL.COM</t>
        </is>
      </c>
      <c r="P666" s="4" t="inlineStr">
        <is>
          <t>SINCELEJO SEDE</t>
        </is>
      </c>
      <c r="Q666" s="4" t="inlineStr">
        <is>
          <t>INVESTIGACIONES</t>
        </is>
      </c>
      <c r="R666" s="4" t="n">
        <v/>
      </c>
    </row>
    <row r="667" ht="20" customHeight="1">
      <c r="A667" s="6" t="inlineStr">
        <is>
          <t>80864426</t>
        </is>
      </c>
      <c r="B667" s="7" t="inlineStr">
        <is>
          <t>PRESENCIAL BOGOTÁ</t>
        </is>
      </c>
      <c r="C667" s="7" t="inlineStr">
        <is>
          <t>ALFREDO ALEJANDRO ALDANA NOPE</t>
        </is>
      </c>
      <c r="D667" s="7" t="inlineStr">
        <is>
          <t>INNOVACION E INVESTIGACION</t>
        </is>
      </c>
      <c r="E667" s="7" t="inlineStr">
        <is>
          <t>REGIONAL BOGOTA</t>
        </is>
      </c>
      <c r="F667" s="7" t="inlineStr">
        <is>
          <t>BOGOTA CENTRO</t>
        </is>
      </c>
      <c r="G667" s="7" t="inlineStr">
        <is>
          <t>VIRTUAL</t>
        </is>
      </c>
      <c r="H667" s="7" t="inlineStr">
        <is>
          <t>DOC ASOC/N/V/TC/INVESTIGACIONES/INVESTIGAC</t>
        </is>
      </c>
      <c r="I667" s="7" t="inlineStr">
        <is>
          <t>INVESTIGACIONES</t>
        </is>
      </c>
      <c r="J667" s="7" t="inlineStr">
        <is>
          <t>PLANTA</t>
        </is>
      </c>
      <c r="K667" s="7" t="inlineStr">
        <is>
          <t>MARGARITA PUERTA</t>
        </is>
      </c>
      <c r="L667" s="7" t="inlineStr">
        <is>
          <t>CONFIRMADO PRESENCIAL</t>
        </is>
      </c>
      <c r="M667" s="7" t="n">
        <v/>
      </c>
      <c r="N667" s="7" t="n">
        <v>3138835888</v>
      </c>
      <c r="O667" s="7" t="inlineStr">
        <is>
          <t>abogadoalejandroaldana@gmail.com</t>
        </is>
      </c>
      <c r="P667" s="7" t="inlineStr">
        <is>
          <t>BTA SEDE A</t>
        </is>
      </c>
      <c r="Q667" s="7" t="inlineStr">
        <is>
          <t>INVESTIGACIONES</t>
        </is>
      </c>
      <c r="R667" s="7" t="inlineStr">
        <is>
          <t>Salón Audiencia sede F</t>
        </is>
      </c>
    </row>
    <row r="668" ht="20" customHeight="1">
      <c r="A668" s="3" t="inlineStr">
        <is>
          <t>1032415074</t>
        </is>
      </c>
      <c r="B668" s="4" t="inlineStr">
        <is>
          <t>PRESENCIAL BOGOTÁ</t>
        </is>
      </c>
      <c r="C668" s="4" t="inlineStr">
        <is>
          <t>GIOVANNY ROBLEDO VILLANUEVA</t>
        </is>
      </c>
      <c r="D668" s="4" t="inlineStr">
        <is>
          <t>INNOVACION E INVESTIGACION</t>
        </is>
      </c>
      <c r="E668" s="4" t="inlineStr">
        <is>
          <t>REGIONAL BOGOTA</t>
        </is>
      </c>
      <c r="F668" s="4" t="inlineStr">
        <is>
          <t>BOGOTA CENTRO</t>
        </is>
      </c>
      <c r="G668" s="4" t="inlineStr">
        <is>
          <t>PRESENCIAL</t>
        </is>
      </c>
      <c r="H668" s="4" t="inlineStr">
        <is>
          <t>DOCENTE ASIS/N/TC/INVESTIGA/INVESTIGACIO</t>
        </is>
      </c>
      <c r="I668" s="4" t="inlineStr">
        <is>
          <t>INVESTIGACIONES</t>
        </is>
      </c>
      <c r="J668" s="4" t="inlineStr">
        <is>
          <t>PLANTA</t>
        </is>
      </c>
      <c r="K668" s="4" t="inlineStr">
        <is>
          <t>MARGARITA PUERTA</t>
        </is>
      </c>
      <c r="L668" s="4" t="inlineStr">
        <is>
          <t>CONFIRMADO PRESENCIAL</t>
        </is>
      </c>
      <c r="M668" s="4" t="n">
        <v/>
      </c>
      <c r="N668" s="4" t="n">
        <v>3217511179</v>
      </c>
      <c r="O668" s="4" t="inlineStr">
        <is>
          <t>giovarobledo@gmail.com</t>
        </is>
      </c>
      <c r="P668" s="4" t="inlineStr">
        <is>
          <t>BTA SEDE G</t>
        </is>
      </c>
      <c r="Q668" s="4" t="inlineStr">
        <is>
          <t>INVESTIGACIONES</t>
        </is>
      </c>
      <c r="R668" s="4" t="inlineStr">
        <is>
          <t>Salón Audiencia sede F</t>
        </is>
      </c>
    </row>
    <row r="669" ht="20" customHeight="1">
      <c r="A669" s="6" t="inlineStr">
        <is>
          <t>1075667294</t>
        </is>
      </c>
      <c r="B669" s="7" t="inlineStr">
        <is>
          <t>PRESENCIAL BOGOTÁ</t>
        </is>
      </c>
      <c r="C669" s="7" t="inlineStr">
        <is>
          <t>CHRISTIAN DAVID RAMIREZ RUBIANO</t>
        </is>
      </c>
      <c r="D669" s="7" t="inlineStr">
        <is>
          <t>INNOVACION E INVESTIGACION</t>
        </is>
      </c>
      <c r="E669" s="7" t="inlineStr">
        <is>
          <t>REGIONAL BOGOTA</t>
        </is>
      </c>
      <c r="F669" s="7" t="inlineStr">
        <is>
          <t>BOGOTA CENTRO</t>
        </is>
      </c>
      <c r="G669" s="7" t="inlineStr">
        <is>
          <t>PRESENCIAL</t>
        </is>
      </c>
      <c r="H669" s="7" t="inlineStr">
        <is>
          <t>DOCENTE AUX/N/TC/INVESTIGA/INVESTIGACION</t>
        </is>
      </c>
      <c r="I669" s="7" t="inlineStr">
        <is>
          <t>INVESTIGACIONES</t>
        </is>
      </c>
      <c r="J669" s="7" t="inlineStr">
        <is>
          <t>PLANTA</t>
        </is>
      </c>
      <c r="K669" s="7" t="inlineStr">
        <is>
          <t>MARGARITA PUERTA</t>
        </is>
      </c>
      <c r="L669" s="7" t="inlineStr">
        <is>
          <t>SIN RESPUESTA</t>
        </is>
      </c>
      <c r="M669" s="7" t="inlineStr">
        <is>
          <t>3 llamadas a correo de voz</t>
        </is>
      </c>
      <c r="N669" s="7" t="n">
        <v>3504243695</v>
      </c>
      <c r="O669" s="7" t="inlineStr">
        <is>
          <t>DAVID.11RAMIREZ@GMAIL.COM</t>
        </is>
      </c>
      <c r="P669" s="7" t="inlineStr">
        <is>
          <t>BTA SEDE CHAP</t>
        </is>
      </c>
      <c r="Q669" s="7" t="inlineStr">
        <is>
          <t>INVESTIGACIONES</t>
        </is>
      </c>
      <c r="R669" s="7" t="inlineStr">
        <is>
          <t>Salón Audiencia sede F</t>
        </is>
      </c>
    </row>
    <row r="670" ht="20" customHeight="1">
      <c r="A670" s="3" t="inlineStr">
        <is>
          <t>88239591</t>
        </is>
      </c>
      <c r="B670" s="4" t="inlineStr">
        <is>
          <t>VIRTUAL</t>
        </is>
      </c>
      <c r="C670" s="4" t="inlineStr">
        <is>
          <t>MILLER RIAÑO SOLANO</t>
        </is>
      </c>
      <c r="D670" s="4" t="inlineStr">
        <is>
          <t>INNOVACION E INVESTIGACION</t>
        </is>
      </c>
      <c r="E670" s="4" t="inlineStr">
        <is>
          <t>REGIONAL NORTE DE SANTANDER</t>
        </is>
      </c>
      <c r="F670" s="4" t="inlineStr">
        <is>
          <t>CUCUTÁ</t>
        </is>
      </c>
      <c r="G670" s="4" t="inlineStr">
        <is>
          <t>VIRTUAL</t>
        </is>
      </c>
      <c r="H670" s="4" t="inlineStr">
        <is>
          <t>DOC TITU/N/V/TC/INVESTIGACIONES/INVESTIG</t>
        </is>
      </c>
      <c r="I670" s="4" t="inlineStr">
        <is>
          <t>INVESTIGACIONES</t>
        </is>
      </c>
      <c r="J670" s="4" t="inlineStr">
        <is>
          <t>PLANTA</t>
        </is>
      </c>
      <c r="K670" s="4" t="inlineStr">
        <is>
          <t>MARGARITA PUERTA</t>
        </is>
      </c>
      <c r="L670" s="4" t="inlineStr">
        <is>
          <t>SIN RESPUESTA</t>
        </is>
      </c>
      <c r="M670" s="4" t="inlineStr">
        <is>
          <t>3 llamadas a correo de voz</t>
        </is>
      </c>
      <c r="N670" s="4" t="n">
        <v>3132758959</v>
      </c>
      <c r="O670" s="4" t="inlineStr">
        <is>
          <t>millerrs8@gmail.com</t>
        </is>
      </c>
      <c r="P670" s="4" t="inlineStr">
        <is>
          <t>CUCUTA SEDE</t>
        </is>
      </c>
      <c r="Q670" s="4" t="inlineStr">
        <is>
          <t>INVESTIGACIONES</t>
        </is>
      </c>
      <c r="R670" s="4" t="n">
        <v/>
      </c>
    </row>
    <row r="671" ht="20" customHeight="1">
      <c r="A671" s="6" t="inlineStr">
        <is>
          <t>63555345</t>
        </is>
      </c>
      <c r="B671" s="7" t="inlineStr">
        <is>
          <t>VIRTUAL</t>
        </is>
      </c>
      <c r="C671" s="7" t="inlineStr">
        <is>
          <t>PAOLA ANGELICA CASTRO SALAZAR</t>
        </is>
      </c>
      <c r="D671" s="7" t="inlineStr">
        <is>
          <t>INNOVACION E INVESTIGACION</t>
        </is>
      </c>
      <c r="E671" s="7" t="inlineStr">
        <is>
          <t>REGIONAL SANTANDER</t>
        </is>
      </c>
      <c r="F671" s="7" t="inlineStr">
        <is>
          <t>BUCARAMANGA</t>
        </is>
      </c>
      <c r="G671" s="7" t="inlineStr">
        <is>
          <t>VIRTUAL</t>
        </is>
      </c>
      <c r="H671" s="7" t="inlineStr">
        <is>
          <t>DOC ASIS/N/V/TC/INVESTIGACIONES/INVESTIG</t>
        </is>
      </c>
      <c r="I671" s="7" t="inlineStr">
        <is>
          <t>INVESTIGACIONES</t>
        </is>
      </c>
      <c r="J671" s="7" t="inlineStr">
        <is>
          <t>PLANTA</t>
        </is>
      </c>
      <c r="K671" s="7" t="inlineStr">
        <is>
          <t>MARGARITA PUERTA</t>
        </is>
      </c>
      <c r="L671" s="7" t="inlineStr">
        <is>
          <t>CONFIRMADO VIRTUAL</t>
        </is>
      </c>
      <c r="M671" s="7" t="n">
        <v/>
      </c>
      <c r="N671" s="7" t="n">
        <v>3023814334</v>
      </c>
      <c r="O671" s="7" t="inlineStr">
        <is>
          <t>paosalazar177@gmail.com</t>
        </is>
      </c>
      <c r="P671" s="7" t="inlineStr">
        <is>
          <t>BGA SEDE</t>
        </is>
      </c>
      <c r="Q671" s="7" t="inlineStr">
        <is>
          <t>INVESTIGACIONES</t>
        </is>
      </c>
      <c r="R671" s="7" t="n">
        <v/>
      </c>
    </row>
    <row r="672" ht="20" customHeight="1">
      <c r="A672" s="3" t="inlineStr">
        <is>
          <t>1193546208</t>
        </is>
      </c>
      <c r="B672" s="4" t="inlineStr">
        <is>
          <t>PRESENCIAL REGIONAL</t>
        </is>
      </c>
      <c r="C672" s="4" t="inlineStr">
        <is>
          <t>LAURA VALENTINA MOSCOSO RAMIREZ</t>
        </is>
      </c>
      <c r="D672" s="4" t="inlineStr">
        <is>
          <t>INNOVACION E INVESTIGACION</t>
        </is>
      </c>
      <c r="E672" s="4" t="inlineStr">
        <is>
          <t>REGIONAL TOLIMA</t>
        </is>
      </c>
      <c r="F672" s="4" t="inlineStr">
        <is>
          <t>IBAGUÉ</t>
        </is>
      </c>
      <c r="G672" s="4" t="inlineStr">
        <is>
          <t>PRESENCIAL</t>
        </is>
      </c>
      <c r="H672" s="4" t="inlineStr">
        <is>
          <t>DOC AUX T&amp;T/N/TC/INVESTIGA/INVESTIGACIO</t>
        </is>
      </c>
      <c r="I672" s="4" t="inlineStr">
        <is>
          <t>INVESTIGACIONES</t>
        </is>
      </c>
      <c r="J672" s="4" t="inlineStr">
        <is>
          <t>PLANTA</t>
        </is>
      </c>
      <c r="K672" s="4" t="inlineStr">
        <is>
          <t>MARGARITA PUERTA</t>
        </is>
      </c>
      <c r="L672" s="4" t="inlineStr">
        <is>
          <t>CONFIRMADO PRESENCIAL</t>
        </is>
      </c>
      <c r="M672" s="4" t="n">
        <v/>
      </c>
      <c r="N672" s="4" t="n">
        <v>3158742511</v>
      </c>
      <c r="O672" s="4" t="inlineStr">
        <is>
          <t>laura.moscoso@cun.edu.co</t>
        </is>
      </c>
      <c r="P672" s="4" t="inlineStr">
        <is>
          <t>IBAGUE SEDE</t>
        </is>
      </c>
      <c r="Q672" s="4" t="inlineStr">
        <is>
          <t>INVESTIGACIONES</t>
        </is>
      </c>
      <c r="R672" s="4" t="n">
        <v/>
      </c>
    </row>
    <row r="673" ht="20" customHeight="1">
      <c r="A673" s="6" t="inlineStr">
        <is>
          <t>8642585</t>
        </is>
      </c>
      <c r="B673" s="7" t="inlineStr">
        <is>
          <t>PRESENCIAL BOGOTÁ</t>
        </is>
      </c>
      <c r="C673" s="7" t="inlineStr">
        <is>
          <t>JUAN CARLOS HERRERA ESTRADA</t>
        </is>
      </c>
      <c r="D673" s="7" t="inlineStr">
        <is>
          <t>INNOVACION E INVESTIGACION</t>
        </is>
      </c>
      <c r="E673" s="7" t="inlineStr">
        <is>
          <t>REGIONAL BOGOTA</t>
        </is>
      </c>
      <c r="F673" s="7" t="inlineStr">
        <is>
          <t>BOGOTA CENTRO</t>
        </is>
      </c>
      <c r="G673" s="7" t="inlineStr">
        <is>
          <t>VIRTUAL</t>
        </is>
      </c>
      <c r="H673" s="7" t="inlineStr">
        <is>
          <t>DOC AUX/N/V/TC/INVESTIGACIONES/INVESTIGACI</t>
        </is>
      </c>
      <c r="I673" s="7" t="inlineStr">
        <is>
          <t>INVESTIGACIONES</t>
        </is>
      </c>
      <c r="J673" s="7" t="inlineStr">
        <is>
          <t>PLANTA</t>
        </is>
      </c>
      <c r="K673" s="7" t="inlineStr">
        <is>
          <t>MARGARITA PUERTA</t>
        </is>
      </c>
      <c r="L673" s="7" t="inlineStr">
        <is>
          <t>CONFIRMADO PRESENCIAL</t>
        </is>
      </c>
      <c r="M673" s="7" t="n">
        <v/>
      </c>
      <c r="N673" s="7" t="n">
        <v>3118537142</v>
      </c>
      <c r="O673" s="7" t="inlineStr">
        <is>
          <t>juancherrerae@gmail.com</t>
        </is>
      </c>
      <c r="P673" s="7" t="inlineStr">
        <is>
          <t>BTA SEDE A</t>
        </is>
      </c>
      <c r="Q673" s="7" t="inlineStr">
        <is>
          <t>INVESTIGACIONES</t>
        </is>
      </c>
      <c r="R673" s="7" t="inlineStr">
        <is>
          <t>Salón Audiencia sede F</t>
        </is>
      </c>
    </row>
    <row r="674" ht="20" customHeight="1">
      <c r="A674" s="3" t="inlineStr">
        <is>
          <t>80858742</t>
        </is>
      </c>
      <c r="B674" s="4" t="inlineStr">
        <is>
          <t>PRESENCIAL BOGOTÁ</t>
        </is>
      </c>
      <c r="C674" s="4" t="inlineStr">
        <is>
          <t>WILLIAM ANDRES PRIETO GALINDO</t>
        </is>
      </c>
      <c r="D674" s="4" t="inlineStr">
        <is>
          <t>INNOVACION E INVESTIGACION</t>
        </is>
      </c>
      <c r="E674" s="4" t="inlineStr">
        <is>
          <t>REGIONAL BOGOTA</t>
        </is>
      </c>
      <c r="F674" s="4" t="inlineStr">
        <is>
          <t>BOGOTA CENTRO</t>
        </is>
      </c>
      <c r="G674" s="4" t="inlineStr">
        <is>
          <t>VIRTUAL</t>
        </is>
      </c>
      <c r="H674" s="4" t="inlineStr">
        <is>
          <t>DOC ASOC/N/V/TC/INVESTIGACIONES/INVESTIG</t>
        </is>
      </c>
      <c r="I674" s="4" t="inlineStr">
        <is>
          <t>INVESTIGACIONES</t>
        </is>
      </c>
      <c r="J674" s="4" t="inlineStr">
        <is>
          <t>PLANTA</t>
        </is>
      </c>
      <c r="K674" s="4" t="inlineStr">
        <is>
          <t>MARGARITA PUERTA</t>
        </is>
      </c>
      <c r="L674" s="4" t="inlineStr">
        <is>
          <t>SIN RESPUESTA</t>
        </is>
      </c>
      <c r="M674" s="4" t="inlineStr">
        <is>
          <t>3 llamadas a correo de voz</t>
        </is>
      </c>
      <c r="N674" s="4" t="n">
        <v>3114064546</v>
      </c>
      <c r="O674" s="4" t="inlineStr">
        <is>
          <t>PRIGAWILL@GMAIL.COM</t>
        </is>
      </c>
      <c r="P674" s="4" t="inlineStr">
        <is>
          <t>BTA SEDE A</t>
        </is>
      </c>
      <c r="Q674" s="4" t="inlineStr">
        <is>
          <t>INVESTIGACIONES</t>
        </is>
      </c>
      <c r="R674" s="4" t="inlineStr">
        <is>
          <t>Salón Audiencia sede F</t>
        </is>
      </c>
    </row>
    <row r="675" ht="20" customHeight="1">
      <c r="A675" s="6" t="inlineStr">
        <is>
          <t>80034626</t>
        </is>
      </c>
      <c r="B675" s="7" t="inlineStr">
        <is>
          <t>PRESENCIAL BOGOTÁ</t>
        </is>
      </c>
      <c r="C675" s="7" t="inlineStr">
        <is>
          <t>FREDDY ALEJANDRO BERNAL GONZALEZ</t>
        </is>
      </c>
      <c r="D675" s="7" t="inlineStr">
        <is>
          <t>INNOVACION E INVESTIGACION</t>
        </is>
      </c>
      <c r="E675" s="7" t="inlineStr">
        <is>
          <t>REGIONAL BOGOTA</t>
        </is>
      </c>
      <c r="F675" s="7" t="inlineStr">
        <is>
          <t>BOGOTA CENTRO</t>
        </is>
      </c>
      <c r="G675" s="7" t="inlineStr">
        <is>
          <t>PRESENCIAL</t>
        </is>
      </c>
      <c r="H675" s="7" t="inlineStr">
        <is>
          <t>DOC AUX T&amp;T/N/TC/INVESTIGA/INVESTIGACIO</t>
        </is>
      </c>
      <c r="I675" s="7" t="inlineStr">
        <is>
          <t>INVESTIGACIONES</t>
        </is>
      </c>
      <c r="J675" s="7" t="inlineStr">
        <is>
          <t>PLANTA</t>
        </is>
      </c>
      <c r="K675" s="7" t="inlineStr">
        <is>
          <t>MARGARITA PUERTA</t>
        </is>
      </c>
      <c r="L675" s="7" t="inlineStr">
        <is>
          <t>SIN RESPUESTA</t>
        </is>
      </c>
      <c r="M675" s="7" t="inlineStr">
        <is>
          <t>3 llamadas a correo de voz</t>
        </is>
      </c>
      <c r="N675" s="7" t="n">
        <v>3016304911</v>
      </c>
      <c r="O675" s="7" t="inlineStr">
        <is>
          <t>BERNALEJOS2011@HOTMAIL.COM</t>
        </is>
      </c>
      <c r="P675" s="7" t="inlineStr">
        <is>
          <t>BTA SEDE J</t>
        </is>
      </c>
      <c r="Q675" s="7" t="inlineStr">
        <is>
          <t>INVESTIGACIONES</t>
        </is>
      </c>
      <c r="R675" s="7" t="inlineStr">
        <is>
          <t>Salón Audiencia sede F</t>
        </is>
      </c>
    </row>
    <row r="676" ht="20" customHeight="1">
      <c r="A676" s="3" t="inlineStr">
        <is>
          <t>1067881438</t>
        </is>
      </c>
      <c r="B676" s="4" t="inlineStr">
        <is>
          <t>PRESENCIAL REGIONAL</t>
        </is>
      </c>
      <c r="C676" s="4" t="inlineStr">
        <is>
          <t>MARVIN LUIS JIMENEZ NARVAEZ</t>
        </is>
      </c>
      <c r="D676" s="4" t="inlineStr">
        <is>
          <t>INNOVACION E INVESTIGACION</t>
        </is>
      </c>
      <c r="E676" s="4" t="inlineStr">
        <is>
          <t>REGIONAL CORDOBA</t>
        </is>
      </c>
      <c r="F676" s="4" t="inlineStr">
        <is>
          <t>MONTERIA</t>
        </is>
      </c>
      <c r="G676" s="4" t="inlineStr">
        <is>
          <t>VIRTUAL</t>
        </is>
      </c>
      <c r="H676" s="4" t="inlineStr">
        <is>
          <t>DOC ASOC/N/V/TC/INVESTIGACIONES/INVESTIG</t>
        </is>
      </c>
      <c r="I676" s="4" t="inlineStr">
        <is>
          <t>INVESTIGACIONES</t>
        </is>
      </c>
      <c r="J676" s="4" t="inlineStr">
        <is>
          <t>PLANTA</t>
        </is>
      </c>
      <c r="K676" s="4" t="inlineStr">
        <is>
          <t>MARGARITA PUERTA</t>
        </is>
      </c>
      <c r="L676" s="4" t="inlineStr">
        <is>
          <t>SIN RESPUESTA</t>
        </is>
      </c>
      <c r="M676" s="4" t="inlineStr">
        <is>
          <t>3 llamadas a correo de voz</t>
        </is>
      </c>
      <c r="N676" s="4" t="n">
        <v>3043327088</v>
      </c>
      <c r="O676" s="4" t="inlineStr">
        <is>
          <t>MARVINJIMENEZNARVAEZ@GMAIL.COM</t>
        </is>
      </c>
      <c r="P676" s="4" t="inlineStr">
        <is>
          <t>MONTERIA SEDE</t>
        </is>
      </c>
      <c r="Q676" s="4" t="inlineStr">
        <is>
          <t>INVESTIGACIONES</t>
        </is>
      </c>
      <c r="R676" s="4" t="n">
        <v/>
      </c>
    </row>
    <row r="677" ht="20" customHeight="1">
      <c r="A677" s="6" t="inlineStr">
        <is>
          <t>1020788193</t>
        </is>
      </c>
      <c r="B677" s="7" t="inlineStr">
        <is>
          <t>PRESENCIAL BOGOTÁ</t>
        </is>
      </c>
      <c r="C677" s="7" t="inlineStr">
        <is>
          <t>DANIEL FELIPE BELTRAN JIMENEZ</t>
        </is>
      </c>
      <c r="D677" s="7" t="inlineStr">
        <is>
          <t>INNOVACION E INVESTIGACION</t>
        </is>
      </c>
      <c r="E677" s="7" t="inlineStr">
        <is>
          <t>REGIONAL BOGOTA</t>
        </is>
      </c>
      <c r="F677" s="7" t="inlineStr">
        <is>
          <t>BOGOTA CENTRO</t>
        </is>
      </c>
      <c r="G677" s="7" t="inlineStr">
        <is>
          <t>PRESENCIAL</t>
        </is>
      </c>
      <c r="H677" s="7" t="inlineStr">
        <is>
          <t>DOCENTE ASIS/N/TC/INVESTIGA/INVESTIGACIO</t>
        </is>
      </c>
      <c r="I677" s="7" t="inlineStr">
        <is>
          <t>INVESTIGACIONES</t>
        </is>
      </c>
      <c r="J677" s="7" t="inlineStr">
        <is>
          <t>PLANTA</t>
        </is>
      </c>
      <c r="K677" s="7" t="inlineStr">
        <is>
          <t>MARGARITA PUERTA</t>
        </is>
      </c>
      <c r="L677" s="7" t="inlineStr">
        <is>
          <t>CONFIRMADO PRESENCIAL</t>
        </is>
      </c>
      <c r="M677" s="7" t="n">
        <v/>
      </c>
      <c r="N677" s="7" t="n">
        <v>3204877670</v>
      </c>
      <c r="O677" s="7" t="inlineStr">
        <is>
          <t>DFBJ@OUTLOOK.COM</t>
        </is>
      </c>
      <c r="P677" s="7" t="inlineStr">
        <is>
          <t>BTA SEDE J</t>
        </is>
      </c>
      <c r="Q677" s="7" t="inlineStr">
        <is>
          <t>INVESTIGACIONES</t>
        </is>
      </c>
      <c r="R677" s="7" t="inlineStr">
        <is>
          <t>Salón Audiencia sede F</t>
        </is>
      </c>
    </row>
    <row r="678" ht="20" customHeight="1">
      <c r="A678" s="3" t="inlineStr">
        <is>
          <t>88262616</t>
        </is>
      </c>
      <c r="B678" s="4" t="inlineStr">
        <is>
          <t>PRESENCIAL BOGOTÁ</t>
        </is>
      </c>
      <c r="C678" s="4" t="inlineStr">
        <is>
          <t>CARLOS GERMAN NEIRA LINARES</t>
        </is>
      </c>
      <c r="D678" s="4" t="inlineStr">
        <is>
          <t>INNOVACION E INVESTIGACION</t>
        </is>
      </c>
      <c r="E678" s="4" t="inlineStr">
        <is>
          <t>REGIONAL BOGOTA</t>
        </is>
      </c>
      <c r="F678" s="4" t="inlineStr">
        <is>
          <t>BOGOTA CENTRO</t>
        </is>
      </c>
      <c r="G678" s="4" t="inlineStr">
        <is>
          <t>PRESENCIAL</t>
        </is>
      </c>
      <c r="H678" s="4" t="inlineStr">
        <is>
          <t>DOCENTE ASIS/N/TC/INVESTIGA/INVESTIGACIO</t>
        </is>
      </c>
      <c r="I678" s="4" t="inlineStr">
        <is>
          <t>INVESTIGACIONES</t>
        </is>
      </c>
      <c r="J678" s="4" t="inlineStr">
        <is>
          <t>PLANTA</t>
        </is>
      </c>
      <c r="K678" s="4" t="inlineStr">
        <is>
          <t>MARGARITA PUERTA</t>
        </is>
      </c>
      <c r="L678" s="4" t="inlineStr">
        <is>
          <t>CONFIRMADO PRESENCIAL</t>
        </is>
      </c>
      <c r="M678" s="4" t="n">
        <v/>
      </c>
      <c r="N678" s="4" t="n">
        <v>3203057120</v>
      </c>
      <c r="O678" s="4" t="inlineStr">
        <is>
          <t>C_neira83@hotmail.com</t>
        </is>
      </c>
      <c r="P678" s="4" t="inlineStr">
        <is>
          <t>BTA SEDE G</t>
        </is>
      </c>
      <c r="Q678" s="4" t="inlineStr">
        <is>
          <t>INVESTIGACIONES</t>
        </is>
      </c>
      <c r="R678" s="4" t="inlineStr">
        <is>
          <t>Salón Audiencia sede F</t>
        </is>
      </c>
    </row>
    <row r="679" ht="20" customHeight="1">
      <c r="A679" s="6" t="inlineStr">
        <is>
          <t>80196910</t>
        </is>
      </c>
      <c r="B679" s="7" t="inlineStr">
        <is>
          <t>PRESENCIAL BOGOTÁ</t>
        </is>
      </c>
      <c r="C679" s="7" t="inlineStr">
        <is>
          <t>MARIO JAVIER QUINTERO VIDAL</t>
        </is>
      </c>
      <c r="D679" s="7" t="inlineStr">
        <is>
          <t>INNOVACION E INVESTIGACION</t>
        </is>
      </c>
      <c r="E679" s="7" t="inlineStr">
        <is>
          <t>REGIONAL BOGOTA</t>
        </is>
      </c>
      <c r="F679" s="7" t="inlineStr">
        <is>
          <t>BOGOTA CENTRO</t>
        </is>
      </c>
      <c r="G679" s="7" t="inlineStr">
        <is>
          <t>VIRTUAL</t>
        </is>
      </c>
      <c r="H679" s="7" t="inlineStr">
        <is>
          <t>DOC AUX/N/V/TC/INVESTIGACIONES/INVESTIGACI</t>
        </is>
      </c>
      <c r="I679" s="7" t="inlineStr">
        <is>
          <t>INVESTIGACIONES</t>
        </is>
      </c>
      <c r="J679" s="7" t="inlineStr">
        <is>
          <t>PLANTA</t>
        </is>
      </c>
      <c r="K679" s="7" t="inlineStr">
        <is>
          <t>MARGARITA PUERTA</t>
        </is>
      </c>
      <c r="L679" s="7" t="inlineStr">
        <is>
          <t>SIN RESPUESTA</t>
        </is>
      </c>
      <c r="M679" s="7" t="inlineStr">
        <is>
          <t>3 llamadas a correo de voz</t>
        </is>
      </c>
      <c r="N679" s="7" t="n">
        <v>3014265060</v>
      </c>
      <c r="O679" s="7" t="inlineStr">
        <is>
          <t>MARIOJQUINTERO@GMAIL.COM</t>
        </is>
      </c>
      <c r="P679" s="7" t="inlineStr">
        <is>
          <t>BTA SEDE A</t>
        </is>
      </c>
      <c r="Q679" s="7" t="inlineStr">
        <is>
          <t>INVESTIGACIONES</t>
        </is>
      </c>
      <c r="R679" s="7" t="inlineStr">
        <is>
          <t>Salón Audiencia sede F</t>
        </is>
      </c>
    </row>
    <row r="680" ht="20" customHeight="1">
      <c r="A680" s="3" t="inlineStr">
        <is>
          <t>80186209</t>
        </is>
      </c>
      <c r="B680" s="4" t="inlineStr">
        <is>
          <t>PRESENCIAL BOGOTÁ</t>
        </is>
      </c>
      <c r="C680" s="4" t="inlineStr">
        <is>
          <t>MICHEL FEDERICO BUSTOS ROMERO</t>
        </is>
      </c>
      <c r="D680" s="4" t="inlineStr">
        <is>
          <t>INNOVACION E INVESTIGACION</t>
        </is>
      </c>
      <c r="E680" s="4" t="inlineStr">
        <is>
          <t>REGIONAL BOGOTA</t>
        </is>
      </c>
      <c r="F680" s="4" t="inlineStr">
        <is>
          <t>BOGOTA CENTRO</t>
        </is>
      </c>
      <c r="G680" s="4" t="inlineStr">
        <is>
          <t>VIRTUAL</t>
        </is>
      </c>
      <c r="H680" s="4" t="inlineStr">
        <is>
          <t>DOC ASIS/N/V/TC/INVESTIGACIONES/INVESTIG</t>
        </is>
      </c>
      <c r="I680" s="4" t="inlineStr">
        <is>
          <t>INVESTIGACIONES</t>
        </is>
      </c>
      <c r="J680" s="4" t="inlineStr">
        <is>
          <t>PLANTA</t>
        </is>
      </c>
      <c r="K680" s="4" t="inlineStr">
        <is>
          <t>MARGARITA PUERTA</t>
        </is>
      </c>
      <c r="L680" s="4" t="inlineStr">
        <is>
          <t>SIN RESPUESTA</t>
        </is>
      </c>
      <c r="M680" s="4" t="inlineStr">
        <is>
          <t>3 llamadas a correo de voz</t>
        </is>
      </c>
      <c r="N680" s="4" t="n">
        <v>3134181833</v>
      </c>
      <c r="O680" s="4" t="inlineStr">
        <is>
          <t>VIRTUALAWSOLUTIONS@GMAIL.COM</t>
        </is>
      </c>
      <c r="P680" s="4" t="inlineStr">
        <is>
          <t>BTA SEDE A</t>
        </is>
      </c>
      <c r="Q680" s="4" t="inlineStr">
        <is>
          <t>INVESTIGACIONES</t>
        </is>
      </c>
      <c r="R680" s="4" t="inlineStr">
        <is>
          <t>Salón Audiencia sede F</t>
        </is>
      </c>
    </row>
    <row r="681" ht="20" customHeight="1">
      <c r="A681" s="6" t="inlineStr">
        <is>
          <t>78038873</t>
        </is>
      </c>
      <c r="B681" s="7" t="inlineStr">
        <is>
          <t>PRESENCIAL REGIONAL</t>
        </is>
      </c>
      <c r="C681" s="7" t="inlineStr">
        <is>
          <t>SERGIO LUIS SÁNCHEZ RENGIFO</t>
        </is>
      </c>
      <c r="D681" s="7" t="inlineStr">
        <is>
          <t>INNOVACION E INVESTIGACION</t>
        </is>
      </c>
      <c r="E681" s="7" t="inlineStr">
        <is>
          <t>REGIONAL CORDOBA</t>
        </is>
      </c>
      <c r="F681" s="7" t="inlineStr">
        <is>
          <t>MONTERIA</t>
        </is>
      </c>
      <c r="G681" s="7" t="inlineStr">
        <is>
          <t>VIRTUAL</t>
        </is>
      </c>
      <c r="H681" s="7" t="inlineStr">
        <is>
          <t>DOC TITU/N/V/TC/INVESTIGACIONES/INVESTIG</t>
        </is>
      </c>
      <c r="I681" s="7" t="inlineStr">
        <is>
          <t>INVESTIGACIONES</t>
        </is>
      </c>
      <c r="J681" s="7" t="inlineStr">
        <is>
          <t>PLANTA</t>
        </is>
      </c>
      <c r="K681" s="7" t="inlineStr">
        <is>
          <t>MARGARITA PUERTA</t>
        </is>
      </c>
      <c r="L681" s="7" t="inlineStr">
        <is>
          <t>CONFIRMADO PRESENCIAL</t>
        </is>
      </c>
      <c r="M681" s="7" t="n">
        <v/>
      </c>
      <c r="N681" s="7" t="n">
        <v>3053397610</v>
      </c>
      <c r="O681" s="7" t="inlineStr">
        <is>
          <t>SERGIOLUISANCHEZ22@GMAIL.COM</t>
        </is>
      </c>
      <c r="P681" s="7" t="inlineStr">
        <is>
          <t>MONTERIA SEDE</t>
        </is>
      </c>
      <c r="Q681" s="7" t="inlineStr">
        <is>
          <t>INVESTIGACIONES</t>
        </is>
      </c>
      <c r="R681" s="7" t="n">
        <v/>
      </c>
    </row>
    <row r="682" ht="20" customHeight="1">
      <c r="A682" s="3" t="inlineStr">
        <is>
          <t>80075323</t>
        </is>
      </c>
      <c r="B682" s="4" t="inlineStr">
        <is>
          <t>VIRTUAL</t>
        </is>
      </c>
      <c r="C682" s="4" t="inlineStr">
        <is>
          <t>CAMILO ANDRÉS VARGAS MACHADO</t>
        </is>
      </c>
      <c r="D682" s="4" t="inlineStr">
        <is>
          <t>INNOVACION E INVESTIGACION</t>
        </is>
      </c>
      <c r="E682" s="4" t="inlineStr">
        <is>
          <t>REGIONAL MAGDALENA</t>
        </is>
      </c>
      <c r="F682" s="4" t="inlineStr">
        <is>
          <t>SANTA MARTA</t>
        </is>
      </c>
      <c r="G682" s="4" t="inlineStr">
        <is>
          <t>VIRTUAL</t>
        </is>
      </c>
      <c r="H682" s="4" t="inlineStr">
        <is>
          <t>DOC TITU/N/V/TC/INVESTIGACIONES/INVESTIG</t>
        </is>
      </c>
      <c r="I682" s="4" t="inlineStr">
        <is>
          <t>INVESTIGACIONES</t>
        </is>
      </c>
      <c r="J682" s="4" t="inlineStr">
        <is>
          <t>PLANTA</t>
        </is>
      </c>
      <c r="K682" s="4" t="inlineStr">
        <is>
          <t>MARGARITA PUERTA</t>
        </is>
      </c>
      <c r="L682" s="4" t="inlineStr">
        <is>
          <t>CONFIRMADO PRESENCIAL</t>
        </is>
      </c>
      <c r="M682" s="4" t="n">
        <v/>
      </c>
      <c r="N682" s="4" t="n">
        <v>3502463931</v>
      </c>
      <c r="O682" s="4" t="inlineStr">
        <is>
          <t>U0303623@UNIMILITAR.EDU.CO</t>
        </is>
      </c>
      <c r="P682" s="4" t="inlineStr">
        <is>
          <t>SANTA MARTA SEDE</t>
        </is>
      </c>
      <c r="Q682" s="4" t="inlineStr">
        <is>
          <t>INVESTIGACIONES</t>
        </is>
      </c>
      <c r="R682" s="4" t="n">
        <v/>
      </c>
    </row>
    <row r="683" ht="20" customHeight="1">
      <c r="A683" s="6" t="inlineStr">
        <is>
          <t>23582948</t>
        </is>
      </c>
      <c r="B683" s="7" t="inlineStr">
        <is>
          <t>PRESENCIAL BOGOTÁ</t>
        </is>
      </c>
      <c r="C683" s="7" t="inlineStr">
        <is>
          <t>LORENA MARÍA VARGAS DÍAZ</t>
        </is>
      </c>
      <c r="D683" s="7" t="inlineStr">
        <is>
          <t>INNOVACION E INVESTIGACION</t>
        </is>
      </c>
      <c r="E683" s="7" t="inlineStr">
        <is>
          <t>REGIONAL BOGOTA</t>
        </is>
      </c>
      <c r="F683" s="7" t="inlineStr">
        <is>
          <t>BOGOTA CENTRO</t>
        </is>
      </c>
      <c r="G683" s="7" t="inlineStr">
        <is>
          <t>VIRTUAL</t>
        </is>
      </c>
      <c r="H683" s="7" t="inlineStr">
        <is>
          <t>DOC ASOC/N/V/TC/INVESTIGACIONES/INVESTIG</t>
        </is>
      </c>
      <c r="I683" s="7" t="inlineStr">
        <is>
          <t>INVESTIGACIONES</t>
        </is>
      </c>
      <c r="J683" s="7" t="inlineStr">
        <is>
          <t>PLANTA</t>
        </is>
      </c>
      <c r="K683" s="7" t="inlineStr">
        <is>
          <t>MARGARITA PUERTA</t>
        </is>
      </c>
      <c r="L683" s="7" t="inlineStr">
        <is>
          <t>SIN RESPUESTA</t>
        </is>
      </c>
      <c r="M683" s="7" t="inlineStr">
        <is>
          <t>3 llamadas a correo de voz</t>
        </is>
      </c>
      <c r="N683" s="7" t="n">
        <v>3152060035</v>
      </c>
      <c r="O683" s="7" t="inlineStr">
        <is>
          <t>LORENAVAR@GMAIL.COM</t>
        </is>
      </c>
      <c r="P683" s="7" t="inlineStr">
        <is>
          <t>BTA SEDE A</t>
        </is>
      </c>
      <c r="Q683" s="7" t="inlineStr">
        <is>
          <t>INVESTIGACIONES</t>
        </is>
      </c>
      <c r="R683" s="7" t="inlineStr">
        <is>
          <t>Salón Audiencia sede F</t>
        </is>
      </c>
    </row>
    <row r="684" ht="20" customHeight="1">
      <c r="A684" s="3" t="inlineStr">
        <is>
          <t>7175280</t>
        </is>
      </c>
      <c r="B684" s="4" t="inlineStr">
        <is>
          <t>VIRTUAL</t>
        </is>
      </c>
      <c r="C684" s="4" t="inlineStr">
        <is>
          <t>JULIO CESAR PACHON EUGENIO</t>
        </is>
      </c>
      <c r="D684" s="4" t="inlineStr">
        <is>
          <t>INNOVACION E INVESTIGACION</t>
        </is>
      </c>
      <c r="E684" s="4" t="inlineStr">
        <is>
          <t>REGIONAL BOYACA</t>
        </is>
      </c>
      <c r="F684" s="4" t="inlineStr">
        <is>
          <t>TUNJA</t>
        </is>
      </c>
      <c r="G684" s="4" t="inlineStr">
        <is>
          <t>VIRTUAL</t>
        </is>
      </c>
      <c r="H684" s="4" t="inlineStr">
        <is>
          <t>DOC AUX/N/V/TC/INVESTIGACIONES/INVESTIGACI</t>
        </is>
      </c>
      <c r="I684" s="4" t="inlineStr">
        <is>
          <t>INVESTIGACIONES</t>
        </is>
      </c>
      <c r="J684" s="4" t="inlineStr">
        <is>
          <t>PLANTA</t>
        </is>
      </c>
      <c r="K684" s="4" t="inlineStr">
        <is>
          <t>MARGARITA PUERTA</t>
        </is>
      </c>
      <c r="L684" s="4" t="inlineStr">
        <is>
          <t>SIN RESPUESTA</t>
        </is>
      </c>
      <c r="M684" s="4" t="inlineStr">
        <is>
          <t>3 llamadas a correo de voz</t>
        </is>
      </c>
      <c r="N684" s="4" t="n">
        <v>3053795523</v>
      </c>
      <c r="O684" s="4" t="inlineStr">
        <is>
          <t>julio.pachon@yahoo.com</t>
        </is>
      </c>
      <c r="P684" s="4" t="inlineStr">
        <is>
          <t>TUNJA SEDE</t>
        </is>
      </c>
      <c r="Q684" s="4" t="inlineStr">
        <is>
          <t>INVESTIGACIONES</t>
        </is>
      </c>
      <c r="R684" s="4" t="n">
        <v/>
      </c>
    </row>
    <row r="685" ht="20" customHeight="1">
      <c r="A685" s="6" t="inlineStr">
        <is>
          <t>73144425</t>
        </is>
      </c>
      <c r="B685" s="7" t="inlineStr">
        <is>
          <t>PRESENCIAL BOGOTÁ</t>
        </is>
      </c>
      <c r="C685" s="7" t="inlineStr">
        <is>
          <t>GERMAN ANDRES ALARCON LEUDO</t>
        </is>
      </c>
      <c r="D685" s="7" t="inlineStr">
        <is>
          <t>INNOVACION E INVESTIGACION</t>
        </is>
      </c>
      <c r="E685" s="7" t="inlineStr">
        <is>
          <t>REGIONAL BOGOTA</t>
        </is>
      </c>
      <c r="F685" s="7" t="inlineStr">
        <is>
          <t>BOGOTA CENTRO</t>
        </is>
      </c>
      <c r="G685" s="7" t="inlineStr">
        <is>
          <t>PRESENCIAL</t>
        </is>
      </c>
      <c r="H685" s="7" t="inlineStr">
        <is>
          <t>DOCENTE ASOC/N/TC/INVESTIGA/INVESTIGACIO</t>
        </is>
      </c>
      <c r="I685" s="7" t="inlineStr">
        <is>
          <t>INVESTIGACIONES</t>
        </is>
      </c>
      <c r="J685" s="7" t="inlineStr">
        <is>
          <t>PLANTA</t>
        </is>
      </c>
      <c r="K685" s="7" t="inlineStr">
        <is>
          <t>MARGARITA PUERTA</t>
        </is>
      </c>
      <c r="L685" s="7" t="inlineStr">
        <is>
          <t>SIN RESPUESTA</t>
        </is>
      </c>
      <c r="M685" s="7" t="inlineStr">
        <is>
          <t>3 llamadas a correo de voz</t>
        </is>
      </c>
      <c r="N685" s="7" t="n">
        <v>3004536840</v>
      </c>
      <c r="O685" s="7" t="inlineStr">
        <is>
          <t>germanalarco44@gmail.com</t>
        </is>
      </c>
      <c r="P685" s="7" t="inlineStr">
        <is>
          <t>BTA SEDE CHAP</t>
        </is>
      </c>
      <c r="Q685" s="7" t="inlineStr">
        <is>
          <t>INVESTIGACIONES</t>
        </is>
      </c>
      <c r="R685" s="7" t="inlineStr">
        <is>
          <t>Salón Audiencia sede F</t>
        </is>
      </c>
    </row>
    <row r="686" ht="20" customHeight="1">
      <c r="A686" s="3" t="inlineStr">
        <is>
          <t>1019144078</t>
        </is>
      </c>
      <c r="B686" s="4" t="inlineStr">
        <is>
          <t>PRESENCIAL BOGOTÁ</t>
        </is>
      </c>
      <c r="C686" s="4" t="inlineStr">
        <is>
          <t>ANGIE PAOLA ESPAÑA TORO</t>
        </is>
      </c>
      <c r="D686" s="4" t="inlineStr">
        <is>
          <t>INNOVACION E INVESTIGACION</t>
        </is>
      </c>
      <c r="E686" s="4" t="inlineStr">
        <is>
          <t>REGIONAL BOGOTA</t>
        </is>
      </c>
      <c r="F686" s="4" t="inlineStr">
        <is>
          <t>BOGOTA CENTRO</t>
        </is>
      </c>
      <c r="G686" s="4" t="inlineStr">
        <is>
          <t>PRESENCIAL</t>
        </is>
      </c>
      <c r="H686" s="4" t="inlineStr">
        <is>
          <t>DOCENTE ASIS/N/TC/INVESTIGA/INVESTIGACIO</t>
        </is>
      </c>
      <c r="I686" s="4" t="inlineStr">
        <is>
          <t>INVESTIGACIONES</t>
        </is>
      </c>
      <c r="J686" s="4" t="inlineStr">
        <is>
          <t>PLANTA</t>
        </is>
      </c>
      <c r="K686" s="4" t="inlineStr">
        <is>
          <t>MARGARITA PUERTA</t>
        </is>
      </c>
      <c r="L686" s="4" t="inlineStr">
        <is>
          <t>SIN RESPUESTA</t>
        </is>
      </c>
      <c r="M686" s="4" t="n">
        <v/>
      </c>
      <c r="N686" s="4" t="n">
        <v>3222488703</v>
      </c>
      <c r="O686" s="4" t="inlineStr">
        <is>
          <t>angie_espana@hotmail.com</t>
        </is>
      </c>
      <c r="P686" s="4" t="inlineStr">
        <is>
          <t>BTA SEDE CHAP</t>
        </is>
      </c>
      <c r="Q686" s="4" t="inlineStr">
        <is>
          <t>INVESTIGACIONES</t>
        </is>
      </c>
      <c r="R686" s="4" t="inlineStr">
        <is>
          <t>Salón Audiencia sede F</t>
        </is>
      </c>
    </row>
    <row r="687" ht="20" customHeight="1">
      <c r="A687" s="6" t="inlineStr">
        <is>
          <t>1030594467</t>
        </is>
      </c>
      <c r="B687" s="7" t="inlineStr">
        <is>
          <t>VIRTUAL</t>
        </is>
      </c>
      <c r="C687" s="7" t="inlineStr">
        <is>
          <t>MICHAEL STEVEN ZAPATA BARBOSA</t>
        </is>
      </c>
      <c r="D687" s="7" t="inlineStr">
        <is>
          <t>INNOVACION E INVESTIGACION</t>
        </is>
      </c>
      <c r="E687" s="7" t="inlineStr">
        <is>
          <t>REGIONAL BOGOTA</t>
        </is>
      </c>
      <c r="F687" s="7" t="inlineStr">
        <is>
          <t>BOGOTA CENTRO</t>
        </is>
      </c>
      <c r="G687" s="7" t="inlineStr">
        <is>
          <t>PRESENCIAL</t>
        </is>
      </c>
      <c r="H687" s="7" t="inlineStr">
        <is>
          <t>DOCENTE ASIS/N/TC/INVESTIGA/INVESTIGACIO</t>
        </is>
      </c>
      <c r="I687" s="7" t="inlineStr">
        <is>
          <t>INVESTIGACIONES</t>
        </is>
      </c>
      <c r="J687" s="7" t="inlineStr">
        <is>
          <t>PLANTA</t>
        </is>
      </c>
      <c r="K687" s="7" t="inlineStr">
        <is>
          <t>MARGARITA PUERTA</t>
        </is>
      </c>
      <c r="L687" s="7" t="inlineStr">
        <is>
          <t>CONFIRMADO VIRTUAL</t>
        </is>
      </c>
      <c r="M687" s="7" t="n">
        <v/>
      </c>
      <c r="N687" s="7" t="n">
        <v>3013277047</v>
      </c>
      <c r="O687" s="7" t="inlineStr">
        <is>
          <t>mszapatab@pedagogica.edu.co</t>
        </is>
      </c>
      <c r="P687" s="7" t="inlineStr">
        <is>
          <t>BTA SEDE CHAP</t>
        </is>
      </c>
      <c r="Q687" s="7" t="inlineStr">
        <is>
          <t>INVESTIGACIONES</t>
        </is>
      </c>
      <c r="R687" s="7" t="inlineStr">
        <is>
          <t>Salón Audiencia sede F</t>
        </is>
      </c>
    </row>
    <row r="688" ht="20" customHeight="1">
      <c r="A688" s="3" t="inlineStr">
        <is>
          <t>1093749509</t>
        </is>
      </c>
      <c r="B688" s="4" t="inlineStr">
        <is>
          <t>PRESENCIAL BOGOTÁ</t>
        </is>
      </c>
      <c r="C688" s="4" t="inlineStr">
        <is>
          <t>RUTH KATHERINE SANABRIA ALARCON</t>
        </is>
      </c>
      <c r="D688" s="4" t="inlineStr">
        <is>
          <t>INNOVACION E INVESTIGACION</t>
        </is>
      </c>
      <c r="E688" s="4" t="inlineStr">
        <is>
          <t>REGIONAL BOGOTA</t>
        </is>
      </c>
      <c r="F688" s="4" t="inlineStr">
        <is>
          <t>BOGOTA CENTRO</t>
        </is>
      </c>
      <c r="G688" s="4" t="inlineStr">
        <is>
          <t>PRESENCIAL</t>
        </is>
      </c>
      <c r="H688" s="4" t="inlineStr">
        <is>
          <t>DOCENTE TITU/N/TC/INVESTIGA/INVESTIGACIO</t>
        </is>
      </c>
      <c r="I688" s="4" t="inlineStr">
        <is>
          <t>INVESTIGACIONES</t>
        </is>
      </c>
      <c r="J688" s="4" t="inlineStr">
        <is>
          <t>PLANTA</t>
        </is>
      </c>
      <c r="K688" s="4" t="inlineStr">
        <is>
          <t>MARGARITA PUERTA</t>
        </is>
      </c>
      <c r="L688" s="4" t="inlineStr">
        <is>
          <t>CONFIRMADO PRESENCIAL</t>
        </is>
      </c>
      <c r="M688" s="4" t="n">
        <v/>
      </c>
      <c r="N688" s="4" t="n">
        <v>3161818118</v>
      </c>
      <c r="O688" s="4" t="inlineStr">
        <is>
          <t>ruksa3@hotmail.com</t>
        </is>
      </c>
      <c r="P688" s="4" t="inlineStr">
        <is>
          <t>BTA SEDE CHAP</t>
        </is>
      </c>
      <c r="Q688" s="4" t="inlineStr">
        <is>
          <t>INVESTIGACIONES</t>
        </is>
      </c>
      <c r="R688" s="4" t="inlineStr">
        <is>
          <t>Salón Audiencia sede F</t>
        </is>
      </c>
    </row>
    <row r="689" ht="20" customHeight="1">
      <c r="A689" s="6" t="inlineStr">
        <is>
          <t>1031158581</t>
        </is>
      </c>
      <c r="B689" s="7" t="inlineStr">
        <is>
          <t>PRESENCIAL BOGOTÁ</t>
        </is>
      </c>
      <c r="C689" s="7" t="inlineStr">
        <is>
          <t>JUVER ANDREY JIMENEZ MORENO</t>
        </is>
      </c>
      <c r="D689" s="7" t="inlineStr">
        <is>
          <t>INNOVACION E INVESTIGACION</t>
        </is>
      </c>
      <c r="E689" s="7" t="inlineStr">
        <is>
          <t>REGIONAL BOGOTA</t>
        </is>
      </c>
      <c r="F689" s="7" t="inlineStr">
        <is>
          <t>BOGOTA CENTRO</t>
        </is>
      </c>
      <c r="G689" s="7" t="inlineStr">
        <is>
          <t>PRESENCIAL</t>
        </is>
      </c>
      <c r="H689" s="7" t="inlineStr">
        <is>
          <t>DOCENTE ASIS/N/TC/INVESTIGA/INVESTIGACIO</t>
        </is>
      </c>
      <c r="I689" s="7" t="inlineStr">
        <is>
          <t>INVESTIGACIONES</t>
        </is>
      </c>
      <c r="J689" s="7" t="inlineStr">
        <is>
          <t>PLANTA</t>
        </is>
      </c>
      <c r="K689" s="7" t="inlineStr">
        <is>
          <t>MARGARITA PUERTA</t>
        </is>
      </c>
      <c r="L689" s="7" t="inlineStr">
        <is>
          <t>SIN RESPUESTA</t>
        </is>
      </c>
      <c r="M689" s="7" t="inlineStr">
        <is>
          <t>3 llamadas a correo de voz</t>
        </is>
      </c>
      <c r="N689" s="7" t="n">
        <v>3118412320</v>
      </c>
      <c r="O689" s="7" t="inlineStr">
        <is>
          <t>JUAJIMENEZMO@gmail.com</t>
        </is>
      </c>
      <c r="P689" s="7" t="inlineStr">
        <is>
          <t>BTA SEDE G</t>
        </is>
      </c>
      <c r="Q689" s="7" t="inlineStr">
        <is>
          <t>INVESTIGACIONES</t>
        </is>
      </c>
      <c r="R689" s="7" t="inlineStr">
        <is>
          <t>Salón Audiencia sede F</t>
        </is>
      </c>
    </row>
    <row r="690" ht="20" customHeight="1">
      <c r="A690" s="3" t="inlineStr">
        <is>
          <t>1015419351</t>
        </is>
      </c>
      <c r="B690" s="4" t="inlineStr">
        <is>
          <t>PRESENCIAL BOGOTÁ</t>
        </is>
      </c>
      <c r="C690" s="4" t="inlineStr">
        <is>
          <t>CARLOS ANDRES RUBIANO CASTILLO</t>
        </is>
      </c>
      <c r="D690" s="4" t="inlineStr">
        <is>
          <t>INNOVACION E INVESTIGACION</t>
        </is>
      </c>
      <c r="E690" s="4" t="inlineStr">
        <is>
          <t>REGIONAL BOGOTA</t>
        </is>
      </c>
      <c r="F690" s="4" t="inlineStr">
        <is>
          <t>BOGOTA CENTRO</t>
        </is>
      </c>
      <c r="G690" s="4" t="inlineStr">
        <is>
          <t>PRESENCIAL</t>
        </is>
      </c>
      <c r="H690" s="4" t="inlineStr">
        <is>
          <t>DOCENTE ASOC/N/TC/INVESTIGA/INVESTIGACIO</t>
        </is>
      </c>
      <c r="I690" s="4" t="inlineStr">
        <is>
          <t>INVESTIGACIONES</t>
        </is>
      </c>
      <c r="J690" s="4" t="inlineStr">
        <is>
          <t>PLANTA</t>
        </is>
      </c>
      <c r="K690" s="4" t="inlineStr">
        <is>
          <t>MARGARITA PUERTA</t>
        </is>
      </c>
      <c r="L690" s="4" t="inlineStr">
        <is>
          <t>CONFIRMADO PRESENCIAL</t>
        </is>
      </c>
      <c r="M690" s="4" t="n">
        <v/>
      </c>
      <c r="N690" s="4" t="n">
        <v>3014893586</v>
      </c>
      <c r="O690" s="4" t="inlineStr">
        <is>
          <t>carlos.comunicadorsocial@gmail.com</t>
        </is>
      </c>
      <c r="P690" s="4" t="inlineStr">
        <is>
          <t>BTA SEDE CHAP</t>
        </is>
      </c>
      <c r="Q690" s="4" t="inlineStr">
        <is>
          <t>INVESTIGACIONES</t>
        </is>
      </c>
      <c r="R690" s="4" t="inlineStr">
        <is>
          <t>Salón Audiencia sede F</t>
        </is>
      </c>
    </row>
    <row r="691" ht="20" customHeight="1">
      <c r="A691" s="6" t="inlineStr">
        <is>
          <t>75102157</t>
        </is>
      </c>
      <c r="B691" s="7" t="inlineStr">
        <is>
          <t>PRESENCIAL BOGOTÁ</t>
        </is>
      </c>
      <c r="C691" s="7" t="inlineStr">
        <is>
          <t>JUAN PABLO MORALES ARIAS</t>
        </is>
      </c>
      <c r="D691" s="7" t="inlineStr">
        <is>
          <t>INNOVACION E INVESTIGACION</t>
        </is>
      </c>
      <c r="E691" s="7" t="inlineStr">
        <is>
          <t>REGIONAL BOGOTA</t>
        </is>
      </c>
      <c r="F691" s="7" t="inlineStr">
        <is>
          <t>BOGOTA CENTRO</t>
        </is>
      </c>
      <c r="G691" s="7" t="inlineStr">
        <is>
          <t>PRESENCIAL</t>
        </is>
      </c>
      <c r="H691" s="7" t="inlineStr">
        <is>
          <t>DOCENTE TITU/N/TC/INVESTIGA/INVESTIGACIO</t>
        </is>
      </c>
      <c r="I691" s="7" t="inlineStr">
        <is>
          <t>INVESTIGACIONES</t>
        </is>
      </c>
      <c r="J691" s="7" t="inlineStr">
        <is>
          <t>PLANTA</t>
        </is>
      </c>
      <c r="K691" s="7" t="inlineStr">
        <is>
          <t>MARGARITA PUERTA</t>
        </is>
      </c>
      <c r="L691" s="7" t="inlineStr">
        <is>
          <t>CONFIRMADO PRESENCIAL</t>
        </is>
      </c>
      <c r="M691" s="7" t="n">
        <v/>
      </c>
      <c r="N691" s="7" t="n">
        <v>3178816996</v>
      </c>
      <c r="O691" s="7" t="inlineStr">
        <is>
          <t>juanpablomorales37@gmail.com</t>
        </is>
      </c>
      <c r="P691" s="7" t="inlineStr">
        <is>
          <t>BTA SEDE CHAP</t>
        </is>
      </c>
      <c r="Q691" s="7" t="inlineStr">
        <is>
          <t>INVESTIGACIONES</t>
        </is>
      </c>
      <c r="R691" s="7" t="inlineStr">
        <is>
          <t>Salón Audiencia sede F</t>
        </is>
      </c>
    </row>
    <row r="692" ht="20" customHeight="1">
      <c r="A692" s="3" t="inlineStr">
        <is>
          <t>80204143</t>
        </is>
      </c>
      <c r="B692" s="4" t="inlineStr">
        <is>
          <t>PRESENCIAL BOGOTÁ</t>
        </is>
      </c>
      <c r="C692" s="4" t="inlineStr">
        <is>
          <t>DANIEL ANDRES VELASQUEZ MANTILLA</t>
        </is>
      </c>
      <c r="D692" s="4" t="inlineStr">
        <is>
          <t>INNOVACION E INVESTIGACION</t>
        </is>
      </c>
      <c r="E692" s="4" t="inlineStr">
        <is>
          <t>REGIONAL BOGOTA</t>
        </is>
      </c>
      <c r="F692" s="4" t="inlineStr">
        <is>
          <t>BOGOTA CENTRO</t>
        </is>
      </c>
      <c r="G692" s="4" t="inlineStr">
        <is>
          <t>PRESENCIAL</t>
        </is>
      </c>
      <c r="H692" s="4" t="inlineStr">
        <is>
          <t>DOCENTE ASOC/N/TC/INVESTIGA/INVESTIGACIO</t>
        </is>
      </c>
      <c r="I692" s="4" t="inlineStr">
        <is>
          <t>INVESTIGACIONES</t>
        </is>
      </c>
      <c r="J692" s="4" t="inlineStr">
        <is>
          <t>PLANTA</t>
        </is>
      </c>
      <c r="K692" s="4" t="inlineStr">
        <is>
          <t>MARGARITA PUERTA</t>
        </is>
      </c>
      <c r="L692" s="4" t="inlineStr">
        <is>
          <t>CONFIRMADO PRESENCIAL</t>
        </is>
      </c>
      <c r="M692" s="4" t="n">
        <v/>
      </c>
      <c r="N692" s="4" t="n">
        <v>3103089411</v>
      </c>
      <c r="O692" s="4" t="inlineStr">
        <is>
          <t>danielvelasquez84@gmail.com</t>
        </is>
      </c>
      <c r="P692" s="4" t="inlineStr">
        <is>
          <t>BTA SEDE CHAP</t>
        </is>
      </c>
      <c r="Q692" s="4" t="inlineStr">
        <is>
          <t>INVESTIGACIONES</t>
        </is>
      </c>
      <c r="R692" s="4" t="inlineStr">
        <is>
          <t>Salón Audiencia sede F</t>
        </is>
      </c>
    </row>
    <row r="693" ht="20" customHeight="1">
      <c r="A693" s="6" t="inlineStr">
        <is>
          <t>1022930402</t>
        </is>
      </c>
      <c r="B693" s="7" t="inlineStr">
        <is>
          <t>PRESENCIAL BOGOTÁ</t>
        </is>
      </c>
      <c r="C693" s="7" t="inlineStr">
        <is>
          <t>JUAN PABLO HEREDIA MARTIN</t>
        </is>
      </c>
      <c r="D693" s="7" t="inlineStr">
        <is>
          <t>INNOVACION E INVESTIGACION</t>
        </is>
      </c>
      <c r="E693" s="7" t="inlineStr">
        <is>
          <t>REGIONAL BOGOTA</t>
        </is>
      </c>
      <c r="F693" s="7" t="inlineStr">
        <is>
          <t>BOGOTA CENTRO</t>
        </is>
      </c>
      <c r="G693" s="7" t="inlineStr">
        <is>
          <t>PRESENCIAL</t>
        </is>
      </c>
      <c r="H693" s="7" t="inlineStr">
        <is>
          <t>DOCENTE ASOC/N/TC/INVESTIGACIONES/INVEST</t>
        </is>
      </c>
      <c r="I693" s="7" t="inlineStr">
        <is>
          <t>INVESTIGACIONES</t>
        </is>
      </c>
      <c r="J693" s="7" t="inlineStr">
        <is>
          <t>PLANTA</t>
        </is>
      </c>
      <c r="K693" s="7" t="inlineStr">
        <is>
          <t>MARGARITA PUERTA</t>
        </is>
      </c>
      <c r="L693" s="7" t="inlineStr">
        <is>
          <t>SIN RESPUESTA</t>
        </is>
      </c>
      <c r="M693" s="7" t="n">
        <v/>
      </c>
      <c r="N693" s="7" t="n">
        <v>3152819185</v>
      </c>
      <c r="O693" s="7" t="inlineStr">
        <is>
          <t>tpalqjp@hotmail.com</t>
        </is>
      </c>
      <c r="P693" s="7" t="inlineStr">
        <is>
          <t>BTA SEDE CHAP</t>
        </is>
      </c>
      <c r="Q693" s="7" t="inlineStr">
        <is>
          <t>INVESTIGACIONES</t>
        </is>
      </c>
      <c r="R693" s="7" t="inlineStr">
        <is>
          <t>Salón Audiencia sede F</t>
        </is>
      </c>
    </row>
    <row r="694" ht="20" customHeight="1">
      <c r="A694" s="3" t="inlineStr">
        <is>
          <t>1121845334</t>
        </is>
      </c>
      <c r="B694" s="4" t="inlineStr">
        <is>
          <t>VIRTUAL</t>
        </is>
      </c>
      <c r="C694" s="4" t="inlineStr">
        <is>
          <t>HAYDER ALEJANDRO ROMERO SIERRA</t>
        </is>
      </c>
      <c r="D694" s="4" t="inlineStr">
        <is>
          <t>INNOVACION E INVESTIGACION</t>
        </is>
      </c>
      <c r="E694" s="4" t="inlineStr">
        <is>
          <t>REGIONAL META</t>
        </is>
      </c>
      <c r="F694" s="4" t="inlineStr">
        <is>
          <t>VILLAVICENCIO</t>
        </is>
      </c>
      <c r="G694" s="4" t="inlineStr">
        <is>
          <t>VIRTUAL</t>
        </is>
      </c>
      <c r="H694" s="4" t="inlineStr">
        <is>
          <t>DOC ASIS/N/V/TC/INVESTIGACIONES/INVESTIG</t>
        </is>
      </c>
      <c r="I694" s="4" t="inlineStr">
        <is>
          <t>INVESTIGACIONES</t>
        </is>
      </c>
      <c r="J694" s="4" t="inlineStr">
        <is>
          <t>PLANTA</t>
        </is>
      </c>
      <c r="K694" s="4" t="inlineStr">
        <is>
          <t>MARGARITA PUERTA</t>
        </is>
      </c>
      <c r="L694" s="4" t="inlineStr">
        <is>
          <t>CONFIRMADO VIRTUAL</t>
        </is>
      </c>
      <c r="M694" s="4" t="n">
        <v/>
      </c>
      <c r="N694" s="4" t="n">
        <v>3023553665</v>
      </c>
      <c r="O694" s="4" t="inlineStr">
        <is>
          <t>hars200588@gmail.com</t>
        </is>
      </c>
      <c r="P694" s="4" t="inlineStr">
        <is>
          <t>VILLAVICENCIO SEDE</t>
        </is>
      </c>
      <c r="Q694" s="4" t="inlineStr">
        <is>
          <t>INVESTIGACIONES</t>
        </is>
      </c>
      <c r="R694" s="4" t="n">
        <v/>
      </c>
    </row>
    <row r="695" ht="20" customHeight="1">
      <c r="A695" s="6" t="inlineStr">
        <is>
          <t>52477908</t>
        </is>
      </c>
      <c r="B695" s="7" t="inlineStr">
        <is>
          <t>PRESENCIAL BOGOTÁ</t>
        </is>
      </c>
      <c r="C695" s="7" t="inlineStr">
        <is>
          <t>MARIA FERNANDA MOLANO GIRALDO</t>
        </is>
      </c>
      <c r="D695" s="7" t="inlineStr">
        <is>
          <t>INNOVACION E INVESTIGACION</t>
        </is>
      </c>
      <c r="E695" s="7" t="inlineStr">
        <is>
          <t>REGIONAL BOGOTA</t>
        </is>
      </c>
      <c r="F695" s="7" t="inlineStr">
        <is>
          <t>BOGOTA CENTRO</t>
        </is>
      </c>
      <c r="G695" s="7" t="inlineStr">
        <is>
          <t>PRESENCIAL</t>
        </is>
      </c>
      <c r="H695" s="7" t="inlineStr">
        <is>
          <t>DOCENTE TITU/N/TC/INVESTIGA/INVESTIGACIO</t>
        </is>
      </c>
      <c r="I695" s="7" t="inlineStr">
        <is>
          <t>INVESTIGACIONES</t>
        </is>
      </c>
      <c r="J695" s="7" t="inlineStr">
        <is>
          <t>PLANTA</t>
        </is>
      </c>
      <c r="K695" s="7" t="inlineStr">
        <is>
          <t>MARGARITA PUERTA</t>
        </is>
      </c>
      <c r="L695" s="7" t="n">
        <v/>
      </c>
      <c r="M695" s="7" t="n">
        <v/>
      </c>
      <c r="N695" s="7" t="n">
        <v>3058191746</v>
      </c>
      <c r="O695" s="7" t="inlineStr">
        <is>
          <t>mariafernandamolano@hotmail.com</t>
        </is>
      </c>
      <c r="P695" s="7" t="inlineStr">
        <is>
          <t>BTA SEDE CHAP</t>
        </is>
      </c>
      <c r="Q695" s="7" t="inlineStr">
        <is>
          <t>INVESTIGACIONES</t>
        </is>
      </c>
      <c r="R695" s="7" t="inlineStr">
        <is>
          <t>Salón Audiencia sede F</t>
        </is>
      </c>
    </row>
    <row r="696" ht="20" customHeight="1">
      <c r="A696" s="3" t="inlineStr">
        <is>
          <t>1221964314</t>
        </is>
      </c>
      <c r="B696" s="4" t="inlineStr">
        <is>
          <t>VIRTUAL</t>
        </is>
      </c>
      <c r="C696" s="4" t="inlineStr">
        <is>
          <t>LUZ ADRIANA GENOY HERNANDEZ</t>
        </is>
      </c>
      <c r="D696" s="4" t="inlineStr">
        <is>
          <t>INNOVACION E INVESTIGACION</t>
        </is>
      </c>
      <c r="E696" s="4" t="inlineStr">
        <is>
          <t>REGIONAL MAGDALENA</t>
        </is>
      </c>
      <c r="F696" s="4" t="inlineStr">
        <is>
          <t>SANTA MARTA</t>
        </is>
      </c>
      <c r="G696" s="4" t="inlineStr">
        <is>
          <t>PRESENCIAL</t>
        </is>
      </c>
      <c r="H696" s="4" t="inlineStr">
        <is>
          <t>DOC AUX T&amp;T/N/TC/INVESTIGA/INVESTIGACIO</t>
        </is>
      </c>
      <c r="I696" s="4" t="inlineStr">
        <is>
          <t>INVESTIGACIONES</t>
        </is>
      </c>
      <c r="J696" s="4" t="inlineStr">
        <is>
          <t>PLANTA</t>
        </is>
      </c>
      <c r="K696" s="4" t="inlineStr">
        <is>
          <t>MARGARITA PUERTA</t>
        </is>
      </c>
      <c r="L696" s="4" t="n">
        <v/>
      </c>
      <c r="M696" s="4" t="n">
        <v/>
      </c>
      <c r="N696" s="4" t="n">
        <v>3023679406</v>
      </c>
      <c r="O696" s="4" t="inlineStr">
        <is>
          <t>luzadrianagenoyh@gmail.com</t>
        </is>
      </c>
      <c r="P696" s="4" t="inlineStr">
        <is>
          <t>SANTA MARTA SEDE</t>
        </is>
      </c>
      <c r="Q696" s="4" t="inlineStr">
        <is>
          <t>INVESTIGACIONES</t>
        </is>
      </c>
      <c r="R696" s="4" t="n">
        <v/>
      </c>
    </row>
    <row r="697" ht="20" customHeight="1">
      <c r="A697" s="6" t="inlineStr">
        <is>
          <t>52837475</t>
        </is>
      </c>
      <c r="B697" s="7" t="inlineStr">
        <is>
          <t>PRESENCIAL BOGOTÁ</t>
        </is>
      </c>
      <c r="C697" s="7" t="inlineStr">
        <is>
          <t>LILIAN KATHERINE SANJUAN PABON</t>
        </is>
      </c>
      <c r="D697" s="7" t="inlineStr">
        <is>
          <t>INNOVACION E INVESTIGACION</t>
        </is>
      </c>
      <c r="E697" s="7" t="inlineStr">
        <is>
          <t>REGIONAL BOGOTA</t>
        </is>
      </c>
      <c r="F697" s="7" t="inlineStr">
        <is>
          <t>BOGOTA CENTRO</t>
        </is>
      </c>
      <c r="G697" s="7" t="inlineStr">
        <is>
          <t>VIRTUAL</t>
        </is>
      </c>
      <c r="H697" s="7" t="inlineStr">
        <is>
          <t>DOC ASOC/N/V/TC/INVESTIGACIONES/INVESTIG</t>
        </is>
      </c>
      <c r="I697" s="7" t="inlineStr">
        <is>
          <t>INVESTIGACIONES</t>
        </is>
      </c>
      <c r="J697" s="7" t="inlineStr">
        <is>
          <t>PLANTA</t>
        </is>
      </c>
      <c r="K697" s="7" t="inlineStr">
        <is>
          <t>MARGARITA PUERTA</t>
        </is>
      </c>
      <c r="L697" s="7" t="n">
        <v/>
      </c>
      <c r="M697" s="7" t="n">
        <v/>
      </c>
      <c r="N697" s="7" t="n">
        <v>3204571530</v>
      </c>
      <c r="O697" s="7" t="inlineStr">
        <is>
          <t>kathesanjuan@hotmail.com</t>
        </is>
      </c>
      <c r="P697" s="7" t="inlineStr">
        <is>
          <t>BTA SEDE A</t>
        </is>
      </c>
      <c r="Q697" s="7" t="inlineStr">
        <is>
          <t>INVESTIGACIONES</t>
        </is>
      </c>
      <c r="R697" s="7" t="inlineStr">
        <is>
          <t>Salón Audiencia sede F</t>
        </is>
      </c>
    </row>
    <row r="698" ht="20" customHeight="1">
      <c r="A698" s="3" t="inlineStr">
        <is>
          <t>76327577</t>
        </is>
      </c>
      <c r="B698" s="4" t="inlineStr">
        <is>
          <t>VIRTUAL</t>
        </is>
      </c>
      <c r="C698" s="4" t="inlineStr">
        <is>
          <t>JIMMY JEOVANY POLINDARA VELASCO</t>
        </is>
      </c>
      <c r="D698" s="4" t="inlineStr">
        <is>
          <t>INNOVACION E INVESTIGACION</t>
        </is>
      </c>
      <c r="E698" s="4" t="inlineStr">
        <is>
          <t>REGIONAL VALLE DELCAUCA</t>
        </is>
      </c>
      <c r="F698" s="4" t="inlineStr">
        <is>
          <t>CALI</t>
        </is>
      </c>
      <c r="G698" s="4" t="inlineStr">
        <is>
          <t>VIRTUAL</t>
        </is>
      </c>
      <c r="H698" s="4" t="inlineStr">
        <is>
          <t>DOC AUX/N/V/TC/INVESTIGACIONES/INVESTIGACI</t>
        </is>
      </c>
      <c r="I698" s="4" t="inlineStr">
        <is>
          <t>INVESTIGACIONES</t>
        </is>
      </c>
      <c r="J698" s="4" t="inlineStr">
        <is>
          <t>PLANTA</t>
        </is>
      </c>
      <c r="K698" s="4" t="inlineStr">
        <is>
          <t>MARGARITA PUERTA</t>
        </is>
      </c>
      <c r="L698" s="4" t="n">
        <v/>
      </c>
      <c r="M698" s="4" t="n">
        <v/>
      </c>
      <c r="N698" s="4" t="n">
        <v>3142463975</v>
      </c>
      <c r="O698" s="4" t="inlineStr">
        <is>
          <t>WMORENO0428@GMAIL.COM</t>
        </is>
      </c>
      <c r="P698" s="4" t="inlineStr">
        <is>
          <t>CALI</t>
        </is>
      </c>
      <c r="Q698" s="4" t="inlineStr">
        <is>
          <t>INVESTIGACIONES</t>
        </is>
      </c>
      <c r="R698" s="4" t="n">
        <v/>
      </c>
    </row>
    <row r="699" ht="20" customHeight="1">
      <c r="A699" s="6" t="inlineStr">
        <is>
          <t>52384395</t>
        </is>
      </c>
      <c r="B699" s="7" t="inlineStr">
        <is>
          <t>PRESENCIAL REGIONAL</t>
        </is>
      </c>
      <c r="C699" s="7" t="inlineStr">
        <is>
          <t>MARLENE FLOREZ GUTIERREZ</t>
        </is>
      </c>
      <c r="D699" s="7" t="inlineStr">
        <is>
          <t>INNOVACION E INVESTIGACION</t>
        </is>
      </c>
      <c r="E699" s="7" t="inlineStr">
        <is>
          <t>REGIONAL SUCRE</t>
        </is>
      </c>
      <c r="F699" s="7" t="inlineStr">
        <is>
          <t>SINCELEJO</t>
        </is>
      </c>
      <c r="G699" s="7" t="inlineStr">
        <is>
          <t>VIRTUAL</t>
        </is>
      </c>
      <c r="H699" s="7" t="inlineStr">
        <is>
          <t>DOC ASIS/N/V/TC/INVESTIGACIONES/INVESTIG</t>
        </is>
      </c>
      <c r="I699" s="7" t="inlineStr">
        <is>
          <t>INVESTIGACIONES</t>
        </is>
      </c>
      <c r="J699" s="7" t="inlineStr">
        <is>
          <t>PLANTA</t>
        </is>
      </c>
      <c r="K699" s="7" t="inlineStr">
        <is>
          <t>MARGARITA PUERTA</t>
        </is>
      </c>
      <c r="L699" s="7" t="n">
        <v/>
      </c>
      <c r="M699" s="7" t="n">
        <v/>
      </c>
      <c r="N699" s="7" t="n">
        <v>3008261178</v>
      </c>
      <c r="O699" s="7" t="inlineStr">
        <is>
          <t>MARLEFLOREZ@HOTMAIL.COM</t>
        </is>
      </c>
      <c r="P699" s="7" t="inlineStr">
        <is>
          <t>SINCELEJO SEDE</t>
        </is>
      </c>
      <c r="Q699" s="7" t="inlineStr">
        <is>
          <t>INVESTIGACIONES</t>
        </is>
      </c>
      <c r="R699" s="7" t="n">
        <v/>
      </c>
    </row>
    <row r="700" ht="20" customHeight="1">
      <c r="A700" s="3" t="inlineStr">
        <is>
          <t>80201070</t>
        </is>
      </c>
      <c r="B700" s="4" t="inlineStr">
        <is>
          <t>PRESENCIAL BOGOTÁ</t>
        </is>
      </c>
      <c r="C700" s="4" t="inlineStr">
        <is>
          <t>JULIO ANDRES SALGADO REYES</t>
        </is>
      </c>
      <c r="D700" s="4" t="inlineStr">
        <is>
          <t>INNOVACION E INVESTIGACION</t>
        </is>
      </c>
      <c r="E700" s="4" t="inlineStr">
        <is>
          <t>REGIONAL BOGOTA</t>
        </is>
      </c>
      <c r="F700" s="4" t="inlineStr">
        <is>
          <t>BOGOTA CENTRO</t>
        </is>
      </c>
      <c r="G700" s="4" t="inlineStr">
        <is>
          <t>PRESENCIAL</t>
        </is>
      </c>
      <c r="H700" s="4" t="inlineStr">
        <is>
          <t>DOCENTE ASIS/N/TC/INVESTIGA/INVESTIGACIO</t>
        </is>
      </c>
      <c r="I700" s="4" t="inlineStr">
        <is>
          <t>INVESTIGACIONES</t>
        </is>
      </c>
      <c r="J700" s="4" t="inlineStr">
        <is>
          <t>PLANTA</t>
        </is>
      </c>
      <c r="K700" s="4" t="inlineStr">
        <is>
          <t>MARGARITA PUERTA</t>
        </is>
      </c>
      <c r="L700" s="4" t="n">
        <v/>
      </c>
      <c r="M700" s="4" t="n">
        <v/>
      </c>
      <c r="N700" s="4" t="n">
        <v>3208007380</v>
      </c>
      <c r="O700" s="4" t="inlineStr">
        <is>
          <t>JULIO751@GMAIL.COM</t>
        </is>
      </c>
      <c r="P700" s="4" t="inlineStr">
        <is>
          <t>BTA SEDE CHAP</t>
        </is>
      </c>
      <c r="Q700" s="4" t="inlineStr">
        <is>
          <t>INVESTIGACIONES</t>
        </is>
      </c>
      <c r="R700" s="4" t="inlineStr">
        <is>
          <t>Salón Audiencia sede F</t>
        </is>
      </c>
    </row>
    <row r="701" ht="20" customHeight="1">
      <c r="A701" s="6" t="inlineStr">
        <is>
          <t>80658337</t>
        </is>
      </c>
      <c r="B701" s="7" t="inlineStr">
        <is>
          <t>PRESENCIAL BOGOTÁ</t>
        </is>
      </c>
      <c r="C701" s="7" t="inlineStr">
        <is>
          <t>OSCAR LIBARDO RODRIGUEZ MONTAÑO</t>
        </is>
      </c>
      <c r="D701" s="7" t="inlineStr">
        <is>
          <t>INNOVACION E INVESTIGACION</t>
        </is>
      </c>
      <c r="E701" s="7" t="inlineStr">
        <is>
          <t>REGIONAL BOGOTA</t>
        </is>
      </c>
      <c r="F701" s="7" t="inlineStr">
        <is>
          <t>BOGOTA CENTRO</t>
        </is>
      </c>
      <c r="G701" s="7" t="inlineStr">
        <is>
          <t>PRESENCIAL</t>
        </is>
      </c>
      <c r="H701" s="7" t="inlineStr">
        <is>
          <t>DOCENTE TITU/N/TC/INVESTIGA/INVESTIGACIO</t>
        </is>
      </c>
      <c r="I701" s="7" t="inlineStr">
        <is>
          <t>INVESTIGACIONES</t>
        </is>
      </c>
      <c r="J701" s="7" t="inlineStr">
        <is>
          <t>PLANTA</t>
        </is>
      </c>
      <c r="K701" s="7" t="inlineStr">
        <is>
          <t>MARGARITA PUERTA</t>
        </is>
      </c>
      <c r="L701" s="7" t="n">
        <v/>
      </c>
      <c r="M701" s="7" t="n">
        <v/>
      </c>
      <c r="N701" s="7" t="n">
        <v>3003539779</v>
      </c>
      <c r="O701" s="7" t="inlineStr">
        <is>
          <t>olrodriguezm@unal.edu.co</t>
        </is>
      </c>
      <c r="P701" s="7" t="inlineStr">
        <is>
          <t>BTA SEDE CHAP</t>
        </is>
      </c>
      <c r="Q701" s="7" t="inlineStr">
        <is>
          <t>INVESTIGACIONES</t>
        </is>
      </c>
      <c r="R701" s="7" t="inlineStr">
        <is>
          <t>Salón Audiencia sede F</t>
        </is>
      </c>
    </row>
    <row r="702" ht="20" customHeight="1">
      <c r="A702" s="3" t="inlineStr">
        <is>
          <t>1019044140</t>
        </is>
      </c>
      <c r="B702" s="4" t="inlineStr">
        <is>
          <t>PRESENCIAL BOGOTÁ</t>
        </is>
      </c>
      <c r="C702" s="4" t="inlineStr">
        <is>
          <t>DIANA PAOLA CRUZ VELASQUEZ</t>
        </is>
      </c>
      <c r="D702" s="4" t="inlineStr">
        <is>
          <t>INNOVACION E INVESTIGACION</t>
        </is>
      </c>
      <c r="E702" s="4" t="inlineStr">
        <is>
          <t>REGIONAL BOGOTA</t>
        </is>
      </c>
      <c r="F702" s="4" t="inlineStr">
        <is>
          <t>BOGOTA CENTRO</t>
        </is>
      </c>
      <c r="G702" s="4" t="inlineStr">
        <is>
          <t>PRESENCIAL</t>
        </is>
      </c>
      <c r="H702" s="4" t="inlineStr">
        <is>
          <t>DOC AUX T&amp;T/N/TC/INVESTIGACIONES/INVESTI</t>
        </is>
      </c>
      <c r="I702" s="4" t="inlineStr">
        <is>
          <t>INVESTIGACIONES</t>
        </is>
      </c>
      <c r="J702" s="4" t="inlineStr">
        <is>
          <t>PLANTA</t>
        </is>
      </c>
      <c r="K702" s="4" t="inlineStr">
        <is>
          <t>MARGARITA PUERTA</t>
        </is>
      </c>
      <c r="L702" s="4" t="n">
        <v/>
      </c>
      <c r="M702" s="4" t="n">
        <v/>
      </c>
      <c r="N702" s="4" t="n">
        <v>3014372947</v>
      </c>
      <c r="O702" s="4" t="inlineStr">
        <is>
          <t>CRUZNANA3@GMAIL.COM</t>
        </is>
      </c>
      <c r="P702" s="4" t="inlineStr">
        <is>
          <t>BTA SEDE J</t>
        </is>
      </c>
      <c r="Q702" s="4" t="inlineStr">
        <is>
          <t>INVESTIGACIONES</t>
        </is>
      </c>
      <c r="R702" s="4" t="inlineStr">
        <is>
          <t>Salón Audiencia sede F</t>
        </is>
      </c>
    </row>
    <row r="703" ht="20" customHeight="1">
      <c r="A703" s="6" t="inlineStr">
        <is>
          <t>1077857943</t>
        </is>
      </c>
      <c r="B703" s="7" t="inlineStr">
        <is>
          <t>PRESENCIAL BOGOTÁ</t>
        </is>
      </c>
      <c r="C703" s="7" t="inlineStr">
        <is>
          <t>SINDY JULIETH BARRERA SUAREZ</t>
        </is>
      </c>
      <c r="D703" s="7" t="inlineStr">
        <is>
          <t>INNOVACION E INVESTIGACION</t>
        </is>
      </c>
      <c r="E703" s="7" t="inlineStr">
        <is>
          <t>REGIONAL BOGOTA</t>
        </is>
      </c>
      <c r="F703" s="7" t="inlineStr">
        <is>
          <t>BOGOTA CENTRO</t>
        </is>
      </c>
      <c r="G703" s="7" t="inlineStr">
        <is>
          <t>PRESENCIAL</t>
        </is>
      </c>
      <c r="H703" s="7" t="inlineStr">
        <is>
          <t>DOCENTE AUX/N/TC/INVESTIGA/INVESTIGACION</t>
        </is>
      </c>
      <c r="I703" s="7" t="inlineStr">
        <is>
          <t>INVESTIGACIONES</t>
        </is>
      </c>
      <c r="J703" s="7" t="inlineStr">
        <is>
          <t>PLANTA</t>
        </is>
      </c>
      <c r="K703" s="7" t="inlineStr">
        <is>
          <t>MARGARITA PUERTA</t>
        </is>
      </c>
      <c r="L703" s="7" t="n">
        <v/>
      </c>
      <c r="M703" s="7" t="n">
        <v/>
      </c>
      <c r="N703" s="7" t="n">
        <v>3184832238</v>
      </c>
      <c r="O703" s="7" t="inlineStr">
        <is>
          <t>BSINDYJULIETH@GMAIL.COM</t>
        </is>
      </c>
      <c r="P703" s="7" t="inlineStr">
        <is>
          <t>BTA SEDE G</t>
        </is>
      </c>
      <c r="Q703" s="7" t="inlineStr">
        <is>
          <t>INVESTIGACIONES</t>
        </is>
      </c>
      <c r="R703" s="7" t="inlineStr">
        <is>
          <t>Salón Audiencia sede F</t>
        </is>
      </c>
    </row>
    <row r="704" ht="20" customHeight="1">
      <c r="A704" s="3" t="inlineStr">
        <is>
          <t>1095913345</t>
        </is>
      </c>
      <c r="B704" s="4" t="inlineStr">
        <is>
          <t>PRESENCIAL BOGOTÁ</t>
        </is>
      </c>
      <c r="C704" s="4" t="inlineStr">
        <is>
          <t>SERGIO ARMANDO RUEDA GOMEZ</t>
        </is>
      </c>
      <c r="D704" s="4" t="inlineStr">
        <is>
          <t>INNOVACION E INVESTIGACION</t>
        </is>
      </c>
      <c r="E704" s="4" t="inlineStr">
        <is>
          <t>REGIONAL BOGOTA</t>
        </is>
      </c>
      <c r="F704" s="4" t="inlineStr">
        <is>
          <t>BOGOTA CENTRO</t>
        </is>
      </c>
      <c r="G704" s="4" t="inlineStr">
        <is>
          <t>VIRTUAL</t>
        </is>
      </c>
      <c r="H704" s="4" t="inlineStr">
        <is>
          <t>DOC ASIS/N/V/TC/INVESTIGACIONES/INVESTIG</t>
        </is>
      </c>
      <c r="I704" s="4" t="inlineStr">
        <is>
          <t>INVESTIGACIONES</t>
        </is>
      </c>
      <c r="J704" s="4" t="inlineStr">
        <is>
          <t>PLANTA</t>
        </is>
      </c>
      <c r="K704" s="4" t="inlineStr">
        <is>
          <t>MARGARITA PUERTA</t>
        </is>
      </c>
      <c r="L704" s="4" t="n">
        <v/>
      </c>
      <c r="M704" s="4" t="n">
        <v/>
      </c>
      <c r="N704" s="4" t="n">
        <v>3142338162</v>
      </c>
      <c r="O704" s="4" t="inlineStr">
        <is>
          <t>sergio.armando.rueda@gmail.com</t>
        </is>
      </c>
      <c r="P704" s="4" t="inlineStr">
        <is>
          <t>BTA SEDE A</t>
        </is>
      </c>
      <c r="Q704" s="4" t="inlineStr">
        <is>
          <t>INVESTIGACIONES</t>
        </is>
      </c>
      <c r="R704" s="4" t="inlineStr">
        <is>
          <t>Salón Audiencia sede F</t>
        </is>
      </c>
    </row>
    <row r="705" ht="20" customHeight="1">
      <c r="A705" s="6" t="inlineStr">
        <is>
          <t>1075227985</t>
        </is>
      </c>
      <c r="B705" s="7" t="inlineStr">
        <is>
          <t>PRESENCIAL REGIONAL</t>
        </is>
      </c>
      <c r="C705" s="7" t="inlineStr">
        <is>
          <t>DIEGO FELIPE DIAZ TOVAR</t>
        </is>
      </c>
      <c r="D705" s="7" t="inlineStr">
        <is>
          <t>INNOVACION E INVESTIGACION</t>
        </is>
      </c>
      <c r="E705" s="7" t="inlineStr">
        <is>
          <t>REGIONAL HUILA</t>
        </is>
      </c>
      <c r="F705" s="7" t="inlineStr">
        <is>
          <t>NEIVA</t>
        </is>
      </c>
      <c r="G705" s="7" t="inlineStr">
        <is>
          <t>VIRTUAL</t>
        </is>
      </c>
      <c r="H705" s="7" t="inlineStr">
        <is>
          <t>DOC ASIS/N/V/TC/INVESTIGACIONES/INVESTIG</t>
        </is>
      </c>
      <c r="I705" s="7" t="inlineStr">
        <is>
          <t>INVESTIGACIONES</t>
        </is>
      </c>
      <c r="J705" s="7" t="inlineStr">
        <is>
          <t>PLANTA</t>
        </is>
      </c>
      <c r="K705" s="7" t="inlineStr">
        <is>
          <t>MARGARITA PUERTA</t>
        </is>
      </c>
      <c r="L705" s="7" t="inlineStr">
        <is>
          <t>CONFIRMADO PRESENCIAL</t>
        </is>
      </c>
      <c r="M705" s="7" t="n">
        <v/>
      </c>
      <c r="N705" s="7" t="n">
        <v>3182379251</v>
      </c>
      <c r="O705" s="7" t="inlineStr">
        <is>
          <t>difedito@gmail.com</t>
        </is>
      </c>
      <c r="P705" s="7" t="inlineStr">
        <is>
          <t>NEIVA SEDE</t>
        </is>
      </c>
      <c r="Q705" s="7" t="inlineStr">
        <is>
          <t>INVESTIGACIONES</t>
        </is>
      </c>
      <c r="R705" s="7" t="n">
        <v/>
      </c>
    </row>
    <row r="706" ht="20" customHeight="1">
      <c r="A706" s="3" t="inlineStr">
        <is>
          <t>1019069182</t>
        </is>
      </c>
      <c r="B706" s="4" t="inlineStr">
        <is>
          <t>PRESENCIAL BOGOTÁ</t>
        </is>
      </c>
      <c r="C706" s="4" t="inlineStr">
        <is>
          <t>JUAN SEBASTIAN SABOGAL PARRA</t>
        </is>
      </c>
      <c r="D706" s="4" t="inlineStr">
        <is>
          <t>INNOVACION E INVESTIGACION</t>
        </is>
      </c>
      <c r="E706" s="4" t="inlineStr">
        <is>
          <t>REGIONAL BOGOTA</t>
        </is>
      </c>
      <c r="F706" s="4" t="inlineStr">
        <is>
          <t>BOGOTA CENTRO</t>
        </is>
      </c>
      <c r="G706" s="4" t="inlineStr">
        <is>
          <t>PRESENCIAL</t>
        </is>
      </c>
      <c r="H706" s="4" t="inlineStr">
        <is>
          <t>DOCENTE ASIS/N/TC/INVESTIGA/INVESTIGACIO</t>
        </is>
      </c>
      <c r="I706" s="4" t="inlineStr">
        <is>
          <t>INVESTIGACIONES</t>
        </is>
      </c>
      <c r="J706" s="4" t="inlineStr">
        <is>
          <t>PLANTA</t>
        </is>
      </c>
      <c r="K706" s="4" t="inlineStr">
        <is>
          <t>MARGARITA PUERTA</t>
        </is>
      </c>
      <c r="L706" s="4" t="n">
        <v/>
      </c>
      <c r="M706" s="4" t="n">
        <v/>
      </c>
      <c r="N706" s="4" t="n">
        <v>3506555528</v>
      </c>
      <c r="O706" s="4" t="inlineStr">
        <is>
          <t>JSSABOGALP@udistrital.edu.co</t>
        </is>
      </c>
      <c r="P706" s="4" t="inlineStr">
        <is>
          <t>BTA SEDE A</t>
        </is>
      </c>
      <c r="Q706" s="4" t="inlineStr">
        <is>
          <t>INVESTIGACIONES</t>
        </is>
      </c>
      <c r="R706" s="4" t="inlineStr">
        <is>
          <t>Salón Audiencia sede F</t>
        </is>
      </c>
    </row>
    <row r="707" ht="20" customHeight="1">
      <c r="A707" s="6" t="inlineStr">
        <is>
          <t>1122139244</t>
        </is>
      </c>
      <c r="B707" s="7" t="inlineStr">
        <is>
          <t>PRESENCIAL BOGOTÁ</t>
        </is>
      </c>
      <c r="C707" s="7" t="inlineStr">
        <is>
          <t>LEIDY NOREDY PUYO GIRALDO</t>
        </is>
      </c>
      <c r="D707" s="7" t="inlineStr">
        <is>
          <t>INNOVACION E INVESTIGACION</t>
        </is>
      </c>
      <c r="E707" s="7" t="inlineStr">
        <is>
          <t>REGIONAL BOGOTA</t>
        </is>
      </c>
      <c r="F707" s="7" t="inlineStr">
        <is>
          <t>BOGOTA CENTRO</t>
        </is>
      </c>
      <c r="G707" s="7" t="inlineStr">
        <is>
          <t>PRESENCIAL</t>
        </is>
      </c>
      <c r="H707" s="7" t="inlineStr">
        <is>
          <t>DOCENTE ASIS/N/TC/INVESTIGA/INVESTIGACIO</t>
        </is>
      </c>
      <c r="I707" s="7" t="inlineStr">
        <is>
          <t>INVESTIGACIONES</t>
        </is>
      </c>
      <c r="J707" s="7" t="inlineStr">
        <is>
          <t>PLANTA</t>
        </is>
      </c>
      <c r="K707" s="7" t="inlineStr">
        <is>
          <t>MARGARITA PUERTA</t>
        </is>
      </c>
      <c r="L707" s="7" t="inlineStr">
        <is>
          <t>CONFIRMADO PRESENCIAL</t>
        </is>
      </c>
      <c r="M707" s="7" t="n">
        <v/>
      </c>
      <c r="N707" s="7" t="n">
        <v>3115882465</v>
      </c>
      <c r="O707" s="7" t="inlineStr">
        <is>
          <t>lpuyogiraldo@gmail.com</t>
        </is>
      </c>
      <c r="P707" s="7" t="inlineStr">
        <is>
          <t>BTA SEDE CHAP</t>
        </is>
      </c>
      <c r="Q707" s="7" t="inlineStr">
        <is>
          <t>INVESTIGACIONES</t>
        </is>
      </c>
      <c r="R707" s="7" t="inlineStr">
        <is>
          <t>Salón Audiencia sede F</t>
        </is>
      </c>
    </row>
    <row r="708" ht="20" customHeight="1">
      <c r="A708" s="3" t="inlineStr">
        <is>
          <t>1026292388</t>
        </is>
      </c>
      <c r="B708" s="4" t="inlineStr">
        <is>
          <t>PRESENCIAL BOGOTÁ</t>
        </is>
      </c>
      <c r="C708" s="4" t="inlineStr">
        <is>
          <t>LUIS FELIPE JIMENEZ SANCHEZ</t>
        </is>
      </c>
      <c r="D708" s="4" t="inlineStr">
        <is>
          <t>INNOVACION E INVESTIGACION</t>
        </is>
      </c>
      <c r="E708" s="4" t="inlineStr">
        <is>
          <t>REGIONAL BOGOTA</t>
        </is>
      </c>
      <c r="F708" s="4" t="inlineStr">
        <is>
          <t>BOGOTA CENTRO</t>
        </is>
      </c>
      <c r="G708" s="4" t="inlineStr">
        <is>
          <t>PRESENCIAL</t>
        </is>
      </c>
      <c r="H708" s="4" t="inlineStr">
        <is>
          <t>DOCENTE ASOC/N/TC/INVESTIGA/INVESTIGACIO</t>
        </is>
      </c>
      <c r="I708" s="4" t="inlineStr">
        <is>
          <t>INVESTIGACIONES</t>
        </is>
      </c>
      <c r="J708" s="4" t="inlineStr">
        <is>
          <t>PLANTA</t>
        </is>
      </c>
      <c r="K708" s="4" t="inlineStr">
        <is>
          <t>MARGARITA PUERTA</t>
        </is>
      </c>
      <c r="L708" s="4" t="inlineStr">
        <is>
          <t>CONFIRMADO PRESENCIAL</t>
        </is>
      </c>
      <c r="M708" s="4" t="n">
        <v/>
      </c>
      <c r="N708" s="4" t="n">
        <v>3123213674</v>
      </c>
      <c r="O708" s="4" t="inlineStr">
        <is>
          <t>luisjfelipej@gmail.com</t>
        </is>
      </c>
      <c r="P708" s="4" t="inlineStr">
        <is>
          <t>BTA SEDE CHAP</t>
        </is>
      </c>
      <c r="Q708" s="4" t="inlineStr">
        <is>
          <t>INVESTIGACIONES</t>
        </is>
      </c>
      <c r="R708" s="4" t="inlineStr">
        <is>
          <t>Salón Audiencia sede F</t>
        </is>
      </c>
    </row>
    <row r="709" ht="20" customHeight="1">
      <c r="A709" s="6" t="inlineStr">
        <is>
          <t>1015424668</t>
        </is>
      </c>
      <c r="B709" s="7" t="inlineStr">
        <is>
          <t>PRESENCIAL BOGOTÁ</t>
        </is>
      </c>
      <c r="C709" s="7" t="inlineStr">
        <is>
          <t>SERGIO ENRIQUE CLAVIJO MORENO</t>
        </is>
      </c>
      <c r="D709" s="7" t="inlineStr">
        <is>
          <t>INNOVACION E INVESTIGACION</t>
        </is>
      </c>
      <c r="E709" s="7" t="inlineStr">
        <is>
          <t>REGIONAL BOGOTA</t>
        </is>
      </c>
      <c r="F709" s="7" t="inlineStr">
        <is>
          <t>BOGOTA CENTRO</t>
        </is>
      </c>
      <c r="G709" s="7" t="inlineStr">
        <is>
          <t>PRESENCIAL</t>
        </is>
      </c>
      <c r="H709" s="7" t="inlineStr">
        <is>
          <t>DOCENTE ASOC/N/TC/INVESTIGA/INVESTIGACIO</t>
        </is>
      </c>
      <c r="I709" s="7" t="inlineStr">
        <is>
          <t>INVESTIGACIONES</t>
        </is>
      </c>
      <c r="J709" s="7" t="inlineStr">
        <is>
          <t>PLANTA</t>
        </is>
      </c>
      <c r="K709" s="7" t="inlineStr">
        <is>
          <t>MARGARITA PUERTA</t>
        </is>
      </c>
      <c r="L709" s="7" t="inlineStr">
        <is>
          <t>SIN RESPUESTA</t>
        </is>
      </c>
      <c r="M709" s="7" t="inlineStr">
        <is>
          <t>3 llamadas a correo de voz</t>
        </is>
      </c>
      <c r="N709" s="7" t="n">
        <v>3057671829</v>
      </c>
      <c r="O709" s="7" t="inlineStr">
        <is>
          <t>SERGHIO_2407@HOTMAIL.COM</t>
        </is>
      </c>
      <c r="P709" s="7" t="inlineStr">
        <is>
          <t>BTA SEDE CHAP</t>
        </is>
      </c>
      <c r="Q709" s="7" t="inlineStr">
        <is>
          <t>INVESTIGACIONES</t>
        </is>
      </c>
      <c r="R709" s="7" t="inlineStr">
        <is>
          <t>Salón Audiencia sede F</t>
        </is>
      </c>
    </row>
    <row r="710" ht="20" customHeight="1">
      <c r="A710" s="3" t="inlineStr">
        <is>
          <t>1010162787</t>
        </is>
      </c>
      <c r="B710" s="4" t="inlineStr">
        <is>
          <t>PRESENCIAL BOGOTÁ</t>
        </is>
      </c>
      <c r="C710" s="4" t="inlineStr">
        <is>
          <t>LILIAM ANGGELINE ALONSO PALACIOS</t>
        </is>
      </c>
      <c r="D710" s="4" t="inlineStr">
        <is>
          <t>INNOVACION E INVESTIGACION</t>
        </is>
      </c>
      <c r="E710" s="4" t="inlineStr">
        <is>
          <t>REGIONAL BOGOTA</t>
        </is>
      </c>
      <c r="F710" s="4" t="inlineStr">
        <is>
          <t>BOGOTA CENTRO</t>
        </is>
      </c>
      <c r="G710" s="4" t="inlineStr">
        <is>
          <t>PRESENCIAL</t>
        </is>
      </c>
      <c r="H710" s="4" t="inlineStr">
        <is>
          <t>DOCENTE AUX/N/TC/INVESTIGA/INVESTIGACION</t>
        </is>
      </c>
      <c r="I710" s="4" t="inlineStr">
        <is>
          <t>INVESTIGACIONES</t>
        </is>
      </c>
      <c r="J710" s="4" t="inlineStr">
        <is>
          <t>PLANTA</t>
        </is>
      </c>
      <c r="K710" s="4" t="inlineStr">
        <is>
          <t>MARGARITA PUERTA</t>
        </is>
      </c>
      <c r="L710" s="4" t="inlineStr">
        <is>
          <t>CONFIRMADO PRESENCIAL</t>
        </is>
      </c>
      <c r="M710" s="4" t="n">
        <v/>
      </c>
      <c r="N710" s="4" t="n">
        <v>3202372894</v>
      </c>
      <c r="O710" s="4" t="inlineStr">
        <is>
          <t>ANGGELINE11@GMAIL.COM</t>
        </is>
      </c>
      <c r="P710" s="4" t="inlineStr">
        <is>
          <t>BTA SEDE CHAP</t>
        </is>
      </c>
      <c r="Q710" s="4" t="inlineStr">
        <is>
          <t>INVESTIGACIONES</t>
        </is>
      </c>
      <c r="R710" s="4" t="inlineStr">
        <is>
          <t>Salón Audiencia sede F</t>
        </is>
      </c>
    </row>
    <row r="711" ht="20" customHeight="1">
      <c r="A711" s="6" t="inlineStr">
        <is>
          <t>1098737903</t>
        </is>
      </c>
      <c r="B711" s="7" t="inlineStr">
        <is>
          <t>PRESENCIAL BOGOTÁ</t>
        </is>
      </c>
      <c r="C711" s="7" t="inlineStr">
        <is>
          <t>MILDRE YURANI HERNANDEZ RAMIREZ</t>
        </is>
      </c>
      <c r="D711" s="7" t="inlineStr">
        <is>
          <t>INNOVACION E INVESTIGACION</t>
        </is>
      </c>
      <c r="E711" s="7" t="inlineStr">
        <is>
          <t>REGIONAL BOGOTA</t>
        </is>
      </c>
      <c r="F711" s="7" t="inlineStr">
        <is>
          <t>BOGOTA CENTRO</t>
        </is>
      </c>
      <c r="G711" s="7" t="inlineStr">
        <is>
          <t>VIRTUAL</t>
        </is>
      </c>
      <c r="H711" s="7" t="inlineStr">
        <is>
          <t>DOC ASOC/N/V/TC/INVESTIGACIONES/INVESTIG</t>
        </is>
      </c>
      <c r="I711" s="7" t="inlineStr">
        <is>
          <t>INVESTIGACIONES</t>
        </is>
      </c>
      <c r="J711" s="7" t="inlineStr">
        <is>
          <t>PLANTA</t>
        </is>
      </c>
      <c r="K711" s="7" t="inlineStr">
        <is>
          <t>MARGARITA PUERTA</t>
        </is>
      </c>
      <c r="L711" s="7" t="inlineStr">
        <is>
          <t>CONFIRMADO PRESENCIAL</t>
        </is>
      </c>
      <c r="M711" s="7" t="inlineStr">
        <is>
          <t xml:space="preserve">LLega sobre las 5 y 30 pm </t>
        </is>
      </c>
      <c r="N711" s="7" t="n">
        <v>3502819303</v>
      </c>
      <c r="O711" s="7" t="inlineStr">
        <is>
          <t>MILDREHER05@GMAIL.COM</t>
        </is>
      </c>
      <c r="P711" s="7" t="inlineStr">
        <is>
          <t>BTA SEDE A</t>
        </is>
      </c>
      <c r="Q711" s="7" t="inlineStr">
        <is>
          <t>INVESTIGACIONES</t>
        </is>
      </c>
      <c r="R711" s="7" t="inlineStr">
        <is>
          <t>Salón Audiencia sede F</t>
        </is>
      </c>
    </row>
    <row r="712" ht="20" customHeight="1">
      <c r="A712" s="3" t="inlineStr">
        <is>
          <t>1102803464</t>
        </is>
      </c>
      <c r="B712" s="4" t="inlineStr">
        <is>
          <t>PRESENCIAL REGIONAL</t>
        </is>
      </c>
      <c r="C712" s="4" t="inlineStr">
        <is>
          <t>JAIDER JAVIER DE LA ROSA BERTEL</t>
        </is>
      </c>
      <c r="D712" s="4" t="inlineStr">
        <is>
          <t>INNOVACION E INVESTIGACION</t>
        </is>
      </c>
      <c r="E712" s="4" t="inlineStr">
        <is>
          <t>REGIONAL SUCRE</t>
        </is>
      </c>
      <c r="F712" s="4" t="inlineStr">
        <is>
          <t>SINCELEJO</t>
        </is>
      </c>
      <c r="G712" s="4" t="inlineStr">
        <is>
          <t>PRESENCIAL</t>
        </is>
      </c>
      <c r="H712" s="4" t="inlineStr">
        <is>
          <t>DOCENTE ASOC/N/TC/INVESTIGA/INVESTIGACIO</t>
        </is>
      </c>
      <c r="I712" s="4" t="inlineStr">
        <is>
          <t>INVESTIGACIONES</t>
        </is>
      </c>
      <c r="J712" s="4" t="inlineStr">
        <is>
          <t>PLANTA</t>
        </is>
      </c>
      <c r="K712" s="4" t="inlineStr">
        <is>
          <t>MARGARITA PUERTA</t>
        </is>
      </c>
      <c r="L712" s="4" t="inlineStr">
        <is>
          <t>CONFIRMADO PRESENCIAL</t>
        </is>
      </c>
      <c r="M712" s="4" t="inlineStr">
        <is>
          <t xml:space="preserve">Sede sincelejo </t>
        </is>
      </c>
      <c r="N712" s="4" t="n">
        <v>3206843374</v>
      </c>
      <c r="O712" s="4" t="inlineStr">
        <is>
          <t>ingenierojaiderdelarosa@gmail.com</t>
        </is>
      </c>
      <c r="P712" s="4" t="inlineStr">
        <is>
          <t>SINCELEJO SEDE</t>
        </is>
      </c>
      <c r="Q712" s="4" t="inlineStr">
        <is>
          <t>INVESTIGACIONES</t>
        </is>
      </c>
      <c r="R712" s="4" t="n">
        <v/>
      </c>
    </row>
    <row r="713" ht="20" customHeight="1">
      <c r="A713" s="6" t="inlineStr">
        <is>
          <t>1032405208</t>
        </is>
      </c>
      <c r="B713" s="7" t="inlineStr">
        <is>
          <t>PRESENCIAL BOGOTÁ</t>
        </is>
      </c>
      <c r="C713" s="7" t="inlineStr">
        <is>
          <t>PABLO ANDRES CASTRO HENAO</t>
        </is>
      </c>
      <c r="D713" s="7" t="inlineStr">
        <is>
          <t>INNOVACION E INVESTIGACION</t>
        </is>
      </c>
      <c r="E713" s="7" t="inlineStr">
        <is>
          <t>REGIONAL BOGOTA</t>
        </is>
      </c>
      <c r="F713" s="7" t="inlineStr">
        <is>
          <t>BOGOTA CENTRO</t>
        </is>
      </c>
      <c r="G713" s="7" t="inlineStr">
        <is>
          <t>PRESENCIAL</t>
        </is>
      </c>
      <c r="H713" s="7" t="inlineStr">
        <is>
          <t>DOCENTE ASIS/N/TC/INVESTIGA/INVESTIGACIO</t>
        </is>
      </c>
      <c r="I713" s="7" t="inlineStr">
        <is>
          <t>INVESTIGACIONES</t>
        </is>
      </c>
      <c r="J713" s="7" t="inlineStr">
        <is>
          <t>PLANTA</t>
        </is>
      </c>
      <c r="K713" s="7" t="inlineStr">
        <is>
          <t>MARGARITA PUERTA</t>
        </is>
      </c>
      <c r="L713" s="7" t="inlineStr">
        <is>
          <t>CONFIRMADO PRESENCIAL</t>
        </is>
      </c>
      <c r="M713" s="7" t="n">
        <v/>
      </c>
      <c r="N713" s="7" t="n">
        <v>3118410074</v>
      </c>
      <c r="O713" s="7" t="inlineStr">
        <is>
          <t>pacastrohenao@gmail.com</t>
        </is>
      </c>
      <c r="P713" s="7" t="inlineStr">
        <is>
          <t>BTA SEDE CHAP</t>
        </is>
      </c>
      <c r="Q713" s="7" t="inlineStr">
        <is>
          <t>INVESTIGACIONES</t>
        </is>
      </c>
      <c r="R713" s="7" t="inlineStr">
        <is>
          <t>Salón Audiencia sede F</t>
        </is>
      </c>
    </row>
    <row r="714" ht="20" customHeight="1">
      <c r="A714" s="3" t="inlineStr">
        <is>
          <t>1000330011</t>
        </is>
      </c>
      <c r="B714" s="4" t="inlineStr">
        <is>
          <t>PRESENCIAL BOGOTÁ</t>
        </is>
      </c>
      <c r="C714" s="4" t="inlineStr">
        <is>
          <t>CAMILO ANDRES BARAJAS ROZO</t>
        </is>
      </c>
      <c r="D714" s="4" t="inlineStr">
        <is>
          <t>INNOVACION E INVESTIGACION</t>
        </is>
      </c>
      <c r="E714" s="4" t="inlineStr">
        <is>
          <t>REGIONAL BOGOTA</t>
        </is>
      </c>
      <c r="F714" s="4" t="inlineStr">
        <is>
          <t>BOGOTA CENTRO</t>
        </is>
      </c>
      <c r="G714" s="4" t="inlineStr">
        <is>
          <t>PRESENCIAL</t>
        </is>
      </c>
      <c r="H714" s="4" t="inlineStr">
        <is>
          <t>DOC AUX T&amp;T/N/TC/INVESTIGA/INVESTIGACIO</t>
        </is>
      </c>
      <c r="I714" s="4" t="inlineStr">
        <is>
          <t>INVESTIGACIONES</t>
        </is>
      </c>
      <c r="J714" s="4" t="inlineStr">
        <is>
          <t>PLANTA</t>
        </is>
      </c>
      <c r="K714" s="4" t="inlineStr">
        <is>
          <t>MARGARITA PUERTA</t>
        </is>
      </c>
      <c r="L714" s="4" t="inlineStr">
        <is>
          <t>SIN RESPUESTA</t>
        </is>
      </c>
      <c r="M714" s="4" t="n">
        <v/>
      </c>
      <c r="N714" s="4" t="n">
        <v>3197015686</v>
      </c>
      <c r="O714" s="4" t="inlineStr">
        <is>
          <t>camiandres20013@gmail.com</t>
        </is>
      </c>
      <c r="P714" s="4" t="inlineStr">
        <is>
          <t>BTA SEDE CHAP</t>
        </is>
      </c>
      <c r="Q714" s="4" t="inlineStr">
        <is>
          <t>INVESTIGACIONES</t>
        </is>
      </c>
      <c r="R714" s="4" t="inlineStr">
        <is>
          <t>Salón Audiencia sede F</t>
        </is>
      </c>
    </row>
    <row r="715" ht="20" customHeight="1">
      <c r="A715" s="6" t="inlineStr">
        <is>
          <t>80192830</t>
        </is>
      </c>
      <c r="B715" s="7" t="inlineStr">
        <is>
          <t>VIRTUAL</t>
        </is>
      </c>
      <c r="C715" s="7" t="inlineStr">
        <is>
          <t>ANDRES CAMILO CORREA NUÑEZ</t>
        </is>
      </c>
      <c r="D715" s="7" t="inlineStr">
        <is>
          <t>INNOVACION E INVESTIGACION</t>
        </is>
      </c>
      <c r="E715" s="7" t="inlineStr">
        <is>
          <t>REGIONAL BOYACA</t>
        </is>
      </c>
      <c r="F715" s="7" t="inlineStr">
        <is>
          <t>TUNJA</t>
        </is>
      </c>
      <c r="G715" s="7" t="inlineStr">
        <is>
          <t>VIRTUAL</t>
        </is>
      </c>
      <c r="H715" s="7" t="inlineStr">
        <is>
          <t>DOC ASOC/N/V/TC/INVESTIGACIONES/INVESTIG</t>
        </is>
      </c>
      <c r="I715" s="7" t="inlineStr">
        <is>
          <t>INVESTIGACIONES</t>
        </is>
      </c>
      <c r="J715" s="7" t="inlineStr">
        <is>
          <t>PLANTA</t>
        </is>
      </c>
      <c r="K715" s="7" t="inlineStr">
        <is>
          <t>MARGARITA PUERTA</t>
        </is>
      </c>
      <c r="L715" s="7" t="inlineStr">
        <is>
          <t>CONFIRMADO VIRTUAL</t>
        </is>
      </c>
      <c r="M715" s="7" t="n">
        <v/>
      </c>
      <c r="N715" s="7" t="n">
        <v>3158463025</v>
      </c>
      <c r="O715" s="7" t="inlineStr">
        <is>
          <t>ACAMILOCORREAN@GMAIL.COM</t>
        </is>
      </c>
      <c r="P715" s="7" t="inlineStr">
        <is>
          <t>TUNJA SEDE</t>
        </is>
      </c>
      <c r="Q715" s="7" t="inlineStr">
        <is>
          <t>INVESTIGACIONES</t>
        </is>
      </c>
      <c r="R715" s="7" t="n">
        <v/>
      </c>
    </row>
    <row r="716" ht="20" customHeight="1">
      <c r="A716" s="3" t="inlineStr">
        <is>
          <t>79955605</t>
        </is>
      </c>
      <c r="B716" s="4" t="inlineStr">
        <is>
          <t>PRESENCIAL BOGOTÁ</t>
        </is>
      </c>
      <c r="C716" s="4" t="inlineStr">
        <is>
          <t>RAFAEL FRANCISCO DIAZ VASQUEZ</t>
        </is>
      </c>
      <c r="D716" s="4" t="inlineStr">
        <is>
          <t>INNOVACION E INVESTIGACION</t>
        </is>
      </c>
      <c r="E716" s="4" t="inlineStr">
        <is>
          <t>REGIONAL BOGOTA</t>
        </is>
      </c>
      <c r="F716" s="4" t="inlineStr">
        <is>
          <t>BOGOTA NORTE</t>
        </is>
      </c>
      <c r="G716" s="4" t="inlineStr">
        <is>
          <t>PRESENCIAL</t>
        </is>
      </c>
      <c r="H716" s="4" t="inlineStr">
        <is>
          <t>DOC AUX T&amp;T/N/TC/INVESTIGA/INVESTIGACIO</t>
        </is>
      </c>
      <c r="I716" s="4" t="inlineStr">
        <is>
          <t>INVESTIGACIONES</t>
        </is>
      </c>
      <c r="J716" s="4" t="inlineStr">
        <is>
          <t>PLANTA</t>
        </is>
      </c>
      <c r="K716" s="4" t="inlineStr">
        <is>
          <t>MARGARITA PUERTA</t>
        </is>
      </c>
      <c r="L716" s="4" t="inlineStr">
        <is>
          <t>CONFIRMADO PRESENCIAL</t>
        </is>
      </c>
      <c r="M716" s="4" t="n">
        <v/>
      </c>
      <c r="N716" s="4" t="n">
        <v>3196899479</v>
      </c>
      <c r="O716" s="4" t="inlineStr">
        <is>
          <t>rafaeldia@gmail.com</t>
        </is>
      </c>
      <c r="P716" s="4" t="inlineStr">
        <is>
          <t>BTA SEDE CHAP</t>
        </is>
      </c>
      <c r="Q716" s="4" t="inlineStr">
        <is>
          <t>INVESTIGACIONES</t>
        </is>
      </c>
      <c r="R716" s="4" t="inlineStr">
        <is>
          <t>Salón Audiencia sede F</t>
        </is>
      </c>
    </row>
    <row r="717" ht="20" customHeight="1">
      <c r="A717" s="6" t="inlineStr">
        <is>
          <t>80732722</t>
        </is>
      </c>
      <c r="B717" s="7" t="inlineStr">
        <is>
          <t>PRESENCIAL BOGOTÁ</t>
        </is>
      </c>
      <c r="C717" s="7" t="inlineStr">
        <is>
          <t>WILLIAM GIOVANNI MORENO AVILA</t>
        </is>
      </c>
      <c r="D717" s="7" t="inlineStr">
        <is>
          <t>INNOVACION E INVESTIGACION</t>
        </is>
      </c>
      <c r="E717" s="7" t="inlineStr">
        <is>
          <t>REGIONAL BOGOTA</t>
        </is>
      </c>
      <c r="F717" s="7" t="inlineStr">
        <is>
          <t>BOGOTA CENTRO</t>
        </is>
      </c>
      <c r="G717" s="7" t="inlineStr">
        <is>
          <t>VIRTUAL</t>
        </is>
      </c>
      <c r="H717" s="7" t="inlineStr">
        <is>
          <t>DOC ASIS/N/V/TC/INVESTIGACIONES/INVESTIG</t>
        </is>
      </c>
      <c r="I717" s="7" t="inlineStr">
        <is>
          <t>INVESTIGACIONES</t>
        </is>
      </c>
      <c r="J717" s="7" t="inlineStr">
        <is>
          <t>PLANTA</t>
        </is>
      </c>
      <c r="K717" s="7" t="inlineStr">
        <is>
          <t>MARGARITA PUERTA</t>
        </is>
      </c>
      <c r="L717" s="7" t="inlineStr">
        <is>
          <t>SIN RESPUESTA</t>
        </is>
      </c>
      <c r="M717" s="7" t="inlineStr">
        <is>
          <t>3 llamadas a correo de voz</t>
        </is>
      </c>
      <c r="N717" s="7" t="n">
        <v>3142463975</v>
      </c>
      <c r="O717" s="7" t="inlineStr">
        <is>
          <t>WMORENO0428@GMAIL.COM</t>
        </is>
      </c>
      <c r="P717" s="7" t="inlineStr">
        <is>
          <t>BTA SEDE A</t>
        </is>
      </c>
      <c r="Q717" s="7" t="inlineStr">
        <is>
          <t>INVESTIGACIONES</t>
        </is>
      </c>
      <c r="R717" s="7" t="inlineStr">
        <is>
          <t>Salón Audiencia sede F</t>
        </is>
      </c>
    </row>
    <row r="718" ht="20" customHeight="1">
      <c r="A718" s="3" t="inlineStr">
        <is>
          <t>80150634</t>
        </is>
      </c>
      <c r="B718" s="4" t="inlineStr">
        <is>
          <t>PRESENCIAL BOGOTÁ</t>
        </is>
      </c>
      <c r="C718" s="4" t="inlineStr">
        <is>
          <t>GILBERTO MOLINA CASALLAS</t>
        </is>
      </c>
      <c r="D718" s="4" t="inlineStr">
        <is>
          <t>OPERACIONES</t>
        </is>
      </c>
      <c r="E718" s="4" t="inlineStr">
        <is>
          <t>REGIONAL BOGOTA</t>
        </is>
      </c>
      <c r="F718" s="4" t="inlineStr">
        <is>
          <t>BOGOTA CENTRO</t>
        </is>
      </c>
      <c r="G718" s="4" t="inlineStr">
        <is>
          <t>PRESENCIAL</t>
        </is>
      </c>
      <c r="H718" s="4" t="inlineStr">
        <is>
          <t>DOCENTE AUX/N/TC/NEGO INTER/FUN.ACADE-ADMIN</t>
        </is>
      </c>
      <c r="I718" s="4" t="inlineStr">
        <is>
          <t>NEGOCIOS INTERNACIONALES</t>
        </is>
      </c>
      <c r="J718" s="4" t="inlineStr">
        <is>
          <t>PLANTA</t>
        </is>
      </c>
      <c r="K718" s="4" t="inlineStr">
        <is>
          <t>MARGARITA PUERTA</t>
        </is>
      </c>
      <c r="L718" s="4" t="inlineStr">
        <is>
          <t>CONFIRMADO PRESENCIAL</t>
        </is>
      </c>
      <c r="M718" s="4" t="inlineStr">
        <is>
          <t xml:space="preserve">LLega sobre las 5 y 30 pm </t>
        </is>
      </c>
      <c r="N718" s="4" t="n">
        <v>3187941913</v>
      </c>
      <c r="O718" s="4" t="inlineStr">
        <is>
          <t>gilbertomolinamba@gmail.com</t>
        </is>
      </c>
      <c r="P718" s="4" t="inlineStr">
        <is>
          <t>BTA SEDE D</t>
        </is>
      </c>
      <c r="Q718" s="4" t="inlineStr">
        <is>
          <t>NEGOCIOS</t>
        </is>
      </c>
      <c r="R718" s="4" t="n">
        <v>201</v>
      </c>
    </row>
    <row r="719" ht="20" customHeight="1">
      <c r="A719" s="6" t="inlineStr">
        <is>
          <t>91294411</t>
        </is>
      </c>
      <c r="B719" s="7" t="inlineStr">
        <is>
          <t>VIRTUAL</t>
        </is>
      </c>
      <c r="C719" s="7" t="inlineStr">
        <is>
          <t>JAIME ALEXANDER RANGEL CÁCERES</t>
        </is>
      </c>
      <c r="D719" s="7" t="inlineStr">
        <is>
          <t>OPERACIONES</t>
        </is>
      </c>
      <c r="E719" s="7" t="inlineStr">
        <is>
          <t>REGIONAL SANTANDER</t>
        </is>
      </c>
      <c r="F719" s="7" t="inlineStr">
        <is>
          <t>BUCARAMANGA</t>
        </is>
      </c>
      <c r="G719" s="7" t="inlineStr">
        <is>
          <t>VIRTUAL</t>
        </is>
      </c>
      <c r="H719" s="7" t="inlineStr">
        <is>
          <t>DOC AUX/N/V/TC/NEG INTER/FUN.ACADE-ADMIN</t>
        </is>
      </c>
      <c r="I719" s="7" t="inlineStr">
        <is>
          <t>NEGOCIOS INTERNACIONALES</t>
        </is>
      </c>
      <c r="J719" s="7" t="inlineStr">
        <is>
          <t>PLANTA</t>
        </is>
      </c>
      <c r="K719" s="7" t="inlineStr">
        <is>
          <t>MARGARITA PUERTA</t>
        </is>
      </c>
      <c r="L719" s="7" t="inlineStr">
        <is>
          <t>CONFIRMADO VIRTUAL</t>
        </is>
      </c>
      <c r="M719" s="7" t="n">
        <v/>
      </c>
      <c r="N719" s="7" t="n">
        <v>3168736764</v>
      </c>
      <c r="O719" s="7" t="inlineStr">
        <is>
          <t>COMERCIOEXTERIOR1973@HOTMAIL.COM</t>
        </is>
      </c>
      <c r="P719" s="7" t="inlineStr">
        <is>
          <t>BGA SEDE</t>
        </is>
      </c>
      <c r="Q719" s="7" t="inlineStr">
        <is>
          <t>NEGOCIOS</t>
        </is>
      </c>
      <c r="R719" s="7" t="n">
        <v/>
      </c>
    </row>
    <row r="720" ht="20" customHeight="1">
      <c r="A720" s="3" t="inlineStr">
        <is>
          <t>79788559</t>
        </is>
      </c>
      <c r="B720" s="4" t="inlineStr">
        <is>
          <t>PRESENCIAL BOGOTÁ</t>
        </is>
      </c>
      <c r="C720" s="4" t="inlineStr">
        <is>
          <t>CESAR AUGUSTO SAMPEDRO DIAZ</t>
        </is>
      </c>
      <c r="D720" s="4" t="inlineStr">
        <is>
          <t>OPERACIONES</t>
        </is>
      </c>
      <c r="E720" s="4" t="inlineStr">
        <is>
          <t>REGIONAL BOGOTA</t>
        </is>
      </c>
      <c r="F720" s="4" t="inlineStr">
        <is>
          <t>BOGOTA CENTRO</t>
        </is>
      </c>
      <c r="G720" s="4" t="inlineStr">
        <is>
          <t>PRESENCIAL</t>
        </is>
      </c>
      <c r="H720" s="4" t="inlineStr">
        <is>
          <t>DOCENTE ASOC/N/TC/NEGO INTER/FUN.ACADE-ADMIN</t>
        </is>
      </c>
      <c r="I720" s="4" t="inlineStr">
        <is>
          <t>NEGOCIOS INTERNACIONALES</t>
        </is>
      </c>
      <c r="J720" s="4" t="inlineStr">
        <is>
          <t>PLANTA</t>
        </is>
      </c>
      <c r="K720" s="4" t="inlineStr">
        <is>
          <t>MARGARITA PUERTA</t>
        </is>
      </c>
      <c r="L720" s="4" t="inlineStr">
        <is>
          <t>SIN RESPUESTA</t>
        </is>
      </c>
      <c r="M720" s="4" t="inlineStr">
        <is>
          <t>3 llamadas a correo de voz</t>
        </is>
      </c>
      <c r="N720" s="4" t="n">
        <v>3003019800</v>
      </c>
      <c r="O720" s="4" t="inlineStr">
        <is>
          <t>cesarsampedrod@gmail.com</t>
        </is>
      </c>
      <c r="P720" s="4" t="inlineStr">
        <is>
          <t>BTA SEDE F</t>
        </is>
      </c>
      <c r="Q720" s="4" t="inlineStr">
        <is>
          <t>NEGOCIOS</t>
        </is>
      </c>
      <c r="R720" s="4" t="n">
        <v>201</v>
      </c>
    </row>
    <row r="721" ht="20" customHeight="1">
      <c r="A721" s="6" t="inlineStr">
        <is>
          <t>1015412447</t>
        </is>
      </c>
      <c r="B721" s="7" t="inlineStr">
        <is>
          <t>PRESENCIAL BOGOTÁ</t>
        </is>
      </c>
      <c r="C721" s="7" t="inlineStr">
        <is>
          <t>JUAN SEBASTIAN GARCIA PEREZ</t>
        </is>
      </c>
      <c r="D721" s="7" t="inlineStr">
        <is>
          <t>OPERACIONES</t>
        </is>
      </c>
      <c r="E721" s="7" t="inlineStr">
        <is>
          <t>REGIONAL BOGOTA</t>
        </is>
      </c>
      <c r="F721" s="7" t="inlineStr">
        <is>
          <t>BOGOTA CENTRO</t>
        </is>
      </c>
      <c r="G721" s="7" t="inlineStr">
        <is>
          <t>VIRTUAL</t>
        </is>
      </c>
      <c r="H721" s="7" t="inlineStr">
        <is>
          <t>DOC ASIS/N/V/TC/NEG INTER/FUN.ACADE-ADMIN</t>
        </is>
      </c>
      <c r="I721" s="7" t="inlineStr">
        <is>
          <t>NEGOCIOS INTERNACIONALES</t>
        </is>
      </c>
      <c r="J721" s="7" t="inlineStr">
        <is>
          <t>PLANTA</t>
        </is>
      </c>
      <c r="K721" s="7" t="inlineStr">
        <is>
          <t>MARGARITA PUERTA</t>
        </is>
      </c>
      <c r="L721" s="7" t="inlineStr">
        <is>
          <t>CONFIRMADO PRESENCIAL</t>
        </is>
      </c>
      <c r="M721" s="7" t="n">
        <v/>
      </c>
      <c r="N721" s="7" t="n">
        <v>3208549872</v>
      </c>
      <c r="O721" s="7" t="inlineStr">
        <is>
          <t>garciap.juans@gmail.com</t>
        </is>
      </c>
      <c r="P721" s="7" t="inlineStr">
        <is>
          <t>BTA SEDE A</t>
        </is>
      </c>
      <c r="Q721" s="7" t="inlineStr">
        <is>
          <t>NEGOCIOS</t>
        </is>
      </c>
      <c r="R721" s="7" t="n">
        <v>201</v>
      </c>
    </row>
    <row r="722" ht="20" customHeight="1">
      <c r="A722" s="3" t="inlineStr">
        <is>
          <t>1033694078</t>
        </is>
      </c>
      <c r="B722" s="4" t="inlineStr">
        <is>
          <t>PRESENCIAL BOGOTÁ</t>
        </is>
      </c>
      <c r="C722" s="4" t="inlineStr">
        <is>
          <t>LUZ MARY VALDERRAMA CARVAJAL</t>
        </is>
      </c>
      <c r="D722" s="4" t="inlineStr">
        <is>
          <t>OPERACIONES</t>
        </is>
      </c>
      <c r="E722" s="4" t="inlineStr">
        <is>
          <t>REGIONAL BOGOTA</t>
        </is>
      </c>
      <c r="F722" s="4" t="inlineStr">
        <is>
          <t>BOGOTA CENTRO</t>
        </is>
      </c>
      <c r="G722" s="4" t="inlineStr">
        <is>
          <t>PRESENCIAL</t>
        </is>
      </c>
      <c r="H722" s="4" t="inlineStr">
        <is>
          <t>DOC AUX T&amp;T/N/MT/NEGO INTER</t>
        </is>
      </c>
      <c r="I722" s="4" t="inlineStr">
        <is>
          <t>NEGOCIOS INTERNACIONALES</t>
        </is>
      </c>
      <c r="J722" s="4" t="inlineStr">
        <is>
          <t>PLANTA</t>
        </is>
      </c>
      <c r="K722" s="4" t="inlineStr">
        <is>
          <t>MAYRA SANCHEZ</t>
        </is>
      </c>
      <c r="L722" s="4" t="inlineStr">
        <is>
          <t>CONFIRMADO PRESENCIAL</t>
        </is>
      </c>
      <c r="M722" s="4" t="n">
        <v/>
      </c>
      <c r="N722" s="4" t="n">
        <v>3115170418</v>
      </c>
      <c r="O722" s="4" t="inlineStr">
        <is>
          <t>maryeta-426@hotmail.com</t>
        </is>
      </c>
      <c r="P722" s="4" t="inlineStr">
        <is>
          <t>BTA SEDE J</t>
        </is>
      </c>
      <c r="Q722" s="4" t="inlineStr">
        <is>
          <t>NEGOCIOS</t>
        </is>
      </c>
      <c r="R722" s="4" t="n">
        <v>201</v>
      </c>
    </row>
    <row r="723" ht="20" customHeight="1">
      <c r="A723" s="6" t="inlineStr">
        <is>
          <t>1013643932</t>
        </is>
      </c>
      <c r="B723" s="7" t="inlineStr">
        <is>
          <t>PRESENCIAL BOGOTÁ</t>
        </is>
      </c>
      <c r="C723" s="7" t="inlineStr">
        <is>
          <t>JAVIER OSWALDO PAEZ MURCIA</t>
        </is>
      </c>
      <c r="D723" s="7" t="inlineStr">
        <is>
          <t>OPERACIONES</t>
        </is>
      </c>
      <c r="E723" s="7" t="inlineStr">
        <is>
          <t>REGIONAL BOGOTA</t>
        </is>
      </c>
      <c r="F723" s="7" t="inlineStr">
        <is>
          <t>BOGOTA CENTRO</t>
        </is>
      </c>
      <c r="G723" s="7" t="inlineStr">
        <is>
          <t>PRESENCIAL</t>
        </is>
      </c>
      <c r="H723" s="7" t="inlineStr">
        <is>
          <t>DOCENTE ASIS/N/TC/NEGO INTER/FUN.ACADE-ADMIN</t>
        </is>
      </c>
      <c r="I723" s="7" t="inlineStr">
        <is>
          <t>NEGOCIOS INTERNACIONALES</t>
        </is>
      </c>
      <c r="J723" s="7" t="inlineStr">
        <is>
          <t>PLANTA</t>
        </is>
      </c>
      <c r="K723" s="7" t="inlineStr">
        <is>
          <t>MAYRA SANCHEZ</t>
        </is>
      </c>
      <c r="L723" s="7" t="inlineStr">
        <is>
          <t>SIN RESPUESTA</t>
        </is>
      </c>
      <c r="M723" s="7" t="n">
        <v/>
      </c>
      <c r="N723" s="7" t="n">
        <v>3005279695</v>
      </c>
      <c r="O723" s="7" t="inlineStr">
        <is>
          <t>PAEZ_0810@HOTMAIL.COM</t>
        </is>
      </c>
      <c r="P723" s="7" t="inlineStr">
        <is>
          <t>BTA SEDE J</t>
        </is>
      </c>
      <c r="Q723" s="7" t="inlineStr">
        <is>
          <t>NEGOCIOS</t>
        </is>
      </c>
      <c r="R723" s="7" t="n">
        <v>201</v>
      </c>
    </row>
    <row r="724" ht="20" customHeight="1">
      <c r="A724" s="3" t="inlineStr">
        <is>
          <t>1014262560</t>
        </is>
      </c>
      <c r="B724" s="4" t="inlineStr">
        <is>
          <t>PRESENCIAL BOGOTÁ</t>
        </is>
      </c>
      <c r="C724" s="4" t="inlineStr">
        <is>
          <t>SERGIO NICOLAS CARDENAS BARRERA</t>
        </is>
      </c>
      <c r="D724" s="4" t="inlineStr">
        <is>
          <t>OPERACIONES</t>
        </is>
      </c>
      <c r="E724" s="4" t="inlineStr">
        <is>
          <t>REGIONAL BOGOTA</t>
        </is>
      </c>
      <c r="F724" s="4" t="inlineStr">
        <is>
          <t>BOGOTA CENTRO</t>
        </is>
      </c>
      <c r="G724" s="4" t="inlineStr">
        <is>
          <t>PRESENCIAL</t>
        </is>
      </c>
      <c r="H724" s="4" t="inlineStr">
        <is>
          <t>DOCENTE ASIS/N/TC/NEGO INTER/FUN.ACADE-ADMIN</t>
        </is>
      </c>
      <c r="I724" s="4" t="inlineStr">
        <is>
          <t>NEGOCIOS INTERNACIONALES</t>
        </is>
      </c>
      <c r="J724" s="4" t="inlineStr">
        <is>
          <t>PLANTA</t>
        </is>
      </c>
      <c r="K724" s="4" t="inlineStr">
        <is>
          <t>MAYRA SANCHEZ</t>
        </is>
      </c>
      <c r="L724" s="4" t="inlineStr">
        <is>
          <t>SIN RESPUESTA</t>
        </is>
      </c>
      <c r="M724" s="4" t="n">
        <v/>
      </c>
      <c r="N724" s="4" t="n">
        <v>3104832564</v>
      </c>
      <c r="O724" s="4" t="inlineStr">
        <is>
          <t>sergionicolasc@yahoo.com</t>
        </is>
      </c>
      <c r="P724" s="4" t="inlineStr">
        <is>
          <t>BTA SEDE F</t>
        </is>
      </c>
      <c r="Q724" s="4" t="inlineStr">
        <is>
          <t>NEGOCIOS</t>
        </is>
      </c>
      <c r="R724" s="4" t="n">
        <v>201</v>
      </c>
    </row>
    <row r="725" ht="20" customHeight="1">
      <c r="A725" s="6" t="inlineStr">
        <is>
          <t>1016002948</t>
        </is>
      </c>
      <c r="B725" s="7" t="inlineStr">
        <is>
          <t>PRESENCIAL BOGOTÁ</t>
        </is>
      </c>
      <c r="C725" s="7" t="inlineStr">
        <is>
          <t>LESLY YULIANA SANCHEZ MONJE</t>
        </is>
      </c>
      <c r="D725" s="7" t="inlineStr">
        <is>
          <t>OPERACIONES</t>
        </is>
      </c>
      <c r="E725" s="7" t="inlineStr">
        <is>
          <t>REGIONAL BOGOTA</t>
        </is>
      </c>
      <c r="F725" s="7" t="inlineStr">
        <is>
          <t>BOGOTA CENTRO</t>
        </is>
      </c>
      <c r="G725" s="7" t="inlineStr">
        <is>
          <t>VIRTUAL</t>
        </is>
      </c>
      <c r="H725" s="7" t="inlineStr">
        <is>
          <t>DOC AUX/N/V/MT/NEG INTER</t>
        </is>
      </c>
      <c r="I725" s="7" t="inlineStr">
        <is>
          <t>NEGOCIOS INTERNACIONALES</t>
        </is>
      </c>
      <c r="J725" s="7" t="inlineStr">
        <is>
          <t>PLANTA</t>
        </is>
      </c>
      <c r="K725" s="7" t="inlineStr">
        <is>
          <t>MAYRA SANCHEZ</t>
        </is>
      </c>
      <c r="L725" s="7" t="inlineStr">
        <is>
          <t>CONFIRMADO PRESENCIAL</t>
        </is>
      </c>
      <c r="M725" s="7" t="n">
        <v/>
      </c>
      <c r="N725" s="7" t="n">
        <v>3005754314</v>
      </c>
      <c r="O725" s="7" t="inlineStr">
        <is>
          <t>Yulianasanchezm1@hotmail.com</t>
        </is>
      </c>
      <c r="P725" s="7" t="inlineStr">
        <is>
          <t>BTA SEDE A</t>
        </is>
      </c>
      <c r="Q725" s="7" t="inlineStr">
        <is>
          <t>NEGOCIOS</t>
        </is>
      </c>
      <c r="R725" s="7" t="n">
        <v>201</v>
      </c>
    </row>
    <row r="726" ht="20" customHeight="1">
      <c r="A726" s="3" t="inlineStr">
        <is>
          <t>80154338</t>
        </is>
      </c>
      <c r="B726" s="4" t="inlineStr">
        <is>
          <t>PRESENCIAL BOGOTÁ</t>
        </is>
      </c>
      <c r="C726" s="4" t="inlineStr">
        <is>
          <t>RAÚL ANDRÉS VILLAMIL VANEGAS</t>
        </is>
      </c>
      <c r="D726" s="4" t="inlineStr">
        <is>
          <t>OPERACIONES</t>
        </is>
      </c>
      <c r="E726" s="4" t="inlineStr">
        <is>
          <t>REGIONAL BOGOTA</t>
        </is>
      </c>
      <c r="F726" s="4" t="inlineStr">
        <is>
          <t>BOGOTA CENTRO</t>
        </is>
      </c>
      <c r="G726" s="4" t="inlineStr">
        <is>
          <t>VIRTUAL</t>
        </is>
      </c>
      <c r="H726" s="4" t="inlineStr">
        <is>
          <t>DOC ASIS/N/V/TC/PUB Y MERC/FUN.ACADE-ADMIN</t>
        </is>
      </c>
      <c r="I726" s="4" t="inlineStr">
        <is>
          <t>PUBLICIDAD Y MERCADEO</t>
        </is>
      </c>
      <c r="J726" s="4" t="inlineStr">
        <is>
          <t>PLANTA</t>
        </is>
      </c>
      <c r="K726" s="4" t="inlineStr">
        <is>
          <t>MAYRA SANCHEZ</t>
        </is>
      </c>
      <c r="L726" s="4" t="inlineStr">
        <is>
          <t>SIN RESPUESTA</t>
        </is>
      </c>
      <c r="M726" s="4" t="n">
        <v/>
      </c>
      <c r="N726" s="4" t="n">
        <v>3102579557</v>
      </c>
      <c r="O726" s="4" t="inlineStr">
        <is>
          <t>rodian.ilich@gmail.com</t>
        </is>
      </c>
      <c r="P726" s="4" t="inlineStr">
        <is>
          <t>BTA SEDE A</t>
        </is>
      </c>
      <c r="Q726" s="4" t="inlineStr">
        <is>
          <t>NEGOCIOS</t>
        </is>
      </c>
      <c r="R726" s="4" t="n">
        <v>201</v>
      </c>
    </row>
    <row r="727" ht="20" customHeight="1">
      <c r="A727" s="6" t="inlineStr">
        <is>
          <t>52869673</t>
        </is>
      </c>
      <c r="B727" s="7" t="inlineStr">
        <is>
          <t>PRESENCIAL BOGOTÁ</t>
        </is>
      </c>
      <c r="C727" s="7" t="inlineStr">
        <is>
          <t>LESLIE DAYAN BARRERA GONZALEZ</t>
        </is>
      </c>
      <c r="D727" s="7" t="inlineStr">
        <is>
          <t>OPERACIONES</t>
        </is>
      </c>
      <c r="E727" s="7" t="inlineStr">
        <is>
          <t>REGIONAL BOGOTA</t>
        </is>
      </c>
      <c r="F727" s="7" t="inlineStr">
        <is>
          <t>BOGOTA CENTRO</t>
        </is>
      </c>
      <c r="G727" s="7" t="inlineStr">
        <is>
          <t>VIRTUAL</t>
        </is>
      </c>
      <c r="H727" s="7" t="inlineStr">
        <is>
          <t>DOC AUX/N/V/TC/PUB Y MERC/FUN.ACADE-ADMIN</t>
        </is>
      </c>
      <c r="I727" s="7" t="inlineStr">
        <is>
          <t>PUBLICIDAD Y MERCADEO</t>
        </is>
      </c>
      <c r="J727" s="7" t="inlineStr">
        <is>
          <t>PLANTA</t>
        </is>
      </c>
      <c r="K727" s="7" t="inlineStr">
        <is>
          <t>MAYRA SANCHEZ</t>
        </is>
      </c>
      <c r="L727" s="7" t="inlineStr">
        <is>
          <t>SIN RESPUESTA</t>
        </is>
      </c>
      <c r="M727" s="7" t="n">
        <v/>
      </c>
      <c r="N727" s="7" t="n">
        <v>3213715383</v>
      </c>
      <c r="O727" s="7" t="inlineStr">
        <is>
          <t>lesliie@gmail.com</t>
        </is>
      </c>
      <c r="P727" s="7" t="inlineStr">
        <is>
          <t>BTA SEDE A</t>
        </is>
      </c>
      <c r="Q727" s="7" t="inlineStr">
        <is>
          <t>NEGOCIOS</t>
        </is>
      </c>
      <c r="R727" s="7" t="n">
        <v>201</v>
      </c>
    </row>
    <row r="728" ht="20" customHeight="1">
      <c r="A728" s="3" t="inlineStr">
        <is>
          <t>79802019</t>
        </is>
      </c>
      <c r="B728" s="4" t="inlineStr">
        <is>
          <t>PRESENCIAL BOGOTÁ</t>
        </is>
      </c>
      <c r="C728" s="4" t="inlineStr">
        <is>
          <t>LUIS GABRIEL LANCHEROS NUÑEZ</t>
        </is>
      </c>
      <c r="D728" s="4" t="inlineStr">
        <is>
          <t>OPERACIONES</t>
        </is>
      </c>
      <c r="E728" s="4" t="inlineStr">
        <is>
          <t>REGIONAL BOGOTA</t>
        </is>
      </c>
      <c r="F728" s="4" t="inlineStr">
        <is>
          <t>BOGOTA CENTRO</t>
        </is>
      </c>
      <c r="G728" s="4" t="inlineStr">
        <is>
          <t>VIRTUAL</t>
        </is>
      </c>
      <c r="H728" s="4" t="inlineStr">
        <is>
          <t>DOC AUX/N/V/TC/PUB Y MERC/FUN.ACADE-ADMIN</t>
        </is>
      </c>
      <c r="I728" s="4" t="inlineStr">
        <is>
          <t>PUBLICIDAD Y MERCADEO</t>
        </is>
      </c>
      <c r="J728" s="4" t="inlineStr">
        <is>
          <t>PLANTA</t>
        </is>
      </c>
      <c r="K728" s="4" t="inlineStr">
        <is>
          <t>MAYRA SANCHEZ</t>
        </is>
      </c>
      <c r="L728" s="4" t="inlineStr">
        <is>
          <t>SIN RESPUESTA</t>
        </is>
      </c>
      <c r="M728" s="4" t="n">
        <v/>
      </c>
      <c r="N728" s="4" t="n">
        <v>3184993961</v>
      </c>
      <c r="O728" s="4" t="inlineStr">
        <is>
          <t>luisgabriel.lancheros@gmail.com</t>
        </is>
      </c>
      <c r="P728" s="4" t="inlineStr">
        <is>
          <t>BTA SEDE A</t>
        </is>
      </c>
      <c r="Q728" s="4" t="inlineStr">
        <is>
          <t>NEGOCIOS</t>
        </is>
      </c>
      <c r="R728" s="4" t="n">
        <v>201</v>
      </c>
    </row>
    <row r="729" ht="20" customHeight="1">
      <c r="A729" s="6" t="inlineStr">
        <is>
          <t>1014178917</t>
        </is>
      </c>
      <c r="B729" s="7" t="inlineStr">
        <is>
          <t>VIRTUAL</t>
        </is>
      </c>
      <c r="C729" s="7" t="inlineStr">
        <is>
          <t>JENNY ALEXANDRA CORREDOR AVILA</t>
        </is>
      </c>
      <c r="D729" s="7" t="inlineStr">
        <is>
          <t>OPERACIONES</t>
        </is>
      </c>
      <c r="E729" s="7" t="inlineStr">
        <is>
          <t>REGIONAL BOYACA</t>
        </is>
      </c>
      <c r="F729" s="7" t="inlineStr">
        <is>
          <t>TUNJA</t>
        </is>
      </c>
      <c r="G729" s="7" t="inlineStr">
        <is>
          <t>VIRTUAL</t>
        </is>
      </c>
      <c r="H729" s="7" t="inlineStr">
        <is>
          <t>DOC ASIS/N/V/TC/PUB Y MERC/FUN.ACADE-ADMIN</t>
        </is>
      </c>
      <c r="I729" s="7" t="inlineStr">
        <is>
          <t>PUBLICIDAD Y MERCADEO</t>
        </is>
      </c>
      <c r="J729" s="7" t="inlineStr">
        <is>
          <t>PLANTA</t>
        </is>
      </c>
      <c r="K729" s="7" t="inlineStr">
        <is>
          <t>MAYRA SANCHEZ</t>
        </is>
      </c>
      <c r="L729" s="7" t="inlineStr">
        <is>
          <t>CONFIRMADO VIRTUAL</t>
        </is>
      </c>
      <c r="M729" s="7" t="n">
        <v/>
      </c>
      <c r="N729" s="7" t="n">
        <v>3017773902</v>
      </c>
      <c r="O729" s="7" t="inlineStr">
        <is>
          <t>alexandracorredoravila@gmail.com</t>
        </is>
      </c>
      <c r="P729" s="7" t="inlineStr">
        <is>
          <t>TUNJA SEDE</t>
        </is>
      </c>
      <c r="Q729" s="7" t="inlineStr">
        <is>
          <t>NEGOCIOS</t>
        </is>
      </c>
      <c r="R729" s="7" t="n">
        <v/>
      </c>
    </row>
    <row r="730" ht="20" customHeight="1">
      <c r="A730" s="3" t="inlineStr">
        <is>
          <t>80227203</t>
        </is>
      </c>
      <c r="B730" s="4" t="inlineStr">
        <is>
          <t>PRESENCIAL BOGOTÁ</t>
        </is>
      </c>
      <c r="C730" s="4" t="inlineStr">
        <is>
          <t>ALEX GENARO MORA CASTRO</t>
        </is>
      </c>
      <c r="D730" s="4" t="inlineStr">
        <is>
          <t>OPERACIONES</t>
        </is>
      </c>
      <c r="E730" s="4" t="inlineStr">
        <is>
          <t>REGIONAL BOGOTA</t>
        </is>
      </c>
      <c r="F730" s="4" t="inlineStr">
        <is>
          <t>BOGOTA CENTRO</t>
        </is>
      </c>
      <c r="G730" s="4" t="inlineStr">
        <is>
          <t>VIRTUAL</t>
        </is>
      </c>
      <c r="H730" s="4" t="inlineStr">
        <is>
          <t>DOC AUX/N/V/TC/PUB Y MERC/FUN.ACADE-ADMIN</t>
        </is>
      </c>
      <c r="I730" s="4" t="inlineStr">
        <is>
          <t>PUBLICIDAD Y MERCADEO</t>
        </is>
      </c>
      <c r="J730" s="4" t="inlineStr">
        <is>
          <t>PLANTA</t>
        </is>
      </c>
      <c r="K730" s="4" t="inlineStr">
        <is>
          <t>MAYRA SANCHEZ</t>
        </is>
      </c>
      <c r="L730" s="4" t="inlineStr">
        <is>
          <t>SIN RESPUESTA</t>
        </is>
      </c>
      <c r="M730" s="4" t="n">
        <v/>
      </c>
      <c r="N730" s="4" t="n">
        <v>3192277205</v>
      </c>
      <c r="O730" s="4" t="inlineStr">
        <is>
          <t>moraag@hotmail.com</t>
        </is>
      </c>
      <c r="P730" s="4" t="inlineStr">
        <is>
          <t>BTA SEDE A</t>
        </is>
      </c>
      <c r="Q730" s="4" t="inlineStr">
        <is>
          <t>NEGOCIOS</t>
        </is>
      </c>
      <c r="R730" s="4" t="n">
        <v>201</v>
      </c>
    </row>
    <row r="731" ht="20" customHeight="1">
      <c r="A731" s="6" t="inlineStr">
        <is>
          <t>79048694</t>
        </is>
      </c>
      <c r="B731" s="7" t="inlineStr">
        <is>
          <t>PRESENCIAL BOGOTÁ</t>
        </is>
      </c>
      <c r="C731" s="7" t="inlineStr">
        <is>
          <t>ALEJANDRO CARDENAS GUALTEROS</t>
        </is>
      </c>
      <c r="D731" s="7" t="inlineStr">
        <is>
          <t>OPERACIONES</t>
        </is>
      </c>
      <c r="E731" s="7" t="inlineStr">
        <is>
          <t>REGIONAL BOGOTA</t>
        </is>
      </c>
      <c r="F731" s="7" t="inlineStr">
        <is>
          <t>BOGOTA CENTRO</t>
        </is>
      </c>
      <c r="G731" s="7" t="inlineStr">
        <is>
          <t>VIRTUAL</t>
        </is>
      </c>
      <c r="H731" s="7" t="inlineStr">
        <is>
          <t>DOC AUX/N/V/TC/PUB Y MERC/FUN.ACADE-ADMIN</t>
        </is>
      </c>
      <c r="I731" s="7" t="inlineStr">
        <is>
          <t>PUBLICIDAD Y MERCADEO</t>
        </is>
      </c>
      <c r="J731" s="7" t="inlineStr">
        <is>
          <t>PLANTA</t>
        </is>
      </c>
      <c r="K731" s="7" t="inlineStr">
        <is>
          <t>MAYRA SANCHEZ</t>
        </is>
      </c>
      <c r="L731" s="7" t="n">
        <v/>
      </c>
      <c r="M731" s="7" t="n">
        <v/>
      </c>
      <c r="N731" s="7" t="n">
        <v>3118123366</v>
      </c>
      <c r="O731" s="7" t="inlineStr">
        <is>
          <t>akardenasg@gmail.com</t>
        </is>
      </c>
      <c r="P731" s="7" t="inlineStr">
        <is>
          <t>BTA SEDE A</t>
        </is>
      </c>
      <c r="Q731" s="7" t="inlineStr">
        <is>
          <t>NEGOCIOS</t>
        </is>
      </c>
      <c r="R731" s="7" t="n">
        <v>201</v>
      </c>
    </row>
    <row r="732" ht="20" customHeight="1">
      <c r="A732" s="3" t="inlineStr">
        <is>
          <t>80221637</t>
        </is>
      </c>
      <c r="B732" s="4" t="inlineStr">
        <is>
          <t>PRESENCIAL BOGOTÁ</t>
        </is>
      </c>
      <c r="C732" s="4" t="inlineStr">
        <is>
          <t>LUIS FERNANDO POVEDA CALDERÓN</t>
        </is>
      </c>
      <c r="D732" s="4" t="inlineStr">
        <is>
          <t>OPERACIONES</t>
        </is>
      </c>
      <c r="E732" s="4" t="inlineStr">
        <is>
          <t>REGIONAL BOGOTA</t>
        </is>
      </c>
      <c r="F732" s="4" t="inlineStr">
        <is>
          <t>BOGOTA CENTRO</t>
        </is>
      </c>
      <c r="G732" s="4" t="inlineStr">
        <is>
          <t>VIRTUAL</t>
        </is>
      </c>
      <c r="H732" s="4" t="inlineStr">
        <is>
          <t>DOC ASIS/N/V/MT/PUB Y MERC</t>
        </is>
      </c>
      <c r="I732" s="4" t="inlineStr">
        <is>
          <t>PUBLICIDAD Y MERCADEO</t>
        </is>
      </c>
      <c r="J732" s="4" t="inlineStr">
        <is>
          <t>PLANTA</t>
        </is>
      </c>
      <c r="K732" s="4" t="inlineStr">
        <is>
          <t>MAYRA SANCHEZ</t>
        </is>
      </c>
      <c r="L732" s="4" t="inlineStr">
        <is>
          <t>CONFIRMADO PRESENCIAL</t>
        </is>
      </c>
      <c r="M732" s="4" t="n">
        <v/>
      </c>
      <c r="N732" s="4" t="n">
        <v>3187871612</v>
      </c>
      <c r="O732" s="4" t="inlineStr">
        <is>
          <t>fernandopovedacalderon@gmail.com</t>
        </is>
      </c>
      <c r="P732" s="4" t="inlineStr">
        <is>
          <t>BTA SEDE A</t>
        </is>
      </c>
      <c r="Q732" s="4" t="inlineStr">
        <is>
          <t>NEGOCIOS</t>
        </is>
      </c>
      <c r="R732" s="4" t="n">
        <v>201</v>
      </c>
    </row>
    <row r="733" ht="20" customHeight="1">
      <c r="A733" s="6" t="inlineStr">
        <is>
          <t>1023879886</t>
        </is>
      </c>
      <c r="B733" s="7" t="inlineStr">
        <is>
          <t>PRESENCIAL BOGOTÁ</t>
        </is>
      </c>
      <c r="C733" s="7" t="inlineStr">
        <is>
          <t>GINA MARCELA AVILA CRUZ</t>
        </is>
      </c>
      <c r="D733" s="7" t="inlineStr">
        <is>
          <t>OPERACIONES</t>
        </is>
      </c>
      <c r="E733" s="7" t="inlineStr">
        <is>
          <t>REGIONAL BOGOTA</t>
        </is>
      </c>
      <c r="F733" s="7" t="inlineStr">
        <is>
          <t>BOGOTA CENTRO</t>
        </is>
      </c>
      <c r="G733" s="7" t="inlineStr">
        <is>
          <t>VIRTUAL</t>
        </is>
      </c>
      <c r="H733" s="7" t="inlineStr">
        <is>
          <t>DOC ASIS/N/V/TC/PUB Y MERC/PROYECCION SO</t>
        </is>
      </c>
      <c r="I733" s="7" t="inlineStr">
        <is>
          <t>PUBLICIDAD Y MERCADEO</t>
        </is>
      </c>
      <c r="J733" s="7" t="inlineStr">
        <is>
          <t>PLANTA</t>
        </is>
      </c>
      <c r="K733" s="7" t="inlineStr">
        <is>
          <t>MAYRA SANCHEZ</t>
        </is>
      </c>
      <c r="L733" s="7" t="n">
        <v/>
      </c>
      <c r="M733" s="7" t="n">
        <v/>
      </c>
      <c r="N733" s="7" t="n">
        <v>3143109929</v>
      </c>
      <c r="O733" s="7" t="inlineStr">
        <is>
          <t>ginavila.c@gmail.com</t>
        </is>
      </c>
      <c r="P733" s="7" t="inlineStr">
        <is>
          <t>BTA SEDE A</t>
        </is>
      </c>
      <c r="Q733" s="7" t="inlineStr">
        <is>
          <t>NEGOCIOS</t>
        </is>
      </c>
      <c r="R733" s="7" t="n">
        <v>201</v>
      </c>
    </row>
    <row r="734" ht="20" customHeight="1">
      <c r="A734" s="3" t="inlineStr">
        <is>
          <t>1024509032</t>
        </is>
      </c>
      <c r="B734" s="4" t="inlineStr">
        <is>
          <t>PRESENCIAL BOGOTÁ</t>
        </is>
      </c>
      <c r="C734" s="4" t="inlineStr">
        <is>
          <t>KATHERINE JULIED MURILLO AVENDAÑO</t>
        </is>
      </c>
      <c r="D734" s="4" t="inlineStr">
        <is>
          <t>OPERACIONES</t>
        </is>
      </c>
      <c r="E734" s="4" t="inlineStr">
        <is>
          <t>REGIONAL BOGOTA</t>
        </is>
      </c>
      <c r="F734" s="4" t="inlineStr">
        <is>
          <t>BOGOTA CENTRO</t>
        </is>
      </c>
      <c r="G734" s="4" t="inlineStr">
        <is>
          <t>VIRTUAL</t>
        </is>
      </c>
      <c r="H734" s="4" t="inlineStr">
        <is>
          <t>DOC AUX/N/V/TC/PUB Y MERC/FUN.ACADE-ADMIN</t>
        </is>
      </c>
      <c r="I734" s="4" t="inlineStr">
        <is>
          <t>PUBLICIDAD Y MERCADEO</t>
        </is>
      </c>
      <c r="J734" s="4" t="inlineStr">
        <is>
          <t>PLANTA</t>
        </is>
      </c>
      <c r="K734" s="4" t="inlineStr">
        <is>
          <t>MAYRA SANCHEZ</t>
        </is>
      </c>
      <c r="L734" s="4" t="n">
        <v/>
      </c>
      <c r="M734" s="4" t="n">
        <v/>
      </c>
      <c r="N734" s="4" t="n">
        <v>3204572571</v>
      </c>
      <c r="O734" s="4" t="inlineStr">
        <is>
          <t>KATHEMURILLO21@GMAIL.COM</t>
        </is>
      </c>
      <c r="P734" s="4" t="inlineStr">
        <is>
          <t>BTA SEDE A</t>
        </is>
      </c>
      <c r="Q734" s="4" t="inlineStr">
        <is>
          <t>NEGOCIOS</t>
        </is>
      </c>
      <c r="R734" s="4" t="n">
        <v>201</v>
      </c>
    </row>
    <row r="735" ht="20" customHeight="1">
      <c r="A735" s="6" t="inlineStr">
        <is>
          <t>1073240682</t>
        </is>
      </c>
      <c r="B735" s="7" t="inlineStr">
        <is>
          <t>PRESENCIAL BOGOTÁ</t>
        </is>
      </c>
      <c r="C735" s="7" t="inlineStr">
        <is>
          <t>OMAR SANTIAGO REY RAMIREZ</t>
        </is>
      </c>
      <c r="D735" s="7" t="inlineStr">
        <is>
          <t>OPERACIONES</t>
        </is>
      </c>
      <c r="E735" s="7" t="inlineStr">
        <is>
          <t>REGIONAL BOGOTA</t>
        </is>
      </c>
      <c r="F735" s="7" t="inlineStr">
        <is>
          <t>BOGOTA CENTRO</t>
        </is>
      </c>
      <c r="G735" s="7" t="inlineStr">
        <is>
          <t>VIRTUAL</t>
        </is>
      </c>
      <c r="H735" s="7" t="inlineStr">
        <is>
          <t>DOC ASIS/N/V/TC/PUB Y MERC/FUN.ACADE-ADMIN</t>
        </is>
      </c>
      <c r="I735" s="7" t="inlineStr">
        <is>
          <t>PUBLICIDAD Y MERCADEO</t>
        </is>
      </c>
      <c r="J735" s="7" t="inlineStr">
        <is>
          <t>PLANTA</t>
        </is>
      </c>
      <c r="K735" s="7" t="inlineStr">
        <is>
          <t>MAYRA SANCHEZ</t>
        </is>
      </c>
      <c r="L735" s="7" t="n">
        <v/>
      </c>
      <c r="M735" s="7" t="n">
        <v/>
      </c>
      <c r="N735" s="7" t="n">
        <v>3207780165</v>
      </c>
      <c r="O735" s="7" t="inlineStr">
        <is>
          <t>omar07santiago@gmail.com</t>
        </is>
      </c>
      <c r="P735" s="7" t="inlineStr">
        <is>
          <t>BTA SEDE A</t>
        </is>
      </c>
      <c r="Q735" s="7" t="inlineStr">
        <is>
          <t>NEGOCIOS</t>
        </is>
      </c>
      <c r="R735" s="7" t="n">
        <v>201</v>
      </c>
    </row>
    <row r="736" ht="20" customHeight="1">
      <c r="A736" s="3" t="inlineStr">
        <is>
          <t>37728258</t>
        </is>
      </c>
      <c r="B736" s="4" t="inlineStr">
        <is>
          <t>VIRTUAL</t>
        </is>
      </c>
      <c r="C736" s="4" t="inlineStr">
        <is>
          <t>LINA MERCEDES PEÑARANDA DELGADO</t>
        </is>
      </c>
      <c r="D736" s="4" t="inlineStr">
        <is>
          <t>OPERACIONES</t>
        </is>
      </c>
      <c r="E736" s="4" t="inlineStr">
        <is>
          <t>REGIONAL SANTANDER</t>
        </is>
      </c>
      <c r="F736" s="4" t="inlineStr">
        <is>
          <t>BUCARAMANGA</t>
        </is>
      </c>
      <c r="G736" s="4" t="inlineStr">
        <is>
          <t>VIRTUAL</t>
        </is>
      </c>
      <c r="H736" s="4" t="inlineStr">
        <is>
          <t>DOC ASIS/N/V/TC/PUB Y MERC/FUN.ACADE-ADMIN</t>
        </is>
      </c>
      <c r="I736" s="4" t="inlineStr">
        <is>
          <t>PUBLICIDAD Y MERCADEO</t>
        </is>
      </c>
      <c r="J736" s="4" t="inlineStr">
        <is>
          <t>PLANTA</t>
        </is>
      </c>
      <c r="K736" s="4" t="inlineStr">
        <is>
          <t>MAYRA SANCHEZ</t>
        </is>
      </c>
      <c r="L736" s="4" t="n">
        <v/>
      </c>
      <c r="M736" s="4" t="n">
        <v/>
      </c>
      <c r="N736" s="4" t="n">
        <v>3006354168</v>
      </c>
      <c r="O736" s="4" t="inlineStr">
        <is>
          <t>LINAPENARANDA@HOTMAIL.COM</t>
        </is>
      </c>
      <c r="P736" s="4" t="inlineStr">
        <is>
          <t>BGA SEDE</t>
        </is>
      </c>
      <c r="Q736" s="4" t="inlineStr">
        <is>
          <t>NEGOCIOS</t>
        </is>
      </c>
      <c r="R736" s="4" t="n">
        <v/>
      </c>
    </row>
    <row r="737" ht="20" customHeight="1">
      <c r="A737" s="6" t="inlineStr">
        <is>
          <t>1110503856</t>
        </is>
      </c>
      <c r="B737" s="7" t="inlineStr">
        <is>
          <t>PRESENCIAL REGIONAL</t>
        </is>
      </c>
      <c r="C737" s="7" t="inlineStr">
        <is>
          <t>ELKIN JAVIER GUAYARA AMON</t>
        </is>
      </c>
      <c r="D737" s="7" t="inlineStr">
        <is>
          <t>OPERACIONES</t>
        </is>
      </c>
      <c r="E737" s="7" t="inlineStr">
        <is>
          <t>REGIONAL TOLIMA</t>
        </is>
      </c>
      <c r="F737" s="7" t="inlineStr">
        <is>
          <t>IBAGUÉ</t>
        </is>
      </c>
      <c r="G737" s="7" t="inlineStr">
        <is>
          <t>VIRTUAL</t>
        </is>
      </c>
      <c r="H737" s="7" t="inlineStr">
        <is>
          <t>DOC AUX/N/V/MT/PUB Y MERC</t>
        </is>
      </c>
      <c r="I737" s="7" t="inlineStr">
        <is>
          <t>PUBLICIDAD Y MERCADEO</t>
        </is>
      </c>
      <c r="J737" s="7" t="inlineStr">
        <is>
          <t>PLANTA</t>
        </is>
      </c>
      <c r="K737" s="7" t="inlineStr">
        <is>
          <t>MAYRA SANCHEZ</t>
        </is>
      </c>
      <c r="L737" s="7" t="n">
        <v/>
      </c>
      <c r="M737" s="7" t="n">
        <v/>
      </c>
      <c r="N737" s="7" t="n">
        <v>3115400394</v>
      </c>
      <c r="O737" s="7" t="inlineStr">
        <is>
          <t>ejguayara@gmail.com</t>
        </is>
      </c>
      <c r="P737" s="7" t="inlineStr">
        <is>
          <t>IBAGUE SEDE</t>
        </is>
      </c>
      <c r="Q737" s="7" t="inlineStr">
        <is>
          <t>NEGOCIOS</t>
        </is>
      </c>
      <c r="R737" s="7" t="n">
        <v/>
      </c>
    </row>
    <row r="738" ht="20" customHeight="1">
      <c r="A738" s="3" t="inlineStr">
        <is>
          <t>1085245324</t>
        </is>
      </c>
      <c r="B738" s="4" t="inlineStr">
        <is>
          <t>VIRTUAL</t>
        </is>
      </c>
      <c r="C738" s="4" t="inlineStr">
        <is>
          <t>CRISTOBAL ANDRES CAJIGAS RUBIO</t>
        </is>
      </c>
      <c r="D738" s="4" t="inlineStr">
        <is>
          <t>OPERACIONES</t>
        </is>
      </c>
      <c r="E738" s="4" t="inlineStr">
        <is>
          <t>REGIONAL NARIÑO</t>
        </is>
      </c>
      <c r="F738" s="4" t="inlineStr">
        <is>
          <t>PASTO</t>
        </is>
      </c>
      <c r="G738" s="4" t="inlineStr">
        <is>
          <t>VIRTUAL</t>
        </is>
      </c>
      <c r="H738" s="4" t="inlineStr">
        <is>
          <t>DOC AUX/N/V/MT/PUB Y MERC</t>
        </is>
      </c>
      <c r="I738" s="4" t="inlineStr">
        <is>
          <t>PUBLICIDAD Y MERCADEO</t>
        </is>
      </c>
      <c r="J738" s="4" t="inlineStr">
        <is>
          <t>PLANTA</t>
        </is>
      </c>
      <c r="K738" s="4" t="inlineStr">
        <is>
          <t>MAYRA SANCHEZ</t>
        </is>
      </c>
      <c r="L738" s="4" t="inlineStr">
        <is>
          <t>SIN RESPUESTA</t>
        </is>
      </c>
      <c r="M738" s="4" t="n">
        <v/>
      </c>
      <c r="N738" s="4" t="n">
        <v>3142078533</v>
      </c>
      <c r="O738" s="4" t="inlineStr">
        <is>
          <t>cristobalcajigas@gmail.com</t>
        </is>
      </c>
      <c r="P738" s="4" t="inlineStr">
        <is>
          <t>PASTO SEDE</t>
        </is>
      </c>
      <c r="Q738" s="4" t="inlineStr">
        <is>
          <t>NEGOCIOS</t>
        </is>
      </c>
      <c r="R738" s="4" t="n">
        <v/>
      </c>
    </row>
    <row r="739" ht="20" customHeight="1">
      <c r="A739" s="6" t="inlineStr">
        <is>
          <t>1098729791</t>
        </is>
      </c>
      <c r="B739" s="7" t="inlineStr">
        <is>
          <t>VIRTUAL</t>
        </is>
      </c>
      <c r="C739" s="7" t="inlineStr">
        <is>
          <t>FRANKIN EDUARDO LOPEZ FLOREZ</t>
        </is>
      </c>
      <c r="D739" s="7" t="inlineStr">
        <is>
          <t>OPERACIONES</t>
        </is>
      </c>
      <c r="E739" s="7" t="inlineStr">
        <is>
          <t>REGIONAL SANTANDER</t>
        </is>
      </c>
      <c r="F739" s="7" t="inlineStr">
        <is>
          <t>BUCARAMANGA</t>
        </is>
      </c>
      <c r="G739" s="7" t="inlineStr">
        <is>
          <t>VIRTUAL</t>
        </is>
      </c>
      <c r="H739" s="7" t="inlineStr">
        <is>
          <t>DOC ASIS/N/V/TC/PUB Y MERC/FUN.ACADE-ADMIN</t>
        </is>
      </c>
      <c r="I739" s="7" t="inlineStr">
        <is>
          <t>PUBLICIDAD Y MERCADEO</t>
        </is>
      </c>
      <c r="J739" s="7" t="inlineStr">
        <is>
          <t>PLANTA</t>
        </is>
      </c>
      <c r="K739" s="7" t="inlineStr">
        <is>
          <t>MAYRA SANCHEZ</t>
        </is>
      </c>
      <c r="L739" s="7" t="n">
        <v/>
      </c>
      <c r="M739" s="7" t="n">
        <v/>
      </c>
      <c r="N739" s="7" t="n">
        <v>3002431367</v>
      </c>
      <c r="O739" s="7" t="inlineStr">
        <is>
          <t>lopezpublicista@hotmail.com</t>
        </is>
      </c>
      <c r="P739" s="7" t="inlineStr">
        <is>
          <t>BGA SEDE</t>
        </is>
      </c>
      <c r="Q739" s="7" t="inlineStr">
        <is>
          <t>NEGOCIOS</t>
        </is>
      </c>
      <c r="R739" s="7" t="n">
        <v/>
      </c>
    </row>
    <row r="740" ht="20" customHeight="1">
      <c r="A740" s="3" t="inlineStr">
        <is>
          <t>1032370242</t>
        </is>
      </c>
      <c r="B740" s="4" t="inlineStr">
        <is>
          <t>PRESENCIAL BOGOTÁ</t>
        </is>
      </c>
      <c r="C740" s="4" t="inlineStr">
        <is>
          <t>JUAN ALEJANDRO VILLA MARTINEZ</t>
        </is>
      </c>
      <c r="D740" s="4" t="inlineStr">
        <is>
          <t>OPERACIONES</t>
        </is>
      </c>
      <c r="E740" s="4" t="inlineStr">
        <is>
          <t>REGIONAL BOGOTA</t>
        </is>
      </c>
      <c r="F740" s="4" t="inlineStr">
        <is>
          <t>BOGOTA CENTRO</t>
        </is>
      </c>
      <c r="G740" s="4" t="inlineStr">
        <is>
          <t>VIRTUAL</t>
        </is>
      </c>
      <c r="H740" s="4" t="inlineStr">
        <is>
          <t>DOC AUX T&amp;T/N/V/TC/SOCIOHUMANISTI/PROYECTO</t>
        </is>
      </c>
      <c r="I740" s="4" t="inlineStr">
        <is>
          <t>SOCIOHUMANISTICA</t>
        </is>
      </c>
      <c r="J740" s="4" t="inlineStr">
        <is>
          <t>PLANTA</t>
        </is>
      </c>
      <c r="K740" s="4" t="inlineStr">
        <is>
          <t>MAYRA SANCHEZ</t>
        </is>
      </c>
      <c r="L740" s="4" t="n">
        <v/>
      </c>
      <c r="M740" s="4" t="n">
        <v/>
      </c>
      <c r="N740" s="4" t="n">
        <v>3156750169</v>
      </c>
      <c r="O740" s="4" t="inlineStr">
        <is>
          <t>alejovillamartinez@gmail.com</t>
        </is>
      </c>
      <c r="P740" s="4" t="inlineStr">
        <is>
          <t>BTA SEDE F</t>
        </is>
      </c>
      <c r="Q740" s="4" t="inlineStr">
        <is>
          <t>TRANSVERSALES</t>
        </is>
      </c>
      <c r="R740" s="4" t="n">
        <v>800</v>
      </c>
    </row>
    <row r="741" ht="20" customHeight="1">
      <c r="A741" s="6" t="inlineStr">
        <is>
          <t>79468775</t>
        </is>
      </c>
      <c r="B741" s="7" t="inlineStr">
        <is>
          <t>PRESENCIAL BOGOTÁ</t>
        </is>
      </c>
      <c r="C741" s="7" t="inlineStr">
        <is>
          <t>CARLOS FERNANDO RICO AREVALO</t>
        </is>
      </c>
      <c r="D741" s="7" t="inlineStr">
        <is>
          <t>OPERACIONES</t>
        </is>
      </c>
      <c r="E741" s="7" t="inlineStr">
        <is>
          <t>REGIONAL BOGOTA</t>
        </is>
      </c>
      <c r="F741" s="7" t="inlineStr">
        <is>
          <t>BOGOTA CENTRO</t>
        </is>
      </c>
      <c r="G741" s="7" t="inlineStr">
        <is>
          <t>VIRTUAL</t>
        </is>
      </c>
      <c r="H741" s="7" t="inlineStr">
        <is>
          <t>DOC ASIS/N/V/TC/SOCIOHUMANISTI/FUN.ACADE-ADMIN</t>
        </is>
      </c>
      <c r="I741" s="7" t="inlineStr">
        <is>
          <t>SOCIOHUMANISTICA</t>
        </is>
      </c>
      <c r="J741" s="7" t="inlineStr">
        <is>
          <t>PLANTA</t>
        </is>
      </c>
      <c r="K741" s="7" t="inlineStr">
        <is>
          <t>MAYRA SANCHEZ</t>
        </is>
      </c>
      <c r="L741" s="7" t="n">
        <v/>
      </c>
      <c r="M741" s="7" t="n">
        <v/>
      </c>
      <c r="N741" s="7" t="n">
        <v>3132962357</v>
      </c>
      <c r="O741" s="7" t="inlineStr">
        <is>
          <t>carlosfrico@hotmail.com</t>
        </is>
      </c>
      <c r="P741" s="7" t="inlineStr">
        <is>
          <t>BTA SEDE A</t>
        </is>
      </c>
      <c r="Q741" s="7" t="inlineStr">
        <is>
          <t>TRANSVERSALES</t>
        </is>
      </c>
      <c r="R741" s="7" t="n">
        <v>800</v>
      </c>
    </row>
    <row r="742" ht="20" customHeight="1">
      <c r="A742" s="3" t="inlineStr">
        <is>
          <t>1015427647</t>
        </is>
      </c>
      <c r="B742" s="4" t="inlineStr">
        <is>
          <t>PRESENCIAL BOGOTÁ</t>
        </is>
      </c>
      <c r="C742" s="4" t="inlineStr">
        <is>
          <t>EVARISTO ANDRES SIERRA ROBAYO</t>
        </is>
      </c>
      <c r="D742" s="4" t="inlineStr">
        <is>
          <t>OPERACIONES</t>
        </is>
      </c>
      <c r="E742" s="4" t="inlineStr">
        <is>
          <t>REGIONAL BOGOTA</t>
        </is>
      </c>
      <c r="F742" s="4" t="inlineStr">
        <is>
          <t>BOGOTA CENTRO</t>
        </is>
      </c>
      <c r="G742" s="4" t="inlineStr">
        <is>
          <t>VIRTUAL</t>
        </is>
      </c>
      <c r="H742" s="4" t="inlineStr">
        <is>
          <t>DOC ASIS/N/V/TC/SOCIOHUMANISTI/FUN.ACADE-ADMIN</t>
        </is>
      </c>
      <c r="I742" s="4" t="inlineStr">
        <is>
          <t>SOCIOHUMANISTICA</t>
        </is>
      </c>
      <c r="J742" s="4" t="inlineStr">
        <is>
          <t>PLANTA</t>
        </is>
      </c>
      <c r="K742" s="4" t="inlineStr">
        <is>
          <t>MAYRA SANCHEZ</t>
        </is>
      </c>
      <c r="L742" s="4" t="inlineStr">
        <is>
          <t>CONFIRMADO PRESENCIAL</t>
        </is>
      </c>
      <c r="M742" s="4" t="n">
        <v/>
      </c>
      <c r="N742" s="4" t="n">
        <v>3017320909</v>
      </c>
      <c r="O742" s="4" t="inlineStr">
        <is>
          <t>evaristoandresierra9128@gmail.com  andrecierra1945@gmail.com</t>
        </is>
      </c>
      <c r="P742" s="4" t="inlineStr">
        <is>
          <t>BTA SEDE A</t>
        </is>
      </c>
      <c r="Q742" s="4" t="inlineStr">
        <is>
          <t>TRANSVERSALES</t>
        </is>
      </c>
      <c r="R742" s="4" t="n">
        <v>800</v>
      </c>
    </row>
    <row r="743" ht="20" customHeight="1">
      <c r="A743" s="6" t="inlineStr">
        <is>
          <t>80087303</t>
        </is>
      </c>
      <c r="B743" s="7" t="inlineStr">
        <is>
          <t>PRESENCIAL BOGOTÁ</t>
        </is>
      </c>
      <c r="C743" s="7" t="inlineStr">
        <is>
          <t>GERARDO RAMÍREZ BONILLA</t>
        </is>
      </c>
      <c r="D743" s="7" t="inlineStr">
        <is>
          <t>OPERACIONES</t>
        </is>
      </c>
      <c r="E743" s="7" t="inlineStr">
        <is>
          <t>REGIONAL BOGOTA</t>
        </is>
      </c>
      <c r="F743" s="7" t="inlineStr">
        <is>
          <t>BOGOTA CENTRO</t>
        </is>
      </c>
      <c r="G743" s="7" t="inlineStr">
        <is>
          <t>VIRTUAL</t>
        </is>
      </c>
      <c r="H743" s="7" t="inlineStr">
        <is>
          <t>DOC ASIS/N/V/TC/SOCIOHUMANISTI/FUN.ACADE-ADMIN</t>
        </is>
      </c>
      <c r="I743" s="7" t="inlineStr">
        <is>
          <t>SOCIOHUMANISTICA</t>
        </is>
      </c>
      <c r="J743" s="7" t="inlineStr">
        <is>
          <t>PLANTA</t>
        </is>
      </c>
      <c r="K743" s="7" t="inlineStr">
        <is>
          <t>MAYRA SANCHEZ</t>
        </is>
      </c>
      <c r="L743" s="7" t="n">
        <v/>
      </c>
      <c r="M743" s="7" t="n">
        <v/>
      </c>
      <c r="N743" s="7" t="n">
        <v>3023882886</v>
      </c>
      <c r="O743" s="7" t="inlineStr">
        <is>
          <t>gramirezbonilla@hotmail.com</t>
        </is>
      </c>
      <c r="P743" s="7" t="inlineStr">
        <is>
          <t>BTA SEDE A</t>
        </is>
      </c>
      <c r="Q743" s="7" t="inlineStr">
        <is>
          <t>TRANSVERSALES</t>
        </is>
      </c>
      <c r="R743" s="7" t="n">
        <v>800</v>
      </c>
    </row>
    <row r="744" ht="20" customHeight="1">
      <c r="A744" s="3" t="inlineStr">
        <is>
          <t>1032469434</t>
        </is>
      </c>
      <c r="B744" s="4" t="inlineStr">
        <is>
          <t>PRESENCIAL BOGOTÁ</t>
        </is>
      </c>
      <c r="C744" s="4" t="inlineStr">
        <is>
          <t>IVAN ANDRES QUINTERO MORA</t>
        </is>
      </c>
      <c r="D744" s="4" t="inlineStr">
        <is>
          <t>OPERACIONES</t>
        </is>
      </c>
      <c r="E744" s="4" t="inlineStr">
        <is>
          <t>REGIONAL BOGOTA</t>
        </is>
      </c>
      <c r="F744" s="4" t="inlineStr">
        <is>
          <t>BOGOTA CENTRO</t>
        </is>
      </c>
      <c r="G744" s="4" t="inlineStr">
        <is>
          <t>VIRTUAL</t>
        </is>
      </c>
      <c r="H744" s="4" t="inlineStr">
        <is>
          <t>DOC AUX T&amp;T/N/V/TC/SOCIOHUMANISTI/FUN.ACADE-ADMIN</t>
        </is>
      </c>
      <c r="I744" s="4" t="inlineStr">
        <is>
          <t>SOCIOHUMANISTICA</t>
        </is>
      </c>
      <c r="J744" s="4" t="inlineStr">
        <is>
          <t>PLANTA</t>
        </is>
      </c>
      <c r="K744" s="4" t="inlineStr">
        <is>
          <t>MAYRA SANCHEZ</t>
        </is>
      </c>
      <c r="L744" s="4" t="n">
        <v/>
      </c>
      <c r="M744" s="4" t="n">
        <v/>
      </c>
      <c r="N744" s="4" t="n">
        <v>3153906613</v>
      </c>
      <c r="O744" s="4" t="inlineStr">
        <is>
          <t>QUINTEROM.IVAN@GMAIL.COM</t>
        </is>
      </c>
      <c r="P744" s="4" t="inlineStr">
        <is>
          <t>BTA SEDE A</t>
        </is>
      </c>
      <c r="Q744" s="4" t="inlineStr">
        <is>
          <t>TRANSVERSALES</t>
        </is>
      </c>
      <c r="R744" s="4" t="n">
        <v>800</v>
      </c>
    </row>
    <row r="745" ht="20" customHeight="1">
      <c r="A745" s="6" t="inlineStr">
        <is>
          <t>79840218</t>
        </is>
      </c>
      <c r="B745" s="7" t="inlineStr">
        <is>
          <t>PRESENCIAL BOGOTÁ</t>
        </is>
      </c>
      <c r="C745" s="7" t="inlineStr">
        <is>
          <t>CAMILO ERNESTO BRAVO GOMEZ</t>
        </is>
      </c>
      <c r="D745" s="7" t="inlineStr">
        <is>
          <t>OPERACIONES</t>
        </is>
      </c>
      <c r="E745" s="7" t="inlineStr">
        <is>
          <t>REGIONAL BOGOTA</t>
        </is>
      </c>
      <c r="F745" s="7" t="inlineStr">
        <is>
          <t>BOGOTA CENTRO</t>
        </is>
      </c>
      <c r="G745" s="7" t="inlineStr">
        <is>
          <t>PRESENCIAL</t>
        </is>
      </c>
      <c r="H745" s="7" t="inlineStr">
        <is>
          <t>DOCENTE ASOC/N/TC/SOC HUMA/FUN.ACADE-ADMIN</t>
        </is>
      </c>
      <c r="I745" s="7" t="inlineStr">
        <is>
          <t>SOCIOHUMANISTICA</t>
        </is>
      </c>
      <c r="J745" s="7" t="inlineStr">
        <is>
          <t>PLANTA</t>
        </is>
      </c>
      <c r="K745" s="7" t="inlineStr">
        <is>
          <t>MAYRA SANCHEZ</t>
        </is>
      </c>
      <c r="L745" s="7" t="n">
        <v/>
      </c>
      <c r="M745" s="7" t="n">
        <v/>
      </c>
      <c r="N745" s="7" t="n">
        <v>3005569626</v>
      </c>
      <c r="O745" s="7" t="inlineStr">
        <is>
          <t>cavisu021096@hotmail.com</t>
        </is>
      </c>
      <c r="P745" s="7" t="inlineStr">
        <is>
          <t>BTA SEDE F</t>
        </is>
      </c>
      <c r="Q745" s="7" t="inlineStr">
        <is>
          <t>TRANSVERSALES</t>
        </is>
      </c>
      <c r="R745" s="7" t="n">
        <v>800</v>
      </c>
    </row>
    <row r="746" ht="20" customHeight="1">
      <c r="A746" s="3" t="inlineStr">
        <is>
          <t>36733493</t>
        </is>
      </c>
      <c r="B746" s="4" t="inlineStr">
        <is>
          <t>PRESENCIAL BOGOTÁ</t>
        </is>
      </c>
      <c r="C746" s="4" t="inlineStr">
        <is>
          <t>LILIBETH BENAVIDES SILVA</t>
        </is>
      </c>
      <c r="D746" s="4" t="inlineStr">
        <is>
          <t>OPERACIONES</t>
        </is>
      </c>
      <c r="E746" s="4" t="inlineStr">
        <is>
          <t>REGIONAL BOGOTA</t>
        </is>
      </c>
      <c r="F746" s="4" t="inlineStr">
        <is>
          <t>BOGOTA CENTRO</t>
        </is>
      </c>
      <c r="G746" s="4" t="inlineStr">
        <is>
          <t>VIRTUAL</t>
        </is>
      </c>
      <c r="H746" s="4" t="inlineStr">
        <is>
          <t>DOC ASIS/N/V/TC/SOCIOHUMANISTI/FUN.ACADE-ADMIN</t>
        </is>
      </c>
      <c r="I746" s="4" t="inlineStr">
        <is>
          <t>SOCIOHUMANISTICA</t>
        </is>
      </c>
      <c r="J746" s="4" t="inlineStr">
        <is>
          <t>PLANTA</t>
        </is>
      </c>
      <c r="K746" s="4" t="inlineStr">
        <is>
          <t>MAYRA SANCHEZ</t>
        </is>
      </c>
      <c r="L746" s="4" t="n">
        <v/>
      </c>
      <c r="M746" s="4" t="n">
        <v/>
      </c>
      <c r="N746" s="4" t="n">
        <v>3002432334</v>
      </c>
      <c r="O746" s="4" t="inlineStr">
        <is>
          <t>libenavides272@gmail.com</t>
        </is>
      </c>
      <c r="P746" s="4" t="inlineStr">
        <is>
          <t>BTA SEDE A</t>
        </is>
      </c>
      <c r="Q746" s="4" t="inlineStr">
        <is>
          <t>TRANSVERSALES</t>
        </is>
      </c>
      <c r="R746" s="4" t="n">
        <v>800</v>
      </c>
    </row>
    <row r="747" ht="20" customHeight="1">
      <c r="A747" s="6" t="inlineStr">
        <is>
          <t>1014263010</t>
        </is>
      </c>
      <c r="B747" s="7" t="inlineStr">
        <is>
          <t>PRESENCIAL BOGOTÁ</t>
        </is>
      </c>
      <c r="C747" s="7" t="inlineStr">
        <is>
          <t>KAREN JIMENA BURBANO MORENO</t>
        </is>
      </c>
      <c r="D747" s="7" t="inlineStr">
        <is>
          <t>OPERACIONES</t>
        </is>
      </c>
      <c r="E747" s="7" t="inlineStr">
        <is>
          <t>REGIONAL BOGOTA</t>
        </is>
      </c>
      <c r="F747" s="7" t="inlineStr">
        <is>
          <t>BOGOTA CENTRO</t>
        </is>
      </c>
      <c r="G747" s="7" t="inlineStr">
        <is>
          <t>VIRTUAL</t>
        </is>
      </c>
      <c r="H747" s="7" t="inlineStr">
        <is>
          <t>DOC AUX/N/V/TC/SOCIOHUMANISTI/FUN.ACADE-ADMIN</t>
        </is>
      </c>
      <c r="I747" s="7" t="inlineStr">
        <is>
          <t>SOCIOHUMANISTICA</t>
        </is>
      </c>
      <c r="J747" s="7" t="inlineStr">
        <is>
          <t>PLANTA</t>
        </is>
      </c>
      <c r="K747" s="7" t="inlineStr">
        <is>
          <t>MAYRA SANCHEZ</t>
        </is>
      </c>
      <c r="L747" s="7" t="inlineStr">
        <is>
          <t>PENDIENTE POR CONFIRMAR</t>
        </is>
      </c>
      <c r="M747" s="7" t="n">
        <v/>
      </c>
      <c r="N747" s="7" t="n">
        <v>3192594695</v>
      </c>
      <c r="O747" s="7" t="inlineStr">
        <is>
          <t>JIMEBM_004@HOTMAIL.COM</t>
        </is>
      </c>
      <c r="P747" s="7" t="inlineStr">
        <is>
          <t>BTA SEDE A</t>
        </is>
      </c>
      <c r="Q747" s="7" t="inlineStr">
        <is>
          <t>TRANSVERSALES</t>
        </is>
      </c>
      <c r="R747" s="7" t="n">
        <v>800</v>
      </c>
    </row>
    <row r="748" ht="20" customHeight="1">
      <c r="A748" s="3" t="inlineStr">
        <is>
          <t>87104390</t>
        </is>
      </c>
      <c r="B748" s="4" t="inlineStr">
        <is>
          <t>VIRTUAL</t>
        </is>
      </c>
      <c r="C748" s="4" t="inlineStr">
        <is>
          <t>JESUS ANDRES PEREZ SOLIS</t>
        </is>
      </c>
      <c r="D748" s="4" t="inlineStr">
        <is>
          <t>OPERACIONES</t>
        </is>
      </c>
      <c r="E748" s="4" t="inlineStr">
        <is>
          <t>REGIONAL NARIÑO</t>
        </is>
      </c>
      <c r="F748" s="4" t="inlineStr">
        <is>
          <t>IPIALES</t>
        </is>
      </c>
      <c r="G748" s="4" t="inlineStr">
        <is>
          <t>PRESENCIAL</t>
        </is>
      </c>
      <c r="H748" s="4" t="inlineStr">
        <is>
          <t>DOCENTE ASIS/N/MT-ADM EM</t>
        </is>
      </c>
      <c r="I748" s="4" t="inlineStr">
        <is>
          <t>ADMINISTRACION DE EMPRESAS</t>
        </is>
      </c>
      <c r="J748" s="4" t="inlineStr">
        <is>
          <t>REINTEGRO</t>
        </is>
      </c>
      <c r="K748" s="4" t="inlineStr">
        <is>
          <t>MAYRA SANCHEZ</t>
        </is>
      </c>
      <c r="L748" s="4" t="n">
        <v/>
      </c>
      <c r="M748" s="4" t="n">
        <v/>
      </c>
      <c r="N748" s="4" t="n">
        <v>3152443652</v>
      </c>
      <c r="O748" s="4" t="inlineStr">
        <is>
          <t>andresperezsolis@gmail.com</t>
        </is>
      </c>
      <c r="P748" s="4" t="inlineStr">
        <is>
          <t>IPIALES SEDE</t>
        </is>
      </c>
      <c r="Q748" s="4" t="inlineStr">
        <is>
          <t>TRANSFORMACIÓN EMPRESARIAL</t>
        </is>
      </c>
      <c r="R748" s="4" t="n">
        <v/>
      </c>
    </row>
    <row r="749" ht="20" customHeight="1">
      <c r="A749" s="6" t="inlineStr">
        <is>
          <t>65708948</t>
        </is>
      </c>
      <c r="B749" s="7" t="inlineStr">
        <is>
          <t>PRESENCIAL BOGOTÁ</t>
        </is>
      </c>
      <c r="C749" s="7" t="inlineStr">
        <is>
          <t>SUGEY ROJAS MORENO</t>
        </is>
      </c>
      <c r="D749" s="7" t="inlineStr">
        <is>
          <t>OPERACIONES</t>
        </is>
      </c>
      <c r="E749" s="7" t="inlineStr">
        <is>
          <t>REGIONAL BOGOTA</t>
        </is>
      </c>
      <c r="F749" s="7" t="inlineStr">
        <is>
          <t>BOGOTA CENTRO</t>
        </is>
      </c>
      <c r="G749" s="7" t="inlineStr">
        <is>
          <t>VIRTUAL</t>
        </is>
      </c>
      <c r="H749" s="7" t="inlineStr">
        <is>
          <t>DOC ASIS/N/V/TC/ADM DE EMPRE/FUN.ACADE-ADMIN</t>
        </is>
      </c>
      <c r="I749" s="7" t="inlineStr">
        <is>
          <t>ADMINISTRACION DE EMPRESAS</t>
        </is>
      </c>
      <c r="J749" s="7" t="inlineStr">
        <is>
          <t>REINTEGRO</t>
        </is>
      </c>
      <c r="K749" s="7" t="inlineStr">
        <is>
          <t>MAYRA SANCHEZ</t>
        </is>
      </c>
      <c r="L749" s="7" t="inlineStr">
        <is>
          <t>CONFIRMADO PRESENCIAL</t>
        </is>
      </c>
      <c r="M749" s="7" t="n">
        <v/>
      </c>
      <c r="N749" s="7" t="n">
        <v>3132131647</v>
      </c>
      <c r="O749" s="7" t="inlineStr">
        <is>
          <t>sugeyrojas123@gmail.com</t>
        </is>
      </c>
      <c r="P749" s="7" t="inlineStr">
        <is>
          <t>BTA SEDE N</t>
        </is>
      </c>
      <c r="Q749" s="7" t="inlineStr">
        <is>
          <t>TRANSFORMACIÓN EMPRESARIAL</t>
        </is>
      </c>
      <c r="R749" s="7" t="n">
        <v>301</v>
      </c>
    </row>
    <row r="750" ht="20" customHeight="1">
      <c r="A750" s="3" t="inlineStr">
        <is>
          <t>92525462</t>
        </is>
      </c>
      <c r="B750" s="4" t="inlineStr">
        <is>
          <t>PRESENCIAL REGIONAL</t>
        </is>
      </c>
      <c r="C750" s="4" t="inlineStr">
        <is>
          <t>YONY DEL CRISTO BENEDETTI ROMERO</t>
        </is>
      </c>
      <c r="D750" s="4" t="inlineStr">
        <is>
          <t>OPERACIONES</t>
        </is>
      </c>
      <c r="E750" s="4" t="inlineStr">
        <is>
          <t>REGIONAL SUCRE</t>
        </is>
      </c>
      <c r="F750" s="4" t="inlineStr">
        <is>
          <t>SINCELEJO</t>
        </is>
      </c>
      <c r="G750" s="4" t="inlineStr">
        <is>
          <t>PRESENCIAL</t>
        </is>
      </c>
      <c r="H750" s="4" t="inlineStr">
        <is>
          <t>DOCENTE ASIS/N/TC/ADM EMP/FUN.ACADE-ADMIN</t>
        </is>
      </c>
      <c r="I750" s="4" t="inlineStr">
        <is>
          <t>ADMINISTRACION DE EMPRESAS</t>
        </is>
      </c>
      <c r="J750" s="4" t="inlineStr">
        <is>
          <t>REINTEGRO</t>
        </is>
      </c>
      <c r="K750" s="4" t="inlineStr">
        <is>
          <t>MAYRA SANCHEZ</t>
        </is>
      </c>
      <c r="L750" s="4" t="n">
        <v/>
      </c>
      <c r="M750" s="4" t="n">
        <v/>
      </c>
      <c r="N750" s="4" t="n">
        <v>3016802467</v>
      </c>
      <c r="O750" s="4" t="inlineStr">
        <is>
          <t>yosoyadocecar@gmail.com</t>
        </is>
      </c>
      <c r="P750" s="4" t="inlineStr">
        <is>
          <t>SINCELEJO SEDE</t>
        </is>
      </c>
      <c r="Q750" s="4" t="inlineStr">
        <is>
          <t>TRANSFORMACIÓN EMPRESARIAL</t>
        </is>
      </c>
      <c r="R750" s="4" t="n">
        <v/>
      </c>
    </row>
    <row r="751" ht="20" customHeight="1">
      <c r="A751" s="6" t="inlineStr">
        <is>
          <t>79398865</t>
        </is>
      </c>
      <c r="B751" s="7" t="inlineStr">
        <is>
          <t>PRESENCIAL BOGOTÁ</t>
        </is>
      </c>
      <c r="C751" s="7" t="inlineStr">
        <is>
          <t>JUAN CARLOS SANCHEZ GAMA</t>
        </is>
      </c>
      <c r="D751" s="7" t="inlineStr">
        <is>
          <t>OPERACIONES</t>
        </is>
      </c>
      <c r="E751" s="7" t="inlineStr">
        <is>
          <t>REGIONAL BOGOTA</t>
        </is>
      </c>
      <c r="F751" s="7" t="inlineStr">
        <is>
          <t>BOGOTA SUR</t>
        </is>
      </c>
      <c r="G751" s="7" t="inlineStr">
        <is>
          <t>PRESENCIAL</t>
        </is>
      </c>
      <c r="H751" s="7" t="inlineStr">
        <is>
          <t>DOCENTE ASOC/N/TC/ADM EMP/FUN.ACADE-ADMIN</t>
        </is>
      </c>
      <c r="I751" s="7" t="inlineStr">
        <is>
          <t>ADMINISTRACION DE EMPRESAS</t>
        </is>
      </c>
      <c r="J751" s="7" t="inlineStr">
        <is>
          <t>REINTEGRO</t>
        </is>
      </c>
      <c r="K751" s="7" t="inlineStr">
        <is>
          <t>MAYRA SANCHEZ</t>
        </is>
      </c>
      <c r="L751" s="7" t="inlineStr">
        <is>
          <t>CONFIRMADO PRESENCIAL</t>
        </is>
      </c>
      <c r="M751" s="7" t="n">
        <v/>
      </c>
      <c r="N751" s="7" t="n">
        <v>3114500048</v>
      </c>
      <c r="O751" s="7" t="inlineStr">
        <is>
          <t>jsanchezgama@gmail.com</t>
        </is>
      </c>
      <c r="P751" s="7" t="inlineStr">
        <is>
          <t>BTA SEDE SUR</t>
        </is>
      </c>
      <c r="Q751" s="7" t="inlineStr">
        <is>
          <t>TRANSFORMACIÓN EMPRESARIAL</t>
        </is>
      </c>
      <c r="R751" s="7" t="n">
        <v>301</v>
      </c>
    </row>
    <row r="752" ht="20" customHeight="1">
      <c r="A752" s="3" t="inlineStr">
        <is>
          <t>52284007</t>
        </is>
      </c>
      <c r="B752" s="4" t="inlineStr">
        <is>
          <t>PRESENCIAL BOGOTÁ</t>
        </is>
      </c>
      <c r="C752" s="4" t="inlineStr">
        <is>
          <t>JOHANNA EUNICE MURCIA GUTIERREZ</t>
        </is>
      </c>
      <c r="D752" s="4" t="inlineStr">
        <is>
          <t>OPERACIONES</t>
        </is>
      </c>
      <c r="E752" s="4" t="inlineStr">
        <is>
          <t>REGIONAL BOGOTA</t>
        </is>
      </c>
      <c r="F752" s="4" t="inlineStr">
        <is>
          <t>BOGOTA CENTRO</t>
        </is>
      </c>
      <c r="G752" s="4" t="inlineStr">
        <is>
          <t>PRESENCIAL</t>
        </is>
      </c>
      <c r="H752" s="4" t="inlineStr">
        <is>
          <t>DOCENTE AUX/N/TC/ADM EMP/FUN.ACADE-ADMIN</t>
        </is>
      </c>
      <c r="I752" s="4" t="inlineStr">
        <is>
          <t>ADMINISTRACION DE EMPRESAS</t>
        </is>
      </c>
      <c r="J752" s="4" t="inlineStr">
        <is>
          <t>REINTEGRO</t>
        </is>
      </c>
      <c r="K752" s="4" t="inlineStr">
        <is>
          <t>MAYRA SANCHEZ</t>
        </is>
      </c>
      <c r="L752" s="4" t="n">
        <v/>
      </c>
      <c r="M752" s="4" t="n">
        <v/>
      </c>
      <c r="N752" s="4" t="n">
        <v>3164743253</v>
      </c>
      <c r="O752" s="4" t="inlineStr">
        <is>
          <t>johannaemurciag@yahoo.es</t>
        </is>
      </c>
      <c r="P752" s="4" t="inlineStr">
        <is>
          <t>BTA SEDE D</t>
        </is>
      </c>
      <c r="Q752" s="4" t="inlineStr">
        <is>
          <t>TRANSFORMACIÓN EMPRESARIAL</t>
        </is>
      </c>
      <c r="R752" s="4" t="n">
        <v>301</v>
      </c>
    </row>
    <row r="753" ht="20" customHeight="1">
      <c r="A753" s="6" t="inlineStr">
        <is>
          <t>78710054</t>
        </is>
      </c>
      <c r="B753" s="7" t="inlineStr">
        <is>
          <t>PRESENCIAL REGIONAL</t>
        </is>
      </c>
      <c r="C753" s="7" t="inlineStr">
        <is>
          <t>ARGEMIRO JOSE ESTRELLA ZABALA</t>
        </is>
      </c>
      <c r="D753" s="7" t="inlineStr">
        <is>
          <t>OPERACIONES</t>
        </is>
      </c>
      <c r="E753" s="7" t="inlineStr">
        <is>
          <t>REGIONAL CORDOBA</t>
        </is>
      </c>
      <c r="F753" s="7" t="inlineStr">
        <is>
          <t>MONTERIA</t>
        </is>
      </c>
      <c r="G753" s="7" t="inlineStr">
        <is>
          <t>PRESENCIAL</t>
        </is>
      </c>
      <c r="H753" s="7" t="inlineStr">
        <is>
          <t>DOCENTE ASIS/N/TC/ADM EMP/FUN.ACADE-ADMIN</t>
        </is>
      </c>
      <c r="I753" s="7" t="inlineStr">
        <is>
          <t>ADMINISTRACION DE EMPRESAS</t>
        </is>
      </c>
      <c r="J753" s="7" t="inlineStr">
        <is>
          <t>REINTEGRO</t>
        </is>
      </c>
      <c r="K753" s="7" t="inlineStr">
        <is>
          <t>MAYRA SANCHEZ</t>
        </is>
      </c>
      <c r="L753" s="7" t="n">
        <v/>
      </c>
      <c r="M753" s="7" t="n">
        <v/>
      </c>
      <c r="N753" s="7" t="n">
        <v>3126546887</v>
      </c>
      <c r="O753" s="7" t="inlineStr">
        <is>
          <t>JUANCHOAJEZ@GMAIL.COM</t>
        </is>
      </c>
      <c r="P753" s="7" t="inlineStr">
        <is>
          <t>MONTERIA SEDE</t>
        </is>
      </c>
      <c r="Q753" s="7" t="inlineStr">
        <is>
          <t>TRANSFORMACIÓN EMPRESARIAL</t>
        </is>
      </c>
      <c r="R753" s="7" t="n">
        <v/>
      </c>
    </row>
    <row r="754" ht="20" customHeight="1">
      <c r="A754" s="3" t="inlineStr">
        <is>
          <t>28551109</t>
        </is>
      </c>
      <c r="B754" s="4" t="inlineStr">
        <is>
          <t>PRESENCIAL REGIONAL</t>
        </is>
      </c>
      <c r="C754" s="4" t="inlineStr">
        <is>
          <t>YAMILETH OSORIO VALENCIA</t>
        </is>
      </c>
      <c r="D754" s="4" t="inlineStr">
        <is>
          <t>OPERACIONES</t>
        </is>
      </c>
      <c r="E754" s="4" t="inlineStr">
        <is>
          <t>REGIONAL TOLIMA</t>
        </is>
      </c>
      <c r="F754" s="4" t="inlineStr">
        <is>
          <t>IBAGUÉ</t>
        </is>
      </c>
      <c r="G754" s="4" t="inlineStr">
        <is>
          <t>PRESENCIAL</t>
        </is>
      </c>
      <c r="H754" s="4" t="inlineStr">
        <is>
          <t>DOC AUX T&amp;T/N/TC/ADM EMP/FUN.ACADE-ADMIN</t>
        </is>
      </c>
      <c r="I754" s="4" t="inlineStr">
        <is>
          <t>ADMINISTRACION DE EMPRESAS</t>
        </is>
      </c>
      <c r="J754" s="4" t="inlineStr">
        <is>
          <t>REINTEGRO</t>
        </is>
      </c>
      <c r="K754" s="4" t="inlineStr">
        <is>
          <t>MAYRA SANCHEZ</t>
        </is>
      </c>
      <c r="L754" s="4" t="inlineStr">
        <is>
          <t>CONFIRMADO PRESENCIAL</t>
        </is>
      </c>
      <c r="M754" s="4" t="n">
        <v/>
      </c>
      <c r="N754" s="4" t="n">
        <v>3002125228</v>
      </c>
      <c r="O754" s="4" t="inlineStr">
        <is>
          <t>yamileth_osorio@hotmail.com</t>
        </is>
      </c>
      <c r="P754" s="4" t="inlineStr">
        <is>
          <t>IBAGUE SEDE</t>
        </is>
      </c>
      <c r="Q754" s="4" t="inlineStr">
        <is>
          <t>TRANSFORMACIÓN EMPRESARIAL</t>
        </is>
      </c>
      <c r="R754" s="4" t="n">
        <v/>
      </c>
    </row>
    <row r="755" ht="20" customHeight="1">
      <c r="A755" s="6" t="inlineStr">
        <is>
          <t>52761309</t>
        </is>
      </c>
      <c r="B755" s="7" t="inlineStr">
        <is>
          <t>PRESENCIAL BOGOTÁ</t>
        </is>
      </c>
      <c r="C755" s="7" t="inlineStr">
        <is>
          <t>ANGIE MARJORIE CARRANZA IBAGON</t>
        </is>
      </c>
      <c r="D755" s="7" t="inlineStr">
        <is>
          <t>OPERACIONES</t>
        </is>
      </c>
      <c r="E755" s="7" t="inlineStr">
        <is>
          <t>REGIONAL BOGOTA</t>
        </is>
      </c>
      <c r="F755" s="7" t="inlineStr">
        <is>
          <t>BOGOTA CENTRO</t>
        </is>
      </c>
      <c r="G755" s="7" t="inlineStr">
        <is>
          <t>PRESENCIAL</t>
        </is>
      </c>
      <c r="H755" s="7" t="inlineStr">
        <is>
          <t>DOCENTE ASIS/N/MT-ADM EM</t>
        </is>
      </c>
      <c r="I755" s="7" t="inlineStr">
        <is>
          <t>ADMINISTRACION DE EMPRESAS</t>
        </is>
      </c>
      <c r="J755" s="7" t="inlineStr">
        <is>
          <t>REINTEGRO</t>
        </is>
      </c>
      <c r="K755" s="7" t="inlineStr">
        <is>
          <t>MAYRA SANCHEZ</t>
        </is>
      </c>
      <c r="L755" s="7" t="n">
        <v/>
      </c>
      <c r="M755" s="7" t="n">
        <v/>
      </c>
      <c r="N755" s="7" t="n">
        <v>3103443571</v>
      </c>
      <c r="O755" s="7" t="inlineStr">
        <is>
          <t>angiecarranza@gmail.com</t>
        </is>
      </c>
      <c r="P755" s="7" t="inlineStr">
        <is>
          <t>BTA SEDE D</t>
        </is>
      </c>
      <c r="Q755" s="7" t="inlineStr">
        <is>
          <t>TRANSFORMACIÓN EMPRESARIAL</t>
        </is>
      </c>
      <c r="R755" s="7" t="n">
        <v>301</v>
      </c>
    </row>
    <row r="756" ht="20" customHeight="1">
      <c r="A756" s="3" t="inlineStr">
        <is>
          <t>79632182</t>
        </is>
      </c>
      <c r="B756" s="4" t="inlineStr">
        <is>
          <t>PRESENCIAL BOGOTÁ</t>
        </is>
      </c>
      <c r="C756" s="4" t="inlineStr">
        <is>
          <t>JUAN CARLOS RIOS VASQUEZ</t>
        </is>
      </c>
      <c r="D756" s="4" t="inlineStr">
        <is>
          <t>OPERACIONES</t>
        </is>
      </c>
      <c r="E756" s="4" t="inlineStr">
        <is>
          <t>REGIONAL BOGOTA</t>
        </is>
      </c>
      <c r="F756" s="4" t="inlineStr">
        <is>
          <t>BOGOTA NORTE</t>
        </is>
      </c>
      <c r="G756" s="4" t="inlineStr">
        <is>
          <t>PRESENCIAL</t>
        </is>
      </c>
      <c r="H756" s="4" t="inlineStr">
        <is>
          <t>DOCENTE ASOC/N/MT-ADM EM</t>
        </is>
      </c>
      <c r="I756" s="4" t="inlineStr">
        <is>
          <t>ADMINISTRACION DE EMPRESAS</t>
        </is>
      </c>
      <c r="J756" s="4" t="inlineStr">
        <is>
          <t>REINTEGRO</t>
        </is>
      </c>
      <c r="K756" s="4" t="inlineStr">
        <is>
          <t>MAYRA SANCHEZ</t>
        </is>
      </c>
      <c r="L756" s="4" t="n">
        <v/>
      </c>
      <c r="M756" s="4" t="n">
        <v/>
      </c>
      <c r="N756" s="4" t="n">
        <v>3118740185</v>
      </c>
      <c r="O756" s="4" t="inlineStr">
        <is>
          <t>cherliefleng@hotmail.com</t>
        </is>
      </c>
      <c r="P756" s="4" t="inlineStr">
        <is>
          <t>BTA SEDE NORTE</t>
        </is>
      </c>
      <c r="Q756" s="4" t="inlineStr">
        <is>
          <t>TRANSFORMACIÓN EMPRESARIAL</t>
        </is>
      </c>
      <c r="R756" s="4" t="n">
        <v>301</v>
      </c>
    </row>
    <row r="757" ht="20" customHeight="1">
      <c r="A757" s="6" t="inlineStr">
        <is>
          <t>35252420</t>
        </is>
      </c>
      <c r="B757" s="7" t="inlineStr">
        <is>
          <t>PRESENCIAL BOGOTÁ</t>
        </is>
      </c>
      <c r="C757" s="7" t="inlineStr">
        <is>
          <t>ANA MILENA HERNANDEZ DIAZ</t>
        </is>
      </c>
      <c r="D757" s="7" t="inlineStr">
        <is>
          <t>OPERACIONES</t>
        </is>
      </c>
      <c r="E757" s="7" t="inlineStr">
        <is>
          <t>REGIONAL BOGOTA</t>
        </is>
      </c>
      <c r="F757" s="7" t="inlineStr">
        <is>
          <t>BOGOTA CENTRO</t>
        </is>
      </c>
      <c r="G757" s="7" t="inlineStr">
        <is>
          <t>VIRTUAL</t>
        </is>
      </c>
      <c r="H757" s="7" t="inlineStr">
        <is>
          <t>DOC ASIS/N/V/TC/ADM DE EMPRE/FUN.ACADE-ADMIN</t>
        </is>
      </c>
      <c r="I757" s="7" t="inlineStr">
        <is>
          <t>ADMINISTRACION DE EMPRESAS</t>
        </is>
      </c>
      <c r="J757" s="7" t="inlineStr">
        <is>
          <t>REINTEGRO</t>
        </is>
      </c>
      <c r="K757" s="7" t="inlineStr">
        <is>
          <t>MAYRA SANCHEZ</t>
        </is>
      </c>
      <c r="L757" s="7" t="inlineStr">
        <is>
          <t>PENDIENTE POR CONFIRMAR</t>
        </is>
      </c>
      <c r="M757" s="7" t="n">
        <v/>
      </c>
      <c r="N757" s="7" t="n">
        <v>3103491832</v>
      </c>
      <c r="O757" s="7" t="inlineStr">
        <is>
          <t>anamilenahernandez@hotmail.com</t>
        </is>
      </c>
      <c r="P757" s="7" t="inlineStr">
        <is>
          <t>BTA SEDE A</t>
        </is>
      </c>
      <c r="Q757" s="7" t="inlineStr">
        <is>
          <t>TRANSFORMACIÓN EMPRESARIAL</t>
        </is>
      </c>
      <c r="R757" s="7" t="n">
        <v>301</v>
      </c>
    </row>
    <row r="758" ht="20" customHeight="1">
      <c r="A758" s="3" t="inlineStr">
        <is>
          <t>34607880</t>
        </is>
      </c>
      <c r="B758" s="4" t="inlineStr">
        <is>
          <t>VIRTUAL</t>
        </is>
      </c>
      <c r="C758" s="4" t="inlineStr">
        <is>
          <t>LUISA FERNANDA ZAPATA NAVALES</t>
        </is>
      </c>
      <c r="D758" s="4" t="inlineStr">
        <is>
          <t>OPERACIONES</t>
        </is>
      </c>
      <c r="E758" s="4" t="inlineStr">
        <is>
          <t>REGIONAL VALLE DELCAUCA</t>
        </is>
      </c>
      <c r="F758" s="4" t="inlineStr">
        <is>
          <t>BUENAVENTURA</t>
        </is>
      </c>
      <c r="G758" s="4" t="inlineStr">
        <is>
          <t>VIRTUAL</t>
        </is>
      </c>
      <c r="H758" s="4" t="inlineStr">
        <is>
          <t>DOC AUX/N/V/MT/ADM DE EMPRE</t>
        </is>
      </c>
      <c r="I758" s="4" t="inlineStr">
        <is>
          <t>ADMINISTRACION DE EMPRESAS</t>
        </is>
      </c>
      <c r="J758" s="4" t="inlineStr">
        <is>
          <t>REINTEGRO</t>
        </is>
      </c>
      <c r="K758" s="4" t="inlineStr">
        <is>
          <t>MAYRA SANCHEZ</t>
        </is>
      </c>
      <c r="L758" s="4" t="inlineStr">
        <is>
          <t>CONFIRMADO VIRTUAL</t>
        </is>
      </c>
      <c r="M758" s="4" t="n">
        <v/>
      </c>
      <c r="N758" s="4" t="n">
        <v>3127791430</v>
      </c>
      <c r="O758" s="4" t="inlineStr">
        <is>
          <t>Lufer2079@hotmail.com</t>
        </is>
      </c>
      <c r="P758" s="4" t="inlineStr">
        <is>
          <t>BUENAVENTURA SEDE</t>
        </is>
      </c>
      <c r="Q758" s="4" t="inlineStr">
        <is>
          <t>TRANSFORMACIÓN EMPRESARIAL</t>
        </is>
      </c>
      <c r="R758" s="4" t="n">
        <v/>
      </c>
    </row>
    <row r="759" ht="20" customHeight="1">
      <c r="A759" s="6" t="inlineStr">
        <is>
          <t>93238293</t>
        </is>
      </c>
      <c r="B759" s="7" t="inlineStr">
        <is>
          <t>PRESENCIAL REGIONAL</t>
        </is>
      </c>
      <c r="C759" s="7" t="inlineStr">
        <is>
          <t>EDICSON ENRIQUE RUBIANO ARANZALES</t>
        </is>
      </c>
      <c r="D759" s="7" t="inlineStr">
        <is>
          <t>OPERACIONES</t>
        </is>
      </c>
      <c r="E759" s="7" t="inlineStr">
        <is>
          <t>REGIONAL TOLIMA</t>
        </is>
      </c>
      <c r="F759" s="7" t="inlineStr">
        <is>
          <t>IBAGUÉ</t>
        </is>
      </c>
      <c r="G759" s="7" t="inlineStr">
        <is>
          <t>VIRTUAL</t>
        </is>
      </c>
      <c r="H759" s="7" t="inlineStr">
        <is>
          <t>DOC ASOC/N/V/MT/ADM DE EMPRE</t>
        </is>
      </c>
      <c r="I759" s="7" t="inlineStr">
        <is>
          <t>ADMINISTRACION DE EMPRESAS</t>
        </is>
      </c>
      <c r="J759" s="7" t="inlineStr">
        <is>
          <t>REINTEGRO</t>
        </is>
      </c>
      <c r="K759" s="7" t="inlineStr">
        <is>
          <t>MAYRA SANCHEZ</t>
        </is>
      </c>
      <c r="L759" s="7" t="n">
        <v/>
      </c>
      <c r="M759" s="7" t="n">
        <v/>
      </c>
      <c r="N759" s="7" t="n">
        <v>3183865278</v>
      </c>
      <c r="O759" s="7" t="inlineStr">
        <is>
          <t>rubianoedicson7@gmail.com</t>
        </is>
      </c>
      <c r="P759" s="7" t="inlineStr">
        <is>
          <t>IBAGUE SEDE</t>
        </is>
      </c>
      <c r="Q759" s="7" t="inlineStr">
        <is>
          <t>TRANSFORMACIÓN EMPRESARIAL</t>
        </is>
      </c>
      <c r="R759" s="7" t="n">
        <v/>
      </c>
    </row>
    <row r="760" ht="20" customHeight="1">
      <c r="A760" s="3" t="inlineStr">
        <is>
          <t>1143437873</t>
        </is>
      </c>
      <c r="B760" s="4" t="inlineStr">
        <is>
          <t>PRESENCIAL REGIONAL</t>
        </is>
      </c>
      <c r="C760" s="4" t="inlineStr">
        <is>
          <t>KELLY JOHANNA BARANDICA CRESPO</t>
        </is>
      </c>
      <c r="D760" s="4" t="inlineStr">
        <is>
          <t>OPERACIONES</t>
        </is>
      </c>
      <c r="E760" s="4" t="inlineStr">
        <is>
          <t>REGIONAL ATLANTICO</t>
        </is>
      </c>
      <c r="F760" s="4" t="inlineStr">
        <is>
          <t>BARRANQUILLA</t>
        </is>
      </c>
      <c r="G760" s="4" t="inlineStr">
        <is>
          <t>PRESENCIAL</t>
        </is>
      </c>
      <c r="H760" s="4" t="inlineStr">
        <is>
          <t>DOCENTE ASIS/N/TC/ADM EMP/PROYECCION SOC</t>
        </is>
      </c>
      <c r="I760" s="4" t="inlineStr">
        <is>
          <t>ADMINISTRACION DE EMPRESAS</t>
        </is>
      </c>
      <c r="J760" s="4" t="inlineStr">
        <is>
          <t>REINTEGRO</t>
        </is>
      </c>
      <c r="K760" s="4" t="inlineStr">
        <is>
          <t>MAYRA SANCHEZ</t>
        </is>
      </c>
      <c r="L760" s="4" t="inlineStr">
        <is>
          <t>CONFIRMADO PRESENCIAL</t>
        </is>
      </c>
      <c r="M760" s="4" t="n">
        <v/>
      </c>
      <c r="N760" s="4" t="n">
        <v>3014247385</v>
      </c>
      <c r="O760" s="4" t="inlineStr">
        <is>
          <t>KELLYBARAN19@GMAIL.COM</t>
        </is>
      </c>
      <c r="P760" s="4" t="inlineStr">
        <is>
          <t>BQUILLA SEDE</t>
        </is>
      </c>
      <c r="Q760" s="4" t="inlineStr">
        <is>
          <t>TRANSFORMACIÓN EMPRESARIAL</t>
        </is>
      </c>
      <c r="R760" s="4" t="n">
        <v/>
      </c>
    </row>
    <row r="761" ht="20" customHeight="1">
      <c r="A761" s="6" t="inlineStr">
        <is>
          <t>52896009</t>
        </is>
      </c>
      <c r="B761" s="7" t="inlineStr">
        <is>
          <t>PRESENCIAL BOGOTÁ</t>
        </is>
      </c>
      <c r="C761" s="7" t="inlineStr">
        <is>
          <t>CLARA YAMILE MARTINEZ AVILA</t>
        </is>
      </c>
      <c r="D761" s="7" t="inlineStr">
        <is>
          <t>OPERACIONES</t>
        </is>
      </c>
      <c r="E761" s="7" t="inlineStr">
        <is>
          <t>REGIONAL BOGOTA</t>
        </is>
      </c>
      <c r="F761" s="7" t="inlineStr">
        <is>
          <t>BOGOTA RESTREPO</t>
        </is>
      </c>
      <c r="G761" s="7" t="inlineStr">
        <is>
          <t>PRESENCIAL</t>
        </is>
      </c>
      <c r="H761" s="7" t="inlineStr">
        <is>
          <t>DOCENTE ASIS/N/TC/ADM EMP/FUN.ACADE-ADMIN</t>
        </is>
      </c>
      <c r="I761" s="7" t="inlineStr">
        <is>
          <t>ADMINISTRACION DE EMPRESAS</t>
        </is>
      </c>
      <c r="J761" s="7" t="inlineStr">
        <is>
          <t>REINTEGRO</t>
        </is>
      </c>
      <c r="K761" s="7" t="inlineStr">
        <is>
          <t>MAYRA SANCHEZ</t>
        </is>
      </c>
      <c r="L761" s="7" t="inlineStr">
        <is>
          <t>CONFIRMADO PRESENCIAL</t>
        </is>
      </c>
      <c r="M761" s="7" t="n">
        <v/>
      </c>
      <c r="N761" s="7" t="n">
        <v>3142776864</v>
      </c>
      <c r="O761" s="7" t="inlineStr">
        <is>
          <t>martinez.clara1615@gmail.com</t>
        </is>
      </c>
      <c r="P761" s="7" t="inlineStr">
        <is>
          <t>BTA SEDE RESTREPO</t>
        </is>
      </c>
      <c r="Q761" s="7" t="inlineStr">
        <is>
          <t>TRANSFORMACIÓN EMPRESARIAL</t>
        </is>
      </c>
      <c r="R761" s="7" t="n">
        <v>301</v>
      </c>
    </row>
    <row r="762" ht="20" customHeight="1">
      <c r="A762" s="3" t="inlineStr">
        <is>
          <t>73108700</t>
        </is>
      </c>
      <c r="B762" s="4" t="inlineStr">
        <is>
          <t>PRESENCIAL REGIONAL</t>
        </is>
      </c>
      <c r="C762" s="4" t="inlineStr">
        <is>
          <t>JUAN CARLOS MARTINEZ MEJIA</t>
        </is>
      </c>
      <c r="D762" s="4" t="inlineStr">
        <is>
          <t>OPERACIONES</t>
        </is>
      </c>
      <c r="E762" s="4" t="inlineStr">
        <is>
          <t>REGIONAL CORDOBA</t>
        </is>
      </c>
      <c r="F762" s="4" t="inlineStr">
        <is>
          <t>MONTERIA</t>
        </is>
      </c>
      <c r="G762" s="4" t="inlineStr">
        <is>
          <t>PRESENCIAL</t>
        </is>
      </c>
      <c r="H762" s="4" t="inlineStr">
        <is>
          <t>DOCENTE ASIS/N/TC/ADM EMP/FUN.ACADE-ADMIN</t>
        </is>
      </c>
      <c r="I762" s="4" t="inlineStr">
        <is>
          <t>ADMINISTRACION DE EMPRESAS</t>
        </is>
      </c>
      <c r="J762" s="4" t="inlineStr">
        <is>
          <t>REINTEGRO</t>
        </is>
      </c>
      <c r="K762" s="4" t="inlineStr">
        <is>
          <t>MAYRA SANCHEZ</t>
        </is>
      </c>
      <c r="L762" s="4" t="n">
        <v/>
      </c>
      <c r="M762" s="4" t="n">
        <v/>
      </c>
      <c r="N762" s="4" t="n">
        <v>3043846920</v>
      </c>
      <c r="O762" s="4" t="inlineStr">
        <is>
          <t>jucamar1000@gmail.com</t>
        </is>
      </c>
      <c r="P762" s="4" t="inlineStr">
        <is>
          <t>MONTERIA SEDE</t>
        </is>
      </c>
      <c r="Q762" s="4" t="inlineStr">
        <is>
          <t>TRANSFORMACIÓN EMPRESARIAL</t>
        </is>
      </c>
      <c r="R762" s="4" t="n">
        <v/>
      </c>
    </row>
    <row r="763" ht="20" customHeight="1">
      <c r="A763" s="6" t="inlineStr">
        <is>
          <t>57293580</t>
        </is>
      </c>
      <c r="B763" s="7" t="inlineStr">
        <is>
          <t>VIRTUAL</t>
        </is>
      </c>
      <c r="C763" s="7" t="inlineStr">
        <is>
          <t>LINA MARGARITA CAMPO RODRIGUEZ</t>
        </is>
      </c>
      <c r="D763" s="7" t="inlineStr">
        <is>
          <t>OPERACIONES</t>
        </is>
      </c>
      <c r="E763" s="7" t="inlineStr">
        <is>
          <t>REGIONAL MAGDALENA</t>
        </is>
      </c>
      <c r="F763" s="7" t="inlineStr">
        <is>
          <t>SANTA MARTA</t>
        </is>
      </c>
      <c r="G763" s="7" t="inlineStr">
        <is>
          <t>PRESENCIAL</t>
        </is>
      </c>
      <c r="H763" s="7" t="inlineStr">
        <is>
          <t>DOCENTE ASIS/N/TC/ADM EMP/FUN.ACADE-ADMIN</t>
        </is>
      </c>
      <c r="I763" s="7" t="inlineStr">
        <is>
          <t>ADMINISTRACION DE EMPRESAS</t>
        </is>
      </c>
      <c r="J763" s="7" t="inlineStr">
        <is>
          <t>REINTEGRO</t>
        </is>
      </c>
      <c r="K763" s="7" t="inlineStr">
        <is>
          <t>MAYRA SANCHEZ</t>
        </is>
      </c>
      <c r="L763" s="7" t="n">
        <v/>
      </c>
      <c r="M763" s="7" t="n">
        <v/>
      </c>
      <c r="N763" s="7" t="n">
        <v>3332265099</v>
      </c>
      <c r="O763" s="7" t="inlineStr">
        <is>
          <t>linacampo1107@gmail.com</t>
        </is>
      </c>
      <c r="P763" s="7" t="inlineStr">
        <is>
          <t>SANTA MARTA SEDE</t>
        </is>
      </c>
      <c r="Q763" s="7" t="inlineStr">
        <is>
          <t>TRANSFORMACIÓN EMPRESARIAL</t>
        </is>
      </c>
      <c r="R763" s="7" t="n">
        <v/>
      </c>
    </row>
    <row r="764" ht="20" customHeight="1">
      <c r="A764" s="3" t="inlineStr">
        <is>
          <t>1012345950</t>
        </is>
      </c>
      <c r="B764" s="4" t="inlineStr">
        <is>
          <t>PRESENCIAL BOGOTÁ</t>
        </is>
      </c>
      <c r="C764" s="4" t="inlineStr">
        <is>
          <t>LAURA INGRID FAJARDO PAEZ</t>
        </is>
      </c>
      <c r="D764" s="4" t="inlineStr">
        <is>
          <t>OPERACIONES</t>
        </is>
      </c>
      <c r="E764" s="4" t="inlineStr">
        <is>
          <t>REGIONAL BOGOTA</t>
        </is>
      </c>
      <c r="F764" s="4" t="inlineStr">
        <is>
          <t>BOGOTA SUR</t>
        </is>
      </c>
      <c r="G764" s="4" t="inlineStr">
        <is>
          <t>PRESENCIAL</t>
        </is>
      </c>
      <c r="H764" s="4" t="inlineStr">
        <is>
          <t>DOCENTE AUX/N/MT/ADM EM</t>
        </is>
      </c>
      <c r="I764" s="4" t="inlineStr">
        <is>
          <t>ADMINISTRACION DE EMPRESAS</t>
        </is>
      </c>
      <c r="J764" s="4" t="inlineStr">
        <is>
          <t>REINTEGRO</t>
        </is>
      </c>
      <c r="K764" s="4" t="inlineStr">
        <is>
          <t>MAYRA SANCHEZ</t>
        </is>
      </c>
      <c r="L764" s="4" t="n">
        <v/>
      </c>
      <c r="M764" s="4" t="n">
        <v/>
      </c>
      <c r="N764" s="4" t="n">
        <v>3134774411</v>
      </c>
      <c r="O764" s="4" t="inlineStr">
        <is>
          <t>lifajardop@unal.edu.co</t>
        </is>
      </c>
      <c r="P764" s="4" t="inlineStr">
        <is>
          <t>BTA SEDE D</t>
        </is>
      </c>
      <c r="Q764" s="4" t="inlineStr">
        <is>
          <t>TRANSFORMACIÓN EMPRESARIAL</t>
        </is>
      </c>
      <c r="R764" s="4" t="n">
        <v>301</v>
      </c>
    </row>
    <row r="765" ht="20" customHeight="1">
      <c r="A765" s="6" t="inlineStr">
        <is>
          <t>9735827</t>
        </is>
      </c>
      <c r="B765" s="7" t="inlineStr">
        <is>
          <t>VIRTUAL</t>
        </is>
      </c>
      <c r="C765" s="7" t="inlineStr">
        <is>
          <t>NESTOR JULIAN LONDOÑO MEJIA</t>
        </is>
      </c>
      <c r="D765" s="7" t="inlineStr">
        <is>
          <t>OPERACIONES</t>
        </is>
      </c>
      <c r="E765" s="7" t="inlineStr">
        <is>
          <t>REGIONAL RISARALDA</t>
        </is>
      </c>
      <c r="F765" s="7" t="inlineStr">
        <is>
          <t>PEREIRA</t>
        </is>
      </c>
      <c r="G765" s="7" t="inlineStr">
        <is>
          <t>VIRTUAL</t>
        </is>
      </c>
      <c r="H765" s="7" t="inlineStr">
        <is>
          <t>DOC AUX/N/V/TC/ADM DE EMPRE/FUN.ACADE-ADMIN</t>
        </is>
      </c>
      <c r="I765" s="7" t="inlineStr">
        <is>
          <t>ADMINISTRACION DE EMPRESAS</t>
        </is>
      </c>
      <c r="J765" s="7" t="inlineStr">
        <is>
          <t>REINTEGRO</t>
        </is>
      </c>
      <c r="K765" s="7" t="inlineStr">
        <is>
          <t>MAYRA SANCHEZ</t>
        </is>
      </c>
      <c r="L765" s="7" t="n">
        <v/>
      </c>
      <c r="M765" s="7" t="n">
        <v/>
      </c>
      <c r="N765" s="7" t="n">
        <v>3147737300</v>
      </c>
      <c r="O765" s="7" t="inlineStr">
        <is>
          <t>julian3052@gmail.com</t>
        </is>
      </c>
      <c r="P765" s="7" t="inlineStr">
        <is>
          <t>PEREIRA SEDE</t>
        </is>
      </c>
      <c r="Q765" s="7" t="inlineStr">
        <is>
          <t>TRANSFORMACIÓN EMPRESARIAL</t>
        </is>
      </c>
      <c r="R765" s="7" t="n">
        <v/>
      </c>
    </row>
    <row r="766" ht="20" customHeight="1">
      <c r="A766" s="3" t="inlineStr">
        <is>
          <t>52242131</t>
        </is>
      </c>
      <c r="B766" s="4" t="inlineStr">
        <is>
          <t>PRESENCIAL BOGOTÁ</t>
        </is>
      </c>
      <c r="C766" s="4" t="inlineStr">
        <is>
          <t>LUZ ARELYS SEGURA ARIAS</t>
        </is>
      </c>
      <c r="D766" s="4" t="inlineStr">
        <is>
          <t>OPERACIONES</t>
        </is>
      </c>
      <c r="E766" s="4" t="inlineStr">
        <is>
          <t>REGIONAL BOGOTA</t>
        </is>
      </c>
      <c r="F766" s="4" t="inlineStr">
        <is>
          <t>BOGOTA CENTRO</t>
        </is>
      </c>
      <c r="G766" s="4" t="inlineStr">
        <is>
          <t>PRESENCIAL</t>
        </is>
      </c>
      <c r="H766" s="4" t="inlineStr">
        <is>
          <t>DOCENTE AUX/N/MT/ADM EM</t>
        </is>
      </c>
      <c r="I766" s="4" t="inlineStr">
        <is>
          <t>ADMINISTRACION DE EMPRESAS</t>
        </is>
      </c>
      <c r="J766" s="4" t="inlineStr">
        <is>
          <t>REINTEGRO</t>
        </is>
      </c>
      <c r="K766" s="4" t="inlineStr">
        <is>
          <t>MAYRA SANCHEZ</t>
        </is>
      </c>
      <c r="L766" s="4" t="n">
        <v/>
      </c>
      <c r="M766" s="4" t="n">
        <v/>
      </c>
      <c r="N766" s="4" t="n">
        <v>3125453704</v>
      </c>
      <c r="O766" s="4" t="inlineStr">
        <is>
          <t>Lula3778@gmail.com</t>
        </is>
      </c>
      <c r="P766" s="4" t="inlineStr">
        <is>
          <t>BTA SEDE D</t>
        </is>
      </c>
      <c r="Q766" s="4" t="inlineStr">
        <is>
          <t>TRANSFORMACIÓN EMPRESARIAL</t>
        </is>
      </c>
      <c r="R766" s="4" t="n">
        <v>301</v>
      </c>
    </row>
    <row r="767" ht="20" customHeight="1">
      <c r="A767" s="6" t="inlineStr">
        <is>
          <t>20888240</t>
        </is>
      </c>
      <c r="B767" s="7" t="inlineStr">
        <is>
          <t>PRESENCIAL BOGOTÁ</t>
        </is>
      </c>
      <c r="C767" s="7" t="inlineStr">
        <is>
          <t>SOLANGE ASTRID FORERO MEDINA</t>
        </is>
      </c>
      <c r="D767" s="7" t="inlineStr">
        <is>
          <t>OPERACIONES</t>
        </is>
      </c>
      <c r="E767" s="7" t="inlineStr">
        <is>
          <t>REGIONAL BOGOTA</t>
        </is>
      </c>
      <c r="F767" s="7" t="inlineStr">
        <is>
          <t>BOGOTA CENTRO</t>
        </is>
      </c>
      <c r="G767" s="7" t="inlineStr">
        <is>
          <t>VIRTUAL</t>
        </is>
      </c>
      <c r="H767" s="7" t="inlineStr">
        <is>
          <t>DOC AUX/N/V/TC/ADM DE EMPRE/FUN.ACADE-ADMIN</t>
        </is>
      </c>
      <c r="I767" s="7" t="inlineStr">
        <is>
          <t>ADMINISTRACION DE EMPRESAS</t>
        </is>
      </c>
      <c r="J767" s="7" t="inlineStr">
        <is>
          <t>REINTEGRO</t>
        </is>
      </c>
      <c r="K767" s="7" t="inlineStr">
        <is>
          <t>MAYRA SANCHEZ</t>
        </is>
      </c>
      <c r="L767" s="7" t="n">
        <v/>
      </c>
      <c r="M767" s="7" t="n">
        <v/>
      </c>
      <c r="N767" s="7" t="n">
        <v>3212459633</v>
      </c>
      <c r="O767" s="7" t="inlineStr">
        <is>
          <t>solforeromedina@gmail.com</t>
        </is>
      </c>
      <c r="P767" s="7" t="inlineStr">
        <is>
          <t>BTA SEDE A</t>
        </is>
      </c>
      <c r="Q767" s="7" t="inlineStr">
        <is>
          <t>TRANSFORMACIÓN EMPRESARIAL</t>
        </is>
      </c>
      <c r="R767" s="7" t="n">
        <v>301</v>
      </c>
    </row>
    <row r="768" ht="20" customHeight="1">
      <c r="A768" s="3" t="inlineStr">
        <is>
          <t>1052404214</t>
        </is>
      </c>
      <c r="B768" s="4" t="inlineStr">
        <is>
          <t>PRESENCIAL BOGOTÁ</t>
        </is>
      </c>
      <c r="C768" s="4" t="inlineStr">
        <is>
          <t>FABIAN RICARDO CARDENAS VILLATE</t>
        </is>
      </c>
      <c r="D768" s="4" t="inlineStr">
        <is>
          <t>OPERACIONES</t>
        </is>
      </c>
      <c r="E768" s="4" t="inlineStr">
        <is>
          <t>REGIONAL BOGOTA</t>
        </is>
      </c>
      <c r="F768" s="4" t="inlineStr">
        <is>
          <t>BOGOTA CENTRO</t>
        </is>
      </c>
      <c r="G768" s="4" t="inlineStr">
        <is>
          <t>VIRTUAL</t>
        </is>
      </c>
      <c r="H768" s="4" t="inlineStr">
        <is>
          <t>DOC ASOC/N/V/TC/ADM DE EMPRE/FUN.ACADE-ADMIN</t>
        </is>
      </c>
      <c r="I768" s="4" t="inlineStr">
        <is>
          <t>ADMINISTRACION DE EMPRESAS</t>
        </is>
      </c>
      <c r="J768" s="4" t="inlineStr">
        <is>
          <t>REINTEGRO</t>
        </is>
      </c>
      <c r="K768" s="4" t="inlineStr">
        <is>
          <t>MAYRA SANCHEZ</t>
        </is>
      </c>
      <c r="L768" s="4" t="n">
        <v/>
      </c>
      <c r="M768" s="4" t="n">
        <v/>
      </c>
      <c r="N768" s="4" t="n">
        <v>3208730601</v>
      </c>
      <c r="O768" s="4" t="inlineStr">
        <is>
          <t>fabianricardocv@gmail.com</t>
        </is>
      </c>
      <c r="P768" s="4" t="inlineStr">
        <is>
          <t>BTA SEDE A</t>
        </is>
      </c>
      <c r="Q768" s="4" t="inlineStr">
        <is>
          <t>TRANSFORMACIÓN EMPRESARIAL</t>
        </is>
      </c>
      <c r="R768" s="4" t="n">
        <v>301</v>
      </c>
    </row>
    <row r="769" ht="20" customHeight="1">
      <c r="A769" s="6" t="inlineStr">
        <is>
          <t>15515936</t>
        </is>
      </c>
      <c r="B769" s="7" t="inlineStr">
        <is>
          <t>PRESENCIAL REGIONAL</t>
        </is>
      </c>
      <c r="C769" s="7" t="inlineStr">
        <is>
          <t>VICTOR HUGO BETANCUR RUIZ</t>
        </is>
      </c>
      <c r="D769" s="7" t="inlineStr">
        <is>
          <t>OPERACIONES</t>
        </is>
      </c>
      <c r="E769" s="7" t="inlineStr">
        <is>
          <t>REGIONAL ANTIOQUIA</t>
        </is>
      </c>
      <c r="F769" s="7" t="inlineStr">
        <is>
          <t>MEDELLIN</t>
        </is>
      </c>
      <c r="G769" s="7" t="inlineStr">
        <is>
          <t>VIRTUAL</t>
        </is>
      </c>
      <c r="H769" s="7" t="inlineStr">
        <is>
          <t>DOC ASIS/N/V/TC/ADM DE EMPRE/FUN.ACADE-ADMIN</t>
        </is>
      </c>
      <c r="I769" s="7" t="inlineStr">
        <is>
          <t>ADMINISTRACION DE EMPRESAS</t>
        </is>
      </c>
      <c r="J769" s="7" t="inlineStr">
        <is>
          <t>REINTEGRO</t>
        </is>
      </c>
      <c r="K769" s="7" t="inlineStr">
        <is>
          <t>MAYRA SANCHEZ</t>
        </is>
      </c>
      <c r="L769" s="7" t="n">
        <v/>
      </c>
      <c r="M769" s="7" t="n">
        <v/>
      </c>
      <c r="N769" s="7" t="n">
        <v>3004147611</v>
      </c>
      <c r="O769" s="7" t="inlineStr">
        <is>
          <t>VBETANCURR@HOTMAIL.COM</t>
        </is>
      </c>
      <c r="P769" s="7" t="inlineStr">
        <is>
          <t>MEDELLIN SEDE</t>
        </is>
      </c>
      <c r="Q769" s="7" t="inlineStr">
        <is>
          <t>TRANSFORMACIÓN EMPRESARIAL</t>
        </is>
      </c>
      <c r="R769" s="7" t="n">
        <v/>
      </c>
    </row>
    <row r="770" ht="20" customHeight="1">
      <c r="A770" s="3" t="inlineStr">
        <is>
          <t>80808206</t>
        </is>
      </c>
      <c r="B770" s="4" t="inlineStr">
        <is>
          <t>PRESENCIAL BOGOTÁ</t>
        </is>
      </c>
      <c r="C770" s="4" t="inlineStr">
        <is>
          <t>EDWIN CAMILO ESTRADA SALAZAR</t>
        </is>
      </c>
      <c r="D770" s="4" t="inlineStr">
        <is>
          <t>OPERACIONES</t>
        </is>
      </c>
      <c r="E770" s="4" t="inlineStr">
        <is>
          <t>REGIONAL BOGOTA</t>
        </is>
      </c>
      <c r="F770" s="4" t="inlineStr">
        <is>
          <t>BOGOTA CENTRO</t>
        </is>
      </c>
      <c r="G770" s="4" t="inlineStr">
        <is>
          <t>VIRTUAL</t>
        </is>
      </c>
      <c r="H770" s="4" t="inlineStr">
        <is>
          <t>DOC ASIS/N/V/TC/ADM DE EMPRE/FUN.ACADE-ADMIN</t>
        </is>
      </c>
      <c r="I770" s="4" t="inlineStr">
        <is>
          <t>ADMINISTRACION DE EMPRESAS</t>
        </is>
      </c>
      <c r="J770" s="4" t="inlineStr">
        <is>
          <t>REINTEGRO</t>
        </is>
      </c>
      <c r="K770" s="4" t="inlineStr">
        <is>
          <t>MAYRA SANCHEZ</t>
        </is>
      </c>
      <c r="L770" s="4" t="n">
        <v/>
      </c>
      <c r="M770" s="4" t="n">
        <v/>
      </c>
      <c r="N770" s="4" t="n">
        <v>3017869100</v>
      </c>
      <c r="O770" s="4" t="inlineStr">
        <is>
          <t>camilo0312@gmail.com</t>
        </is>
      </c>
      <c r="P770" s="4" t="inlineStr">
        <is>
          <t>BTA SEDE A</t>
        </is>
      </c>
      <c r="Q770" s="4" t="inlineStr">
        <is>
          <t>TRANSFORMACIÓN EMPRESARIAL</t>
        </is>
      </c>
      <c r="R770" s="4" t="n">
        <v>301</v>
      </c>
    </row>
    <row r="771" ht="20" customHeight="1">
      <c r="A771" s="6" t="inlineStr">
        <is>
          <t>52226962</t>
        </is>
      </c>
      <c r="B771" s="7" t="inlineStr">
        <is>
          <t>PRESENCIAL BOGOTÁ</t>
        </is>
      </c>
      <c r="C771" s="7" t="inlineStr">
        <is>
          <t>FLOR ANGELA BALLEN MURCIA</t>
        </is>
      </c>
      <c r="D771" s="7" t="inlineStr">
        <is>
          <t>OPERACIONES</t>
        </is>
      </c>
      <c r="E771" s="7" t="inlineStr">
        <is>
          <t>REGIONAL BOGOTA</t>
        </is>
      </c>
      <c r="F771" s="7" t="inlineStr">
        <is>
          <t>BOGOTA SUBA</t>
        </is>
      </c>
      <c r="G771" s="7" t="inlineStr">
        <is>
          <t>PRESENCIAL</t>
        </is>
      </c>
      <c r="H771" s="7" t="inlineStr">
        <is>
          <t>DOCENTE AUX/N/TC/ADM EMP/FUN.ACADE-ADMIN</t>
        </is>
      </c>
      <c r="I771" s="7" t="inlineStr">
        <is>
          <t>ADMINISTRACION DE EMPRESAS</t>
        </is>
      </c>
      <c r="J771" s="7" t="inlineStr">
        <is>
          <t>REINTEGRO</t>
        </is>
      </c>
      <c r="K771" s="7" t="inlineStr">
        <is>
          <t>MAYRA SANCHEZ</t>
        </is>
      </c>
      <c r="L771" s="7" t="n">
        <v/>
      </c>
      <c r="M771" s="7" t="n">
        <v/>
      </c>
      <c r="N771" s="7" t="n">
        <v>3153290073</v>
      </c>
      <c r="O771" s="7" t="inlineStr">
        <is>
          <t>angelabam@gmail.com</t>
        </is>
      </c>
      <c r="P771" s="7" t="inlineStr">
        <is>
          <t>BTA SEDE NORTE</t>
        </is>
      </c>
      <c r="Q771" s="7" t="inlineStr">
        <is>
          <t>TRANSFORMACIÓN EMPRESARIAL</t>
        </is>
      </c>
      <c r="R771" s="7" t="n">
        <v>301</v>
      </c>
    </row>
    <row r="772" ht="20" customHeight="1">
      <c r="A772" s="3" t="inlineStr">
        <is>
          <t>79135935</t>
        </is>
      </c>
      <c r="B772" s="4" t="inlineStr">
        <is>
          <t>PRESENCIAL BOGOTÁ</t>
        </is>
      </c>
      <c r="C772" s="4" t="inlineStr">
        <is>
          <t>CARLOS FERNANDO RIAÑO</t>
        </is>
      </c>
      <c r="D772" s="4" t="inlineStr">
        <is>
          <t>OPERACIONES</t>
        </is>
      </c>
      <c r="E772" s="4" t="inlineStr">
        <is>
          <t>REGIONAL BOGOTA</t>
        </is>
      </c>
      <c r="F772" s="4" t="inlineStr">
        <is>
          <t>BOGOTA CENTRO</t>
        </is>
      </c>
      <c r="G772" s="4" t="inlineStr">
        <is>
          <t>VIRTUAL</t>
        </is>
      </c>
      <c r="H772" s="4" t="inlineStr">
        <is>
          <t>DOC ASIS/N/V/TC/ADM DE EMPRE/FUN.ACADE-ADMIN</t>
        </is>
      </c>
      <c r="I772" s="4" t="inlineStr">
        <is>
          <t>ADMINISTRACION DE EMPRESAS</t>
        </is>
      </c>
      <c r="J772" s="4" t="inlineStr">
        <is>
          <t>REINTEGRO</t>
        </is>
      </c>
      <c r="K772" s="4" t="inlineStr">
        <is>
          <t>MAYRA SANCHEZ</t>
        </is>
      </c>
      <c r="L772" s="4" t="n">
        <v/>
      </c>
      <c r="M772" s="4" t="n">
        <v/>
      </c>
      <c r="N772" s="4" t="n">
        <v>3102343043</v>
      </c>
      <c r="O772" s="4" t="inlineStr">
        <is>
          <t>carlosfernandoriano@yahoo.com</t>
        </is>
      </c>
      <c r="P772" s="4" t="inlineStr">
        <is>
          <t>BTA SEDE A</t>
        </is>
      </c>
      <c r="Q772" s="4" t="inlineStr">
        <is>
          <t>TRANSFORMACIÓN EMPRESARIAL</t>
        </is>
      </c>
      <c r="R772" s="4" t="n">
        <v>301</v>
      </c>
    </row>
    <row r="773" ht="20" customHeight="1">
      <c r="A773" s="6" t="inlineStr">
        <is>
          <t>26670588</t>
        </is>
      </c>
      <c r="B773" s="7" t="inlineStr">
        <is>
          <t>VIRTUAL</t>
        </is>
      </c>
      <c r="C773" s="7" t="inlineStr">
        <is>
          <t>MAXIMINA PATRICIA AVENDAÑO JIMENEZ</t>
        </is>
      </c>
      <c r="D773" s="7" t="inlineStr">
        <is>
          <t>OPERACIONES</t>
        </is>
      </c>
      <c r="E773" s="7" t="inlineStr">
        <is>
          <t>REGIONAL MAGDALENA</t>
        </is>
      </c>
      <c r="F773" s="7" t="inlineStr">
        <is>
          <t>SANTA MARTA</t>
        </is>
      </c>
      <c r="G773" s="7" t="inlineStr">
        <is>
          <t>PRESENCIAL</t>
        </is>
      </c>
      <c r="H773" s="7" t="inlineStr">
        <is>
          <t>DOCENTE AUX/N/TC/ADM EMP/FUN.ACADE-ADMIN</t>
        </is>
      </c>
      <c r="I773" s="7" t="inlineStr">
        <is>
          <t>ADMINISTRACION DE EMPRESAS</t>
        </is>
      </c>
      <c r="J773" s="7" t="inlineStr">
        <is>
          <t>REINTEGRO</t>
        </is>
      </c>
      <c r="K773" s="7" t="inlineStr">
        <is>
          <t>MAYRA SANCHEZ</t>
        </is>
      </c>
      <c r="L773" s="7" t="n">
        <v/>
      </c>
      <c r="M773" s="7" t="n">
        <v/>
      </c>
      <c r="N773" s="7" t="n">
        <v>3008214270</v>
      </c>
      <c r="O773" s="7" t="inlineStr">
        <is>
          <t>maxipatricia.ajz@gmail.com</t>
        </is>
      </c>
      <c r="P773" s="7" t="inlineStr">
        <is>
          <t>SANTA MARTA SEDE</t>
        </is>
      </c>
      <c r="Q773" s="7" t="inlineStr">
        <is>
          <t>TRANSFORMACIÓN EMPRESARIAL</t>
        </is>
      </c>
      <c r="R773" s="7" t="n">
        <v/>
      </c>
    </row>
    <row r="774" ht="20" customHeight="1">
      <c r="A774" s="3" t="inlineStr">
        <is>
          <t>55233506</t>
        </is>
      </c>
      <c r="B774" s="4" t="inlineStr">
        <is>
          <t>PRESENCIAL REGIONAL</t>
        </is>
      </c>
      <c r="C774" s="4" t="inlineStr">
        <is>
          <t>MABEL JUDITH JULIO ALVAREZ</t>
        </is>
      </c>
      <c r="D774" s="4" t="inlineStr">
        <is>
          <t>OPERACIONES</t>
        </is>
      </c>
      <c r="E774" s="4" t="inlineStr">
        <is>
          <t>REGIONAL CORDOBA</t>
        </is>
      </c>
      <c r="F774" s="4" t="inlineStr">
        <is>
          <t>MONTERIA</t>
        </is>
      </c>
      <c r="G774" s="4" t="inlineStr">
        <is>
          <t>PRESENCIAL</t>
        </is>
      </c>
      <c r="H774" s="4" t="inlineStr">
        <is>
          <t>DOCENTE AUX/N/TC/ADM EMP/FUN.ACADE-ADMIN</t>
        </is>
      </c>
      <c r="I774" s="4" t="inlineStr">
        <is>
          <t>ADMINISTRACION DE EMPRESAS</t>
        </is>
      </c>
      <c r="J774" s="4" t="inlineStr">
        <is>
          <t>REINTEGRO</t>
        </is>
      </c>
      <c r="K774" s="4" t="inlineStr">
        <is>
          <t>MAYRA SANCHEZ</t>
        </is>
      </c>
      <c r="L774" s="4" t="n">
        <v/>
      </c>
      <c r="M774" s="4" t="n">
        <v/>
      </c>
      <c r="N774" s="4" t="n">
        <v>3204240477</v>
      </c>
      <c r="O774" s="4" t="inlineStr">
        <is>
          <t>melissa.mm@hotmail.es</t>
        </is>
      </c>
      <c r="P774" s="4" t="inlineStr">
        <is>
          <t>MONTERIA SEDE</t>
        </is>
      </c>
      <c r="Q774" s="4" t="inlineStr">
        <is>
          <t>TRANSFORMACIÓN EMPRESARIAL</t>
        </is>
      </c>
      <c r="R774" s="4" t="n">
        <v/>
      </c>
    </row>
    <row r="775" ht="20" customHeight="1">
      <c r="A775" s="6" t="inlineStr">
        <is>
          <t>80824976</t>
        </is>
      </c>
      <c r="B775" s="7" t="inlineStr">
        <is>
          <t>PRESENCIAL BOGOTÁ</t>
        </is>
      </c>
      <c r="C775" s="7" t="inlineStr">
        <is>
          <t>ELQUIN FABIAN GALINDO CACERES</t>
        </is>
      </c>
      <c r="D775" s="7" t="inlineStr">
        <is>
          <t>OPERACIONES</t>
        </is>
      </c>
      <c r="E775" s="7" t="inlineStr">
        <is>
          <t>REGIONAL BOGOTA</t>
        </is>
      </c>
      <c r="F775" s="7" t="inlineStr">
        <is>
          <t>BOGOTA CENTRO</t>
        </is>
      </c>
      <c r="G775" s="7" t="inlineStr">
        <is>
          <t>VIRTUAL</t>
        </is>
      </c>
      <c r="H775" s="7" t="inlineStr">
        <is>
          <t>DOC AUX/N/V/MT/ADM DE EMPRE</t>
        </is>
      </c>
      <c r="I775" s="7" t="inlineStr">
        <is>
          <t>ADMINISTRACION DE EMPRESAS</t>
        </is>
      </c>
      <c r="J775" s="7" t="inlineStr">
        <is>
          <t>REINTEGRO</t>
        </is>
      </c>
      <c r="K775" s="7" t="inlineStr">
        <is>
          <t>MAYRA SANCHEZ</t>
        </is>
      </c>
      <c r="L775" s="7" t="n">
        <v/>
      </c>
      <c r="M775" s="7" t="n">
        <v/>
      </c>
      <c r="N775" s="7" t="n">
        <v>3118863153</v>
      </c>
      <c r="O775" s="7" t="inlineStr">
        <is>
          <t>elquinfabian@hotmail.com</t>
        </is>
      </c>
      <c r="P775" s="7" t="inlineStr">
        <is>
          <t>BTA SEDE A</t>
        </is>
      </c>
      <c r="Q775" s="7" t="inlineStr">
        <is>
          <t>TRANSFORMACIÓN EMPRESARIAL</t>
        </is>
      </c>
      <c r="R775" s="7" t="n">
        <v>301</v>
      </c>
    </row>
    <row r="776" ht="20" customHeight="1">
      <c r="A776" s="3" t="inlineStr">
        <is>
          <t>93412499</t>
        </is>
      </c>
      <c r="B776" s="4" t="inlineStr">
        <is>
          <t>PRESENCIAL REGIONAL</t>
        </is>
      </c>
      <c r="C776" s="4" t="inlineStr">
        <is>
          <t>ADRIAN ELIECER VILLANUEVA CARDOZO</t>
        </is>
      </c>
      <c r="D776" s="4" t="inlineStr">
        <is>
          <t>OPERACIONES</t>
        </is>
      </c>
      <c r="E776" s="4" t="inlineStr">
        <is>
          <t>REGIONAL TOLIMA</t>
        </is>
      </c>
      <c r="F776" s="4" t="inlineStr">
        <is>
          <t>IBAGUÉ</t>
        </is>
      </c>
      <c r="G776" s="4" t="inlineStr">
        <is>
          <t>PRESENCIAL</t>
        </is>
      </c>
      <c r="H776" s="4" t="inlineStr">
        <is>
          <t>DOC AUX T&amp;T/N/TC/ADM EMP/FUN.ACADE-ADMIN</t>
        </is>
      </c>
      <c r="I776" s="4" t="inlineStr">
        <is>
          <t>ADMINISTRACION DE EMPRESAS</t>
        </is>
      </c>
      <c r="J776" s="4" t="inlineStr">
        <is>
          <t>REINTEGRO</t>
        </is>
      </c>
      <c r="K776" s="4" t="inlineStr">
        <is>
          <t>MAYRA SANCHEZ</t>
        </is>
      </c>
      <c r="L776" s="4" t="n">
        <v/>
      </c>
      <c r="M776" s="4" t="n">
        <v/>
      </c>
      <c r="N776" s="4" t="n">
        <v>3005423600</v>
      </c>
      <c r="O776" s="4" t="inlineStr">
        <is>
          <t>adran_v@hotmail.com</t>
        </is>
      </c>
      <c r="P776" s="4" t="inlineStr">
        <is>
          <t>IBAGUE SEDE</t>
        </is>
      </c>
      <c r="Q776" s="4" t="inlineStr">
        <is>
          <t>TRANSFORMACIÓN EMPRESARIAL</t>
        </is>
      </c>
      <c r="R776" s="4" t="n">
        <v/>
      </c>
    </row>
    <row r="777" ht="20" customHeight="1">
      <c r="A777" s="6" t="inlineStr">
        <is>
          <t>53099586</t>
        </is>
      </c>
      <c r="B777" s="7" t="inlineStr">
        <is>
          <t>PRESENCIAL BOGOTÁ</t>
        </is>
      </c>
      <c r="C777" s="7" t="inlineStr">
        <is>
          <t>LIZ AMANDA AVILA GARCIA</t>
        </is>
      </c>
      <c r="D777" s="7" t="inlineStr">
        <is>
          <t>OPERACIONES</t>
        </is>
      </c>
      <c r="E777" s="7" t="inlineStr">
        <is>
          <t>REGIONAL CUNDINAMARCA</t>
        </is>
      </c>
      <c r="F777" s="7" t="inlineStr">
        <is>
          <t>CHÍA</t>
        </is>
      </c>
      <c r="G777" s="7" t="inlineStr">
        <is>
          <t>VIRTUAL</t>
        </is>
      </c>
      <c r="H777" s="7" t="inlineStr">
        <is>
          <t>DOC ASIS/N/V/TC/ADM DE EMPRE/FUN.ACADE-ADMIN</t>
        </is>
      </c>
      <c r="I777" s="7" t="inlineStr">
        <is>
          <t>ADMINISTRACION DE EMPRESAS</t>
        </is>
      </c>
      <c r="J777" s="7" t="inlineStr">
        <is>
          <t>REINTEGRO</t>
        </is>
      </c>
      <c r="K777" s="7" t="inlineStr">
        <is>
          <t>MAYRA SANCHEZ</t>
        </is>
      </c>
      <c r="L777" s="7" t="n">
        <v/>
      </c>
      <c r="M777" s="7" t="n">
        <v/>
      </c>
      <c r="N777" s="7" t="n">
        <v>3125620145</v>
      </c>
      <c r="O777" s="7" t="inlineStr">
        <is>
          <t>lizcapacita@gmail.com</t>
        </is>
      </c>
      <c r="P777" s="7" t="inlineStr">
        <is>
          <t>CHIA SEDE</t>
        </is>
      </c>
      <c r="Q777" s="7" t="inlineStr">
        <is>
          <t>TRANSFORMACIÓN EMPRESARIAL</t>
        </is>
      </c>
      <c r="R777" s="7" t="n">
        <v/>
      </c>
    </row>
    <row r="778" ht="20" customHeight="1">
      <c r="A778" s="3" t="inlineStr">
        <is>
          <t>38144894</t>
        </is>
      </c>
      <c r="B778" s="4" t="inlineStr">
        <is>
          <t>PRESENCIAL REGIONAL</t>
        </is>
      </c>
      <c r="C778" s="4" t="inlineStr">
        <is>
          <t>DIANA JOHANA DIAZ SANCHEZ</t>
        </is>
      </c>
      <c r="D778" s="4" t="inlineStr">
        <is>
          <t>OPERACIONES</t>
        </is>
      </c>
      <c r="E778" s="4" t="inlineStr">
        <is>
          <t>REGIONAL TOLIMA</t>
        </is>
      </c>
      <c r="F778" s="4" t="inlineStr">
        <is>
          <t>IBAGUÉ</t>
        </is>
      </c>
      <c r="G778" s="4" t="inlineStr">
        <is>
          <t>VIRTUAL</t>
        </is>
      </c>
      <c r="H778" s="4" t="inlineStr">
        <is>
          <t>DOC ASIS/N/V/TC/ADM DE EMPRE/FUN.ACADE-ADMIN</t>
        </is>
      </c>
      <c r="I778" s="4" t="inlineStr">
        <is>
          <t>ADMINISTRACION DE EMPRESAS</t>
        </is>
      </c>
      <c r="J778" s="4" t="inlineStr">
        <is>
          <t>REINTEGRO</t>
        </is>
      </c>
      <c r="K778" s="4" t="inlineStr">
        <is>
          <t>MAYRA SANCHEZ</t>
        </is>
      </c>
      <c r="L778" s="4" t="n">
        <v/>
      </c>
      <c r="M778" s="4" t="n">
        <v/>
      </c>
      <c r="N778" s="4" t="n">
        <v>3175168554</v>
      </c>
      <c r="O778" s="4" t="inlineStr">
        <is>
          <t>dianajdiaz@gmail.com</t>
        </is>
      </c>
      <c r="P778" s="4" t="inlineStr">
        <is>
          <t>IBAGUE SEDE</t>
        </is>
      </c>
      <c r="Q778" s="4" t="inlineStr">
        <is>
          <t>TRANSFORMACIÓN EMPRESARIAL</t>
        </is>
      </c>
      <c r="R778" s="4" t="n">
        <v/>
      </c>
    </row>
    <row r="779" ht="20" customHeight="1">
      <c r="A779" s="6" t="inlineStr">
        <is>
          <t>7174306</t>
        </is>
      </c>
      <c r="B779" s="7" t="inlineStr">
        <is>
          <t>PRESENCIAL BOGOTÁ</t>
        </is>
      </c>
      <c r="C779" s="7" t="inlineStr">
        <is>
          <t>GERARDO ANTONIO MEDINA ALVAREZ</t>
        </is>
      </c>
      <c r="D779" s="7" t="inlineStr">
        <is>
          <t>OPERACIONES</t>
        </is>
      </c>
      <c r="E779" s="7" t="inlineStr">
        <is>
          <t>REGIONAL BOGOTA</t>
        </is>
      </c>
      <c r="F779" s="7" t="inlineStr">
        <is>
          <t>BOGOTA CENTRO</t>
        </is>
      </c>
      <c r="G779" s="7" t="inlineStr">
        <is>
          <t>PRESENCIAL</t>
        </is>
      </c>
      <c r="H779" s="7" t="inlineStr">
        <is>
          <t>DOCENTE AUX/N/TC/ADM EMP/FUN.ACADE-ADMIN</t>
        </is>
      </c>
      <c r="I779" s="7" t="inlineStr">
        <is>
          <t>ADMINISTRACION DE EMPRESAS</t>
        </is>
      </c>
      <c r="J779" s="7" t="inlineStr">
        <is>
          <t>REINTEGRO</t>
        </is>
      </c>
      <c r="K779" s="7" t="inlineStr">
        <is>
          <t>MAYRA SANCHEZ</t>
        </is>
      </c>
      <c r="L779" s="7" t="n">
        <v/>
      </c>
      <c r="M779" s="7" t="n">
        <v/>
      </c>
      <c r="N779" s="7" t="n">
        <v>3216385443</v>
      </c>
      <c r="O779" s="7" t="inlineStr">
        <is>
          <t>gerannto@gmail.com</t>
        </is>
      </c>
      <c r="P779" s="7" t="inlineStr">
        <is>
          <t>BTA SEDE D</t>
        </is>
      </c>
      <c r="Q779" s="7" t="inlineStr">
        <is>
          <t>TRANSFORMACIÓN EMPRESARIAL</t>
        </is>
      </c>
      <c r="R779" s="7" t="n">
        <v>301</v>
      </c>
    </row>
    <row r="780" ht="20" customHeight="1">
      <c r="A780" s="3" t="inlineStr">
        <is>
          <t>1033716258</t>
        </is>
      </c>
      <c r="B780" s="4" t="inlineStr">
        <is>
          <t>PRESENCIAL BOGOTÁ</t>
        </is>
      </c>
      <c r="C780" s="4" t="inlineStr">
        <is>
          <t>JULIAN DAVID RUIZ MORALES</t>
        </is>
      </c>
      <c r="D780" s="4" t="inlineStr">
        <is>
          <t>OPERACIONES</t>
        </is>
      </c>
      <c r="E780" s="4" t="inlineStr">
        <is>
          <t>REGIONAL BOGOTA</t>
        </is>
      </c>
      <c r="F780" s="4" t="inlineStr">
        <is>
          <t>BOGOTA CENTRO</t>
        </is>
      </c>
      <c r="G780" s="4" t="inlineStr">
        <is>
          <t>VIRTUAL</t>
        </is>
      </c>
      <c r="H780" s="4" t="inlineStr">
        <is>
          <t>DOC AUX/N/V/MT/ADM DE EMPRE</t>
        </is>
      </c>
      <c r="I780" s="4" t="inlineStr">
        <is>
          <t>ADMINISTRACION DE EMPRESAS</t>
        </is>
      </c>
      <c r="J780" s="4" t="inlineStr">
        <is>
          <t>REINTEGRO</t>
        </is>
      </c>
      <c r="K780" s="4" t="inlineStr">
        <is>
          <t>MAYRA SANCHEZ</t>
        </is>
      </c>
      <c r="L780" s="4" t="n">
        <v/>
      </c>
      <c r="M780" s="4" t="n">
        <v/>
      </c>
      <c r="N780" s="4" t="n">
        <v>3166130203</v>
      </c>
      <c r="O780" s="4" t="inlineStr">
        <is>
          <t>JDRUIZM1111@GMAIL.COM</t>
        </is>
      </c>
      <c r="P780" s="4" t="inlineStr">
        <is>
          <t>BTA SEDE A</t>
        </is>
      </c>
      <c r="Q780" s="4" t="inlineStr">
        <is>
          <t>TRANSFORMACIÓN EMPRESARIAL</t>
        </is>
      </c>
      <c r="R780" s="4" t="n">
        <v>301</v>
      </c>
    </row>
    <row r="781" ht="20" customHeight="1">
      <c r="A781" s="6" t="inlineStr">
        <is>
          <t>52440420</t>
        </is>
      </c>
      <c r="B781" s="7" t="inlineStr">
        <is>
          <t>PRESENCIAL BOGOTÁ</t>
        </is>
      </c>
      <c r="C781" s="7" t="inlineStr">
        <is>
          <t>NOHORA SABINA SARMIENTO NIÑO</t>
        </is>
      </c>
      <c r="D781" s="7" t="inlineStr">
        <is>
          <t>OPERACIONES</t>
        </is>
      </c>
      <c r="E781" s="7" t="inlineStr">
        <is>
          <t>REGIONAL BOGOTA</t>
        </is>
      </c>
      <c r="F781" s="7" t="inlineStr">
        <is>
          <t>BOGOTA SUR</t>
        </is>
      </c>
      <c r="G781" s="7" t="inlineStr">
        <is>
          <t>PRESENCIAL</t>
        </is>
      </c>
      <c r="H781" s="7" t="inlineStr">
        <is>
          <t>DOC AUX T&amp;T/N/TC/ADM EMP/FUN.ACADE-ADMIN</t>
        </is>
      </c>
      <c r="I781" s="7" t="inlineStr">
        <is>
          <t>ADMINISTRACION DE EMPRESAS</t>
        </is>
      </c>
      <c r="J781" s="7" t="inlineStr">
        <is>
          <t>REINTEGRO</t>
        </is>
      </c>
      <c r="K781" s="7" t="inlineStr">
        <is>
          <t>MAYRA SANCHEZ</t>
        </is>
      </c>
      <c r="L781" s="7" t="n">
        <v/>
      </c>
      <c r="M781" s="7" t="n">
        <v/>
      </c>
      <c r="N781" s="7" t="n">
        <v>3143739972</v>
      </c>
      <c r="O781" s="7" t="inlineStr">
        <is>
          <t>snino2413@gmail.com</t>
        </is>
      </c>
      <c r="P781" s="7" t="inlineStr">
        <is>
          <t>BTA SEDE SUR</t>
        </is>
      </c>
      <c r="Q781" s="7" t="inlineStr">
        <is>
          <t>TRANSFORMACIÓN EMPRESARIAL</t>
        </is>
      </c>
      <c r="R781" s="7" t="n">
        <v>301</v>
      </c>
    </row>
    <row r="782" ht="20" customHeight="1">
      <c r="A782" s="3" t="inlineStr">
        <is>
          <t>1022380383</t>
        </is>
      </c>
      <c r="B782" s="4" t="inlineStr">
        <is>
          <t>PRESENCIAL BOGOTÁ</t>
        </is>
      </c>
      <c r="C782" s="4" t="inlineStr">
        <is>
          <t>LAURA ANDREA GUTIERREZ ARIAS</t>
        </is>
      </c>
      <c r="D782" s="4" t="inlineStr">
        <is>
          <t>OPERACIONES</t>
        </is>
      </c>
      <c r="E782" s="4" t="inlineStr">
        <is>
          <t>REGIONAL BOGOTA</t>
        </is>
      </c>
      <c r="F782" s="4" t="inlineStr">
        <is>
          <t>BOGOTA CENTRO</t>
        </is>
      </c>
      <c r="G782" s="4" t="inlineStr">
        <is>
          <t>PRESENCIAL</t>
        </is>
      </c>
      <c r="H782" s="4" t="inlineStr">
        <is>
          <t>DOCENTE ASIS/N/TC/ADM EMP/FUN.ACADE-ADMIN</t>
        </is>
      </c>
      <c r="I782" s="4" t="inlineStr">
        <is>
          <t>ADMINISTRACION DE EMPRESAS</t>
        </is>
      </c>
      <c r="J782" s="4" t="inlineStr">
        <is>
          <t>REINTEGRO</t>
        </is>
      </c>
      <c r="K782" s="4" t="inlineStr">
        <is>
          <t>MAYRA SANCHEZ</t>
        </is>
      </c>
      <c r="L782" s="4" t="n">
        <v/>
      </c>
      <c r="M782" s="4" t="n">
        <v/>
      </c>
      <c r="N782" s="4" t="n">
        <v>3103868253</v>
      </c>
      <c r="O782" s="4" t="inlineStr">
        <is>
          <t>lauraandrea.gutierrezarias@gmail.com</t>
        </is>
      </c>
      <c r="P782" s="4" t="inlineStr">
        <is>
          <t>BTA SEDE RESTREPO</t>
        </is>
      </c>
      <c r="Q782" s="4" t="inlineStr">
        <is>
          <t>TRANSFORMACIÓN EMPRESARIAL</t>
        </is>
      </c>
      <c r="R782" s="4" t="n">
        <v>301</v>
      </c>
    </row>
    <row r="783" ht="20" customHeight="1">
      <c r="A783" s="6" t="inlineStr">
        <is>
          <t>1030640485</t>
        </is>
      </c>
      <c r="B783" s="7" t="inlineStr">
        <is>
          <t>PRESENCIAL BOGOTÁ</t>
        </is>
      </c>
      <c r="C783" s="7" t="inlineStr">
        <is>
          <t>ADRIANA VALERO ROMERO</t>
        </is>
      </c>
      <c r="D783" s="7" t="inlineStr">
        <is>
          <t>OPERACIONES</t>
        </is>
      </c>
      <c r="E783" s="7" t="inlineStr">
        <is>
          <t>REGIONAL BOGOTA</t>
        </is>
      </c>
      <c r="F783" s="7" t="inlineStr">
        <is>
          <t>BOGOTA CENTRO</t>
        </is>
      </c>
      <c r="G783" s="7" t="inlineStr">
        <is>
          <t>PRESENCIAL</t>
        </is>
      </c>
      <c r="H783" s="7" t="inlineStr">
        <is>
          <t>DOCENTE ASIS/N/TC/ADM EMP/FUN.ACADE-ADMIN</t>
        </is>
      </c>
      <c r="I783" s="7" t="inlineStr">
        <is>
          <t>ADMINISTRACION DE EMPRESAS</t>
        </is>
      </c>
      <c r="J783" s="7" t="inlineStr">
        <is>
          <t>REINTEGRO</t>
        </is>
      </c>
      <c r="K783" s="7" t="inlineStr">
        <is>
          <t>MAYRA SANCHEZ</t>
        </is>
      </c>
      <c r="L783" s="7" t="n">
        <v/>
      </c>
      <c r="M783" s="7" t="n">
        <v/>
      </c>
      <c r="N783" s="7" t="n">
        <v>3118382483</v>
      </c>
      <c r="O783" s="7" t="inlineStr">
        <is>
          <t>adrianavaleroromero@gmail.com</t>
        </is>
      </c>
      <c r="P783" s="7" t="inlineStr">
        <is>
          <t>BTA SEDE D</t>
        </is>
      </c>
      <c r="Q783" s="7" t="inlineStr">
        <is>
          <t>TRANSFORMACIÓN EMPRESARIAL</t>
        </is>
      </c>
      <c r="R783" s="7" t="n">
        <v>301</v>
      </c>
    </row>
    <row r="784" ht="20" customHeight="1">
      <c r="A784" s="3" t="inlineStr">
        <is>
          <t>79602436</t>
        </is>
      </c>
      <c r="B784" s="4" t="inlineStr">
        <is>
          <t>PRESENCIAL BOGOTÁ</t>
        </is>
      </c>
      <c r="C784" s="4" t="inlineStr">
        <is>
          <t>LUIS ALEJANDRO ZAFRA JARAMILLO</t>
        </is>
      </c>
      <c r="D784" s="4" t="inlineStr">
        <is>
          <t>OPERACIONES</t>
        </is>
      </c>
      <c r="E784" s="4" t="inlineStr">
        <is>
          <t>REGIONAL BOGOTA</t>
        </is>
      </c>
      <c r="F784" s="4" t="inlineStr">
        <is>
          <t>BOGOTA CENTRO</t>
        </is>
      </c>
      <c r="G784" s="4" t="inlineStr">
        <is>
          <t>PRESENCIAL</t>
        </is>
      </c>
      <c r="H784" s="4" t="inlineStr">
        <is>
          <t>DOCENTE AUX/N/TC/ADM EMP/FUN.ACADE-ADMIN</t>
        </is>
      </c>
      <c r="I784" s="4" t="inlineStr">
        <is>
          <t>ADMINISTRACION DE EMPRESAS</t>
        </is>
      </c>
      <c r="J784" s="4" t="inlineStr">
        <is>
          <t>REINTEGRO</t>
        </is>
      </c>
      <c r="K784" s="4" t="inlineStr">
        <is>
          <t>MAYRA SANCHEZ</t>
        </is>
      </c>
      <c r="L784" s="4" t="n">
        <v/>
      </c>
      <c r="M784" s="4" t="n">
        <v/>
      </c>
      <c r="N784" s="4" t="n">
        <v>3202030805</v>
      </c>
      <c r="O784" s="4" t="inlineStr">
        <is>
          <t>lualzaja@hotmail.com</t>
        </is>
      </c>
      <c r="P784" s="4" t="inlineStr">
        <is>
          <t>BTA SEDE A</t>
        </is>
      </c>
      <c r="Q784" s="4" t="inlineStr">
        <is>
          <t>TRANSFORMACIÓN EMPRESARIAL</t>
        </is>
      </c>
      <c r="R784" s="4" t="n">
        <v>301</v>
      </c>
    </row>
    <row r="785" ht="20" customHeight="1">
      <c r="A785" s="6" t="inlineStr">
        <is>
          <t>79713987</t>
        </is>
      </c>
      <c r="B785" s="7" t="inlineStr">
        <is>
          <t>PRESENCIAL BOGOTÁ</t>
        </is>
      </c>
      <c r="C785" s="7" t="inlineStr">
        <is>
          <t>PEDRO PABLO CASAS CASTRO</t>
        </is>
      </c>
      <c r="D785" s="7" t="inlineStr">
        <is>
          <t>OPERACIONES</t>
        </is>
      </c>
      <c r="E785" s="7" t="inlineStr">
        <is>
          <t>REGIONAL BOGOTA</t>
        </is>
      </c>
      <c r="F785" s="7" t="inlineStr">
        <is>
          <t>BOGOTA SUR</t>
        </is>
      </c>
      <c r="G785" s="7" t="inlineStr">
        <is>
          <t>PRESENCIAL</t>
        </is>
      </c>
      <c r="H785" s="7" t="inlineStr">
        <is>
          <t>DOC AUX T&amp;T/N/MT/ADM EM</t>
        </is>
      </c>
      <c r="I785" s="7" t="inlineStr">
        <is>
          <t>ADMINISTRACION DE EMPRESAS</t>
        </is>
      </c>
      <c r="J785" s="7" t="inlineStr">
        <is>
          <t>REINTEGRO</t>
        </is>
      </c>
      <c r="K785" s="7" t="inlineStr">
        <is>
          <t>MAYRA SANCHEZ</t>
        </is>
      </c>
      <c r="L785" s="7" t="n">
        <v/>
      </c>
      <c r="M785" s="7" t="n">
        <v/>
      </c>
      <c r="N785" s="7" t="n">
        <v>3012738345</v>
      </c>
      <c r="O785" s="7" t="inlineStr">
        <is>
          <t>pedropablocasascastro@gmail.com</t>
        </is>
      </c>
      <c r="P785" s="7" t="inlineStr">
        <is>
          <t>BTA SEDE SUR</t>
        </is>
      </c>
      <c r="Q785" s="7" t="inlineStr">
        <is>
          <t>TRANSFORMACIÓN EMPRESARIAL</t>
        </is>
      </c>
      <c r="R785" s="7" t="n">
        <v>301</v>
      </c>
    </row>
    <row r="786" ht="20" customHeight="1">
      <c r="A786" s="3" t="inlineStr">
        <is>
          <t>79989836</t>
        </is>
      </c>
      <c r="B786" s="4" t="inlineStr">
        <is>
          <t>PRESENCIAL BOGOTÁ</t>
        </is>
      </c>
      <c r="C786" s="4" t="inlineStr">
        <is>
          <t>MARCO ANTONIO SOLAQUE RAMIREZ</t>
        </is>
      </c>
      <c r="D786" s="4" t="inlineStr">
        <is>
          <t>OPERACIONES</t>
        </is>
      </c>
      <c r="E786" s="4" t="inlineStr">
        <is>
          <t>REGIONAL BOGOTA</t>
        </is>
      </c>
      <c r="F786" s="4" t="inlineStr">
        <is>
          <t>BOGOTA CENTRO</t>
        </is>
      </c>
      <c r="G786" s="4" t="inlineStr">
        <is>
          <t>PRESENCIAL</t>
        </is>
      </c>
      <c r="H786" s="4" t="inlineStr">
        <is>
          <t>DOCENTE ASIS/N/TC/ADM EMP/FUN.ACADE-ADMIN</t>
        </is>
      </c>
      <c r="I786" s="4" t="inlineStr">
        <is>
          <t>ADMINISTRACION DE EMPRESAS</t>
        </is>
      </c>
      <c r="J786" s="4" t="inlineStr">
        <is>
          <t>REINTEGRO</t>
        </is>
      </c>
      <c r="K786" s="4" t="inlineStr">
        <is>
          <t>MAYRA SANCHEZ</t>
        </is>
      </c>
      <c r="L786" s="4" t="n">
        <v/>
      </c>
      <c r="M786" s="4" t="n">
        <v/>
      </c>
      <c r="N786" s="4" t="n">
        <v>3506590549</v>
      </c>
      <c r="O786" s="4" t="inlineStr">
        <is>
          <t>antoniosolaque@hotmail.com</t>
        </is>
      </c>
      <c r="P786" s="4" t="inlineStr">
        <is>
          <t>BTA SEDE D</t>
        </is>
      </c>
      <c r="Q786" s="4" t="inlineStr">
        <is>
          <t>TRANSFORMACIÓN EMPRESARIAL</t>
        </is>
      </c>
      <c r="R786" s="4" t="n">
        <v>301</v>
      </c>
    </row>
    <row r="787" ht="20" customHeight="1">
      <c r="A787" s="6" t="inlineStr">
        <is>
          <t>75094569</t>
        </is>
      </c>
      <c r="B787" s="7" t="inlineStr">
        <is>
          <t>PRESENCIAL BOGOTÁ</t>
        </is>
      </c>
      <c r="C787" s="7" t="inlineStr">
        <is>
          <t>ANDRES FELIPE ALZATE CARDONA</t>
        </is>
      </c>
      <c r="D787" s="7" t="inlineStr">
        <is>
          <t>OPERACIONES</t>
        </is>
      </c>
      <c r="E787" s="7" t="inlineStr">
        <is>
          <t>REGIONAL BOGOTA</t>
        </is>
      </c>
      <c r="F787" s="7" t="inlineStr">
        <is>
          <t>BOGOTA CENTRO</t>
        </is>
      </c>
      <c r="G787" s="7" t="inlineStr">
        <is>
          <t>PRESENCIAL</t>
        </is>
      </c>
      <c r="H787" s="7" t="inlineStr">
        <is>
          <t>DOCENTE AUX/N/TC/ADM EMP/FUN.ACADE-ADMIN</t>
        </is>
      </c>
      <c r="I787" s="7" t="inlineStr">
        <is>
          <t>ADMINISTRACION DE EMPRESAS</t>
        </is>
      </c>
      <c r="J787" s="7" t="inlineStr">
        <is>
          <t>REINTEGRO</t>
        </is>
      </c>
      <c r="K787" s="7" t="inlineStr">
        <is>
          <t>MAYRA SANCHEZ</t>
        </is>
      </c>
      <c r="L787" s="7" t="n">
        <v/>
      </c>
      <c r="M787" s="7" t="n">
        <v/>
      </c>
      <c r="N787" s="7" t="n">
        <v>3245849408</v>
      </c>
      <c r="O787" s="7" t="inlineStr">
        <is>
          <t>afalzatec@gmail.com</t>
        </is>
      </c>
      <c r="P787" s="7" t="inlineStr">
        <is>
          <t>BTA SEDE A</t>
        </is>
      </c>
      <c r="Q787" s="7" t="inlineStr">
        <is>
          <t>TRANSFORMACIÓN EMPRESARIAL</t>
        </is>
      </c>
      <c r="R787" s="7" t="n">
        <v>301</v>
      </c>
    </row>
    <row r="788" ht="20" customHeight="1">
      <c r="A788" s="3" t="inlineStr">
        <is>
          <t>52912760</t>
        </is>
      </c>
      <c r="B788" s="4" t="inlineStr">
        <is>
          <t>PRESENCIAL BOGOTÁ</t>
        </is>
      </c>
      <c r="C788" s="4" t="inlineStr">
        <is>
          <t>CAROL ANDREA HERNANDEZ PACHON</t>
        </is>
      </c>
      <c r="D788" s="4" t="inlineStr">
        <is>
          <t>OPERACIONES</t>
        </is>
      </c>
      <c r="E788" s="4" t="inlineStr">
        <is>
          <t>REGIONAL CUNDINAMARCA</t>
        </is>
      </c>
      <c r="F788" s="4" t="inlineStr">
        <is>
          <t>CHÍA</t>
        </is>
      </c>
      <c r="G788" s="4" t="inlineStr">
        <is>
          <t>VIRTUAL</t>
        </is>
      </c>
      <c r="H788" s="4" t="inlineStr">
        <is>
          <t>DOC AUX/N/V/MT/ADM DE EMPRE</t>
        </is>
      </c>
      <c r="I788" s="4" t="inlineStr">
        <is>
          <t>ADMINISTRACION DE EMPRESAS</t>
        </is>
      </c>
      <c r="J788" s="4" t="inlineStr">
        <is>
          <t>REINTEGRO</t>
        </is>
      </c>
      <c r="K788" s="4" t="inlineStr">
        <is>
          <t>MAYRA SANCHEZ</t>
        </is>
      </c>
      <c r="L788" s="4" t="n">
        <v/>
      </c>
      <c r="M788" s="4" t="n">
        <v/>
      </c>
      <c r="N788" s="4" t="n">
        <v>3173823890</v>
      </c>
      <c r="O788" s="4" t="inlineStr">
        <is>
          <t>carolandreah@hotmail.com</t>
        </is>
      </c>
      <c r="P788" s="4" t="inlineStr">
        <is>
          <t>CHIA SEDE</t>
        </is>
      </c>
      <c r="Q788" s="4" t="inlineStr">
        <is>
          <t>TRANSFORMACIÓN EMPRESARIAL</t>
        </is>
      </c>
      <c r="R788" s="4" t="n">
        <v/>
      </c>
    </row>
    <row r="789" ht="20" customHeight="1">
      <c r="A789" s="6" t="inlineStr">
        <is>
          <t>1015445961</t>
        </is>
      </c>
      <c r="B789" s="7" t="inlineStr">
        <is>
          <t>PRESENCIAL BOGOTÁ</t>
        </is>
      </c>
      <c r="C789" s="7" t="inlineStr">
        <is>
          <t>WILLIAM CAMILO GIL AVILA</t>
        </is>
      </c>
      <c r="D789" s="7" t="inlineStr">
        <is>
          <t>OPERACIONES</t>
        </is>
      </c>
      <c r="E789" s="7" t="inlineStr">
        <is>
          <t>REGIONAL BOGOTA</t>
        </is>
      </c>
      <c r="F789" s="7" t="inlineStr">
        <is>
          <t>BOGOTA CENTRO</t>
        </is>
      </c>
      <c r="G789" s="7" t="inlineStr">
        <is>
          <t>VIRTUAL</t>
        </is>
      </c>
      <c r="H789" s="7" t="inlineStr">
        <is>
          <t>DOC AUX/N/V/TC/ADM DE EMPRE/FUN.ACADE-ADMIN</t>
        </is>
      </c>
      <c r="I789" s="7" t="inlineStr">
        <is>
          <t>ADMINISTRACION DE EMPRESAS</t>
        </is>
      </c>
      <c r="J789" s="7" t="inlineStr">
        <is>
          <t>REINTEGRO</t>
        </is>
      </c>
      <c r="K789" s="7" t="inlineStr">
        <is>
          <t>MAYRA SANCHEZ</t>
        </is>
      </c>
      <c r="L789" s="7" t="n">
        <v/>
      </c>
      <c r="M789" s="7" t="n">
        <v/>
      </c>
      <c r="N789" s="7" t="n">
        <v>3016876269</v>
      </c>
      <c r="O789" s="7" t="inlineStr">
        <is>
          <t>CAMILOGIL58@GMAIL.COM</t>
        </is>
      </c>
      <c r="P789" s="7" t="inlineStr">
        <is>
          <t>BTA SEDE A</t>
        </is>
      </c>
      <c r="Q789" s="7" t="inlineStr">
        <is>
          <t>TRANSFORMACIÓN EMPRESARIAL</t>
        </is>
      </c>
      <c r="R789" s="7" t="n">
        <v>301</v>
      </c>
    </row>
    <row r="790" ht="20" customHeight="1">
      <c r="A790" s="3" t="inlineStr">
        <is>
          <t>1072711668</t>
        </is>
      </c>
      <c r="B790" s="4" t="inlineStr">
        <is>
          <t>PRESENCIAL BOGOTÁ</t>
        </is>
      </c>
      <c r="C790" s="4" t="inlineStr">
        <is>
          <t>ANDER CORTES SILVA</t>
        </is>
      </c>
      <c r="D790" s="4" t="inlineStr">
        <is>
          <t>OPERACIONES</t>
        </is>
      </c>
      <c r="E790" s="4" t="inlineStr">
        <is>
          <t>REGIONAL BOGOTA</t>
        </is>
      </c>
      <c r="F790" s="4" t="inlineStr">
        <is>
          <t>BOGOTA CENTRO</t>
        </is>
      </c>
      <c r="G790" s="4" t="inlineStr">
        <is>
          <t>PRESENCIAL</t>
        </is>
      </c>
      <c r="H790" s="4" t="inlineStr">
        <is>
          <t>DOCENTE ASIS/N/TC/ADM EMP/FUN.ACADE-ADMIN</t>
        </is>
      </c>
      <c r="I790" s="4" t="inlineStr">
        <is>
          <t>ADMINISTRACION DE EMPRESAS</t>
        </is>
      </c>
      <c r="J790" s="4" t="inlineStr">
        <is>
          <t>REINTEGRO</t>
        </is>
      </c>
      <c r="K790" s="4" t="inlineStr">
        <is>
          <t>MAYRA SANCHEZ</t>
        </is>
      </c>
      <c r="L790" s="4" t="inlineStr">
        <is>
          <t>CONFIRMADO PRESENCIAL</t>
        </is>
      </c>
      <c r="M790" s="4" t="n">
        <v/>
      </c>
      <c r="N790" s="4" t="n">
        <v>3222345438</v>
      </c>
      <c r="O790" s="4" t="inlineStr">
        <is>
          <t>anderjose598@gmail.com</t>
        </is>
      </c>
      <c r="P790" s="4" t="inlineStr">
        <is>
          <t>BTA SEDE D</t>
        </is>
      </c>
      <c r="Q790" s="4" t="inlineStr">
        <is>
          <t>TRANSFORMACIÓN EMPRESARIAL</t>
        </is>
      </c>
      <c r="R790" s="4" t="n">
        <v>302</v>
      </c>
    </row>
    <row r="791" ht="20" customHeight="1">
      <c r="A791" s="6" t="inlineStr">
        <is>
          <t>1014194908</t>
        </is>
      </c>
      <c r="B791" s="7" t="inlineStr">
        <is>
          <t>PRESENCIAL BOGOTÁ</t>
        </is>
      </c>
      <c r="C791" s="7" t="inlineStr">
        <is>
          <t>JULIETA CORTES ARIAS</t>
        </is>
      </c>
      <c r="D791" s="7" t="inlineStr">
        <is>
          <t>OPERACIONES</t>
        </is>
      </c>
      <c r="E791" s="7" t="inlineStr">
        <is>
          <t>REGIONAL BOGOTA</t>
        </is>
      </c>
      <c r="F791" s="7" t="inlineStr">
        <is>
          <t>BOGOTA CENTRO</t>
        </is>
      </c>
      <c r="G791" s="7" t="inlineStr">
        <is>
          <t>VIRTUAL</t>
        </is>
      </c>
      <c r="H791" s="7" t="inlineStr">
        <is>
          <t>DOC ASIS/N/V/TC/ADM DE EMPRE/FUN.ACADE-ADMIN</t>
        </is>
      </c>
      <c r="I791" s="7" t="inlineStr">
        <is>
          <t>ADMINISTRACION DE EMPRESAS</t>
        </is>
      </c>
      <c r="J791" s="7" t="inlineStr">
        <is>
          <t>REINTEGRO</t>
        </is>
      </c>
      <c r="K791" s="7" t="inlineStr">
        <is>
          <t>MAYRA SANCHEZ</t>
        </is>
      </c>
      <c r="L791" s="7" t="inlineStr">
        <is>
          <t>CONFIRMADO PRESENCIAL</t>
        </is>
      </c>
      <c r="M791" s="7" t="n">
        <v/>
      </c>
      <c r="N791" s="7" t="n">
        <v>3194637693</v>
      </c>
      <c r="O791" s="7" t="inlineStr">
        <is>
          <t>JULIETA.CORTES.ARIAS@GMAIL.COM</t>
        </is>
      </c>
      <c r="P791" s="7" t="inlineStr">
        <is>
          <t>BTA SEDE A</t>
        </is>
      </c>
      <c r="Q791" s="7" t="inlineStr">
        <is>
          <t>TRANSFORMACIÓN EMPRESARIAL</t>
        </is>
      </c>
      <c r="R791" s="7" t="n">
        <v>302</v>
      </c>
    </row>
    <row r="792" ht="20" customHeight="1">
      <c r="A792" s="3" t="inlineStr">
        <is>
          <t>1064113622</t>
        </is>
      </c>
      <c r="B792" s="4" t="inlineStr">
        <is>
          <t>VIRTUAL</t>
        </is>
      </c>
      <c r="C792" s="4" t="inlineStr">
        <is>
          <t>KATERINE PAOLA POLO MIER</t>
        </is>
      </c>
      <c r="D792" s="4" t="inlineStr">
        <is>
          <t>OPERACIONES</t>
        </is>
      </c>
      <c r="E792" s="4" t="inlineStr">
        <is>
          <t>REGIONAL MAGDALENA</t>
        </is>
      </c>
      <c r="F792" s="4" t="inlineStr">
        <is>
          <t>SANTA MARTA</t>
        </is>
      </c>
      <c r="G792" s="4" t="inlineStr">
        <is>
          <t>PRESENCIAL</t>
        </is>
      </c>
      <c r="H792" s="4" t="inlineStr">
        <is>
          <t>DOCENTE AUX/N/MT/ADM EM</t>
        </is>
      </c>
      <c r="I792" s="4" t="inlineStr">
        <is>
          <t>ADMINISTRACION DE EMPRESAS</t>
        </is>
      </c>
      <c r="J792" s="4" t="inlineStr">
        <is>
          <t>REINTEGRO</t>
        </is>
      </c>
      <c r="K792" s="4" t="inlineStr">
        <is>
          <t>MAYRA SANCHEZ</t>
        </is>
      </c>
      <c r="L792" s="4" t="n">
        <v/>
      </c>
      <c r="M792" s="4" t="n">
        <v/>
      </c>
      <c r="N792" s="4" t="n">
        <v>3025263648</v>
      </c>
      <c r="O792" s="4" t="inlineStr">
        <is>
          <t>katerinepolouan@hotmail.com</t>
        </is>
      </c>
      <c r="P792" s="4" t="inlineStr">
        <is>
          <t>SANTA MARTA SEDE</t>
        </is>
      </c>
      <c r="Q792" s="4" t="inlineStr">
        <is>
          <t>TRANSFORMACIÓN EMPRESARIAL</t>
        </is>
      </c>
      <c r="R792" s="4" t="n">
        <v/>
      </c>
    </row>
    <row r="793" ht="20" customHeight="1">
      <c r="A793" s="6" t="inlineStr">
        <is>
          <t>93379442</t>
        </is>
      </c>
      <c r="B793" s="7" t="inlineStr">
        <is>
          <t>PRESENCIAL REGIONAL</t>
        </is>
      </c>
      <c r="C793" s="7" t="inlineStr">
        <is>
          <t>OSWALDO ENRIQUE MESTRE CAMPOS</t>
        </is>
      </c>
      <c r="D793" s="7" t="inlineStr">
        <is>
          <t>OPERACIONES</t>
        </is>
      </c>
      <c r="E793" s="7" t="inlineStr">
        <is>
          <t>REGIONAL ANTIOQUIA</t>
        </is>
      </c>
      <c r="F793" s="7" t="inlineStr">
        <is>
          <t>MEDELLIN</t>
        </is>
      </c>
      <c r="G793" s="7" t="inlineStr">
        <is>
          <t>PRESENCIAL</t>
        </is>
      </c>
      <c r="H793" s="7" t="inlineStr">
        <is>
          <t>DOC AUX T&amp;T/N/TC/ADM EMP/FUN.ACADE-ADMIN</t>
        </is>
      </c>
      <c r="I793" s="7" t="inlineStr">
        <is>
          <t>ADMINISTRACION DE EMPRESAS</t>
        </is>
      </c>
      <c r="J793" s="7" t="inlineStr">
        <is>
          <t>REINTEGRO</t>
        </is>
      </c>
      <c r="K793" s="7" t="inlineStr">
        <is>
          <t>MAYRA SANCHEZ</t>
        </is>
      </c>
      <c r="L793" s="7" t="inlineStr">
        <is>
          <t>CONFIRMADO PRESENCIAL</t>
        </is>
      </c>
      <c r="M793" s="7" t="n">
        <v/>
      </c>
      <c r="N793" s="7" t="n">
        <v>3005509160</v>
      </c>
      <c r="O793" s="7" t="inlineStr">
        <is>
          <t>OSWENMESCAM7@GMAIL.COM</t>
        </is>
      </c>
      <c r="P793" s="7" t="inlineStr">
        <is>
          <t>MEDELLIN SEDE</t>
        </is>
      </c>
      <c r="Q793" s="7" t="inlineStr">
        <is>
          <t>TRANSFORMACIÓN EMPRESARIAL</t>
        </is>
      </c>
      <c r="R793" s="7" t="n">
        <v/>
      </c>
    </row>
    <row r="794" ht="20" customHeight="1">
      <c r="A794" s="3" t="inlineStr">
        <is>
          <t>1015995297</t>
        </is>
      </c>
      <c r="B794" s="4" t="inlineStr">
        <is>
          <t>PRESENCIAL BOGOTÁ</t>
        </is>
      </c>
      <c r="C794" s="4" t="inlineStr">
        <is>
          <t>RUBEN ELIECER CORTES VALENCIA</t>
        </is>
      </c>
      <c r="D794" s="4" t="inlineStr">
        <is>
          <t>OPERACIONES</t>
        </is>
      </c>
      <c r="E794" s="4" t="inlineStr">
        <is>
          <t>REGIONAL BOGOTA</t>
        </is>
      </c>
      <c r="F794" s="4" t="inlineStr">
        <is>
          <t>BOGOTA FONTIBON</t>
        </is>
      </c>
      <c r="G794" s="4" t="inlineStr">
        <is>
          <t>PRESENCIAL</t>
        </is>
      </c>
      <c r="H794" s="4" t="inlineStr">
        <is>
          <t>DOCENTE AUX/N/MT/ADM EM</t>
        </is>
      </c>
      <c r="I794" s="4" t="inlineStr">
        <is>
          <t>ADMINISTRACION DE EMPRESAS</t>
        </is>
      </c>
      <c r="J794" s="4" t="inlineStr">
        <is>
          <t>REINTEGRO</t>
        </is>
      </c>
      <c r="K794" s="4" t="inlineStr">
        <is>
          <t>MAYRA SANCHEZ</t>
        </is>
      </c>
      <c r="L794" s="4" t="n">
        <v/>
      </c>
      <c r="M794" s="4" t="n">
        <v/>
      </c>
      <c r="N794" s="4" t="n">
        <v>3112236175</v>
      </c>
      <c r="O794" s="4" t="inlineStr">
        <is>
          <t>RECORTESVA@GMAIL.COM</t>
        </is>
      </c>
      <c r="P794" s="4" t="inlineStr">
        <is>
          <t>BTA SEDE D</t>
        </is>
      </c>
      <c r="Q794" s="4" t="inlineStr">
        <is>
          <t>TRANSFORMACIÓN EMPRESARIAL</t>
        </is>
      </c>
      <c r="R794" s="4" t="n">
        <v>302</v>
      </c>
    </row>
    <row r="795" ht="20" customHeight="1">
      <c r="A795" s="6" t="inlineStr">
        <is>
          <t>1033682523</t>
        </is>
      </c>
      <c r="B795" s="7" t="inlineStr">
        <is>
          <t>PRESENCIAL BOGOTÁ</t>
        </is>
      </c>
      <c r="C795" s="7" t="inlineStr">
        <is>
          <t>DAVID BERMEO VICTORIA</t>
        </is>
      </c>
      <c r="D795" s="7" t="inlineStr">
        <is>
          <t>OPERACIONES</t>
        </is>
      </c>
      <c r="E795" s="7" t="inlineStr">
        <is>
          <t>REGIONAL BOGOTA</t>
        </is>
      </c>
      <c r="F795" s="7" t="inlineStr">
        <is>
          <t>BOGOTA CENTRO</t>
        </is>
      </c>
      <c r="G795" s="7" t="inlineStr">
        <is>
          <t>VIRTUAL</t>
        </is>
      </c>
      <c r="H795" s="7" t="inlineStr">
        <is>
          <t>DOC ASIS/N/V/TC/ADM DE EMPRE/FUN.ACADE-ADMIN</t>
        </is>
      </c>
      <c r="I795" s="7" t="inlineStr">
        <is>
          <t>ADMINISTRACION DE EMPRESAS</t>
        </is>
      </c>
      <c r="J795" s="7" t="inlineStr">
        <is>
          <t>REINTEGRO</t>
        </is>
      </c>
      <c r="K795" s="7" t="inlineStr">
        <is>
          <t>MAYRA SANCHEZ</t>
        </is>
      </c>
      <c r="L795" s="7" t="n">
        <v/>
      </c>
      <c r="M795" s="7" t="n">
        <v/>
      </c>
      <c r="N795" s="7" t="n">
        <v>3222332898</v>
      </c>
      <c r="O795" s="7" t="inlineStr">
        <is>
          <t>DAVIDBER03@HOTMAIL.COM</t>
        </is>
      </c>
      <c r="P795" s="7" t="inlineStr">
        <is>
          <t>BTA SEDE A</t>
        </is>
      </c>
      <c r="Q795" s="7" t="inlineStr">
        <is>
          <t>TRANSFORMACIÓN EMPRESARIAL</t>
        </is>
      </c>
      <c r="R795" s="7" t="n">
        <v>302</v>
      </c>
    </row>
    <row r="796" ht="20" customHeight="1">
      <c r="A796" s="3" t="inlineStr">
        <is>
          <t>1047410117</t>
        </is>
      </c>
      <c r="B796" s="4" t="inlineStr">
        <is>
          <t>PRESENCIAL REGIONAL</t>
        </is>
      </c>
      <c r="C796" s="4" t="inlineStr">
        <is>
          <t>ARCELIO PEREZ SIMANCA</t>
        </is>
      </c>
      <c r="D796" s="4" t="inlineStr">
        <is>
          <t>OPERACIONES</t>
        </is>
      </c>
      <c r="E796" s="4" t="inlineStr">
        <is>
          <t>REGIONAL ANTIOQUIA</t>
        </is>
      </c>
      <c r="F796" s="4" t="inlineStr">
        <is>
          <t>MEDELLIN</t>
        </is>
      </c>
      <c r="G796" s="4" t="inlineStr">
        <is>
          <t>PRESENCIAL</t>
        </is>
      </c>
      <c r="H796" s="4" t="inlineStr">
        <is>
          <t>DOC AUX T&amp;T/N/TC/ADM EMP/FUN.ACADE-ADMIN</t>
        </is>
      </c>
      <c r="I796" s="4" t="inlineStr">
        <is>
          <t>ADMINISTRACION DE EMPRESAS</t>
        </is>
      </c>
      <c r="J796" s="4" t="inlineStr">
        <is>
          <t>REINTEGRO</t>
        </is>
      </c>
      <c r="K796" s="4" t="inlineStr">
        <is>
          <t>MAYRA SANCHEZ</t>
        </is>
      </c>
      <c r="L796" s="4" t="n">
        <v/>
      </c>
      <c r="M796" s="4" t="n">
        <v/>
      </c>
      <c r="N796" s="4" t="n">
        <v>3028431856</v>
      </c>
      <c r="O796" s="4" t="inlineStr">
        <is>
          <t>ARCELIO.PEREZ@GMAIL.COM</t>
        </is>
      </c>
      <c r="P796" s="4" t="inlineStr">
        <is>
          <t>MEDELLIN SEDE</t>
        </is>
      </c>
      <c r="Q796" s="4" t="inlineStr">
        <is>
          <t>TRANSFORMACIÓN EMPRESARIAL</t>
        </is>
      </c>
      <c r="R796" s="4" t="n">
        <v/>
      </c>
    </row>
    <row r="797" ht="20" customHeight="1">
      <c r="A797" s="6" t="inlineStr">
        <is>
          <t>53052233</t>
        </is>
      </c>
      <c r="B797" s="7" t="inlineStr">
        <is>
          <t>PRESENCIAL BOGOTÁ</t>
        </is>
      </c>
      <c r="C797" s="7" t="inlineStr">
        <is>
          <t>ANGELA MARIA ARISTIZABAL GAVIRIA</t>
        </is>
      </c>
      <c r="D797" s="7" t="inlineStr">
        <is>
          <t>OPERACIONES</t>
        </is>
      </c>
      <c r="E797" s="7" t="inlineStr">
        <is>
          <t>REGIONAL BOGOTA</t>
        </is>
      </c>
      <c r="F797" s="7" t="inlineStr">
        <is>
          <t>BOGOTA CENTRO</t>
        </is>
      </c>
      <c r="G797" s="7" t="inlineStr">
        <is>
          <t>PRESENCIAL</t>
        </is>
      </c>
      <c r="H797" s="7" t="inlineStr">
        <is>
          <t>DOCENTE AUX/N/TC/ADM EMP/FUN.ACADE-ADMIN</t>
        </is>
      </c>
      <c r="I797" s="7" t="inlineStr">
        <is>
          <t>ADMINISTRACION DE EMPRESAS</t>
        </is>
      </c>
      <c r="J797" s="7" t="inlineStr">
        <is>
          <t>REINTEGRO</t>
        </is>
      </c>
      <c r="K797" s="7" t="inlineStr">
        <is>
          <t>MAYRA SANCHEZ</t>
        </is>
      </c>
      <c r="L797" s="7" t="n">
        <v/>
      </c>
      <c r="M797" s="7" t="n">
        <v/>
      </c>
      <c r="N797" s="7" t="n">
        <v>3505271916</v>
      </c>
      <c r="O797" s="7" t="inlineStr">
        <is>
          <t>angelaaristizabal237@gmail.com</t>
        </is>
      </c>
      <c r="P797" s="7" t="inlineStr">
        <is>
          <t>BTA SEDE D</t>
        </is>
      </c>
      <c r="Q797" s="7" t="inlineStr">
        <is>
          <t>TRANSFORMACIÓN EMPRESARIAL</t>
        </is>
      </c>
      <c r="R797" s="7" t="n">
        <v>302</v>
      </c>
    </row>
    <row r="798" ht="20" customHeight="1">
      <c r="A798" s="3" t="inlineStr">
        <is>
          <t>1067883849</t>
        </is>
      </c>
      <c r="B798" s="4" t="inlineStr">
        <is>
          <t>PRESENCIAL REGIONAL</t>
        </is>
      </c>
      <c r="C798" s="4" t="inlineStr">
        <is>
          <t>MARLEN ANDREA POSADA RUDAS</t>
        </is>
      </c>
      <c r="D798" s="4" t="inlineStr">
        <is>
          <t>OPERACIONES</t>
        </is>
      </c>
      <c r="E798" s="4" t="inlineStr">
        <is>
          <t>REGIONAL CORDOBA</t>
        </is>
      </c>
      <c r="F798" s="4" t="inlineStr">
        <is>
          <t>MONTERIA</t>
        </is>
      </c>
      <c r="G798" s="4" t="inlineStr">
        <is>
          <t>PRESENCIAL</t>
        </is>
      </c>
      <c r="H798" s="4" t="inlineStr">
        <is>
          <t>DOCENTE ASIS/N/TC/ADM SER SALU/FUN.ACADE-ADMIN</t>
        </is>
      </c>
      <c r="I798" s="4" t="inlineStr">
        <is>
          <t>ADMINISTRACION DE LA SEGURIDAD SOCIAL</t>
        </is>
      </c>
      <c r="J798" s="4" t="inlineStr">
        <is>
          <t>REINTEGRO</t>
        </is>
      </c>
      <c r="K798" s="4" t="inlineStr">
        <is>
          <t>MAYRA SANCHEZ</t>
        </is>
      </c>
      <c r="L798" s="4" t="n">
        <v/>
      </c>
      <c r="M798" s="4" t="n">
        <v/>
      </c>
      <c r="N798" s="4" t="n">
        <v>3127090700</v>
      </c>
      <c r="O798" s="4" t="inlineStr">
        <is>
          <t>marlenandreaposada@hotmail.com</t>
        </is>
      </c>
      <c r="P798" s="4" t="inlineStr">
        <is>
          <t>MONTERIA SEDE</t>
        </is>
      </c>
      <c r="Q798" s="4" t="inlineStr">
        <is>
          <t>TRANSFORMACIÓN EMPRESARIAL</t>
        </is>
      </c>
      <c r="R798" s="4" t="n">
        <v/>
      </c>
    </row>
    <row r="799" ht="20" customHeight="1">
      <c r="A799" s="6" t="inlineStr">
        <is>
          <t>78019924</t>
        </is>
      </c>
      <c r="B799" s="7" t="inlineStr">
        <is>
          <t>PRESENCIAL REGIONAL</t>
        </is>
      </c>
      <c r="C799" s="7" t="inlineStr">
        <is>
          <t>ABEL NONATO ROYO GALEANO</t>
        </is>
      </c>
      <c r="D799" s="7" t="inlineStr">
        <is>
          <t>OPERACIONES</t>
        </is>
      </c>
      <c r="E799" s="7" t="inlineStr">
        <is>
          <t>REGIONAL CORDOBA</t>
        </is>
      </c>
      <c r="F799" s="7" t="inlineStr">
        <is>
          <t>MONTERIA</t>
        </is>
      </c>
      <c r="G799" s="7" t="inlineStr">
        <is>
          <t>PRESENCIAL</t>
        </is>
      </c>
      <c r="H799" s="7" t="inlineStr">
        <is>
          <t>DOCENTE ASOC/N/TC/ADM EMP/FUN.ACADE-ADMIN</t>
        </is>
      </c>
      <c r="I799" s="7" t="inlineStr">
        <is>
          <t>ADMINISTRACION DE LA SEGURIDAD SOCIAL</t>
        </is>
      </c>
      <c r="J799" s="7" t="inlineStr">
        <is>
          <t>REINTEGRO</t>
        </is>
      </c>
      <c r="K799" s="7" t="inlineStr">
        <is>
          <t>MAYRA SANCHEZ</t>
        </is>
      </c>
      <c r="L799" s="7" t="n">
        <v/>
      </c>
      <c r="M799" s="7" t="n">
        <v/>
      </c>
      <c r="N799" s="7" t="n">
        <v>3008059334</v>
      </c>
      <c r="O799" s="7" t="inlineStr">
        <is>
          <t>royo_31@hotmail.com</t>
        </is>
      </c>
      <c r="P799" s="7" t="inlineStr">
        <is>
          <t>MONTERIA SEDE</t>
        </is>
      </c>
      <c r="Q799" s="7" t="inlineStr">
        <is>
          <t>TRANSFORMACIÓN EMPRESARIAL</t>
        </is>
      </c>
      <c r="R799" s="7" t="n">
        <v/>
      </c>
    </row>
    <row r="800" ht="20" customHeight="1">
      <c r="A800" s="3" t="inlineStr">
        <is>
          <t>64871630</t>
        </is>
      </c>
      <c r="B800" s="4" t="inlineStr">
        <is>
          <t>PRESENCIAL REGIONAL</t>
        </is>
      </c>
      <c r="C800" s="4" t="inlineStr">
        <is>
          <t>ILVA MARIA POLO SANTIS</t>
        </is>
      </c>
      <c r="D800" s="4" t="inlineStr">
        <is>
          <t>OPERACIONES</t>
        </is>
      </c>
      <c r="E800" s="4" t="inlineStr">
        <is>
          <t>REGIONAL SUCRE</t>
        </is>
      </c>
      <c r="F800" s="4" t="inlineStr">
        <is>
          <t>SINCELEJO</t>
        </is>
      </c>
      <c r="G800" s="4" t="inlineStr">
        <is>
          <t>PRESENCIAL</t>
        </is>
      </c>
      <c r="H800" s="4" t="inlineStr">
        <is>
          <t>DOCENTE ASIS/N/TC/ADM SER SALU/FUN.ACADE-ADMIN</t>
        </is>
      </c>
      <c r="I800" s="4" t="inlineStr">
        <is>
          <t>ADMINISTRACION DE LA SEGURIDAD SOCIAL</t>
        </is>
      </c>
      <c r="J800" s="4" t="inlineStr">
        <is>
          <t>REINTEGRO</t>
        </is>
      </c>
      <c r="K800" s="4" t="inlineStr">
        <is>
          <t>MAYRA SANCHEZ</t>
        </is>
      </c>
      <c r="L800" s="4" t="n">
        <v/>
      </c>
      <c r="M800" s="4" t="n">
        <v/>
      </c>
      <c r="N800" s="4" t="n">
        <v>3004315079</v>
      </c>
      <c r="O800" s="4" t="inlineStr">
        <is>
          <t>ilvamayo@hotmail.com</t>
        </is>
      </c>
      <c r="P800" s="4" t="inlineStr">
        <is>
          <t>SINCELEJO SEDE</t>
        </is>
      </c>
      <c r="Q800" s="4" t="inlineStr">
        <is>
          <t>TRANSFORMACIÓN EMPRESARIAL</t>
        </is>
      </c>
      <c r="R800" s="4" t="n">
        <v/>
      </c>
    </row>
    <row r="801" ht="20" customHeight="1">
      <c r="A801" s="6" t="inlineStr">
        <is>
          <t>1102233068</t>
        </is>
      </c>
      <c r="B801" s="7" t="inlineStr">
        <is>
          <t>PRESENCIAL REGIONAL</t>
        </is>
      </c>
      <c r="C801" s="7" t="inlineStr">
        <is>
          <t>ROSSO JOSE ESTRADA ALVAREZ</t>
        </is>
      </c>
      <c r="D801" s="7" t="inlineStr">
        <is>
          <t>OPERACIONES</t>
        </is>
      </c>
      <c r="E801" s="7" t="inlineStr">
        <is>
          <t>REGIONAL SUCRE</t>
        </is>
      </c>
      <c r="F801" s="7" t="inlineStr">
        <is>
          <t>SINCELEJO</t>
        </is>
      </c>
      <c r="G801" s="7" t="inlineStr">
        <is>
          <t>PRESENCIAL</t>
        </is>
      </c>
      <c r="H801" s="7" t="inlineStr">
        <is>
          <t>DOCENTE AUX/N/TC/ADM SER SALU/FUN.ACADE-ADMIN</t>
        </is>
      </c>
      <c r="I801" s="7" t="inlineStr">
        <is>
          <t>ADMINISTRACION DE LA SEGURIDAD SOCIAL</t>
        </is>
      </c>
      <c r="J801" s="7" t="inlineStr">
        <is>
          <t>REINTEGRO</t>
        </is>
      </c>
      <c r="K801" s="7" t="inlineStr">
        <is>
          <t>MAYRA SANCHEZ</t>
        </is>
      </c>
      <c r="L801" s="7" t="inlineStr">
        <is>
          <t>SIN RESPUESTA</t>
        </is>
      </c>
      <c r="M801" s="7" t="n">
        <v/>
      </c>
      <c r="N801" s="7" t="n">
        <v>3205908079</v>
      </c>
      <c r="O801" s="7" t="inlineStr">
        <is>
          <t>rossojeea@gmail.com</t>
        </is>
      </c>
      <c r="P801" s="7" t="inlineStr">
        <is>
          <t>SINCELEJO SEDE</t>
        </is>
      </c>
      <c r="Q801" s="7" t="inlineStr">
        <is>
          <t>TRANSFORMACIÓN EMPRESARIAL</t>
        </is>
      </c>
      <c r="R801" s="7" t="n">
        <v/>
      </c>
    </row>
    <row r="802" ht="20" customHeight="1">
      <c r="A802" s="3" t="inlineStr">
        <is>
          <t>50923420</t>
        </is>
      </c>
      <c r="B802" s="4" t="inlineStr">
        <is>
          <t>PRESENCIAL REGIONAL</t>
        </is>
      </c>
      <c r="C802" s="4" t="inlineStr">
        <is>
          <t>SAURY DEL SOCORRO MIRANDO NEGRETE</t>
        </is>
      </c>
      <c r="D802" s="4" t="inlineStr">
        <is>
          <t>OPERACIONES</t>
        </is>
      </c>
      <c r="E802" s="4" t="inlineStr">
        <is>
          <t>REGIONAL CORDOBA</t>
        </is>
      </c>
      <c r="F802" s="4" t="inlineStr">
        <is>
          <t>MONTERIA</t>
        </is>
      </c>
      <c r="G802" s="4" t="inlineStr">
        <is>
          <t>PRESENCIAL</t>
        </is>
      </c>
      <c r="H802" s="4" t="inlineStr">
        <is>
          <t>DOCENTE AUX/N/TC/ADM SER SALU/FUN.ACADE-ADMIN</t>
        </is>
      </c>
      <c r="I802" s="4" t="inlineStr">
        <is>
          <t>ADMINISTRACION DE LA SEGURIDAD SOCIAL</t>
        </is>
      </c>
      <c r="J802" s="4" t="inlineStr">
        <is>
          <t>REINTEGRO</t>
        </is>
      </c>
      <c r="K802" s="4" t="inlineStr">
        <is>
          <t>ASHLY ESPINOZA</t>
        </is>
      </c>
      <c r="L802" s="4" t="inlineStr">
        <is>
          <t>CONFIRMADO PRESENCIAL</t>
        </is>
      </c>
      <c r="M802" s="4" t="n">
        <v/>
      </c>
      <c r="N802" s="4" t="n">
        <v>3007527349</v>
      </c>
      <c r="O802" s="4" t="inlineStr">
        <is>
          <t>samine2609@gmail.com</t>
        </is>
      </c>
      <c r="P802" s="4" t="inlineStr">
        <is>
          <t>MONTERIA SEDE</t>
        </is>
      </c>
      <c r="Q802" s="4" t="inlineStr">
        <is>
          <t>TRANSFORMACIÓN EMPRESARIAL</t>
        </is>
      </c>
      <c r="R802" s="4" t="n">
        <v/>
      </c>
    </row>
    <row r="803" ht="20" customHeight="1">
      <c r="A803" s="6" t="inlineStr">
        <is>
          <t>92641800</t>
        </is>
      </c>
      <c r="B803" s="7" t="inlineStr">
        <is>
          <t>PRESENCIAL REGIONAL</t>
        </is>
      </c>
      <c r="C803" s="7" t="inlineStr">
        <is>
          <t>GREGORY GENTILLE GARRIDO ORTEGA</t>
        </is>
      </c>
      <c r="D803" s="7" t="inlineStr">
        <is>
          <t>OPERACIONES</t>
        </is>
      </c>
      <c r="E803" s="7" t="inlineStr">
        <is>
          <t>REGIONAL SUCRE</t>
        </is>
      </c>
      <c r="F803" s="7" t="inlineStr">
        <is>
          <t>SINCELEJO</t>
        </is>
      </c>
      <c r="G803" s="7" t="inlineStr">
        <is>
          <t>PRESENCIAL</t>
        </is>
      </c>
      <c r="H803" s="7" t="inlineStr">
        <is>
          <t>DOCENTE AUX/N/TC/ADM SER SALU/FUN.ACADE-ADMIN</t>
        </is>
      </c>
      <c r="I803" s="7" t="inlineStr">
        <is>
          <t>ADMINISTRACION DE LA SEGURIDAD SOCIAL</t>
        </is>
      </c>
      <c r="J803" s="7" t="inlineStr">
        <is>
          <t>REINTEGRO</t>
        </is>
      </c>
      <c r="K803" s="7" t="inlineStr">
        <is>
          <t>ASHLY ESPINOZA</t>
        </is>
      </c>
      <c r="L803" s="7" t="inlineStr">
        <is>
          <t>CONFIRMADO PRESENCIAL</t>
        </is>
      </c>
      <c r="M803" s="7" t="n">
        <v/>
      </c>
      <c r="N803" s="7" t="n">
        <v>3012575943</v>
      </c>
      <c r="O803" s="7" t="inlineStr">
        <is>
          <t>gregorygarrido1606@gmail.com</t>
        </is>
      </c>
      <c r="P803" s="7" t="inlineStr">
        <is>
          <t>SINCELEJO SEDE</t>
        </is>
      </c>
      <c r="Q803" s="7" t="inlineStr">
        <is>
          <t>TRANSFORMACIÓN EMPRESARIAL</t>
        </is>
      </c>
      <c r="R803" s="7" t="n">
        <v/>
      </c>
    </row>
    <row r="804" ht="20" customHeight="1">
      <c r="A804" s="3" t="inlineStr">
        <is>
          <t>22866435</t>
        </is>
      </c>
      <c r="B804" s="4" t="inlineStr">
        <is>
          <t>PRESENCIAL REGIONAL</t>
        </is>
      </c>
      <c r="C804" s="4" t="inlineStr">
        <is>
          <t>MARTHA LUCIA GARRIDO PERALTA</t>
        </is>
      </c>
      <c r="D804" s="4" t="inlineStr">
        <is>
          <t>OPERACIONES</t>
        </is>
      </c>
      <c r="E804" s="4" t="inlineStr">
        <is>
          <t>REGIONAL SUCRE</t>
        </is>
      </c>
      <c r="F804" s="4" t="inlineStr">
        <is>
          <t>SINCELEJO</t>
        </is>
      </c>
      <c r="G804" s="4" t="inlineStr">
        <is>
          <t>PRESENCIAL</t>
        </is>
      </c>
      <c r="H804" s="4" t="inlineStr">
        <is>
          <t>DOCENTE AUX/N/TC/ADM SER SALU/FUN.ACADE-ADMIN</t>
        </is>
      </c>
      <c r="I804" s="4" t="inlineStr">
        <is>
          <t>ADMINISTRACION DE LA SEGURIDAD SOCIAL</t>
        </is>
      </c>
      <c r="J804" s="4" t="inlineStr">
        <is>
          <t>REINTEGRO</t>
        </is>
      </c>
      <c r="K804" s="4" t="inlineStr">
        <is>
          <t>ASHLY ESPINOZA</t>
        </is>
      </c>
      <c r="L804" s="4" t="n">
        <v/>
      </c>
      <c r="M804" s="4" t="n">
        <v/>
      </c>
      <c r="N804" s="4" t="n">
        <v>3004701272</v>
      </c>
      <c r="O804" s="4" t="inlineStr">
        <is>
          <t>marticagarrido5@gmail.com</t>
        </is>
      </c>
      <c r="P804" s="4" t="inlineStr">
        <is>
          <t>SINCELEJO SEDE</t>
        </is>
      </c>
      <c r="Q804" s="4" t="inlineStr">
        <is>
          <t>TRANSFORMACIÓN EMPRESARIAL</t>
        </is>
      </c>
      <c r="R804" s="4" t="n">
        <v/>
      </c>
    </row>
    <row r="805" ht="20" customHeight="1">
      <c r="A805" s="6" t="inlineStr">
        <is>
          <t>1023885019</t>
        </is>
      </c>
      <c r="B805" s="7" t="inlineStr">
        <is>
          <t>PRESENCIAL BOGOTÁ</t>
        </is>
      </c>
      <c r="C805" s="7" t="inlineStr">
        <is>
          <t>JESUS GERMAN VELEZ ALMONACID</t>
        </is>
      </c>
      <c r="D805" s="7" t="inlineStr">
        <is>
          <t>OPERACIONES</t>
        </is>
      </c>
      <c r="E805" s="7" t="inlineStr">
        <is>
          <t>REGIONAL BOGOTA</t>
        </is>
      </c>
      <c r="F805" s="7" t="inlineStr">
        <is>
          <t>BOGOTA CENTRO</t>
        </is>
      </c>
      <c r="G805" s="7" t="inlineStr">
        <is>
          <t>PRESENCIAL</t>
        </is>
      </c>
      <c r="H805" s="7" t="inlineStr">
        <is>
          <t>DOCENTE ASIS/N/MT-ADM DEP</t>
        </is>
      </c>
      <c r="I805" s="7" t="inlineStr">
        <is>
          <t>ADMINISTRACION DEPORTIVA</t>
        </is>
      </c>
      <c r="J805" s="7" t="inlineStr">
        <is>
          <t>REINTEGRO</t>
        </is>
      </c>
      <c r="K805" s="7" t="inlineStr">
        <is>
          <t>ASHLY ESPINOZA</t>
        </is>
      </c>
      <c r="L805" s="7" t="inlineStr">
        <is>
          <t>CONFIRMADO PRESENCIAL</t>
        </is>
      </c>
      <c r="M805" s="7" t="n">
        <v/>
      </c>
      <c r="N805" s="7" t="n">
        <v>3134614616</v>
      </c>
      <c r="O805" s="7" t="inlineStr">
        <is>
          <t>GERVEZJEAL@HOTMAIL.COM</t>
        </is>
      </c>
      <c r="P805" s="7" t="inlineStr">
        <is>
          <t>BTA SEDE D</t>
        </is>
      </c>
      <c r="Q805" s="7" t="inlineStr">
        <is>
          <t>TRANSVERSALES</t>
        </is>
      </c>
      <c r="R805" s="7" t="n">
        <v>800</v>
      </c>
    </row>
    <row r="806" ht="20" customHeight="1">
      <c r="A806" s="3" t="inlineStr">
        <is>
          <t>1072699908</t>
        </is>
      </c>
      <c r="B806" s="4" t="inlineStr">
        <is>
          <t>PRESENCIAL BOGOTÁ</t>
        </is>
      </c>
      <c r="C806" s="4" t="inlineStr">
        <is>
          <t>DANIEL EDUARDO AREVALO CONTRERAS</t>
        </is>
      </c>
      <c r="D806" s="4" t="inlineStr">
        <is>
          <t>OPERACIONES</t>
        </is>
      </c>
      <c r="E806" s="4" t="inlineStr">
        <is>
          <t>REGIONAL BOGOTA</t>
        </is>
      </c>
      <c r="F806" s="4" t="inlineStr">
        <is>
          <t>BOGOTA CENTRO</t>
        </is>
      </c>
      <c r="G806" s="4" t="inlineStr">
        <is>
          <t>PRESENCIAL</t>
        </is>
      </c>
      <c r="H806" s="4" t="inlineStr">
        <is>
          <t>DOCENTE ASIS/N/TC/ADM DEP/FUN.ACADE-ADMIN</t>
        </is>
      </c>
      <c r="I806" s="4" t="inlineStr">
        <is>
          <t>ADMINISTRACION DEPORTIVA</t>
        </is>
      </c>
      <c r="J806" s="4" t="inlineStr">
        <is>
          <t>REINTEGRO</t>
        </is>
      </c>
      <c r="K806" s="4" t="inlineStr">
        <is>
          <t>ASHLY ESPINOZA</t>
        </is>
      </c>
      <c r="L806" s="4" t="n">
        <v/>
      </c>
      <c r="M806" s="4" t="n">
        <v/>
      </c>
      <c r="N806" s="4" t="n">
        <v>3227722678</v>
      </c>
      <c r="O806" s="4" t="inlineStr">
        <is>
          <t>Danny_9245@outlook.com</t>
        </is>
      </c>
      <c r="P806" s="4" t="inlineStr">
        <is>
          <t>BTA SEDE D</t>
        </is>
      </c>
      <c r="Q806" s="4" t="inlineStr">
        <is>
          <t>TRANSVERSALES</t>
        </is>
      </c>
      <c r="R806" s="4" t="n">
        <v>800</v>
      </c>
    </row>
    <row r="807" ht="20" customHeight="1">
      <c r="A807" s="6" t="inlineStr">
        <is>
          <t>1032452593</t>
        </is>
      </c>
      <c r="B807" s="7" t="inlineStr">
        <is>
          <t>PRESENCIAL BOGOTÁ</t>
        </is>
      </c>
      <c r="C807" s="7" t="inlineStr">
        <is>
          <t>JAVIER GIOVANNI BAQUERO ARIAS</t>
        </is>
      </c>
      <c r="D807" s="7" t="inlineStr">
        <is>
          <t>OPERACIONES</t>
        </is>
      </c>
      <c r="E807" s="7" t="inlineStr">
        <is>
          <t>REGIONAL BOGOTA</t>
        </is>
      </c>
      <c r="F807" s="7" t="inlineStr">
        <is>
          <t>BOGOTA CENTRO</t>
        </is>
      </c>
      <c r="G807" s="7" t="inlineStr">
        <is>
          <t>PRESENCIAL</t>
        </is>
      </c>
      <c r="H807" s="7" t="inlineStr">
        <is>
          <t>DOCENTE AUX/N/TC/ADM DEP/FUN.ACADE-ADMIN</t>
        </is>
      </c>
      <c r="I807" s="7" t="inlineStr">
        <is>
          <t>ADMINISTRACION DEPORTIVA</t>
        </is>
      </c>
      <c r="J807" s="7" t="inlineStr">
        <is>
          <t>REINTEGRO</t>
        </is>
      </c>
      <c r="K807" s="7" t="inlineStr">
        <is>
          <t>ASHLY ESPINOZA</t>
        </is>
      </c>
      <c r="L807" s="7" t="n">
        <v/>
      </c>
      <c r="M807" s="7" t="n">
        <v/>
      </c>
      <c r="N807" s="7" t="n">
        <v>3144882600</v>
      </c>
      <c r="O807" s="7" t="inlineStr">
        <is>
          <t>giovannibaquero10@gmail.com</t>
        </is>
      </c>
      <c r="P807" s="7" t="inlineStr">
        <is>
          <t>BTA SEDE D</t>
        </is>
      </c>
      <c r="Q807" s="7" t="inlineStr">
        <is>
          <t>TRANSVERSALES</t>
        </is>
      </c>
      <c r="R807" s="7" t="n">
        <v>800</v>
      </c>
    </row>
    <row r="808" ht="20" customHeight="1">
      <c r="A808" s="3" t="inlineStr">
        <is>
          <t>80064093</t>
        </is>
      </c>
      <c r="B808" s="4" t="inlineStr">
        <is>
          <t>PRESENCIAL BOGOTÁ</t>
        </is>
      </c>
      <c r="C808" s="4" t="inlineStr">
        <is>
          <t>CARLOS ABEL AYA ARANGUREN</t>
        </is>
      </c>
      <c r="D808" s="4" t="inlineStr">
        <is>
          <t>OPERACIONES</t>
        </is>
      </c>
      <c r="E808" s="4" t="inlineStr">
        <is>
          <t>REGIONAL BOGOTA</t>
        </is>
      </c>
      <c r="F808" s="4" t="inlineStr">
        <is>
          <t>BOGOTA SUR</t>
        </is>
      </c>
      <c r="G808" s="4" t="inlineStr">
        <is>
          <t>PRESENCIAL</t>
        </is>
      </c>
      <c r="H808" s="4" t="inlineStr">
        <is>
          <t>DOCENTE ASIS/N/MT-ADM SER SALU</t>
        </is>
      </c>
      <c r="I808" s="4" t="inlineStr">
        <is>
          <t>ADMINISTRACION EN SERVICIOS DE SALUD</t>
        </is>
      </c>
      <c r="J808" s="4" t="inlineStr">
        <is>
          <t>REINTEGRO</t>
        </is>
      </c>
      <c r="K808" s="4" t="inlineStr">
        <is>
          <t>ASHLY ESPINOZA</t>
        </is>
      </c>
      <c r="L808" s="4" t="inlineStr">
        <is>
          <t>CONFIRMADO PRESENCIAL</t>
        </is>
      </c>
      <c r="M808" s="4" t="n">
        <v/>
      </c>
      <c r="N808" s="4" t="n">
        <v>3132070542</v>
      </c>
      <c r="O808" s="4" t="inlineStr">
        <is>
          <t>carlosabelaya@yahoo.es</t>
        </is>
      </c>
      <c r="P808" s="4" t="inlineStr">
        <is>
          <t>BTA SEDE SUR</t>
        </is>
      </c>
      <c r="Q808" s="4" t="inlineStr">
        <is>
          <t>TRANSFORMACIÓN EMPRESARIAL</t>
        </is>
      </c>
      <c r="R808" s="4" t="n">
        <v>302</v>
      </c>
    </row>
    <row r="809" ht="20" customHeight="1">
      <c r="A809" s="6" t="inlineStr">
        <is>
          <t>51820108</t>
        </is>
      </c>
      <c r="B809" s="7" t="inlineStr">
        <is>
          <t>PRESENCIAL BOGOTÁ</t>
        </is>
      </c>
      <c r="C809" s="7" t="inlineStr">
        <is>
          <t>DEYANIRA CUERVO LINARES</t>
        </is>
      </c>
      <c r="D809" s="7" t="inlineStr">
        <is>
          <t>OPERACIONES</t>
        </is>
      </c>
      <c r="E809" s="7" t="inlineStr">
        <is>
          <t>REGIONAL BOGOTA</t>
        </is>
      </c>
      <c r="F809" s="7" t="inlineStr">
        <is>
          <t>BOGOTA CENTRO</t>
        </is>
      </c>
      <c r="G809" s="7" t="inlineStr">
        <is>
          <t>PRESENCIAL</t>
        </is>
      </c>
      <c r="H809" s="7" t="inlineStr">
        <is>
          <t>DOCENTE AUX/N/TC/ADM SER SALU/FUN.ACADE-ADMIN</t>
        </is>
      </c>
      <c r="I809" s="7" t="inlineStr">
        <is>
          <t>ADMINISTRACION EN SERVICIOS DE SALUD</t>
        </is>
      </c>
      <c r="J809" s="7" t="inlineStr">
        <is>
          <t>REINTEGRO</t>
        </is>
      </c>
      <c r="K809" s="7" t="inlineStr">
        <is>
          <t>ASHLY ESPINOZA</t>
        </is>
      </c>
      <c r="L809" s="7" t="n">
        <v/>
      </c>
      <c r="M809" s="7" t="n">
        <v/>
      </c>
      <c r="N809" s="7" t="n">
        <v>3106250574</v>
      </c>
      <c r="O809" s="7" t="inlineStr">
        <is>
          <t>dey.cuervo0865@hotmail.com</t>
        </is>
      </c>
      <c r="P809" s="7" t="inlineStr">
        <is>
          <t>BTA SEDE D</t>
        </is>
      </c>
      <c r="Q809" s="7" t="inlineStr">
        <is>
          <t>TRANSFORMACIÓN EMPRESARIAL</t>
        </is>
      </c>
      <c r="R809" s="7" t="n">
        <v>302</v>
      </c>
    </row>
    <row r="810" ht="20" customHeight="1">
      <c r="A810" s="3" t="inlineStr">
        <is>
          <t>1022976767</t>
        </is>
      </c>
      <c r="B810" s="4" t="inlineStr">
        <is>
          <t>PRESENCIAL BOGOTÁ</t>
        </is>
      </c>
      <c r="C810" s="4" t="inlineStr">
        <is>
          <t>LEIDY JOHANNA SANCHEZ PEÑA</t>
        </is>
      </c>
      <c r="D810" s="4" t="inlineStr">
        <is>
          <t>OPERACIONES</t>
        </is>
      </c>
      <c r="E810" s="4" t="inlineStr">
        <is>
          <t>REGIONAL BOGOTA</t>
        </is>
      </c>
      <c r="F810" s="4" t="inlineStr">
        <is>
          <t>BOGOTA SUR</t>
        </is>
      </c>
      <c r="G810" s="4" t="inlineStr">
        <is>
          <t>PRESENCIAL</t>
        </is>
      </c>
      <c r="H810" s="4" t="inlineStr">
        <is>
          <t>DOCENTE AUX/N/MT/ ADM SER SALUD</t>
        </is>
      </c>
      <c r="I810" s="4" t="inlineStr">
        <is>
          <t>ADMINISTRACION EN SERVICIOS DE SALUD</t>
        </is>
      </c>
      <c r="J810" s="4" t="inlineStr">
        <is>
          <t>REINTEGRO</t>
        </is>
      </c>
      <c r="K810" s="4" t="inlineStr">
        <is>
          <t>ASHLY ESPINOZA</t>
        </is>
      </c>
      <c r="L810" s="4" t="inlineStr">
        <is>
          <t>CONFIRMADO PRESENCIAL</t>
        </is>
      </c>
      <c r="M810" s="4" t="n">
        <v/>
      </c>
      <c r="N810" s="4" t="n">
        <v>3115816422</v>
      </c>
      <c r="O810" s="4" t="inlineStr">
        <is>
          <t>Ladysanchezp92@gmail.com</t>
        </is>
      </c>
      <c r="P810" s="4" t="inlineStr">
        <is>
          <t>BTA SEDE SUR</t>
        </is>
      </c>
      <c r="Q810" s="4" t="inlineStr">
        <is>
          <t>TRANSFORMACIÓN EMPRESARIAL</t>
        </is>
      </c>
      <c r="R810" s="4" t="n">
        <v>302</v>
      </c>
    </row>
    <row r="811" ht="20" customHeight="1">
      <c r="A811" s="6" t="inlineStr">
        <is>
          <t>52087377</t>
        </is>
      </c>
      <c r="B811" s="7" t="inlineStr">
        <is>
          <t>PRESENCIAL BOGOTÁ</t>
        </is>
      </c>
      <c r="C811" s="7" t="inlineStr">
        <is>
          <t>YANETH ALMANZA MORENO</t>
        </is>
      </c>
      <c r="D811" s="7" t="inlineStr">
        <is>
          <t>OPERACIONES</t>
        </is>
      </c>
      <c r="E811" s="7" t="inlineStr">
        <is>
          <t>REGIONAL BOGOTA</t>
        </is>
      </c>
      <c r="F811" s="7" t="inlineStr">
        <is>
          <t>BOGOTA CENTRO</t>
        </is>
      </c>
      <c r="G811" s="7" t="inlineStr">
        <is>
          <t>PRESENCIAL</t>
        </is>
      </c>
      <c r="H811" s="7" t="inlineStr">
        <is>
          <t>DOCENTE ASIS/N/TC/ADM SER SALU/FUN.ACADE-ADMIN</t>
        </is>
      </c>
      <c r="I811" s="7" t="inlineStr">
        <is>
          <t>ADMINISTRACION EN SERVICIOS DE SALUD</t>
        </is>
      </c>
      <c r="J811" s="7" t="inlineStr">
        <is>
          <t>REINTEGRO</t>
        </is>
      </c>
      <c r="K811" s="7" t="inlineStr">
        <is>
          <t>ASHLY ESPINOZA</t>
        </is>
      </c>
      <c r="L811" s="7" t="inlineStr">
        <is>
          <t>CONFIRMADO PRESENCIAL</t>
        </is>
      </c>
      <c r="M811" s="7" t="n">
        <v/>
      </c>
      <c r="N811" s="7" t="n">
        <v>3176613865</v>
      </c>
      <c r="O811" s="7" t="inlineStr">
        <is>
          <t>yanethalmo@yahoo.fr</t>
        </is>
      </c>
      <c r="P811" s="7" t="inlineStr">
        <is>
          <t>BTA SEDE D</t>
        </is>
      </c>
      <c r="Q811" s="7" t="inlineStr">
        <is>
          <t>TRANSFORMACIÓN EMPRESARIAL</t>
        </is>
      </c>
      <c r="R811" s="7" t="n">
        <v>302</v>
      </c>
    </row>
    <row r="812" ht="20" customHeight="1">
      <c r="A812" s="3" t="inlineStr">
        <is>
          <t>52414836</t>
        </is>
      </c>
      <c r="B812" s="4" t="inlineStr">
        <is>
          <t>PRESENCIAL BOGOTÁ</t>
        </is>
      </c>
      <c r="C812" s="4" t="inlineStr">
        <is>
          <t>MARTHA ANDREA RODRIGUEZ BONILLA</t>
        </is>
      </c>
      <c r="D812" s="4" t="inlineStr">
        <is>
          <t>OPERACIONES</t>
        </is>
      </c>
      <c r="E812" s="4" t="inlineStr">
        <is>
          <t>REGIONAL BOGOTA</t>
        </is>
      </c>
      <c r="F812" s="4" t="inlineStr">
        <is>
          <t>BOGOTA CENTRO</t>
        </is>
      </c>
      <c r="G812" s="4" t="inlineStr">
        <is>
          <t>PRESENCIAL</t>
        </is>
      </c>
      <c r="H812" s="4" t="inlineStr">
        <is>
          <t>DOC AUX T&amp;T/N/MT/ADM SER SALU</t>
        </is>
      </c>
      <c r="I812" s="4" t="inlineStr">
        <is>
          <t>ADMINISTRACION EN SERVICIOS DE SALUD</t>
        </is>
      </c>
      <c r="J812" s="4" t="inlineStr">
        <is>
          <t>REINTEGRO</t>
        </is>
      </c>
      <c r="K812" s="4" t="inlineStr">
        <is>
          <t>ASHLY ESPINOZA</t>
        </is>
      </c>
      <c r="L812" s="4" t="n">
        <v/>
      </c>
      <c r="M812" s="4" t="n">
        <v/>
      </c>
      <c r="N812" s="4" t="inlineStr">
        <is>
          <t>315 997 6410</t>
        </is>
      </c>
      <c r="O812" s="4" t="inlineStr">
        <is>
          <t>marod723@gmail.com</t>
        </is>
      </c>
      <c r="P812" s="4" t="inlineStr">
        <is>
          <t>BTA SEDE F</t>
        </is>
      </c>
      <c r="Q812" s="4" t="inlineStr">
        <is>
          <t>TRANSFORMACIÓN EMPRESARIAL</t>
        </is>
      </c>
      <c r="R812" s="4" t="n">
        <v>302</v>
      </c>
    </row>
    <row r="813" ht="20" customHeight="1">
      <c r="A813" s="6" t="inlineStr">
        <is>
          <t>52890946</t>
        </is>
      </c>
      <c r="B813" s="7" t="inlineStr">
        <is>
          <t>PRESENCIAL BOGOTÁ</t>
        </is>
      </c>
      <c r="C813" s="7" t="inlineStr">
        <is>
          <t>LAURA SUSANA SILVA MEJIA</t>
        </is>
      </c>
      <c r="D813" s="7" t="inlineStr">
        <is>
          <t>OPERACIONES</t>
        </is>
      </c>
      <c r="E813" s="7" t="inlineStr">
        <is>
          <t>REGIONAL BOGOTA</t>
        </is>
      </c>
      <c r="F813" s="7" t="inlineStr">
        <is>
          <t>BOGOTA CENTRO</t>
        </is>
      </c>
      <c r="G813" s="7" t="inlineStr">
        <is>
          <t>PRESENCIAL</t>
        </is>
      </c>
      <c r="H813" s="7" t="inlineStr">
        <is>
          <t>DOCENTE ASIS/N/MT-ADM SER SALU</t>
        </is>
      </c>
      <c r="I813" s="7" t="inlineStr">
        <is>
          <t>ADMINISTRACION EN SERVICIOS DE SALUD</t>
        </is>
      </c>
      <c r="J813" s="7" t="inlineStr">
        <is>
          <t>REINTEGRO</t>
        </is>
      </c>
      <c r="K813" s="7" t="inlineStr">
        <is>
          <t>ASHLY ESPINOZA</t>
        </is>
      </c>
      <c r="L813" s="7" t="inlineStr">
        <is>
          <t>CONFIRMADO PRESENCIAL</t>
        </is>
      </c>
      <c r="M813" s="7" t="n">
        <v/>
      </c>
      <c r="N813" s="7" t="n">
        <v>3023383061</v>
      </c>
      <c r="O813" s="7" t="inlineStr">
        <is>
          <t>laurasusanabac@gmail.com</t>
        </is>
      </c>
      <c r="P813" s="7" t="inlineStr">
        <is>
          <t>BTA SEDE RESTREPO</t>
        </is>
      </c>
      <c r="Q813" s="7" t="inlineStr">
        <is>
          <t>TRANSFORMACIÓN EMPRESARIAL</t>
        </is>
      </c>
      <c r="R813" s="7" t="n">
        <v>302</v>
      </c>
    </row>
    <row r="814" ht="20" customHeight="1">
      <c r="A814" s="3" t="inlineStr">
        <is>
          <t>1030563978</t>
        </is>
      </c>
      <c r="B814" s="4" t="inlineStr">
        <is>
          <t>PRESENCIAL BOGOTÁ</t>
        </is>
      </c>
      <c r="C814" s="4" t="inlineStr">
        <is>
          <t>CINDY CAROLINA RIVEROS MUÑOS</t>
        </is>
      </c>
      <c r="D814" s="4" t="inlineStr">
        <is>
          <t>OPERACIONES</t>
        </is>
      </c>
      <c r="E814" s="4" t="inlineStr">
        <is>
          <t>REGIONAL BOGOTA</t>
        </is>
      </c>
      <c r="F814" s="4" t="inlineStr">
        <is>
          <t>BOGOTA RESTREPO</t>
        </is>
      </c>
      <c r="G814" s="4" t="inlineStr">
        <is>
          <t>PRESENCIAL</t>
        </is>
      </c>
      <c r="H814" s="4" t="inlineStr">
        <is>
          <t>DOCENTE ASIS/N/MT-ADM SER SALU</t>
        </is>
      </c>
      <c r="I814" s="4" t="inlineStr">
        <is>
          <t>ADMINISTRACION EN SERVICIOS DE SALUD</t>
        </is>
      </c>
      <c r="J814" s="4" t="inlineStr">
        <is>
          <t>REINTEGRO</t>
        </is>
      </c>
      <c r="K814" s="4" t="inlineStr">
        <is>
          <t>ASHLY ESPINOZA</t>
        </is>
      </c>
      <c r="L814" s="4" t="n">
        <v/>
      </c>
      <c r="M814" s="4" t="inlineStr">
        <is>
          <t>No se encuentra en bogota,vuelve el sabado</t>
        </is>
      </c>
      <c r="N814" s="4" t="n">
        <v>3133310693</v>
      </c>
      <c r="O814" s="4" t="inlineStr">
        <is>
          <t>CINDYRIVEROS06@GMAIL.COM</t>
        </is>
      </c>
      <c r="P814" s="4" t="inlineStr">
        <is>
          <t>BTA SEDE D</t>
        </is>
      </c>
      <c r="Q814" s="4" t="inlineStr">
        <is>
          <t>TRANSFORMACIÓN EMPRESARIAL</t>
        </is>
      </c>
      <c r="R814" s="4" t="n">
        <v>302</v>
      </c>
    </row>
    <row r="815" ht="20" customHeight="1">
      <c r="A815" s="6" t="inlineStr">
        <is>
          <t>79595758</t>
        </is>
      </c>
      <c r="B815" s="7" t="inlineStr">
        <is>
          <t>PRESENCIAL BOGOTÁ</t>
        </is>
      </c>
      <c r="C815" s="7" t="inlineStr">
        <is>
          <t>HECTOR HAROLD HERNANDEZ AMADOR</t>
        </is>
      </c>
      <c r="D815" s="7" t="inlineStr">
        <is>
          <t>OPERACIONES</t>
        </is>
      </c>
      <c r="E815" s="7" t="inlineStr">
        <is>
          <t>REGIONAL BOGOTA</t>
        </is>
      </c>
      <c r="F815" s="7" t="inlineStr">
        <is>
          <t>BOGOTA CENTRO</t>
        </is>
      </c>
      <c r="G815" s="7" t="inlineStr">
        <is>
          <t>PRESENCIAL</t>
        </is>
      </c>
      <c r="H815" s="7" t="inlineStr">
        <is>
          <t>DOCENTE ASIS/N/TC/ADM SER SALU/FUN.ACADE-ADMIN</t>
        </is>
      </c>
      <c r="I815" s="7" t="inlineStr">
        <is>
          <t>ADMINISTRACION EN SERVICIOS DE SALUD</t>
        </is>
      </c>
      <c r="J815" s="7" t="inlineStr">
        <is>
          <t>REINTEGRO</t>
        </is>
      </c>
      <c r="K815" s="7" t="inlineStr">
        <is>
          <t>ASHLY ESPINOZA</t>
        </is>
      </c>
      <c r="L815" s="7" t="n">
        <v/>
      </c>
      <c r="M815" s="7" t="n">
        <v/>
      </c>
      <c r="N815" s="7" t="n">
        <v>3142987554</v>
      </c>
      <c r="O815" s="7" t="inlineStr">
        <is>
          <t>hhhahsj@gmail.com</t>
        </is>
      </c>
      <c r="P815" s="7" t="inlineStr">
        <is>
          <t>BTA SEDE D</t>
        </is>
      </c>
      <c r="Q815" s="7" t="inlineStr">
        <is>
          <t>TRANSFORMACIÓN EMPRESARIAL</t>
        </is>
      </c>
      <c r="R815" s="7" t="n">
        <v>302</v>
      </c>
    </row>
    <row r="816" ht="20" customHeight="1">
      <c r="A816" s="3" t="inlineStr">
        <is>
          <t>1032461201</t>
        </is>
      </c>
      <c r="B816" s="4" t="inlineStr">
        <is>
          <t>PRESENCIAL BOGOTÁ</t>
        </is>
      </c>
      <c r="C816" s="4" t="inlineStr">
        <is>
          <t>MARLEY GISEL BARRETO TORRES</t>
        </is>
      </c>
      <c r="D816" s="4" t="inlineStr">
        <is>
          <t>OPERACIONES</t>
        </is>
      </c>
      <c r="E816" s="4" t="inlineStr">
        <is>
          <t>REGIONAL BOGOTA</t>
        </is>
      </c>
      <c r="F816" s="4" t="inlineStr">
        <is>
          <t>BOGOTA CENTRO</t>
        </is>
      </c>
      <c r="G816" s="4" t="inlineStr">
        <is>
          <t>PRESENCIAL</t>
        </is>
      </c>
      <c r="H816" s="4" t="inlineStr">
        <is>
          <t>DOCENTE ASIS/N/TC/ADM SER SALU/FUN.ACADE-ADMIN</t>
        </is>
      </c>
      <c r="I816" s="4" t="inlineStr">
        <is>
          <t>ADMINISTRACION EN SERVICIOS DE SALUD</t>
        </is>
      </c>
      <c r="J816" s="4" t="inlineStr">
        <is>
          <t>REINTEGRO</t>
        </is>
      </c>
      <c r="K816" s="4" t="inlineStr">
        <is>
          <t>ASHLY ESPINOZA</t>
        </is>
      </c>
      <c r="L816" s="4" t="n">
        <v/>
      </c>
      <c r="M816" s="4" t="n">
        <v/>
      </c>
      <c r="N816" s="4" t="n">
        <v>3187772258</v>
      </c>
      <c r="O816" s="4" t="inlineStr">
        <is>
          <t>gisel0309@gmail.com</t>
        </is>
      </c>
      <c r="P816" s="4" t="inlineStr">
        <is>
          <t>BTA SEDE D</t>
        </is>
      </c>
      <c r="Q816" s="4" t="inlineStr">
        <is>
          <t>TRANSFORMACIÓN EMPRESARIAL</t>
        </is>
      </c>
      <c r="R816" s="4" t="n">
        <v>302</v>
      </c>
    </row>
    <row r="817" ht="20" customHeight="1">
      <c r="A817" s="6" t="inlineStr">
        <is>
          <t>1069732089</t>
        </is>
      </c>
      <c r="B817" s="7" t="inlineStr">
        <is>
          <t>PRESENCIAL BOGOTÁ</t>
        </is>
      </c>
      <c r="C817" s="7" t="inlineStr">
        <is>
          <t>DIEGO ALEJANDRO GONZALEZ FINO</t>
        </is>
      </c>
      <c r="D817" s="7" t="inlineStr">
        <is>
          <t>OPERACIONES</t>
        </is>
      </c>
      <c r="E817" s="7" t="inlineStr">
        <is>
          <t>REGIONAL BOGOTA</t>
        </is>
      </c>
      <c r="F817" s="7" t="inlineStr">
        <is>
          <t>BOGOTA CENTRO</t>
        </is>
      </c>
      <c r="G817" s="7" t="inlineStr">
        <is>
          <t>PRESENCIAL</t>
        </is>
      </c>
      <c r="H817" s="7" t="inlineStr">
        <is>
          <t>DOCENTE ASIS/N/MT-ADM SER SALU</t>
        </is>
      </c>
      <c r="I817" s="7" t="inlineStr">
        <is>
          <t>ADMINISTRACION EN SERVICIOS DE SALUD</t>
        </is>
      </c>
      <c r="J817" s="7" t="inlineStr">
        <is>
          <t>REINTEGRO</t>
        </is>
      </c>
      <c r="K817" s="7" t="inlineStr">
        <is>
          <t>ASHLY ESPINOZA</t>
        </is>
      </c>
      <c r="L817" s="7" t="n">
        <v/>
      </c>
      <c r="M817" s="7" t="n">
        <v/>
      </c>
      <c r="N817" s="7" t="n">
        <v>3132265896</v>
      </c>
      <c r="O817" s="7" t="inlineStr">
        <is>
          <t>DIEGOGT64@GMAIL.COM</t>
        </is>
      </c>
      <c r="P817" s="7" t="inlineStr">
        <is>
          <t>BTA SEDE D</t>
        </is>
      </c>
      <c r="Q817" s="7" t="inlineStr">
        <is>
          <t>TRANSFORMACIÓN EMPRESARIAL</t>
        </is>
      </c>
      <c r="R817" s="7" t="n">
        <v>302</v>
      </c>
    </row>
    <row r="818" ht="20" customHeight="1">
      <c r="A818" s="3" t="inlineStr">
        <is>
          <t>1003698798</t>
        </is>
      </c>
      <c r="B818" s="4" t="inlineStr">
        <is>
          <t>PRESENCIAL BOGOTÁ</t>
        </is>
      </c>
      <c r="C818" s="4" t="inlineStr">
        <is>
          <t>ALIRIO HERNANDEZ TOVAR</t>
        </is>
      </c>
      <c r="D818" s="4" t="inlineStr">
        <is>
          <t>OPERACIONES</t>
        </is>
      </c>
      <c r="E818" s="4" t="inlineStr">
        <is>
          <t>REGIONAL BOGOTA</t>
        </is>
      </c>
      <c r="F818" s="4" t="inlineStr">
        <is>
          <t>BOGOTA CENTRO</t>
        </is>
      </c>
      <c r="G818" s="4" t="inlineStr">
        <is>
          <t>PRESENCIAL</t>
        </is>
      </c>
      <c r="H818" s="4" t="inlineStr">
        <is>
          <t>DOC AUX T&amp;T/N/MT/ADM SER SALU</t>
        </is>
      </c>
      <c r="I818" s="4" t="inlineStr">
        <is>
          <t>ADMINISTRACION EN SERVICIOS DE SALUD</t>
        </is>
      </c>
      <c r="J818" s="4" t="inlineStr">
        <is>
          <t>REINTEGRO</t>
        </is>
      </c>
      <c r="K818" s="4" t="inlineStr">
        <is>
          <t>ASHLY ESPINOZA</t>
        </is>
      </c>
      <c r="L818" s="4" t="inlineStr">
        <is>
          <t>CONFIRMADO PRESENCIAL</t>
        </is>
      </c>
      <c r="M818" s="4" t="n">
        <v/>
      </c>
      <c r="N818" s="4" t="n">
        <v>3138610591</v>
      </c>
      <c r="O818" s="4" t="inlineStr">
        <is>
          <t>alirio2015hernandez@hotmail.com</t>
        </is>
      </c>
      <c r="P818" s="4" t="inlineStr">
        <is>
          <t>BTA SEDE D</t>
        </is>
      </c>
      <c r="Q818" s="4" t="inlineStr">
        <is>
          <t>TRANSFORMACIÓN EMPRESARIAL</t>
        </is>
      </c>
      <c r="R818" s="4" t="n">
        <v>302</v>
      </c>
    </row>
    <row r="819" ht="20" customHeight="1">
      <c r="A819" s="6" t="inlineStr">
        <is>
          <t>1019090131</t>
        </is>
      </c>
      <c r="B819" s="7" t="inlineStr">
        <is>
          <t>PRESENCIAL BOGOTÁ</t>
        </is>
      </c>
      <c r="C819" s="7" t="inlineStr">
        <is>
          <t>JENNIFER DANIELA PEÑA GROSO</t>
        </is>
      </c>
      <c r="D819" s="7" t="inlineStr">
        <is>
          <t>OPERACIONES</t>
        </is>
      </c>
      <c r="E819" s="7" t="inlineStr">
        <is>
          <t>REGIONAL BOGOTA</t>
        </is>
      </c>
      <c r="F819" s="7" t="inlineStr">
        <is>
          <t>BOGOTA CENTRO</t>
        </is>
      </c>
      <c r="G819" s="7" t="inlineStr">
        <is>
          <t>PRESENCIAL</t>
        </is>
      </c>
      <c r="H819" s="7" t="inlineStr">
        <is>
          <t>DOCENTE AUX/N/MT/ ADM SER SALUD</t>
        </is>
      </c>
      <c r="I819" s="7" t="inlineStr">
        <is>
          <t>ADMINISTRACION EN SERVICIOS DE SALUD</t>
        </is>
      </c>
      <c r="J819" s="7" t="inlineStr">
        <is>
          <t>REINTEGRO</t>
        </is>
      </c>
      <c r="K819" s="7" t="inlineStr">
        <is>
          <t>ASHLY ESPINOZA</t>
        </is>
      </c>
      <c r="L819" s="7" t="n">
        <v/>
      </c>
      <c r="M819" s="7" t="n">
        <v/>
      </c>
      <c r="N819" s="7" t="n">
        <v>3214022422</v>
      </c>
      <c r="O819" s="7" t="inlineStr">
        <is>
          <t>ANI1320@HOTMAIL.COM</t>
        </is>
      </c>
      <c r="P819" s="7" t="inlineStr">
        <is>
          <t>BTA SEDE D</t>
        </is>
      </c>
      <c r="Q819" s="7" t="inlineStr">
        <is>
          <t>TRANSFORMACIÓN EMPRESARIAL</t>
        </is>
      </c>
      <c r="R819" s="7" t="n">
        <v>302</v>
      </c>
    </row>
    <row r="820" ht="20" customHeight="1">
      <c r="A820" s="3" t="inlineStr">
        <is>
          <t>1143366944</t>
        </is>
      </c>
      <c r="B820" s="4" t="inlineStr">
        <is>
          <t>PRESENCIAL BOGOTÁ</t>
        </is>
      </c>
      <c r="C820" s="4" t="inlineStr">
        <is>
          <t>CRISTIAN ALFREDO MARTINEZ JIMENEZ</t>
        </is>
      </c>
      <c r="D820" s="4" t="inlineStr">
        <is>
          <t>OPERACIONES</t>
        </is>
      </c>
      <c r="E820" s="4" t="inlineStr">
        <is>
          <t>REGIONAL BOGOTA</t>
        </is>
      </c>
      <c r="F820" s="4" t="inlineStr">
        <is>
          <t>BOGOTA RESTREPO</t>
        </is>
      </c>
      <c r="G820" s="4" t="inlineStr">
        <is>
          <t>PRESENCIAL</t>
        </is>
      </c>
      <c r="H820" s="4" t="inlineStr">
        <is>
          <t>DOCENTE AUX/N/MT/ ADM SER SALUD</t>
        </is>
      </c>
      <c r="I820" s="4" t="inlineStr">
        <is>
          <t>ADMINISTRACION EN SERVICIOS DE SALUD</t>
        </is>
      </c>
      <c r="J820" s="4" t="inlineStr">
        <is>
          <t>REINTEGRO</t>
        </is>
      </c>
      <c r="K820" s="4" t="inlineStr">
        <is>
          <t>ASHLY ESPINOZA</t>
        </is>
      </c>
      <c r="L820" s="4" t="n">
        <v/>
      </c>
      <c r="M820" s="4" t="n">
        <v/>
      </c>
      <c r="N820" s="4" t="n">
        <v>3014695814</v>
      </c>
      <c r="O820" s="4" t="inlineStr">
        <is>
          <t>CRISTIANMARTINEZ089@GMAIL.COM</t>
        </is>
      </c>
      <c r="P820" s="4" t="inlineStr">
        <is>
          <t>BTA SEDE RESTREPO</t>
        </is>
      </c>
      <c r="Q820" s="4" t="inlineStr">
        <is>
          <t>TRANSFORMACIÓN EMPRESARIAL</t>
        </is>
      </c>
      <c r="R820" s="4" t="n">
        <v>302</v>
      </c>
    </row>
    <row r="821" ht="20" customHeight="1">
      <c r="A821" s="6" t="inlineStr">
        <is>
          <t>53055373</t>
        </is>
      </c>
      <c r="B821" s="7" t="inlineStr">
        <is>
          <t>PRESENCIAL BOGOTÁ</t>
        </is>
      </c>
      <c r="C821" s="7" t="inlineStr">
        <is>
          <t>JENNY JANETH LOAIZA LEIVA</t>
        </is>
      </c>
      <c r="D821" s="7" t="inlineStr">
        <is>
          <t>OPERACIONES</t>
        </is>
      </c>
      <c r="E821" s="7" t="inlineStr">
        <is>
          <t>REGIONAL BOGOTA</t>
        </is>
      </c>
      <c r="F821" s="7" t="inlineStr">
        <is>
          <t>BOGOTA CENTRO</t>
        </is>
      </c>
      <c r="G821" s="7" t="inlineStr">
        <is>
          <t>PRESENCIAL</t>
        </is>
      </c>
      <c r="H821" s="7" t="inlineStr">
        <is>
          <t>DOCENTE AUX/N/MT-ADM SER SALU</t>
        </is>
      </c>
      <c r="I821" s="7" t="inlineStr">
        <is>
          <t>ADMINISTRACION EN SERVICIOS DE SALUD</t>
        </is>
      </c>
      <c r="J821" s="7" t="inlineStr">
        <is>
          <t>REINTEGRO</t>
        </is>
      </c>
      <c r="K821" s="7" t="inlineStr">
        <is>
          <t>ASHLY ESPINOZA</t>
        </is>
      </c>
      <c r="L821" s="7" t="inlineStr">
        <is>
          <t>CONFIRMADO PRESENCIAL</t>
        </is>
      </c>
      <c r="M821" s="7" t="inlineStr">
        <is>
          <t>tiene bloqueado el correo personal</t>
        </is>
      </c>
      <c r="N821" s="7" t="n">
        <v>3246863114</v>
      </c>
      <c r="O821" s="7" t="inlineStr">
        <is>
          <t>jennyloaiza30@gmail.com</t>
        </is>
      </c>
      <c r="P821" s="7" t="inlineStr">
        <is>
          <t>BTA SEDE A</t>
        </is>
      </c>
      <c r="Q821" s="7" t="inlineStr">
        <is>
          <t>TRANSFORMACIÓN EMPRESARIAL</t>
        </is>
      </c>
      <c r="R821" s="7" t="n">
        <v>302</v>
      </c>
    </row>
    <row r="822" ht="20" customHeight="1">
      <c r="A822" s="3" t="inlineStr">
        <is>
          <t>1070013216</t>
        </is>
      </c>
      <c r="B822" s="4" t="inlineStr">
        <is>
          <t>PRESENCIAL BOGOTÁ</t>
        </is>
      </c>
      <c r="C822" s="4" t="inlineStr">
        <is>
          <t>JULY ANDREA CANCHON CAMACHO</t>
        </is>
      </c>
      <c r="D822" s="4" t="inlineStr">
        <is>
          <t>OPERACIONES</t>
        </is>
      </c>
      <c r="E822" s="4" t="inlineStr">
        <is>
          <t>REGIONAL BOGOTA</t>
        </is>
      </c>
      <c r="F822" s="4" t="inlineStr">
        <is>
          <t>BOGOTA CENTRO</t>
        </is>
      </c>
      <c r="G822" s="4" t="inlineStr">
        <is>
          <t>PRESENCIAL</t>
        </is>
      </c>
      <c r="H822" s="4" t="inlineStr">
        <is>
          <t>DOCENTE AUX/N/TC/ADM TUR Y HOT/FUN.ACADE-ADMIN</t>
        </is>
      </c>
      <c r="I822" s="4" t="inlineStr">
        <is>
          <t>ADMINISTRACION TURISTICA Y HOTELERA</t>
        </is>
      </c>
      <c r="J822" s="4" t="inlineStr">
        <is>
          <t>REINTEGRO</t>
        </is>
      </c>
      <c r="K822" s="4" t="inlineStr">
        <is>
          <t>ASHLY ESPINOZA</t>
        </is>
      </c>
      <c r="L822" s="4" t="n">
        <v/>
      </c>
      <c r="M822" s="4" t="n">
        <v/>
      </c>
      <c r="N822" s="4" t="n">
        <v>3202220009</v>
      </c>
      <c r="O822" s="4" t="inlineStr">
        <is>
          <t>JULYCANCHON8@GMAIL.COM</t>
        </is>
      </c>
      <c r="P822" s="4" t="inlineStr">
        <is>
          <t>BTA SEDE D</t>
        </is>
      </c>
      <c r="Q822" s="4" t="inlineStr">
        <is>
          <t>NEGOCIOS</t>
        </is>
      </c>
      <c r="R822" s="4" t="n">
        <v>201</v>
      </c>
    </row>
    <row r="823" ht="20" customHeight="1">
      <c r="A823" s="6" t="inlineStr">
        <is>
          <t>1030618345</t>
        </is>
      </c>
      <c r="B823" s="7" t="inlineStr">
        <is>
          <t>PRESENCIAL BOGOTÁ</t>
        </is>
      </c>
      <c r="C823" s="7" t="inlineStr">
        <is>
          <t>DIEGO ALEXANDER SIERRA SANCHEZ</t>
        </is>
      </c>
      <c r="D823" s="7" t="inlineStr">
        <is>
          <t>OPERACIONES</t>
        </is>
      </c>
      <c r="E823" s="7" t="inlineStr">
        <is>
          <t>REGIONAL BOGOTA</t>
        </is>
      </c>
      <c r="F823" s="7" t="inlineStr">
        <is>
          <t>BOGOTA CENTRO</t>
        </is>
      </c>
      <c r="G823" s="7" t="inlineStr">
        <is>
          <t>PRESENCIAL</t>
        </is>
      </c>
      <c r="H823" s="7" t="inlineStr">
        <is>
          <t>DOC AUX T&amp;T/N/MT/ADM TUR Y HOT</t>
        </is>
      </c>
      <c r="I823" s="7" t="inlineStr">
        <is>
          <t>ADMINISTRACION TURISTICA Y HOTELERA</t>
        </is>
      </c>
      <c r="J823" s="7" t="inlineStr">
        <is>
          <t>REINTEGRO</t>
        </is>
      </c>
      <c r="K823" s="7" t="inlineStr">
        <is>
          <t>ASHLY ESPINOZA</t>
        </is>
      </c>
      <c r="L823" s="7" t="n">
        <v/>
      </c>
      <c r="M823" s="7" t="n">
        <v/>
      </c>
      <c r="N823" s="7" t="n">
        <v>3104369862</v>
      </c>
      <c r="O823" s="7" t="inlineStr">
        <is>
          <t>dialsi07@gmail.com</t>
        </is>
      </c>
      <c r="P823" s="7" t="inlineStr">
        <is>
          <t>BTA SEDE D</t>
        </is>
      </c>
      <c r="Q823" s="7" t="inlineStr">
        <is>
          <t>NEGOCIOS</t>
        </is>
      </c>
      <c r="R823" s="7" t="n">
        <v>201</v>
      </c>
    </row>
    <row r="824" ht="20" customHeight="1">
      <c r="A824" s="3" t="inlineStr">
        <is>
          <t>93394359</t>
        </is>
      </c>
      <c r="B824" s="4" t="inlineStr">
        <is>
          <t>PRESENCIAL BOGOTÁ</t>
        </is>
      </c>
      <c r="C824" s="4" t="inlineStr">
        <is>
          <t>LEO RODRIGO GIL OSPINA</t>
        </is>
      </c>
      <c r="D824" s="4" t="inlineStr">
        <is>
          <t>OPERACIONES</t>
        </is>
      </c>
      <c r="E824" s="4" t="inlineStr">
        <is>
          <t>REGIONAL BOGOTA</t>
        </is>
      </c>
      <c r="F824" s="4" t="inlineStr">
        <is>
          <t>BOGOTA CENTRO</t>
        </is>
      </c>
      <c r="G824" s="4" t="inlineStr">
        <is>
          <t>VIRTUAL</t>
        </is>
      </c>
      <c r="H824" s="4" t="inlineStr">
        <is>
          <t>DOC ASIS/N/V/MT/CIENCIAS BASI</t>
        </is>
      </c>
      <c r="I824" s="4" t="inlineStr">
        <is>
          <t>CIENCIAS BASICAS</t>
        </is>
      </c>
      <c r="J824" s="4" t="inlineStr">
        <is>
          <t>REINTEGRO</t>
        </is>
      </c>
      <c r="K824" s="4" t="inlineStr">
        <is>
          <t>ASHLY ESPINOZA</t>
        </is>
      </c>
      <c r="L824" s="4" t="n">
        <v/>
      </c>
      <c r="M824" s="4" t="n">
        <v/>
      </c>
      <c r="N824" s="4" t="n">
        <v>3173633127</v>
      </c>
      <c r="O824" s="4" t="inlineStr">
        <is>
          <t>lerogo74@gmail.com</t>
        </is>
      </c>
      <c r="P824" s="4" t="inlineStr">
        <is>
          <t>BTA SEDE F</t>
        </is>
      </c>
      <c r="Q824" s="4" t="inlineStr">
        <is>
          <t>TRANSVERSALES</t>
        </is>
      </c>
      <c r="R824" s="4" t="n">
        <v>800</v>
      </c>
    </row>
    <row r="825" ht="20" customHeight="1">
      <c r="A825" s="6" t="inlineStr">
        <is>
          <t>1031143200</t>
        </is>
      </c>
      <c r="B825" s="7" t="inlineStr">
        <is>
          <t>PRESENCIAL BOGOTÁ</t>
        </is>
      </c>
      <c r="C825" s="7" t="inlineStr">
        <is>
          <t>NICOLAS LIZARRALDE RODRIGUEZ</t>
        </is>
      </c>
      <c r="D825" s="7" t="inlineStr">
        <is>
          <t>OPERACIONES</t>
        </is>
      </c>
      <c r="E825" s="7" t="inlineStr">
        <is>
          <t>REGIONAL BOGOTA</t>
        </is>
      </c>
      <c r="F825" s="7" t="inlineStr">
        <is>
          <t>BOGOTA CENTRO</t>
        </is>
      </c>
      <c r="G825" s="7" t="inlineStr">
        <is>
          <t>VIRTUAL</t>
        </is>
      </c>
      <c r="H825" s="7" t="inlineStr">
        <is>
          <t>DOC ASIS/N/V/MT/CIENCIAS BASI</t>
        </is>
      </c>
      <c r="I825" s="7" t="inlineStr">
        <is>
          <t>CIENCIAS BASICAS</t>
        </is>
      </c>
      <c r="J825" s="7" t="inlineStr">
        <is>
          <t>REINTEGRO</t>
        </is>
      </c>
      <c r="K825" s="7" t="inlineStr">
        <is>
          <t>ASHLY ESPINOZA</t>
        </is>
      </c>
      <c r="L825" s="7" t="n">
        <v/>
      </c>
      <c r="M825" s="7" t="n">
        <v/>
      </c>
      <c r="N825" s="7" t="n">
        <v>3014848717</v>
      </c>
      <c r="O825" s="7" t="inlineStr">
        <is>
          <t>liza1031@hotmail.es</t>
        </is>
      </c>
      <c r="P825" s="7" t="inlineStr">
        <is>
          <t>BTA SEDE A</t>
        </is>
      </c>
      <c r="Q825" s="7" t="inlineStr">
        <is>
          <t>TRANSVERSALES</t>
        </is>
      </c>
      <c r="R825" s="7" t="n">
        <v>800</v>
      </c>
    </row>
    <row r="826" ht="20" customHeight="1">
      <c r="A826" s="3" t="inlineStr">
        <is>
          <t>80214679</t>
        </is>
      </c>
      <c r="B826" s="4" t="inlineStr">
        <is>
          <t>PRESENCIAL BOGOTÁ</t>
        </is>
      </c>
      <c r="C826" s="4" t="inlineStr">
        <is>
          <t>FELIX ENRIQUE SALINAS TACUMA</t>
        </is>
      </c>
      <c r="D826" s="4" t="inlineStr">
        <is>
          <t>OPERACIONES</t>
        </is>
      </c>
      <c r="E826" s="4" t="inlineStr">
        <is>
          <t>REGIONAL BOGOTA</t>
        </is>
      </c>
      <c r="F826" s="4" t="inlineStr">
        <is>
          <t>BOGOTA CENTRO</t>
        </is>
      </c>
      <c r="G826" s="4" t="inlineStr">
        <is>
          <t>PRESENCIAL</t>
        </is>
      </c>
      <c r="H826" s="4" t="inlineStr">
        <is>
          <t>DOCENTE ASIS/N/MT/CIEN BASI</t>
        </is>
      </c>
      <c r="I826" s="4" t="inlineStr">
        <is>
          <t>CIENCIAS BASICAS</t>
        </is>
      </c>
      <c r="J826" s="4" t="inlineStr">
        <is>
          <t>REINTEGRO</t>
        </is>
      </c>
      <c r="K826" s="4" t="inlineStr">
        <is>
          <t>ASHLY ESPINOZA</t>
        </is>
      </c>
      <c r="L826" s="4" t="n">
        <v/>
      </c>
      <c r="M826" s="4" t="n">
        <v/>
      </c>
      <c r="N826" s="4" t="n">
        <v>3114652546</v>
      </c>
      <c r="O826" s="4" t="inlineStr">
        <is>
          <t>flxud84@gmail.com</t>
        </is>
      </c>
      <c r="P826" s="4" t="inlineStr">
        <is>
          <t>BTA SEDE D</t>
        </is>
      </c>
      <c r="Q826" s="4" t="inlineStr">
        <is>
          <t>TRANSVERSALES</t>
        </is>
      </c>
      <c r="R826" s="4" t="n">
        <v>800</v>
      </c>
    </row>
    <row r="827" ht="20" customHeight="1">
      <c r="A827" s="6" t="inlineStr">
        <is>
          <t>79979391</t>
        </is>
      </c>
      <c r="B827" s="7" t="inlineStr">
        <is>
          <t>PRESENCIAL BOGOTÁ</t>
        </is>
      </c>
      <c r="C827" s="7" t="inlineStr">
        <is>
          <t>ALEXANDER MORENO QUIROGA</t>
        </is>
      </c>
      <c r="D827" s="7" t="inlineStr">
        <is>
          <t>OPERACIONES</t>
        </is>
      </c>
      <c r="E827" s="7" t="inlineStr">
        <is>
          <t>REGIONAL BOGOTA</t>
        </is>
      </c>
      <c r="F827" s="7" t="inlineStr">
        <is>
          <t>BOGOTA CENTRO</t>
        </is>
      </c>
      <c r="G827" s="7" t="inlineStr">
        <is>
          <t>VIRTUAL</t>
        </is>
      </c>
      <c r="H827" s="7" t="inlineStr">
        <is>
          <t>DOC ASIS/N/V/MT/CIENCIAS BASI</t>
        </is>
      </c>
      <c r="I827" s="7" t="inlineStr">
        <is>
          <t>CIENCIAS BASICAS</t>
        </is>
      </c>
      <c r="J827" s="7" t="inlineStr">
        <is>
          <t>REINTEGRO</t>
        </is>
      </c>
      <c r="K827" s="7" t="inlineStr">
        <is>
          <t>ASHLY ESPINOZA</t>
        </is>
      </c>
      <c r="L827" s="7" t="n">
        <v/>
      </c>
      <c r="M827" s="7" t="n">
        <v/>
      </c>
      <c r="N827" s="7" t="n">
        <v>3164019411</v>
      </c>
      <c r="O827" s="7" t="inlineStr">
        <is>
          <t>alexandermorenoquiroga@gmail.com</t>
        </is>
      </c>
      <c r="P827" s="7" t="inlineStr">
        <is>
          <t>BTA SEDE A</t>
        </is>
      </c>
      <c r="Q827" s="7" t="inlineStr">
        <is>
          <t>TRANSVERSALES</t>
        </is>
      </c>
      <c r="R827" s="7" t="n">
        <v>801</v>
      </c>
    </row>
    <row r="828" ht="20" customHeight="1">
      <c r="A828" s="3" t="inlineStr">
        <is>
          <t>52749247</t>
        </is>
      </c>
      <c r="B828" s="4" t="inlineStr">
        <is>
          <t>PRESENCIAL BOGOTÁ</t>
        </is>
      </c>
      <c r="C828" s="4" t="inlineStr">
        <is>
          <t>AURA LUCIA QUINTERO POVEDA</t>
        </is>
      </c>
      <c r="D828" s="4" t="inlineStr">
        <is>
          <t>OPERACIONES</t>
        </is>
      </c>
      <c r="E828" s="4" t="inlineStr">
        <is>
          <t>REGIONAL BOGOTA</t>
        </is>
      </c>
      <c r="F828" s="4" t="inlineStr">
        <is>
          <t>BOGOTA CENTRO</t>
        </is>
      </c>
      <c r="G828" s="4" t="inlineStr">
        <is>
          <t>VIRTUAL</t>
        </is>
      </c>
      <c r="H828" s="4" t="inlineStr">
        <is>
          <t>DOC ASIS/N/V/MT/CIENCIAS BASI</t>
        </is>
      </c>
      <c r="I828" s="4" t="inlineStr">
        <is>
          <t>CIENCIAS BASICAS</t>
        </is>
      </c>
      <c r="J828" s="4" t="inlineStr">
        <is>
          <t>REINTEGRO</t>
        </is>
      </c>
      <c r="K828" s="4" t="inlineStr">
        <is>
          <t>ASHLY ESPINOZA</t>
        </is>
      </c>
      <c r="L828" s="4" t="n">
        <v/>
      </c>
      <c r="M828" s="4" t="n">
        <v/>
      </c>
      <c r="N828" s="4" t="n">
        <v>3507138984</v>
      </c>
      <c r="O828" s="4" t="inlineStr">
        <is>
          <t>alqmatematicas@gmail.com</t>
        </is>
      </c>
      <c r="P828" s="4" t="inlineStr">
        <is>
          <t>BTA SEDE A</t>
        </is>
      </c>
      <c r="Q828" s="4" t="inlineStr">
        <is>
          <t>TRANSVERSALES</t>
        </is>
      </c>
      <c r="R828" s="4" t="n">
        <v>801</v>
      </c>
    </row>
    <row r="829" ht="20" customHeight="1">
      <c r="A829" s="6" t="inlineStr">
        <is>
          <t>52581156</t>
        </is>
      </c>
      <c r="B829" s="7" t="inlineStr">
        <is>
          <t>PRESENCIAL BOGOTÁ</t>
        </is>
      </c>
      <c r="C829" s="7" t="inlineStr">
        <is>
          <t>IDIALY MONTOYA AGUILAR</t>
        </is>
      </c>
      <c r="D829" s="7" t="inlineStr">
        <is>
          <t>OPERACIONES</t>
        </is>
      </c>
      <c r="E829" s="7" t="inlineStr">
        <is>
          <t>REGIONAL BOGOTA</t>
        </is>
      </c>
      <c r="F829" s="7" t="inlineStr">
        <is>
          <t>BOGOTA CENTRO</t>
        </is>
      </c>
      <c r="G829" s="7" t="inlineStr">
        <is>
          <t>VIRTUAL</t>
        </is>
      </c>
      <c r="H829" s="7" t="inlineStr">
        <is>
          <t>DOC ASIS/N/V/MT/CIENCIAS BASI</t>
        </is>
      </c>
      <c r="I829" s="7" t="inlineStr">
        <is>
          <t>CIENCIAS BASICAS</t>
        </is>
      </c>
      <c r="J829" s="7" t="inlineStr">
        <is>
          <t>REINTEGRO</t>
        </is>
      </c>
      <c r="K829" s="7" t="inlineStr">
        <is>
          <t>ASHLY ESPINOZA</t>
        </is>
      </c>
      <c r="L829" s="7" t="inlineStr">
        <is>
          <t>CONFIRMADO PRESENCIAL</t>
        </is>
      </c>
      <c r="M829" s="7" t="n">
        <v/>
      </c>
      <c r="N829" s="7" t="n">
        <v>3185628531</v>
      </c>
      <c r="O829" s="7" t="inlineStr">
        <is>
          <t>idalymontoya@gmail.com</t>
        </is>
      </c>
      <c r="P829" s="7" t="inlineStr">
        <is>
          <t>BTA SEDE F</t>
        </is>
      </c>
      <c r="Q829" s="7" t="inlineStr">
        <is>
          <t>TRANSVERSALES</t>
        </is>
      </c>
      <c r="R829" s="7" t="n">
        <v>801</v>
      </c>
    </row>
    <row r="830" ht="20" customHeight="1">
      <c r="A830" s="3" t="inlineStr">
        <is>
          <t>1024478675</t>
        </is>
      </c>
      <c r="B830" s="4" t="inlineStr">
        <is>
          <t>PRESENCIAL BOGOTÁ</t>
        </is>
      </c>
      <c r="C830" s="4" t="inlineStr">
        <is>
          <t>JAVIER ALBERTO SARMIENTO VANEGAS</t>
        </is>
      </c>
      <c r="D830" s="4" t="inlineStr">
        <is>
          <t>OPERACIONES</t>
        </is>
      </c>
      <c r="E830" s="4" t="inlineStr">
        <is>
          <t>REGIONAL BOGOTA</t>
        </is>
      </c>
      <c r="F830" s="4" t="inlineStr">
        <is>
          <t>BOGOTA CENTRO</t>
        </is>
      </c>
      <c r="G830" s="4" t="inlineStr">
        <is>
          <t>VIRTUAL</t>
        </is>
      </c>
      <c r="H830" s="4" t="inlineStr">
        <is>
          <t>DOC ASIS/N/V/MT/CIENCIAS BASI</t>
        </is>
      </c>
      <c r="I830" s="4" t="inlineStr">
        <is>
          <t>CIENCIAS BASICAS</t>
        </is>
      </c>
      <c r="J830" s="4" t="inlineStr">
        <is>
          <t>REINTEGRO</t>
        </is>
      </c>
      <c r="K830" s="4" t="inlineStr">
        <is>
          <t>ASHLY ESPINOZA</t>
        </is>
      </c>
      <c r="L830" s="4" t="n">
        <v/>
      </c>
      <c r="M830" s="4" t="n">
        <v/>
      </c>
      <c r="N830" s="4" t="n">
        <v>3001417768</v>
      </c>
      <c r="O830" s="4" t="inlineStr">
        <is>
          <t>jasv21@yahoo.es</t>
        </is>
      </c>
      <c r="P830" s="4" t="inlineStr">
        <is>
          <t>BTA SEDE A</t>
        </is>
      </c>
      <c r="Q830" s="4" t="inlineStr">
        <is>
          <t>TRANSVERSALES</t>
        </is>
      </c>
      <c r="R830" s="4" t="n">
        <v>801</v>
      </c>
    </row>
    <row r="831" ht="20" customHeight="1">
      <c r="A831" s="6" t="inlineStr">
        <is>
          <t>1023964370</t>
        </is>
      </c>
      <c r="B831" s="7" t="inlineStr">
        <is>
          <t>PRESENCIAL BOGOTÁ</t>
        </is>
      </c>
      <c r="C831" s="7" t="inlineStr">
        <is>
          <t>MANUEL FELIPE AGUDELO MORENO</t>
        </is>
      </c>
      <c r="D831" s="7" t="inlineStr">
        <is>
          <t>OPERACIONES</t>
        </is>
      </c>
      <c r="E831" s="7" t="inlineStr">
        <is>
          <t>REGIONAL BOGOTA</t>
        </is>
      </c>
      <c r="F831" s="7" t="inlineStr">
        <is>
          <t>BOGOTA CENTRO</t>
        </is>
      </c>
      <c r="G831" s="7" t="inlineStr">
        <is>
          <t>PRESENCIAL</t>
        </is>
      </c>
      <c r="H831" s="7" t="inlineStr">
        <is>
          <t>DOC AUX T&amp;T/N/TC/CIEN BASI/FUN.ACADE-ADMIN</t>
        </is>
      </c>
      <c r="I831" s="7" t="inlineStr">
        <is>
          <t>CIENCIAS BASICAS</t>
        </is>
      </c>
      <c r="J831" s="7" t="inlineStr">
        <is>
          <t>REINTEGRO</t>
        </is>
      </c>
      <c r="K831" s="7" t="inlineStr">
        <is>
          <t>ASHLY ESPINOZA</t>
        </is>
      </c>
      <c r="L831" s="7" t="n">
        <v/>
      </c>
      <c r="M831" s="7" t="n">
        <v/>
      </c>
      <c r="N831" s="7" t="n">
        <v>3004000232</v>
      </c>
      <c r="O831" s="7" t="inlineStr">
        <is>
          <t>Felipe.agudelo97.fa@gmail.com</t>
        </is>
      </c>
      <c r="P831" s="7" t="inlineStr">
        <is>
          <t>BTA SEDE A</t>
        </is>
      </c>
      <c r="Q831" s="7" t="inlineStr">
        <is>
          <t>TRANSVERSALES</t>
        </is>
      </c>
      <c r="R831" s="7" t="n">
        <v>801</v>
      </c>
    </row>
    <row r="832" ht="20" customHeight="1">
      <c r="A832" s="3" t="inlineStr">
        <is>
          <t>1072431214</t>
        </is>
      </c>
      <c r="B832" s="4" t="inlineStr">
        <is>
          <t>PRESENCIAL BOGOTÁ</t>
        </is>
      </c>
      <c r="C832" s="4" t="inlineStr">
        <is>
          <t>GUILLERMO ANDRES CONTO TRIANA</t>
        </is>
      </c>
      <c r="D832" s="4" t="inlineStr">
        <is>
          <t>OPERACIONES</t>
        </is>
      </c>
      <c r="E832" s="4" t="inlineStr">
        <is>
          <t>REGIONAL BOGOTA</t>
        </is>
      </c>
      <c r="F832" s="4" t="inlineStr">
        <is>
          <t>BOGOTA CENTRO</t>
        </is>
      </c>
      <c r="G832" s="4" t="inlineStr">
        <is>
          <t>VIRTUAL</t>
        </is>
      </c>
      <c r="H832" s="4" t="inlineStr">
        <is>
          <t>DOC AUX T&amp;T/N/V/MT/CIENCIAS BASI</t>
        </is>
      </c>
      <c r="I832" s="4" t="inlineStr">
        <is>
          <t>CIENCIAS BASICAS</t>
        </is>
      </c>
      <c r="J832" s="4" t="inlineStr">
        <is>
          <t>REINTEGRO</t>
        </is>
      </c>
      <c r="K832" s="4" t="inlineStr">
        <is>
          <t>ASHLY ESPINOZA</t>
        </is>
      </c>
      <c r="L832" s="4" t="inlineStr">
        <is>
          <t>CONFIRMADO PRESENCIAL</t>
        </is>
      </c>
      <c r="M832" s="4" t="n">
        <v/>
      </c>
      <c r="N832" s="4" t="n">
        <v>3202399636</v>
      </c>
      <c r="O832" s="4" t="inlineStr">
        <is>
          <t>GCONTOTMEMO@GMAIL.COM</t>
        </is>
      </c>
      <c r="P832" s="4" t="inlineStr">
        <is>
          <t>BTA SEDE A</t>
        </is>
      </c>
      <c r="Q832" s="4" t="inlineStr">
        <is>
          <t>TRANSVERSALES</t>
        </is>
      </c>
      <c r="R832" s="4" t="n">
        <v>801</v>
      </c>
    </row>
    <row r="833" ht="20" customHeight="1">
      <c r="A833" s="6" t="inlineStr">
        <is>
          <t>1067906540</t>
        </is>
      </c>
      <c r="B833" s="7" t="inlineStr">
        <is>
          <t>PRESENCIAL REGIONAL</t>
        </is>
      </c>
      <c r="C833" s="7" t="inlineStr">
        <is>
          <t>ANTONIO ELIAS ZUMAQUE BALLESTEROS</t>
        </is>
      </c>
      <c r="D833" s="7" t="inlineStr">
        <is>
          <t>OPERACIONES</t>
        </is>
      </c>
      <c r="E833" s="7" t="inlineStr">
        <is>
          <t>REGIONAL CORDOBA</t>
        </is>
      </c>
      <c r="F833" s="7" t="inlineStr">
        <is>
          <t>MONTERIA</t>
        </is>
      </c>
      <c r="G833" s="7" t="inlineStr">
        <is>
          <t>PRESENCIAL</t>
        </is>
      </c>
      <c r="H833" s="7" t="inlineStr">
        <is>
          <t>DOCENTE ASIS/N/MT/CIEN BASI</t>
        </is>
      </c>
      <c r="I833" s="7" t="inlineStr">
        <is>
          <t>CIENCIAS BASICAS</t>
        </is>
      </c>
      <c r="J833" s="7" t="inlineStr">
        <is>
          <t>REINTEGRO</t>
        </is>
      </c>
      <c r="K833" s="7" t="inlineStr">
        <is>
          <t>ASHLY ESPINOZA</t>
        </is>
      </c>
      <c r="L833" s="7" t="inlineStr">
        <is>
          <t>CONFIRMADO PRESENCIAL</t>
        </is>
      </c>
      <c r="M833" s="7" t="n">
        <v/>
      </c>
      <c r="N833" s="7" t="n">
        <v>3224938826</v>
      </c>
      <c r="O833" s="7" t="inlineStr">
        <is>
          <t>antoniozumaque@gmail.com</t>
        </is>
      </c>
      <c r="P833" s="7" t="inlineStr">
        <is>
          <t>MONTERIA SEDE</t>
        </is>
      </c>
      <c r="Q833" s="7" t="inlineStr">
        <is>
          <t>TRANSVERSALES</t>
        </is>
      </c>
      <c r="R833" s="7" t="n">
        <v/>
      </c>
    </row>
    <row r="834" ht="20" customHeight="1">
      <c r="A834" s="3" t="inlineStr">
        <is>
          <t>1098740275</t>
        </is>
      </c>
      <c r="B834" s="4" t="inlineStr">
        <is>
          <t>PRESENCIAL BOGOTÁ</t>
        </is>
      </c>
      <c r="C834" s="4" t="inlineStr">
        <is>
          <t>GIBRAN FERNEY BARAJAS CABALLERO</t>
        </is>
      </c>
      <c r="D834" s="4" t="inlineStr">
        <is>
          <t>OPERACIONES</t>
        </is>
      </c>
      <c r="E834" s="4" t="inlineStr">
        <is>
          <t>REGIONAL BOGOTA</t>
        </is>
      </c>
      <c r="F834" s="4" t="inlineStr">
        <is>
          <t>BOGOTA CENTRO</t>
        </is>
      </c>
      <c r="G834" s="4" t="inlineStr">
        <is>
          <t>VIRTUAL</t>
        </is>
      </c>
      <c r="H834" s="4" t="inlineStr">
        <is>
          <t>DOC ASIS/N/V/MT/CIENCIAS BASI</t>
        </is>
      </c>
      <c r="I834" s="4" t="inlineStr">
        <is>
          <t>CIENCIAS BASICAS</t>
        </is>
      </c>
      <c r="J834" s="4" t="inlineStr">
        <is>
          <t>REINTEGRO</t>
        </is>
      </c>
      <c r="K834" s="4" t="inlineStr">
        <is>
          <t>ASHLY ESPINOZA</t>
        </is>
      </c>
      <c r="L834" s="4" t="inlineStr">
        <is>
          <t>CONFIRMADO PRESENCIAL</t>
        </is>
      </c>
      <c r="M834" s="4" t="n">
        <v/>
      </c>
      <c r="N834" s="4" t="n">
        <v>3133018384</v>
      </c>
      <c r="O834" s="4" t="inlineStr">
        <is>
          <t>gibranbarajas@hotmail.com</t>
        </is>
      </c>
      <c r="P834" s="4" t="inlineStr">
        <is>
          <t>BTA SEDE A</t>
        </is>
      </c>
      <c r="Q834" s="4" t="inlineStr">
        <is>
          <t>TRANSVERSALES</t>
        </is>
      </c>
      <c r="R834" s="4" t="n">
        <v>801</v>
      </c>
    </row>
    <row r="835" ht="20" customHeight="1">
      <c r="A835" s="6" t="inlineStr">
        <is>
          <t>53116524</t>
        </is>
      </c>
      <c r="B835" s="7" t="inlineStr">
        <is>
          <t>PRESENCIAL BOGOTÁ</t>
        </is>
      </c>
      <c r="C835" s="7" t="inlineStr">
        <is>
          <t>FRANCISNEY PAEZ ALVAREZ</t>
        </is>
      </c>
      <c r="D835" s="7" t="inlineStr">
        <is>
          <t>OPERACIONES</t>
        </is>
      </c>
      <c r="E835" s="7" t="inlineStr">
        <is>
          <t>REGIONAL BOGOTA</t>
        </is>
      </c>
      <c r="F835" s="7" t="inlineStr">
        <is>
          <t>BOGOTA CENTRO</t>
        </is>
      </c>
      <c r="G835" s="7" t="inlineStr">
        <is>
          <t>VIRTUAL</t>
        </is>
      </c>
      <c r="H835" s="7" t="inlineStr">
        <is>
          <t>DOC ASOC/N/V/MT/CIENCIAS BASI</t>
        </is>
      </c>
      <c r="I835" s="7" t="inlineStr">
        <is>
          <t>CIENCIAS BASICAS</t>
        </is>
      </c>
      <c r="J835" s="7" t="inlineStr">
        <is>
          <t>REINTEGRO</t>
        </is>
      </c>
      <c r="K835" s="7" t="inlineStr">
        <is>
          <t>ASHLY ESPINOZA</t>
        </is>
      </c>
      <c r="L835" s="7" t="n">
        <v/>
      </c>
      <c r="M835" s="7" t="n">
        <v/>
      </c>
      <c r="N835" s="7" t="n">
        <v>3216484392</v>
      </c>
      <c r="O835" s="7" t="inlineStr">
        <is>
          <t>francisneypaezalvarez@gmail.com</t>
        </is>
      </c>
      <c r="P835" s="7" t="inlineStr">
        <is>
          <t>BTA SEDE A</t>
        </is>
      </c>
      <c r="Q835" s="7" t="inlineStr">
        <is>
          <t>TRANSVERSALES</t>
        </is>
      </c>
      <c r="R835" s="7" t="n">
        <v>801</v>
      </c>
    </row>
    <row r="836" ht="20" customHeight="1">
      <c r="A836" s="3" t="inlineStr">
        <is>
          <t>1075245428</t>
        </is>
      </c>
      <c r="B836" s="4" t="inlineStr">
        <is>
          <t>PRESENCIAL BOGOTÁ</t>
        </is>
      </c>
      <c r="C836" s="4" t="inlineStr">
        <is>
          <t>ARLEDY YURANY AROCA ESCOBAR</t>
        </is>
      </c>
      <c r="D836" s="4" t="inlineStr">
        <is>
          <t>OPERACIONES</t>
        </is>
      </c>
      <c r="E836" s="4" t="inlineStr">
        <is>
          <t>REGIONAL BOGOTA</t>
        </is>
      </c>
      <c r="F836" s="4" t="inlineStr">
        <is>
          <t>BOGOTA CENTRO</t>
        </is>
      </c>
      <c r="G836" s="4" t="inlineStr">
        <is>
          <t>VIRTUAL</t>
        </is>
      </c>
      <c r="H836" s="4" t="inlineStr">
        <is>
          <t>DOC ASIS/N/V/MT/CIENCIAS BASI</t>
        </is>
      </c>
      <c r="I836" s="4" t="inlineStr">
        <is>
          <t>CIENCIAS BASICAS</t>
        </is>
      </c>
      <c r="J836" s="4" t="inlineStr">
        <is>
          <t>REINTEGRO</t>
        </is>
      </c>
      <c r="K836" s="4" t="inlineStr">
        <is>
          <t>ASHLY ESPINOZA</t>
        </is>
      </c>
      <c r="L836" s="4" t="n">
        <v/>
      </c>
      <c r="M836" s="4" t="n">
        <v/>
      </c>
      <c r="N836" s="4" t="n">
        <v>3142878407</v>
      </c>
      <c r="O836" s="4" t="inlineStr">
        <is>
          <t>arledy.aroca@gmail.com</t>
        </is>
      </c>
      <c r="P836" s="4" t="inlineStr">
        <is>
          <t>BTA SEDE A</t>
        </is>
      </c>
      <c r="Q836" s="4" t="inlineStr">
        <is>
          <t>TRANSVERSALES</t>
        </is>
      </c>
      <c r="R836" s="4" t="n">
        <v>801</v>
      </c>
    </row>
    <row r="837" ht="20" customHeight="1">
      <c r="A837" s="6" t="inlineStr">
        <is>
          <t>10772231</t>
        </is>
      </c>
      <c r="B837" s="7" t="inlineStr">
        <is>
          <t>PRESENCIAL REGIONAL</t>
        </is>
      </c>
      <c r="C837" s="7" t="inlineStr">
        <is>
          <t>EULALIO AGUILAR PADILLA</t>
        </is>
      </c>
      <c r="D837" s="7" t="inlineStr">
        <is>
          <t>OPERACIONES</t>
        </is>
      </c>
      <c r="E837" s="7" t="inlineStr">
        <is>
          <t>REGIONAL CORDOBA</t>
        </is>
      </c>
      <c r="F837" s="7" t="inlineStr">
        <is>
          <t>MONTERIA</t>
        </is>
      </c>
      <c r="G837" s="7" t="inlineStr">
        <is>
          <t>PRESENCIAL</t>
        </is>
      </c>
      <c r="H837" s="7" t="inlineStr">
        <is>
          <t>DOCENTE ASIS/N/TC/CIEN BASI/FUN.ACADE-ADMIN</t>
        </is>
      </c>
      <c r="I837" s="7" t="inlineStr">
        <is>
          <t>CIENCIAS BASICAS</t>
        </is>
      </c>
      <c r="J837" s="7" t="inlineStr">
        <is>
          <t>REINTEGRO</t>
        </is>
      </c>
      <c r="K837" s="7" t="inlineStr">
        <is>
          <t>ASHLY ESPINOZA</t>
        </is>
      </c>
      <c r="L837" s="7" t="n">
        <v/>
      </c>
      <c r="M837" s="7" t="n">
        <v/>
      </c>
      <c r="N837" s="7" t="n">
        <v>3114365278</v>
      </c>
      <c r="O837" s="7" t="inlineStr">
        <is>
          <t>eulalioaguilar@gmail.com</t>
        </is>
      </c>
      <c r="P837" s="7" t="inlineStr">
        <is>
          <t>MONTERIA SEDE</t>
        </is>
      </c>
      <c r="Q837" s="7" t="inlineStr">
        <is>
          <t>TRANSVERSALES</t>
        </is>
      </c>
      <c r="R837" s="7" t="n">
        <v/>
      </c>
    </row>
    <row r="838" ht="20" customHeight="1">
      <c r="A838" s="3" t="inlineStr">
        <is>
          <t>1014255697</t>
        </is>
      </c>
      <c r="B838" s="4" t="inlineStr">
        <is>
          <t>PRESENCIAL BOGOTÁ</t>
        </is>
      </c>
      <c r="C838" s="4" t="inlineStr">
        <is>
          <t>CESAR ANDRES OROZCO AMAYA</t>
        </is>
      </c>
      <c r="D838" s="4" t="inlineStr">
        <is>
          <t>OPERACIONES</t>
        </is>
      </c>
      <c r="E838" s="4" t="inlineStr">
        <is>
          <t>REGIONAL BOGOTA</t>
        </is>
      </c>
      <c r="F838" s="4" t="inlineStr">
        <is>
          <t>BOGOTA CENTRO</t>
        </is>
      </c>
      <c r="G838" s="4" t="inlineStr">
        <is>
          <t>PRESENCIAL</t>
        </is>
      </c>
      <c r="H838" s="4" t="inlineStr">
        <is>
          <t>DOC AUX T&amp;T/N/TC/CIEN BASI/FUN.ACADE-ADMIN</t>
        </is>
      </c>
      <c r="I838" s="4" t="inlineStr">
        <is>
          <t>CIENCIAS BASICAS</t>
        </is>
      </c>
      <c r="J838" s="4" t="inlineStr">
        <is>
          <t>REINTEGRO</t>
        </is>
      </c>
      <c r="K838" s="4" t="inlineStr">
        <is>
          <t>ASHLY ESPINOZA</t>
        </is>
      </c>
      <c r="L838" s="4" t="n">
        <v/>
      </c>
      <c r="M838" s="4" t="n">
        <v/>
      </c>
      <c r="N838" s="4" t="n">
        <v>3212317156</v>
      </c>
      <c r="O838" s="4" t="inlineStr">
        <is>
          <t>caoa940702@gmail.com</t>
        </is>
      </c>
      <c r="P838" s="4" t="inlineStr">
        <is>
          <t>BTA SEDE J</t>
        </is>
      </c>
      <c r="Q838" s="4" t="inlineStr">
        <is>
          <t>TRANSVERSALES</t>
        </is>
      </c>
      <c r="R838" s="4" t="n">
        <v>801</v>
      </c>
    </row>
    <row r="839" ht="20" customHeight="1">
      <c r="A839" s="6" t="inlineStr">
        <is>
          <t>1073179884</t>
        </is>
      </c>
      <c r="B839" s="7" t="inlineStr">
        <is>
          <t>PRESENCIAL BOGOTÁ</t>
        </is>
      </c>
      <c r="C839" s="7" t="inlineStr">
        <is>
          <t>LENNIS MARIANA VILLARRAGA CAÑON</t>
        </is>
      </c>
      <c r="D839" s="7" t="inlineStr">
        <is>
          <t>OPERACIONES</t>
        </is>
      </c>
      <c r="E839" s="7" t="inlineStr">
        <is>
          <t>REGIONAL BOGOTA</t>
        </is>
      </c>
      <c r="F839" s="7" t="inlineStr">
        <is>
          <t>BOGOTA CENTRO</t>
        </is>
      </c>
      <c r="G839" s="7" t="inlineStr">
        <is>
          <t>PRESENCIAL</t>
        </is>
      </c>
      <c r="H839" s="7" t="inlineStr">
        <is>
          <t>DOC AUX T&amp;T/N/TC/CIEN BASI/FUN.ACADE-ADMIN</t>
        </is>
      </c>
      <c r="I839" s="7" t="inlineStr">
        <is>
          <t>CIENCIAS BASICAS</t>
        </is>
      </c>
      <c r="J839" s="7" t="inlineStr">
        <is>
          <t>REINTEGRO</t>
        </is>
      </c>
      <c r="K839" s="7" t="inlineStr">
        <is>
          <t>ASHLY ESPINOZA</t>
        </is>
      </c>
      <c r="L839" s="7" t="n">
        <v/>
      </c>
      <c r="M839" s="7" t="n">
        <v/>
      </c>
      <c r="N839" s="7" t="n">
        <v>3138969534</v>
      </c>
      <c r="O839" s="7" t="inlineStr">
        <is>
          <t>LVILLARRAGAC@UNAL.EDU.CO</t>
        </is>
      </c>
      <c r="P839" s="7" t="inlineStr">
        <is>
          <t>BTA SEDE J</t>
        </is>
      </c>
      <c r="Q839" s="7" t="inlineStr">
        <is>
          <t>TRANSVERSALES</t>
        </is>
      </c>
      <c r="R839" s="7" t="n">
        <v>801</v>
      </c>
    </row>
    <row r="840" ht="20" customHeight="1">
      <c r="A840" s="3" t="inlineStr">
        <is>
          <t>1001285535</t>
        </is>
      </c>
      <c r="B840" s="4" t="inlineStr">
        <is>
          <t>PRESENCIAL BOGOTÁ</t>
        </is>
      </c>
      <c r="C840" s="4" t="inlineStr">
        <is>
          <t>JULIAN ANDRES NUÑEZ SANABRIA</t>
        </is>
      </c>
      <c r="D840" s="4" t="inlineStr">
        <is>
          <t>OPERACIONES</t>
        </is>
      </c>
      <c r="E840" s="4" t="inlineStr">
        <is>
          <t>REGIONAL BOGOTA</t>
        </is>
      </c>
      <c r="F840" s="4" t="inlineStr">
        <is>
          <t>BOGOTA CENTRO</t>
        </is>
      </c>
      <c r="G840" s="4" t="inlineStr">
        <is>
          <t>PRESENCIAL</t>
        </is>
      </c>
      <c r="H840" s="4" t="inlineStr">
        <is>
          <t>DOC AUX T&amp;T/N/MT/CIEN BASI</t>
        </is>
      </c>
      <c r="I840" s="4" t="inlineStr">
        <is>
          <t>CIENCIAS BASICAS</t>
        </is>
      </c>
      <c r="J840" s="4" t="inlineStr">
        <is>
          <t>REINTEGRO</t>
        </is>
      </c>
      <c r="K840" s="4" t="inlineStr">
        <is>
          <t>ASHLY ESPINOZA</t>
        </is>
      </c>
      <c r="L840" s="4" t="inlineStr">
        <is>
          <t>CONFIRMADO PRESENCIAL</t>
        </is>
      </c>
      <c r="M840" s="4" t="n">
        <v/>
      </c>
      <c r="N840" s="4" t="n">
        <v>3204593468</v>
      </c>
      <c r="O840" s="4" t="inlineStr">
        <is>
          <t>julian2305nunez@gmail.com</t>
        </is>
      </c>
      <c r="P840" s="4" t="inlineStr">
        <is>
          <t>BTA SEDE J</t>
        </is>
      </c>
      <c r="Q840" s="4" t="inlineStr">
        <is>
          <t>TRANSVERSALES</t>
        </is>
      </c>
      <c r="R840" s="4" t="n">
        <v>801</v>
      </c>
    </row>
    <row r="841" ht="20" customHeight="1">
      <c r="A841" s="6" t="inlineStr">
        <is>
          <t>1030652366</t>
        </is>
      </c>
      <c r="B841" s="7" t="inlineStr">
        <is>
          <t>PRESENCIAL BOGOTÁ</t>
        </is>
      </c>
      <c r="C841" s="7" t="inlineStr">
        <is>
          <t>IVAN FELIPE CASTRO PINZON</t>
        </is>
      </c>
      <c r="D841" s="7" t="inlineStr">
        <is>
          <t>OPERACIONES</t>
        </is>
      </c>
      <c r="E841" s="7" t="inlineStr">
        <is>
          <t>REGIONAL BOGOTA</t>
        </is>
      </c>
      <c r="F841" s="7" t="inlineStr">
        <is>
          <t>BOGOTA CENTRO</t>
        </is>
      </c>
      <c r="G841" s="7" t="inlineStr">
        <is>
          <t>PRESENCIAL</t>
        </is>
      </c>
      <c r="H841" s="7" t="inlineStr">
        <is>
          <t>DOC AUX T&amp;T/N/MT/CIEN BASI</t>
        </is>
      </c>
      <c r="I841" s="7" t="inlineStr">
        <is>
          <t>CIENCIAS BASICAS</t>
        </is>
      </c>
      <c r="J841" s="7" t="inlineStr">
        <is>
          <t>REINTEGRO</t>
        </is>
      </c>
      <c r="K841" s="7" t="inlineStr">
        <is>
          <t>ASHLY ESPINOZA</t>
        </is>
      </c>
      <c r="L841" s="7" t="inlineStr">
        <is>
          <t>CONFIRMADO PRESENCIAL</t>
        </is>
      </c>
      <c r="M841" s="7" t="n">
        <v/>
      </c>
      <c r="N841" s="7" t="n">
        <v>3123120028</v>
      </c>
      <c r="O841" s="7" t="inlineStr">
        <is>
          <t>FELIPECASTRO933@GMAIL.COM</t>
        </is>
      </c>
      <c r="P841" s="7" t="inlineStr">
        <is>
          <t>BTA SEDE J</t>
        </is>
      </c>
      <c r="Q841" s="7" t="inlineStr">
        <is>
          <t>TRANSVERSALES</t>
        </is>
      </c>
      <c r="R841" s="7" t="n">
        <v>801</v>
      </c>
    </row>
    <row r="842" ht="20" customHeight="1">
      <c r="A842" s="3" t="inlineStr">
        <is>
          <t>1031125461</t>
        </is>
      </c>
      <c r="B842" s="4" t="inlineStr">
        <is>
          <t>PRESENCIAL BOGOTÁ</t>
        </is>
      </c>
      <c r="C842" s="4" t="inlineStr">
        <is>
          <t>JHOAN MATEO MORENO PARRA</t>
        </is>
      </c>
      <c r="D842" s="4" t="inlineStr">
        <is>
          <t>OPERACIONES</t>
        </is>
      </c>
      <c r="E842" s="4" t="inlineStr">
        <is>
          <t>REGIONAL BOGOTA</t>
        </is>
      </c>
      <c r="F842" s="4" t="inlineStr">
        <is>
          <t>BOGOTA CENTRO</t>
        </is>
      </c>
      <c r="G842" s="4" t="inlineStr">
        <is>
          <t>PRESENCIAL</t>
        </is>
      </c>
      <c r="H842" s="4" t="inlineStr">
        <is>
          <t>DOC AUX T&amp;T/N/TC/CIEN BASI/FUN.ACADE-ADMIN</t>
        </is>
      </c>
      <c r="I842" s="4" t="inlineStr">
        <is>
          <t>CIENCIAS BASICAS</t>
        </is>
      </c>
      <c r="J842" s="4" t="inlineStr">
        <is>
          <t>REINTEGRO</t>
        </is>
      </c>
      <c r="K842" s="4" t="inlineStr">
        <is>
          <t>ASHLY ESPINOZA</t>
        </is>
      </c>
      <c r="L842" s="4" t="n">
        <v/>
      </c>
      <c r="M842" s="4" t="n">
        <v/>
      </c>
      <c r="N842" s="4" t="n">
        <v>3134315369</v>
      </c>
      <c r="O842" s="4" t="inlineStr">
        <is>
          <t>JOHAN.MORENO.PARRA@GMAIL.COM</t>
        </is>
      </c>
      <c r="P842" s="4" t="inlineStr">
        <is>
          <t>BTA SEDE J</t>
        </is>
      </c>
      <c r="Q842" s="4" t="inlineStr">
        <is>
          <t>TRANSVERSALES</t>
        </is>
      </c>
      <c r="R842" s="4" t="n">
        <v>801</v>
      </c>
    </row>
    <row r="843" ht="20" customHeight="1">
      <c r="A843" s="6" t="inlineStr">
        <is>
          <t>39048395</t>
        </is>
      </c>
      <c r="B843" s="7" t="inlineStr">
        <is>
          <t>VIRTUAL</t>
        </is>
      </c>
      <c r="C843" s="7" t="inlineStr">
        <is>
          <t>RITA MILENA BERMUDEZ GAMARRA</t>
        </is>
      </c>
      <c r="D843" s="7" t="inlineStr">
        <is>
          <t>OPERACIONES</t>
        </is>
      </c>
      <c r="E843" s="7" t="inlineStr">
        <is>
          <t>REGIONAL MAGDALENA</t>
        </is>
      </c>
      <c r="F843" s="7" t="inlineStr">
        <is>
          <t>SANTA MARTA</t>
        </is>
      </c>
      <c r="G843" s="7" t="inlineStr">
        <is>
          <t>PRESENCIAL</t>
        </is>
      </c>
      <c r="H843" s="7" t="inlineStr">
        <is>
          <t>DOCENTE AUX/N/TC/COM SOC Y PER/FUN.ACADE-ADMIN</t>
        </is>
      </c>
      <c r="I843" s="7" t="inlineStr">
        <is>
          <t>COMUNICACION SOCIAL Y PERIODISMO</t>
        </is>
      </c>
      <c r="J843" s="7" t="inlineStr">
        <is>
          <t>REINTEGRO</t>
        </is>
      </c>
      <c r="K843" s="7" t="inlineStr">
        <is>
          <t>ASHLY ESPINOZA</t>
        </is>
      </c>
      <c r="L843" s="7" t="n">
        <v/>
      </c>
      <c r="M843" s="7" t="n">
        <v/>
      </c>
      <c r="N843" s="7" t="n">
        <v>3008060118</v>
      </c>
      <c r="O843" s="7" t="inlineStr">
        <is>
          <t>rmile13@gmail.com</t>
        </is>
      </c>
      <c r="P843" s="7" t="inlineStr">
        <is>
          <t>SANTA MARTA SEDE</t>
        </is>
      </c>
      <c r="Q843" s="7" t="inlineStr">
        <is>
          <t>BELLAS ARTES</t>
        </is>
      </c>
      <c r="R843" s="7" t="n">
        <v/>
      </c>
    </row>
    <row r="844" ht="20" customHeight="1">
      <c r="A844" s="3" t="inlineStr">
        <is>
          <t>1004308190</t>
        </is>
      </c>
      <c r="B844" s="4" t="inlineStr">
        <is>
          <t>VIRTUAL</t>
        </is>
      </c>
      <c r="C844" s="4" t="inlineStr">
        <is>
          <t>LIA DEL CARMEN ANAYA PACHECO</t>
        </is>
      </c>
      <c r="D844" s="4" t="inlineStr">
        <is>
          <t>OPERACIONES</t>
        </is>
      </c>
      <c r="E844" s="4" t="inlineStr">
        <is>
          <t>REGIONAL MAGDALENA</t>
        </is>
      </c>
      <c r="F844" s="4" t="inlineStr">
        <is>
          <t>SANTA MARTA</t>
        </is>
      </c>
      <c r="G844" s="4" t="inlineStr">
        <is>
          <t>PRESENCIAL</t>
        </is>
      </c>
      <c r="H844" s="4" t="inlineStr">
        <is>
          <t>DOCENTE AUX/N/TC/COM SOC Y PER/FUN.ACADE-ADMIN</t>
        </is>
      </c>
      <c r="I844" s="4" t="inlineStr">
        <is>
          <t>COMUNICACION SOCIAL Y PERIODISMO</t>
        </is>
      </c>
      <c r="J844" s="4" t="inlineStr">
        <is>
          <t>REINTEGRO</t>
        </is>
      </c>
      <c r="K844" s="4" t="inlineStr">
        <is>
          <t>ASHLY ESPINOZA</t>
        </is>
      </c>
      <c r="L844" s="4" t="n">
        <v/>
      </c>
      <c r="M844" s="4" t="n">
        <v/>
      </c>
      <c r="N844" s="4" t="n">
        <v>3028356536</v>
      </c>
      <c r="O844" s="4" t="inlineStr">
        <is>
          <t>LIAANPA@GMAIL.COM</t>
        </is>
      </c>
      <c r="P844" s="4" t="inlineStr">
        <is>
          <t>SANTA MARTA SEDE</t>
        </is>
      </c>
      <c r="Q844" s="4" t="inlineStr">
        <is>
          <t>BELLAS ARTES</t>
        </is>
      </c>
      <c r="R844" s="4" t="n">
        <v/>
      </c>
    </row>
    <row r="845" ht="20" customHeight="1">
      <c r="A845" s="6" t="inlineStr">
        <is>
          <t>1083041110</t>
        </is>
      </c>
      <c r="B845" s="7" t="inlineStr">
        <is>
          <t>VIRTUAL</t>
        </is>
      </c>
      <c r="C845" s="7" t="inlineStr">
        <is>
          <t>DANIELA ISABEL TRAVECEDO OROZCO</t>
        </is>
      </c>
      <c r="D845" s="7" t="inlineStr">
        <is>
          <t>OPERACIONES</t>
        </is>
      </c>
      <c r="E845" s="7" t="inlineStr">
        <is>
          <t>REGIONAL MAGDALENA</t>
        </is>
      </c>
      <c r="F845" s="7" t="inlineStr">
        <is>
          <t>SANTA MARTA</t>
        </is>
      </c>
      <c r="G845" s="7" t="inlineStr">
        <is>
          <t>PRESENCIAL</t>
        </is>
      </c>
      <c r="H845" s="7" t="inlineStr">
        <is>
          <t>DOC AUX T&amp;T/N/TC/COM SOC Y PER/FUN.ACADE-ADMIN</t>
        </is>
      </c>
      <c r="I845" s="7" t="inlineStr">
        <is>
          <t>COMUNICACION SOCIAL Y PERIODISMO</t>
        </is>
      </c>
      <c r="J845" s="7" t="inlineStr">
        <is>
          <t>REINTEGRO</t>
        </is>
      </c>
      <c r="K845" s="7" t="inlineStr">
        <is>
          <t>ASHLY ESPINOZA</t>
        </is>
      </c>
      <c r="L845" s="7" t="inlineStr">
        <is>
          <t>CONFIRMADO PRESENCIAL</t>
        </is>
      </c>
      <c r="M845" s="7" t="n">
        <v/>
      </c>
      <c r="N845" s="7" t="n">
        <v>3024364005</v>
      </c>
      <c r="O845" s="7" t="inlineStr">
        <is>
          <t>danielatravecedoorozco@gmail.com</t>
        </is>
      </c>
      <c r="P845" s="7" t="inlineStr">
        <is>
          <t>SANTA MARTA SEDE</t>
        </is>
      </c>
      <c r="Q845" s="7" t="inlineStr">
        <is>
          <t>BELLAS ARTES</t>
        </is>
      </c>
      <c r="R845" s="7" t="n">
        <v/>
      </c>
    </row>
    <row r="846" ht="20" customHeight="1">
      <c r="A846" s="3" t="inlineStr">
        <is>
          <t>1110562967</t>
        </is>
      </c>
      <c r="B846" s="4" t="inlineStr">
        <is>
          <t>PRESENCIAL REGIONAL</t>
        </is>
      </c>
      <c r="C846" s="4" t="inlineStr">
        <is>
          <t>SERGIO ANDRES FORERO MACHADO</t>
        </is>
      </c>
      <c r="D846" s="4" t="inlineStr">
        <is>
          <t>OPERACIONES</t>
        </is>
      </c>
      <c r="E846" s="4" t="inlineStr">
        <is>
          <t>REGIONAL TOLIMA</t>
        </is>
      </c>
      <c r="F846" s="4" t="inlineStr">
        <is>
          <t>IBAGUÉ</t>
        </is>
      </c>
      <c r="G846" s="4" t="inlineStr">
        <is>
          <t>PRESENCIAL</t>
        </is>
      </c>
      <c r="H846" s="4" t="inlineStr">
        <is>
          <t>DOC AUX T&amp;T/N/TC/COM SOC Y PER/FUN.ACADE-ADMIN</t>
        </is>
      </c>
      <c r="I846" s="4" t="inlineStr">
        <is>
          <t>COMUNICACION SOCIAL Y PERIODISMO</t>
        </is>
      </c>
      <c r="J846" s="4" t="inlineStr">
        <is>
          <t>REINTEGRO</t>
        </is>
      </c>
      <c r="K846" s="4" t="inlineStr">
        <is>
          <t>ASHLY ESPINOZA</t>
        </is>
      </c>
      <c r="L846" s="4" t="n">
        <v/>
      </c>
      <c r="M846" s="4" t="n">
        <v/>
      </c>
      <c r="N846" s="4" t="n">
        <v>3004647897</v>
      </c>
      <c r="O846" s="4" t="inlineStr">
        <is>
          <t>sergioandresforero@hotmail.com</t>
        </is>
      </c>
      <c r="P846" s="4" t="inlineStr">
        <is>
          <t>IBAGUE SEDE</t>
        </is>
      </c>
      <c r="Q846" s="4" t="inlineStr">
        <is>
          <t>BELLAS ARTES</t>
        </is>
      </c>
      <c r="R846" s="4" t="n">
        <v/>
      </c>
    </row>
    <row r="847" ht="20" customHeight="1">
      <c r="A847" s="6" t="inlineStr">
        <is>
          <t>1082977846</t>
        </is>
      </c>
      <c r="B847" s="7" t="inlineStr">
        <is>
          <t>VIRTUAL</t>
        </is>
      </c>
      <c r="C847" s="7" t="inlineStr">
        <is>
          <t>DANIELA MARGARITA PIRELA WISMAN</t>
        </is>
      </c>
      <c r="D847" s="7" t="inlineStr">
        <is>
          <t>OPERACIONES</t>
        </is>
      </c>
      <c r="E847" s="7" t="inlineStr">
        <is>
          <t>REGIONAL MAGDALENA</t>
        </is>
      </c>
      <c r="F847" s="7" t="inlineStr">
        <is>
          <t>SANTA MARTA</t>
        </is>
      </c>
      <c r="G847" s="7" t="inlineStr">
        <is>
          <t>PRESENCIAL</t>
        </is>
      </c>
      <c r="H847" s="7" t="inlineStr">
        <is>
          <t>DOCENTE AUX/N/TC/COM SOC Y PER/FUN.ACADE-ADMIN</t>
        </is>
      </c>
      <c r="I847" s="7" t="inlineStr">
        <is>
          <t>COMUNICACION SOCIAL Y PERIODISMO</t>
        </is>
      </c>
      <c r="J847" s="7" t="inlineStr">
        <is>
          <t>REINTEGRO</t>
        </is>
      </c>
      <c r="K847" s="7" t="inlineStr">
        <is>
          <t>ASHLY ESPINOZA</t>
        </is>
      </c>
      <c r="L847" s="7" t="inlineStr">
        <is>
          <t>CONFIRMADO PRESENCIAL</t>
        </is>
      </c>
      <c r="M847" s="7" t="n">
        <v/>
      </c>
      <c r="N847" s="7" t="n">
        <v>3176814530</v>
      </c>
      <c r="O847" s="7" t="inlineStr">
        <is>
          <t>DANIELAPIRELAW@GMAIL.COM</t>
        </is>
      </c>
      <c r="P847" s="7" t="inlineStr">
        <is>
          <t>SANTA MARTA SEDE</t>
        </is>
      </c>
      <c r="Q847" s="7" t="inlineStr">
        <is>
          <t>BELLAS ARTES</t>
        </is>
      </c>
      <c r="R847" s="7" t="n">
        <v/>
      </c>
    </row>
    <row r="848" ht="20" customHeight="1">
      <c r="A848" s="3" t="inlineStr">
        <is>
          <t>71374944</t>
        </is>
      </c>
      <c r="B848" s="4" t="inlineStr">
        <is>
          <t>PRESENCIAL REGIONAL</t>
        </is>
      </c>
      <c r="C848" s="4" t="inlineStr">
        <is>
          <t>ALEJANDRO GONZALEZ OCHOA</t>
        </is>
      </c>
      <c r="D848" s="4" t="inlineStr">
        <is>
          <t>OPERACIONES</t>
        </is>
      </c>
      <c r="E848" s="4" t="inlineStr">
        <is>
          <t>REGIONAL ANTIOQUIA</t>
        </is>
      </c>
      <c r="F848" s="4" t="inlineStr">
        <is>
          <t>MEDELLIN</t>
        </is>
      </c>
      <c r="G848" s="4" t="inlineStr">
        <is>
          <t>PRESENCIAL</t>
        </is>
      </c>
      <c r="H848" s="4" t="inlineStr">
        <is>
          <t>DOCENTE ASIS/N/TC/COM SOC Y PER/FUN.ACADE-ADMIN</t>
        </is>
      </c>
      <c r="I848" s="4" t="inlineStr">
        <is>
          <t>COMUNICACION SOCIAL Y PERIODISMO</t>
        </is>
      </c>
      <c r="J848" s="4" t="inlineStr">
        <is>
          <t>REINTEGRO</t>
        </is>
      </c>
      <c r="K848" s="4" t="inlineStr">
        <is>
          <t>ASHLY ESPINOZA</t>
        </is>
      </c>
      <c r="L848" s="4" t="inlineStr">
        <is>
          <t>CONFIRMADO PRESENCIAL</t>
        </is>
      </c>
      <c r="M848" s="4" t="n">
        <v/>
      </c>
      <c r="N848" s="4" t="n">
        <v>3218311473</v>
      </c>
      <c r="O848" s="4" t="inlineStr">
        <is>
          <t>AGOCHO49@GMAIL.COM</t>
        </is>
      </c>
      <c r="P848" s="4" t="inlineStr">
        <is>
          <t>MEDELLIN SEDE</t>
        </is>
      </c>
      <c r="Q848" s="4" t="inlineStr">
        <is>
          <t>BELLAS ARTES</t>
        </is>
      </c>
      <c r="R848" s="4" t="n">
        <v/>
      </c>
    </row>
    <row r="849" ht="20" customHeight="1">
      <c r="A849" s="6" t="inlineStr">
        <is>
          <t>53016136</t>
        </is>
      </c>
      <c r="B849" s="7" t="inlineStr">
        <is>
          <t>PRESENCIAL BOGOTÁ</t>
        </is>
      </c>
      <c r="C849" s="7" t="inlineStr">
        <is>
          <t>JULIETH FERNANDA CONTRERAS GARCIA</t>
        </is>
      </c>
      <c r="D849" s="7" t="inlineStr">
        <is>
          <t>OPERACIONES</t>
        </is>
      </c>
      <c r="E849" s="7" t="inlineStr">
        <is>
          <t>REGIONAL BOGOTA</t>
        </is>
      </c>
      <c r="F849" s="7" t="inlineStr">
        <is>
          <t>BOGOTA CENTRO</t>
        </is>
      </c>
      <c r="G849" s="7" t="inlineStr">
        <is>
          <t>VIRTUAL</t>
        </is>
      </c>
      <c r="H849" s="7" t="inlineStr">
        <is>
          <t>DOC ASIS/N/V/TC/COMU SOC Y PERI/FUN.ACADE-ADMIN</t>
        </is>
      </c>
      <c r="I849" s="7" t="inlineStr">
        <is>
          <t>COMUNICACION SOCIAL Y PERIODISMO</t>
        </is>
      </c>
      <c r="J849" s="7" t="inlineStr">
        <is>
          <t>REINTEGRO</t>
        </is>
      </c>
      <c r="K849" s="7" t="inlineStr">
        <is>
          <t>ASHLY ESPINOZA</t>
        </is>
      </c>
      <c r="L849" s="7" t="inlineStr">
        <is>
          <t>CONFIRMADO PRESENCIAL</t>
        </is>
      </c>
      <c r="M849" s="7" t="n">
        <v/>
      </c>
      <c r="N849" s="7" t="n">
        <v>3192512149</v>
      </c>
      <c r="O849" s="7" t="inlineStr">
        <is>
          <t>lo.del.trabajo@gmail.com</t>
        </is>
      </c>
      <c r="P849" s="7" t="inlineStr">
        <is>
          <t>BTA SEDE A</t>
        </is>
      </c>
      <c r="Q849" s="7" t="inlineStr">
        <is>
          <t>BELLAS ARTES</t>
        </is>
      </c>
      <c r="R849" s="7" t="n">
        <v>402</v>
      </c>
    </row>
    <row r="850" ht="20" customHeight="1">
      <c r="A850" s="3" t="inlineStr">
        <is>
          <t>1080185846</t>
        </is>
      </c>
      <c r="B850" s="4" t="inlineStr">
        <is>
          <t>PRESENCIAL REGIONAL</t>
        </is>
      </c>
      <c r="C850" s="4" t="inlineStr">
        <is>
          <t>GIORDANO PEÑA PALOMINO</t>
        </is>
      </c>
      <c r="D850" s="4" t="inlineStr">
        <is>
          <t>OPERACIONES</t>
        </is>
      </c>
      <c r="E850" s="4" t="inlineStr">
        <is>
          <t>REGIONAL HUILA</t>
        </is>
      </c>
      <c r="F850" s="4" t="inlineStr">
        <is>
          <t>NEIVA</t>
        </is>
      </c>
      <c r="G850" s="4" t="inlineStr">
        <is>
          <t>VIRTUAL</t>
        </is>
      </c>
      <c r="H850" s="4" t="inlineStr">
        <is>
          <t>DOC AUX/N/V/TC/COMU SOC Y PERI/FUN.ACADE-ADMIN</t>
        </is>
      </c>
      <c r="I850" s="4" t="inlineStr">
        <is>
          <t>COMUNICACION SOCIAL Y PERIODISMO</t>
        </is>
      </c>
      <c r="J850" s="4" t="inlineStr">
        <is>
          <t>REINTEGRO</t>
        </is>
      </c>
      <c r="K850" s="4" t="inlineStr">
        <is>
          <t>ASHLY ESPINOZA</t>
        </is>
      </c>
      <c r="L850" s="4" t="inlineStr">
        <is>
          <t>CONFIRMADO PRESENCIAL</t>
        </is>
      </c>
      <c r="M850" s="4" t="n">
        <v/>
      </c>
      <c r="N850" s="4" t="n">
        <v>3004332987</v>
      </c>
      <c r="O850" s="4" t="inlineStr">
        <is>
          <t>GIORDANOPEA@GMAIL.COM</t>
        </is>
      </c>
      <c r="P850" s="4" t="inlineStr">
        <is>
          <t>NEIVA SEDE</t>
        </is>
      </c>
      <c r="Q850" s="4" t="inlineStr">
        <is>
          <t>BELLAS ARTES</t>
        </is>
      </c>
      <c r="R850" s="4" t="n">
        <v/>
      </c>
    </row>
    <row r="851" ht="20" customHeight="1">
      <c r="A851" s="6" t="inlineStr">
        <is>
          <t>1090394115</t>
        </is>
      </c>
      <c r="B851" s="7" t="inlineStr">
        <is>
          <t>PRESENCIAL BOGOTÁ</t>
        </is>
      </c>
      <c r="C851" s="7" t="inlineStr">
        <is>
          <t>DIEGO FERNANDO PEÑA GARNICA</t>
        </is>
      </c>
      <c r="D851" s="7" t="inlineStr">
        <is>
          <t>OPERACIONES</t>
        </is>
      </c>
      <c r="E851" s="7" t="inlineStr">
        <is>
          <t>REGIONAL BOGOTA</t>
        </is>
      </c>
      <c r="F851" s="7" t="inlineStr">
        <is>
          <t>BOGOTA CENTRO</t>
        </is>
      </c>
      <c r="G851" s="7" t="inlineStr">
        <is>
          <t>VIRTUAL</t>
        </is>
      </c>
      <c r="H851" s="7" t="inlineStr">
        <is>
          <t>DOC ASOC/N/V/TC/COMU SOC Y PERI/FUN.ACADE-ADMIN</t>
        </is>
      </c>
      <c r="I851" s="7" t="inlineStr">
        <is>
          <t>COMUNICACION SOCIAL Y PERIODISMO</t>
        </is>
      </c>
      <c r="J851" s="7" t="inlineStr">
        <is>
          <t>REINTEGRO</t>
        </is>
      </c>
      <c r="K851" s="7" t="inlineStr">
        <is>
          <t>ASHLY ESPINOZA</t>
        </is>
      </c>
      <c r="L851" s="7" t="inlineStr">
        <is>
          <t>CONFIRMADO PRESENCIAL</t>
        </is>
      </c>
      <c r="M851" s="7" t="n">
        <v/>
      </c>
      <c r="N851" s="7" t="n">
        <v>3167409408</v>
      </c>
      <c r="O851" s="7" t="inlineStr">
        <is>
          <t>DIEGO.P.PRENSA@GMAIL.COM</t>
        </is>
      </c>
      <c r="P851" s="7" t="inlineStr">
        <is>
          <t>BTA SEDE A</t>
        </is>
      </c>
      <c r="Q851" s="7" t="inlineStr">
        <is>
          <t>BELLAS ARTES</t>
        </is>
      </c>
      <c r="R851" s="7" t="n">
        <v>402</v>
      </c>
    </row>
    <row r="852" ht="20" customHeight="1">
      <c r="A852" s="3" t="inlineStr">
        <is>
          <t>1010229459</t>
        </is>
      </c>
      <c r="B852" s="4" t="inlineStr">
        <is>
          <t>PRESENCIAL REGIONAL</t>
        </is>
      </c>
      <c r="C852" s="4" t="inlineStr">
        <is>
          <t>JUAN CAMILO BOHORQUEZ VIVAS</t>
        </is>
      </c>
      <c r="D852" s="4" t="inlineStr">
        <is>
          <t>OPERACIONES</t>
        </is>
      </c>
      <c r="E852" s="4" t="inlineStr">
        <is>
          <t>REGIONAL TOLIMA</t>
        </is>
      </c>
      <c r="F852" s="4" t="inlineStr">
        <is>
          <t>IBAGUÉ</t>
        </is>
      </c>
      <c r="G852" s="4" t="inlineStr">
        <is>
          <t>PRESENCIAL</t>
        </is>
      </c>
      <c r="H852" s="4" t="inlineStr">
        <is>
          <t>DOCENTE ASIS/N/TC/COM SOC Y PER/FUN.ACADE-ADMIN</t>
        </is>
      </c>
      <c r="I852" s="4" t="inlineStr">
        <is>
          <t>COMUNICACION SOCIAL Y PERIODISMO</t>
        </is>
      </c>
      <c r="J852" s="4" t="inlineStr">
        <is>
          <t>REINTEGRO</t>
        </is>
      </c>
      <c r="K852" s="4" t="inlineStr">
        <is>
          <t>ASHLY ESPINOZA</t>
        </is>
      </c>
      <c r="L852" s="4" t="inlineStr">
        <is>
          <t>CONFIRMADO PRESENCIAL</t>
        </is>
      </c>
      <c r="M852" s="4" t="n">
        <v/>
      </c>
      <c r="N852" s="4" t="n">
        <v>3152191230</v>
      </c>
      <c r="O852" s="4" t="inlineStr">
        <is>
          <t>96camilob@gmail.com</t>
        </is>
      </c>
      <c r="P852" s="4" t="inlineStr">
        <is>
          <t>IBAGUE SEDE</t>
        </is>
      </c>
      <c r="Q852" s="4" t="inlineStr">
        <is>
          <t>BELLAS ARTES</t>
        </is>
      </c>
      <c r="R852" s="4" t="n">
        <v/>
      </c>
    </row>
    <row r="853" ht="20" customHeight="1">
      <c r="A853" s="6" t="inlineStr">
        <is>
          <t>1104383780</t>
        </is>
      </c>
      <c r="B853" s="7" t="inlineStr">
        <is>
          <t>VIRTUAL</t>
        </is>
      </c>
      <c r="C853" s="7" t="inlineStr">
        <is>
          <t>RUTH MILENA AGUAS ACOSTA</t>
        </is>
      </c>
      <c r="D853" s="7" t="inlineStr">
        <is>
          <t>OPERACIONES</t>
        </is>
      </c>
      <c r="E853" s="7" t="inlineStr">
        <is>
          <t>REGIONAL MAGDALENA</t>
        </is>
      </c>
      <c r="F853" s="7" t="inlineStr">
        <is>
          <t>SANTA MARTA</t>
        </is>
      </c>
      <c r="G853" s="7" t="inlineStr">
        <is>
          <t>PRESENCIAL</t>
        </is>
      </c>
      <c r="H853" s="7" t="inlineStr">
        <is>
          <t>DOCENTE AUX/N/TC/COM SOC Y PER/FUN.ACADE-ADMIN</t>
        </is>
      </c>
      <c r="I853" s="7" t="inlineStr">
        <is>
          <t>COMUNICACION SOCIAL Y PERIODISMO</t>
        </is>
      </c>
      <c r="J853" s="7" t="inlineStr">
        <is>
          <t>REINTEGRO</t>
        </is>
      </c>
      <c r="K853" s="7" t="inlineStr">
        <is>
          <t>ASHLY ESPINOZA</t>
        </is>
      </c>
      <c r="L853" s="7" t="inlineStr">
        <is>
          <t>CONFIRMADO PRESENCIAL</t>
        </is>
      </c>
      <c r="M853" s="7" t="n">
        <v/>
      </c>
      <c r="N853" s="7" t="n">
        <v>3023788406</v>
      </c>
      <c r="O853" s="7" t="inlineStr">
        <is>
          <t>RUTH77MILENA@GMAIL.COM</t>
        </is>
      </c>
      <c r="P853" s="7" t="inlineStr">
        <is>
          <t>SANTA MARTA SEDE</t>
        </is>
      </c>
      <c r="Q853" s="7" t="inlineStr">
        <is>
          <t>BELLAS ARTES</t>
        </is>
      </c>
      <c r="R853" s="7" t="n">
        <v/>
      </c>
    </row>
    <row r="854" ht="20" customHeight="1">
      <c r="A854" s="3" t="inlineStr">
        <is>
          <t>1110456593</t>
        </is>
      </c>
      <c r="B854" s="4" t="inlineStr">
        <is>
          <t>PRESENCIAL REGIONAL</t>
        </is>
      </c>
      <c r="C854" s="4" t="inlineStr">
        <is>
          <t>PAOLA CAROLINA REYES GONZALEZ</t>
        </is>
      </c>
      <c r="D854" s="4" t="inlineStr">
        <is>
          <t>OPERACIONES</t>
        </is>
      </c>
      <c r="E854" s="4" t="inlineStr">
        <is>
          <t>REGIONAL TOLIMA</t>
        </is>
      </c>
      <c r="F854" s="4" t="inlineStr">
        <is>
          <t>IBAGUÉ</t>
        </is>
      </c>
      <c r="G854" s="4" t="inlineStr">
        <is>
          <t>PRESENCIAL</t>
        </is>
      </c>
      <c r="H854" s="4" t="inlineStr">
        <is>
          <t>DOC AUX T&amp;T/N/TC/COM SOC Y PER/FUN.ACADE-ADMIN</t>
        </is>
      </c>
      <c r="I854" s="4" t="inlineStr">
        <is>
          <t>COMUNICACION SOCIAL Y PERIODISMO</t>
        </is>
      </c>
      <c r="J854" s="4" t="inlineStr">
        <is>
          <t>REINTEGRO</t>
        </is>
      </c>
      <c r="K854" s="4" t="inlineStr">
        <is>
          <t>ASHLY ESPINOZA</t>
        </is>
      </c>
      <c r="L854" s="4" t="inlineStr">
        <is>
          <t>CONFIRMADO PRESENCIAL</t>
        </is>
      </c>
      <c r="M854" s="4" t="n">
        <v/>
      </c>
      <c r="N854" s="4" t="n">
        <v>3193207505</v>
      </c>
      <c r="O854" s="4" t="inlineStr">
        <is>
          <t>pao.carrey@outlook.com</t>
        </is>
      </c>
      <c r="P854" s="4" t="inlineStr">
        <is>
          <t>IBAGUE SEDE</t>
        </is>
      </c>
      <c r="Q854" s="4" t="inlineStr">
        <is>
          <t>BELLAS ARTES</t>
        </is>
      </c>
      <c r="R854" s="4" t="n">
        <v/>
      </c>
    </row>
    <row r="855" ht="20" customHeight="1">
      <c r="A855" s="6" t="inlineStr">
        <is>
          <t>1110544721</t>
        </is>
      </c>
      <c r="B855" s="7" t="inlineStr">
        <is>
          <t>PRESENCIAL REGIONAL</t>
        </is>
      </c>
      <c r="C855" s="7" t="inlineStr">
        <is>
          <t>LAURA NATHALIA PADILLA NOVOA</t>
        </is>
      </c>
      <c r="D855" s="7" t="inlineStr">
        <is>
          <t>OPERACIONES</t>
        </is>
      </c>
      <c r="E855" s="7" t="inlineStr">
        <is>
          <t>REGIONAL TOLIMA</t>
        </is>
      </c>
      <c r="F855" s="7" t="inlineStr">
        <is>
          <t>IBAGUÉ</t>
        </is>
      </c>
      <c r="G855" s="7" t="inlineStr">
        <is>
          <t>PRESENCIAL</t>
        </is>
      </c>
      <c r="H855" s="7" t="inlineStr">
        <is>
          <t>DOC AUX T&amp;T/N/TC/COM SOC Y PER/FUN.ACADE-ADMIN</t>
        </is>
      </c>
      <c r="I855" s="7" t="inlineStr">
        <is>
          <t>COMUNICACION SOCIAL Y PERIODISMO</t>
        </is>
      </c>
      <c r="J855" s="7" t="inlineStr">
        <is>
          <t>REINTEGRO</t>
        </is>
      </c>
      <c r="K855" s="7" t="inlineStr">
        <is>
          <t>ASHLY ESPINOZA</t>
        </is>
      </c>
      <c r="L855" s="7" t="n">
        <v/>
      </c>
      <c r="M855" s="7" t="n">
        <v/>
      </c>
      <c r="N855" s="7" t="n">
        <v>3008405669</v>
      </c>
      <c r="O855" s="7" t="inlineStr">
        <is>
          <t>NATHALIAPADILLANOVOA@GMAIL.COM</t>
        </is>
      </c>
      <c r="P855" s="7" t="inlineStr">
        <is>
          <t>IBAGUE SEDE</t>
        </is>
      </c>
      <c r="Q855" s="7" t="inlineStr">
        <is>
          <t>BELLAS ARTES</t>
        </is>
      </c>
      <c r="R855" s="7" t="n">
        <v/>
      </c>
    </row>
    <row r="856" ht="20" customHeight="1">
      <c r="A856" s="3" t="inlineStr">
        <is>
          <t>12628065</t>
        </is>
      </c>
      <c r="B856" s="4" t="inlineStr">
        <is>
          <t>VIRTUAL</t>
        </is>
      </c>
      <c r="C856" s="4" t="inlineStr">
        <is>
          <t>FERNANDO MANUEL DIAZ HERRERA</t>
        </is>
      </c>
      <c r="D856" s="4" t="inlineStr">
        <is>
          <t>OPERACIONES</t>
        </is>
      </c>
      <c r="E856" s="4" t="inlineStr">
        <is>
          <t>REGIONAL MAGDALENA</t>
        </is>
      </c>
      <c r="F856" s="4" t="inlineStr">
        <is>
          <t>SANTA MARTA</t>
        </is>
      </c>
      <c r="G856" s="4" t="inlineStr">
        <is>
          <t>PRESENCIAL</t>
        </is>
      </c>
      <c r="H856" s="4" t="inlineStr">
        <is>
          <t>DOCENTE ASOC/N/MT/CONT PUBL</t>
        </is>
      </c>
      <c r="I856" s="4" t="inlineStr">
        <is>
          <t>CONTADURIA PUBLICA</t>
        </is>
      </c>
      <c r="J856" s="4" t="inlineStr">
        <is>
          <t>REINTEGRO</t>
        </is>
      </c>
      <c r="K856" s="4" t="inlineStr">
        <is>
          <t>ASHLY ESPINOZA</t>
        </is>
      </c>
      <c r="L856" s="4" t="n">
        <v/>
      </c>
      <c r="M856" s="4" t="n">
        <v/>
      </c>
      <c r="N856" s="4" t="n">
        <v>3160548556</v>
      </c>
      <c r="O856" s="4" t="inlineStr">
        <is>
          <t>fernandodiazherrera@hotmail.com</t>
        </is>
      </c>
      <c r="P856" s="4" t="inlineStr">
        <is>
          <t>SANTA MARTA SEDE</t>
        </is>
      </c>
      <c r="Q856" s="4" t="inlineStr">
        <is>
          <t>NEGOCIOS</t>
        </is>
      </c>
      <c r="R856" s="4" t="n">
        <v/>
      </c>
    </row>
    <row r="857" ht="20" customHeight="1">
      <c r="A857" s="6" t="inlineStr">
        <is>
          <t>52826658</t>
        </is>
      </c>
      <c r="B857" s="7" t="inlineStr">
        <is>
          <t>PRESENCIAL BOGOTÁ</t>
        </is>
      </c>
      <c r="C857" s="7" t="inlineStr">
        <is>
          <t>LEIVY RUTH DUARTE OSPINA</t>
        </is>
      </c>
      <c r="D857" s="7" t="inlineStr">
        <is>
          <t>OPERACIONES</t>
        </is>
      </c>
      <c r="E857" s="7" t="inlineStr">
        <is>
          <t>REGIONAL BOGOTA</t>
        </is>
      </c>
      <c r="F857" s="7" t="inlineStr">
        <is>
          <t>BOGOTA CENTRO</t>
        </is>
      </c>
      <c r="G857" s="7" t="inlineStr">
        <is>
          <t>VIRTUAL</t>
        </is>
      </c>
      <c r="H857" s="7" t="inlineStr">
        <is>
          <t>DOC ASIS/N/V/TC/CONTADURIA/FUN.ACADE-ADMIN</t>
        </is>
      </c>
      <c r="I857" s="7" t="inlineStr">
        <is>
          <t>CONTADURIA PUBLICA</t>
        </is>
      </c>
      <c r="J857" s="7" t="inlineStr">
        <is>
          <t>REINTEGRO</t>
        </is>
      </c>
      <c r="K857" s="7" t="inlineStr">
        <is>
          <t>ASHLY ESPINOZA</t>
        </is>
      </c>
      <c r="L857" s="7" t="n">
        <v/>
      </c>
      <c r="M857" s="7" t="n">
        <v/>
      </c>
      <c r="N857" s="7" t="n">
        <v>3183937677</v>
      </c>
      <c r="O857" s="7" t="inlineStr">
        <is>
          <t>leivy1980@yahoo.es</t>
        </is>
      </c>
      <c r="P857" s="7" t="inlineStr">
        <is>
          <t>BTA SEDE A</t>
        </is>
      </c>
      <c r="Q857" s="7" t="inlineStr">
        <is>
          <t>NEGOCIOS</t>
        </is>
      </c>
      <c r="R857" s="7" t="n">
        <v>201</v>
      </c>
    </row>
    <row r="858" ht="20" customHeight="1">
      <c r="A858" s="3" t="inlineStr">
        <is>
          <t>79467043</t>
        </is>
      </c>
      <c r="B858" s="4" t="inlineStr">
        <is>
          <t>PRESENCIAL BOGOTÁ</t>
        </is>
      </c>
      <c r="C858" s="4" t="inlineStr">
        <is>
          <t>FRANKLY MANUEL RODRIGUEZ RAMIREZ</t>
        </is>
      </c>
      <c r="D858" s="4" t="inlineStr">
        <is>
          <t>OPERACIONES</t>
        </is>
      </c>
      <c r="E858" s="4" t="inlineStr">
        <is>
          <t>REGIONAL BOGOTA</t>
        </is>
      </c>
      <c r="F858" s="4" t="inlineStr">
        <is>
          <t>BOGOTA CENTRO</t>
        </is>
      </c>
      <c r="G858" s="4" t="inlineStr">
        <is>
          <t>VIRTUAL</t>
        </is>
      </c>
      <c r="H858" s="4" t="inlineStr">
        <is>
          <t>DOC AUX/N/V/MT/CONTADURIA</t>
        </is>
      </c>
      <c r="I858" s="4" t="inlineStr">
        <is>
          <t>CONTADURIA PUBLICA</t>
        </is>
      </c>
      <c r="J858" s="4" t="inlineStr">
        <is>
          <t>REINTEGRO</t>
        </is>
      </c>
      <c r="K858" s="4" t="inlineStr">
        <is>
          <t>ASHLY ESPINOZA</t>
        </is>
      </c>
      <c r="L858" s="4" t="n">
        <v/>
      </c>
      <c r="M858" s="4" t="n">
        <v/>
      </c>
      <c r="N858" s="4" t="n">
        <v>3013558477</v>
      </c>
      <c r="O858" s="4" t="inlineStr">
        <is>
          <t>franklyr@gmail.com</t>
        </is>
      </c>
      <c r="P858" s="4" t="inlineStr">
        <is>
          <t>BTA SEDE A</t>
        </is>
      </c>
      <c r="Q858" s="4" t="inlineStr">
        <is>
          <t>NEGOCIOS</t>
        </is>
      </c>
      <c r="R858" s="4" t="n">
        <v>201</v>
      </c>
    </row>
    <row r="859" ht="20" customHeight="1">
      <c r="A859" s="6" t="inlineStr">
        <is>
          <t>79837700</t>
        </is>
      </c>
      <c r="B859" s="7" t="inlineStr">
        <is>
          <t>PRESENCIAL BOGOTÁ</t>
        </is>
      </c>
      <c r="C859" s="7" t="inlineStr">
        <is>
          <t>ALEXANDER MUÑOZ ORTIZ</t>
        </is>
      </c>
      <c r="D859" s="7" t="inlineStr">
        <is>
          <t>OPERACIONES</t>
        </is>
      </c>
      <c r="E859" s="7" t="inlineStr">
        <is>
          <t>REGIONAL BOGOTA</t>
        </is>
      </c>
      <c r="F859" s="7" t="inlineStr">
        <is>
          <t>BOGOTA FONTIBON</t>
        </is>
      </c>
      <c r="G859" s="7" t="inlineStr">
        <is>
          <t>PRESENCIAL</t>
        </is>
      </c>
      <c r="H859" s="7" t="inlineStr">
        <is>
          <t>DOCENTE AUX/N/MT/CONT PUBL</t>
        </is>
      </c>
      <c r="I859" s="7" t="inlineStr">
        <is>
          <t>CONTADURIA PUBLICA</t>
        </is>
      </c>
      <c r="J859" s="7" t="inlineStr">
        <is>
          <t>REINTEGRO</t>
        </is>
      </c>
      <c r="K859" s="7" t="inlineStr">
        <is>
          <t>ASHLY ESPINOZA</t>
        </is>
      </c>
      <c r="L859" s="7" t="n">
        <v/>
      </c>
      <c r="M859" s="7" t="n">
        <v/>
      </c>
      <c r="N859" s="7" t="n">
        <v>3105783040</v>
      </c>
      <c r="O859" s="7" t="inlineStr">
        <is>
          <t>alexmortiz76@gmail.com</t>
        </is>
      </c>
      <c r="P859" s="7" t="inlineStr">
        <is>
          <t>BTA SEDE D</t>
        </is>
      </c>
      <c r="Q859" s="7" t="inlineStr">
        <is>
          <t>NEGOCIOS</t>
        </is>
      </c>
      <c r="R859" s="7" t="n">
        <v>201</v>
      </c>
    </row>
    <row r="860" ht="20" customHeight="1">
      <c r="A860" s="3" t="inlineStr">
        <is>
          <t>36953386</t>
        </is>
      </c>
      <c r="B860" s="4" t="inlineStr">
        <is>
          <t>PRESENCIAL BOGOTÁ</t>
        </is>
      </c>
      <c r="C860" s="4" t="inlineStr">
        <is>
          <t>ASTRID ELIZABETH ERASO MELO</t>
        </is>
      </c>
      <c r="D860" s="4" t="inlineStr">
        <is>
          <t>OPERACIONES</t>
        </is>
      </c>
      <c r="E860" s="4" t="inlineStr">
        <is>
          <t>REGIONAL BOGOTA</t>
        </is>
      </c>
      <c r="F860" s="4" t="inlineStr">
        <is>
          <t>BOGOTA CENTRO</t>
        </is>
      </c>
      <c r="G860" s="4" t="inlineStr">
        <is>
          <t>VIRTUAL</t>
        </is>
      </c>
      <c r="H860" s="4" t="inlineStr">
        <is>
          <t>DOC ASIS/N/V/TC/CONTADURIA/FUN.ACADE-ADMIN</t>
        </is>
      </c>
      <c r="I860" s="4" t="inlineStr">
        <is>
          <t>CONTADURIA PUBLICA</t>
        </is>
      </c>
      <c r="J860" s="4" t="inlineStr">
        <is>
          <t>REINTEGRO</t>
        </is>
      </c>
      <c r="K860" s="4" t="inlineStr">
        <is>
          <t>ASHLY ESPINOZA</t>
        </is>
      </c>
      <c r="L860" s="4" t="n">
        <v/>
      </c>
      <c r="M860" s="4" t="n">
        <v/>
      </c>
      <c r="N860" s="4" t="n">
        <v>3155466230</v>
      </c>
      <c r="O860" s="4" t="inlineStr">
        <is>
          <t>astrideraso15@gmail.com</t>
        </is>
      </c>
      <c r="P860" s="4" t="inlineStr">
        <is>
          <t>BTA SEDE A</t>
        </is>
      </c>
      <c r="Q860" s="4" t="inlineStr">
        <is>
          <t>NEGOCIOS</t>
        </is>
      </c>
      <c r="R860" s="4" t="n">
        <v>201</v>
      </c>
    </row>
    <row r="861" ht="20" customHeight="1">
      <c r="A861" s="6" t="inlineStr">
        <is>
          <t>1085920254</t>
        </is>
      </c>
      <c r="B861" s="7" t="inlineStr">
        <is>
          <t>VIRTUAL</t>
        </is>
      </c>
      <c r="C861" s="7" t="inlineStr">
        <is>
          <t>JANETH CRISTINA MENDEZ ROSERO</t>
        </is>
      </c>
      <c r="D861" s="7" t="inlineStr">
        <is>
          <t>OPERACIONES</t>
        </is>
      </c>
      <c r="E861" s="7" t="inlineStr">
        <is>
          <t>REGIONAL NARIÑO</t>
        </is>
      </c>
      <c r="F861" s="7" t="inlineStr">
        <is>
          <t>IPIALES</t>
        </is>
      </c>
      <c r="G861" s="7" t="inlineStr">
        <is>
          <t>VIRTUAL</t>
        </is>
      </c>
      <c r="H861" s="7" t="inlineStr">
        <is>
          <t>DOC AUX/N/V/MT/CONTADURIA</t>
        </is>
      </c>
      <c r="I861" s="7" t="inlineStr">
        <is>
          <t>CONTADURIA PUBLICA</t>
        </is>
      </c>
      <c r="J861" s="7" t="inlineStr">
        <is>
          <t>REINTEGRO</t>
        </is>
      </c>
      <c r="K861" s="7" t="inlineStr">
        <is>
          <t>ASHLY ESPINOZA</t>
        </is>
      </c>
      <c r="L861" s="7" t="inlineStr">
        <is>
          <t>CONFIRMADO VIRTUAL</t>
        </is>
      </c>
      <c r="M861" s="7" t="n">
        <v/>
      </c>
      <c r="N861" s="7" t="n">
        <v>3113344850</v>
      </c>
      <c r="O861" s="7" t="inlineStr">
        <is>
          <t>Cristymrcont@gmail.com</t>
        </is>
      </c>
      <c r="P861" s="7" t="inlineStr">
        <is>
          <t>IPIALES SEDE</t>
        </is>
      </c>
      <c r="Q861" s="7" t="inlineStr">
        <is>
          <t>NEGOCIOS</t>
        </is>
      </c>
      <c r="R861" s="7" t="n">
        <v/>
      </c>
    </row>
    <row r="862" ht="20" customHeight="1">
      <c r="A862" s="3" t="inlineStr">
        <is>
          <t>64564815</t>
        </is>
      </c>
      <c r="B862" s="4" t="inlineStr">
        <is>
          <t>PRESENCIAL REGIONAL</t>
        </is>
      </c>
      <c r="C862" s="4" t="inlineStr">
        <is>
          <t>LILIANA PATRICIA ESCOBAR SOTO</t>
        </is>
      </c>
      <c r="D862" s="4" t="inlineStr">
        <is>
          <t>OPERACIONES</t>
        </is>
      </c>
      <c r="E862" s="4" t="inlineStr">
        <is>
          <t>REGIONAL SUCRE</t>
        </is>
      </c>
      <c r="F862" s="4" t="inlineStr">
        <is>
          <t>SINCELEJO</t>
        </is>
      </c>
      <c r="G862" s="4" t="inlineStr">
        <is>
          <t>PRESENCIAL</t>
        </is>
      </c>
      <c r="H862" s="4" t="inlineStr">
        <is>
          <t>DOCENTE ASIS/N/MT/CONT PUBL</t>
        </is>
      </c>
      <c r="I862" s="4" t="inlineStr">
        <is>
          <t>CONTADURIA PUBLICA</t>
        </is>
      </c>
      <c r="J862" s="4" t="inlineStr">
        <is>
          <t>REINTEGRO</t>
        </is>
      </c>
      <c r="K862" s="4" t="inlineStr">
        <is>
          <t>ASHLY ESPINOZA</t>
        </is>
      </c>
      <c r="L862" s="4" t="n">
        <v/>
      </c>
      <c r="M862" s="4" t="n">
        <v/>
      </c>
      <c r="N862" s="4" t="n">
        <v>3004430566</v>
      </c>
      <c r="O862" s="4" t="inlineStr">
        <is>
          <t>liliana_escobar_soto@hotmail.com</t>
        </is>
      </c>
      <c r="P862" s="4" t="inlineStr">
        <is>
          <t>SINCELEJO SEDE</t>
        </is>
      </c>
      <c r="Q862" s="4" t="inlineStr">
        <is>
          <t>NEGOCIOS</t>
        </is>
      </c>
      <c r="R862" s="4" t="n">
        <v/>
      </c>
    </row>
    <row r="863" ht="20" customHeight="1">
      <c r="A863" s="6" t="inlineStr">
        <is>
          <t>1032404649</t>
        </is>
      </c>
      <c r="B863" s="7" t="inlineStr">
        <is>
          <t>PRESENCIAL BOGOTÁ</t>
        </is>
      </c>
      <c r="C863" s="7" t="inlineStr">
        <is>
          <t>JOHN FREDY PIÑEROS CASTIBLANCO</t>
        </is>
      </c>
      <c r="D863" s="7" t="inlineStr">
        <is>
          <t>OPERACIONES</t>
        </is>
      </c>
      <c r="E863" s="7" t="inlineStr">
        <is>
          <t>REGIONAL BOGOTA</t>
        </is>
      </c>
      <c r="F863" s="7" t="inlineStr">
        <is>
          <t>BOGOTA CENTRO</t>
        </is>
      </c>
      <c r="G863" s="7" t="inlineStr">
        <is>
          <t>VIRTUAL</t>
        </is>
      </c>
      <c r="H863" s="7" t="inlineStr">
        <is>
          <t>DOC ASIS/N/V/TC/CONTADURIA/FUN.ACADE-ADMIN</t>
        </is>
      </c>
      <c r="I863" s="7" t="inlineStr">
        <is>
          <t>CONTADURIA PUBLICA</t>
        </is>
      </c>
      <c r="J863" s="7" t="inlineStr">
        <is>
          <t>REINTEGRO</t>
        </is>
      </c>
      <c r="K863" s="7" t="inlineStr">
        <is>
          <t>ASHLY ESPINOZA</t>
        </is>
      </c>
      <c r="L863" s="7" t="n">
        <v/>
      </c>
      <c r="M863" s="7" t="n">
        <v/>
      </c>
      <c r="N863" s="7" t="n">
        <v>3102270514</v>
      </c>
      <c r="O863" s="7" t="inlineStr">
        <is>
          <t>amadocasti88@hotmail.com</t>
        </is>
      </c>
      <c r="P863" s="7" t="inlineStr">
        <is>
          <t>BTA SEDE A</t>
        </is>
      </c>
      <c r="Q863" s="7" t="inlineStr">
        <is>
          <t>NEGOCIOS</t>
        </is>
      </c>
      <c r="R863" s="7" t="n">
        <v>201</v>
      </c>
    </row>
    <row r="864" ht="20" customHeight="1">
      <c r="A864" s="3" t="inlineStr">
        <is>
          <t>1024516009</t>
        </is>
      </c>
      <c r="B864" s="4" t="inlineStr">
        <is>
          <t>PRESENCIAL BOGOTÁ</t>
        </is>
      </c>
      <c r="C864" s="4" t="inlineStr">
        <is>
          <t>CAMILO ANDRES OSORIO SALAZAR</t>
        </is>
      </c>
      <c r="D864" s="4" t="inlineStr">
        <is>
          <t>OPERACIONES</t>
        </is>
      </c>
      <c r="E864" s="4" t="inlineStr">
        <is>
          <t>REGIONAL BOGOTA</t>
        </is>
      </c>
      <c r="F864" s="4" t="inlineStr">
        <is>
          <t>BOGOTA RESTREPO</t>
        </is>
      </c>
      <c r="G864" s="4" t="inlineStr">
        <is>
          <t>PRESENCIAL</t>
        </is>
      </c>
      <c r="H864" s="4" t="inlineStr">
        <is>
          <t>DOCENTE ASIS/N/MT/CONT PUBL</t>
        </is>
      </c>
      <c r="I864" s="4" t="inlineStr">
        <is>
          <t>CONTADURIA PUBLICA</t>
        </is>
      </c>
      <c r="J864" s="4" t="inlineStr">
        <is>
          <t>REINTEGRO</t>
        </is>
      </c>
      <c r="K864" s="4" t="inlineStr">
        <is>
          <t>ASHLY ESPINOZA</t>
        </is>
      </c>
      <c r="L864" s="4" t="n">
        <v/>
      </c>
      <c r="M864" s="4" t="n">
        <v/>
      </c>
      <c r="N864" s="4" t="n">
        <v>3006273045</v>
      </c>
      <c r="O864" s="4" t="inlineStr">
        <is>
          <t>camilo.o2008@hotmail.com</t>
        </is>
      </c>
      <c r="P864" s="4" t="inlineStr">
        <is>
          <t>BTA SEDE SUR</t>
        </is>
      </c>
      <c r="Q864" s="4" t="inlineStr">
        <is>
          <t>NEGOCIOS</t>
        </is>
      </c>
      <c r="R864" s="4" t="n">
        <v>201</v>
      </c>
    </row>
    <row r="865" ht="20" customHeight="1">
      <c r="A865" s="6" t="inlineStr">
        <is>
          <t>1012336056</t>
        </is>
      </c>
      <c r="B865" s="7" t="inlineStr">
        <is>
          <t>PRESENCIAL BOGOTÁ</t>
        </is>
      </c>
      <c r="C865" s="7" t="inlineStr">
        <is>
          <t>LUISA FERNANDA ROMERO BELLO</t>
        </is>
      </c>
      <c r="D865" s="7" t="inlineStr">
        <is>
          <t>OPERACIONES</t>
        </is>
      </c>
      <c r="E865" s="7" t="inlineStr">
        <is>
          <t>REGIONAL BOGOTA</t>
        </is>
      </c>
      <c r="F865" s="7" t="inlineStr">
        <is>
          <t>BOGOTA CENTRO</t>
        </is>
      </c>
      <c r="G865" s="7" t="inlineStr">
        <is>
          <t>VIRTUAL</t>
        </is>
      </c>
      <c r="H865" s="7" t="inlineStr">
        <is>
          <t>DOC ASIS/N/V/MT/CONTADURIA</t>
        </is>
      </c>
      <c r="I865" s="7" t="inlineStr">
        <is>
          <t>CONTADURIA PUBLICA</t>
        </is>
      </c>
      <c r="J865" s="7" t="inlineStr">
        <is>
          <t>REINTEGRO</t>
        </is>
      </c>
      <c r="K865" s="7" t="inlineStr">
        <is>
          <t>ASHLY ESPINOZA</t>
        </is>
      </c>
      <c r="L865" s="7" t="inlineStr">
        <is>
          <t>PENDIENTE POR CONFIRMAR</t>
        </is>
      </c>
      <c r="M865" s="7" t="n">
        <v/>
      </c>
      <c r="N865" s="7" t="n">
        <v>3193179667</v>
      </c>
      <c r="O865" s="7" t="inlineStr">
        <is>
          <t>luisa.romerob5@gmail.com</t>
        </is>
      </c>
      <c r="P865" s="7" t="inlineStr">
        <is>
          <t>BTA SEDE A</t>
        </is>
      </c>
      <c r="Q865" s="7" t="inlineStr">
        <is>
          <t>NEGOCIOS</t>
        </is>
      </c>
      <c r="R865" s="7" t="n">
        <v>204</v>
      </c>
    </row>
    <row r="866" ht="20" customHeight="1">
      <c r="A866" s="3" t="inlineStr">
        <is>
          <t>1082990244</t>
        </is>
      </c>
      <c r="B866" s="4" t="inlineStr">
        <is>
          <t>VIRTUAL</t>
        </is>
      </c>
      <c r="C866" s="4" t="inlineStr">
        <is>
          <t>ENRIQUE ALFONSO ANGARITA GARCERANTH</t>
        </is>
      </c>
      <c r="D866" s="4" t="inlineStr">
        <is>
          <t>OPERACIONES</t>
        </is>
      </c>
      <c r="E866" s="4" t="inlineStr">
        <is>
          <t>REGIONAL MAGDALENA</t>
        </is>
      </c>
      <c r="F866" s="4" t="inlineStr">
        <is>
          <t>SANTA MARTA</t>
        </is>
      </c>
      <c r="G866" s="4" t="inlineStr">
        <is>
          <t>PRESENCIAL</t>
        </is>
      </c>
      <c r="H866" s="4" t="inlineStr">
        <is>
          <t>DOCENTE AUX/N/MT/CONT PUBL</t>
        </is>
      </c>
      <c r="I866" s="4" t="inlineStr">
        <is>
          <t>CONTADURIA PUBLICA</t>
        </is>
      </c>
      <c r="J866" s="4" t="inlineStr">
        <is>
          <t>REINTEGRO</t>
        </is>
      </c>
      <c r="K866" s="4" t="inlineStr">
        <is>
          <t>ASHLY ESPINOZA</t>
        </is>
      </c>
      <c r="L866" s="4" t="n">
        <v/>
      </c>
      <c r="M866" s="4" t="n">
        <v/>
      </c>
      <c r="N866" s="4" t="n">
        <v>3012016504</v>
      </c>
      <c r="O866" s="4" t="inlineStr">
        <is>
          <t>enriqueangaritag@gmail.com</t>
        </is>
      </c>
      <c r="P866" s="4" t="inlineStr">
        <is>
          <t>SANTA MARTA SEDE</t>
        </is>
      </c>
      <c r="Q866" s="4" t="inlineStr">
        <is>
          <t>NEGOCIOS</t>
        </is>
      </c>
      <c r="R866" s="4" t="n">
        <v/>
      </c>
    </row>
    <row r="867" ht="20" customHeight="1">
      <c r="A867" s="6" t="inlineStr">
        <is>
          <t>79367346</t>
        </is>
      </c>
      <c r="B867" s="7" t="inlineStr">
        <is>
          <t>PRESENCIAL BOGOTÁ</t>
        </is>
      </c>
      <c r="C867" s="7" t="inlineStr">
        <is>
          <t>MANUEL HERNAN DUARTE RODRIGUEZ</t>
        </is>
      </c>
      <c r="D867" s="7" t="inlineStr">
        <is>
          <t>OPERACIONES</t>
        </is>
      </c>
      <c r="E867" s="7" t="inlineStr">
        <is>
          <t>REGIONAL BOGOTA</t>
        </is>
      </c>
      <c r="F867" s="7" t="inlineStr">
        <is>
          <t>BOGOTA CENTRO</t>
        </is>
      </c>
      <c r="G867" s="7" t="inlineStr">
        <is>
          <t>PRESENCIAL</t>
        </is>
      </c>
      <c r="H867" s="7" t="inlineStr">
        <is>
          <t>DOCENTE AUX/N/TC/CONT PUBL/FUN.ACADE-ADMIN</t>
        </is>
      </c>
      <c r="I867" s="7" t="inlineStr">
        <is>
          <t>CONTADURIA PUBLICA</t>
        </is>
      </c>
      <c r="J867" s="7" t="inlineStr">
        <is>
          <t>REINTEGRO</t>
        </is>
      </c>
      <c r="K867" s="7" t="inlineStr">
        <is>
          <t>ASHLY ESPINOZA</t>
        </is>
      </c>
      <c r="L867" s="7" t="n">
        <v/>
      </c>
      <c r="M867" s="7" t="n">
        <v/>
      </c>
      <c r="N867" s="7" t="n">
        <v>3138087422</v>
      </c>
      <c r="O867" s="7" t="inlineStr">
        <is>
          <t>manuelduarte65@hotmail.com</t>
        </is>
      </c>
      <c r="P867" s="7" t="inlineStr">
        <is>
          <t>BTA SEDE D</t>
        </is>
      </c>
      <c r="Q867" s="7" t="inlineStr">
        <is>
          <t>NEGOCIOS</t>
        </is>
      </c>
      <c r="R867" s="7" t="n">
        <v>204</v>
      </c>
    </row>
    <row r="868" ht="20" customHeight="1">
      <c r="A868" s="3" t="inlineStr">
        <is>
          <t>79433959</t>
        </is>
      </c>
      <c r="B868" s="4" t="inlineStr">
        <is>
          <t>PRESENCIAL BOGOTÁ</t>
        </is>
      </c>
      <c r="C868" s="4" t="inlineStr">
        <is>
          <t>FREDY ALONSO GUERRERO MENDEZ</t>
        </is>
      </c>
      <c r="D868" s="4" t="inlineStr">
        <is>
          <t>OPERACIONES</t>
        </is>
      </c>
      <c r="E868" s="4" t="inlineStr">
        <is>
          <t>REGIONAL BOGOTA</t>
        </is>
      </c>
      <c r="F868" s="4" t="inlineStr">
        <is>
          <t>BOGOTA CENTRO</t>
        </is>
      </c>
      <c r="G868" s="4" t="inlineStr">
        <is>
          <t>VIRTUAL</t>
        </is>
      </c>
      <c r="H868" s="4" t="inlineStr">
        <is>
          <t>DOC ASIS/N/V/TC/CONTADURIA/FUN.ACADE-ADMIN</t>
        </is>
      </c>
      <c r="I868" s="4" t="inlineStr">
        <is>
          <t>CONTADURIA PUBLICA</t>
        </is>
      </c>
      <c r="J868" s="4" t="inlineStr">
        <is>
          <t>REINTEGRO</t>
        </is>
      </c>
      <c r="K868" s="4" t="inlineStr">
        <is>
          <t>ASHLY ESPINOZA</t>
        </is>
      </c>
      <c r="L868" s="4" t="n">
        <v/>
      </c>
      <c r="M868" s="4" t="n">
        <v/>
      </c>
      <c r="N868" s="4" t="n">
        <v>3132261621</v>
      </c>
      <c r="O868" s="4" t="inlineStr">
        <is>
          <t>fredy.alonso.guerrero.mendez@gmail.com</t>
        </is>
      </c>
      <c r="P868" s="4" t="inlineStr">
        <is>
          <t>BTA SEDE A</t>
        </is>
      </c>
      <c r="Q868" s="4" t="inlineStr">
        <is>
          <t>NEGOCIOS</t>
        </is>
      </c>
      <c r="R868" s="4" t="n">
        <v>204</v>
      </c>
    </row>
    <row r="869" ht="20" customHeight="1">
      <c r="A869" s="6" t="inlineStr">
        <is>
          <t>1015433548</t>
        </is>
      </c>
      <c r="B869" s="7" t="inlineStr">
        <is>
          <t>PRESENCIAL BOGOTÁ</t>
        </is>
      </c>
      <c r="C869" s="7" t="inlineStr">
        <is>
          <t>JUAN SEBASTIAN CONTRERAS SUAREZ</t>
        </is>
      </c>
      <c r="D869" s="7" t="inlineStr">
        <is>
          <t>OPERACIONES</t>
        </is>
      </c>
      <c r="E869" s="7" t="inlineStr">
        <is>
          <t>REGIONAL BOGOTA</t>
        </is>
      </c>
      <c r="F869" s="7" t="inlineStr">
        <is>
          <t>BOGOTA CENTRO</t>
        </is>
      </c>
      <c r="G869" s="7" t="inlineStr">
        <is>
          <t>PRESENCIAL</t>
        </is>
      </c>
      <c r="H869" s="7" t="inlineStr">
        <is>
          <t>DOCENTE ASIS/N/MT/CONT PUBL</t>
        </is>
      </c>
      <c r="I869" s="7" t="inlineStr">
        <is>
          <t>CONTADURIA PUBLICA</t>
        </is>
      </c>
      <c r="J869" s="7" t="inlineStr">
        <is>
          <t>REINTEGRO</t>
        </is>
      </c>
      <c r="K869" s="7" t="inlineStr">
        <is>
          <t>ASHLY ESPINOZA</t>
        </is>
      </c>
      <c r="L869" s="7" t="n">
        <v/>
      </c>
      <c r="M869" s="7" t="n">
        <v/>
      </c>
      <c r="N869" s="7" t="n">
        <v>3162988885</v>
      </c>
      <c r="O869" s="7" t="inlineStr">
        <is>
          <t>juansebastianc574@gmail.com</t>
        </is>
      </c>
      <c r="P869" s="7" t="inlineStr">
        <is>
          <t>BTA SEDE D</t>
        </is>
      </c>
      <c r="Q869" s="7" t="inlineStr">
        <is>
          <t>NEGOCIOS</t>
        </is>
      </c>
      <c r="R869" s="7" t="n">
        <v>204</v>
      </c>
    </row>
    <row r="870" ht="20" customHeight="1">
      <c r="A870" s="3" t="inlineStr">
        <is>
          <t>80833083</t>
        </is>
      </c>
      <c r="B870" s="4" t="inlineStr">
        <is>
          <t>PRESENCIAL BOGOTÁ</t>
        </is>
      </c>
      <c r="C870" s="4" t="inlineStr">
        <is>
          <t>JULIAN CAMILO MERCHAN HERNANDEZ</t>
        </is>
      </c>
      <c r="D870" s="4" t="inlineStr">
        <is>
          <t>OPERACIONES</t>
        </is>
      </c>
      <c r="E870" s="4" t="inlineStr">
        <is>
          <t>REGIONAL BOGOTA</t>
        </is>
      </c>
      <c r="F870" s="4" t="inlineStr">
        <is>
          <t>BOGOTA CENTRO</t>
        </is>
      </c>
      <c r="G870" s="4" t="inlineStr">
        <is>
          <t>VIRTUAL</t>
        </is>
      </c>
      <c r="H870" s="4" t="inlineStr">
        <is>
          <t>DOC ASIS/N/V/TC/CONTADURIA/FUN.ACADE-ADMIN</t>
        </is>
      </c>
      <c r="I870" s="4" t="inlineStr">
        <is>
          <t>CONTADURIA PUBLICA</t>
        </is>
      </c>
      <c r="J870" s="4" t="inlineStr">
        <is>
          <t>REINTEGRO</t>
        </is>
      </c>
      <c r="K870" s="4" t="inlineStr">
        <is>
          <t>ASHLY ESPINOZA</t>
        </is>
      </c>
      <c r="L870" s="4" t="inlineStr">
        <is>
          <t>CONFIRMADO PRESENCIAL</t>
        </is>
      </c>
      <c r="M870" s="4" t="n">
        <v/>
      </c>
      <c r="N870" s="4" t="n">
        <v>3187437478</v>
      </c>
      <c r="O870" s="4" t="inlineStr">
        <is>
          <t>merchancamilo1@gmail.com</t>
        </is>
      </c>
      <c r="P870" s="4" t="inlineStr">
        <is>
          <t>BTA SEDE A</t>
        </is>
      </c>
      <c r="Q870" s="4" t="inlineStr">
        <is>
          <t>NEGOCIOS</t>
        </is>
      </c>
      <c r="R870" s="4" t="n">
        <v>204</v>
      </c>
    </row>
    <row r="871" ht="20" customHeight="1">
      <c r="A871" s="6" t="inlineStr">
        <is>
          <t>1010218357</t>
        </is>
      </c>
      <c r="B871" s="7" t="inlineStr">
        <is>
          <t>PRESENCIAL BOGOTÁ</t>
        </is>
      </c>
      <c r="C871" s="7" t="inlineStr">
        <is>
          <t>RAFAEL FERNANDO CHINCHILLA MESA</t>
        </is>
      </c>
      <c r="D871" s="7" t="inlineStr">
        <is>
          <t>OPERACIONES</t>
        </is>
      </c>
      <c r="E871" s="7" t="inlineStr">
        <is>
          <t>REGIONAL BOGOTA</t>
        </is>
      </c>
      <c r="F871" s="7" t="inlineStr">
        <is>
          <t>BOGOTA NORTE</t>
        </is>
      </c>
      <c r="G871" s="7" t="inlineStr">
        <is>
          <t>VIRTUAL</t>
        </is>
      </c>
      <c r="H871" s="7" t="inlineStr">
        <is>
          <t>DOC ASIS/N/V/MT/CONTADURIA</t>
        </is>
      </c>
      <c r="I871" s="7" t="inlineStr">
        <is>
          <t>CONTADURIA PUBLICA</t>
        </is>
      </c>
      <c r="J871" s="7" t="inlineStr">
        <is>
          <t>REINTEGRO</t>
        </is>
      </c>
      <c r="K871" s="7" t="inlineStr">
        <is>
          <t>ASHLY ESPINOZA</t>
        </is>
      </c>
      <c r="L871" s="7" t="n">
        <v/>
      </c>
      <c r="M871" s="7" t="n">
        <v/>
      </c>
      <c r="N871" s="7" t="n">
        <v>3057695640</v>
      </c>
      <c r="O871" s="7" t="inlineStr">
        <is>
          <t>rafael.chinchilla@cesa.edu.co</t>
        </is>
      </c>
      <c r="P871" s="7" t="inlineStr">
        <is>
          <t>BTA SEDE NORTE</t>
        </is>
      </c>
      <c r="Q871" s="7" t="inlineStr">
        <is>
          <t>NEGOCIOS</t>
        </is>
      </c>
      <c r="R871" s="7" t="n">
        <v>204</v>
      </c>
    </row>
    <row r="872" ht="20" customHeight="1">
      <c r="A872" s="3" t="inlineStr">
        <is>
          <t>52828470</t>
        </is>
      </c>
      <c r="B872" s="4" t="inlineStr">
        <is>
          <t>PRESENCIAL BOGOTÁ</t>
        </is>
      </c>
      <c r="C872" s="4" t="inlineStr">
        <is>
          <t>ZULMA CISNEY YAYA CHACON</t>
        </is>
      </c>
      <c r="D872" s="4" t="inlineStr">
        <is>
          <t>OPERACIONES</t>
        </is>
      </c>
      <c r="E872" s="4" t="inlineStr">
        <is>
          <t>REGIONAL BOGOTA</t>
        </is>
      </c>
      <c r="F872" s="4" t="inlineStr">
        <is>
          <t>BOGOTA CENTRO</t>
        </is>
      </c>
      <c r="G872" s="4" t="inlineStr">
        <is>
          <t>PRESENCIAL</t>
        </is>
      </c>
      <c r="H872" s="4" t="inlineStr">
        <is>
          <t>DOC AUX T&amp;T/N/TC/CONT PUBL/FUN.ACADE-ADMIN</t>
        </is>
      </c>
      <c r="I872" s="4" t="inlineStr">
        <is>
          <t>CONTADURIA PUBLICA</t>
        </is>
      </c>
      <c r="J872" s="4" t="inlineStr">
        <is>
          <t>REINTEGRO</t>
        </is>
      </c>
      <c r="K872" s="4" t="inlineStr">
        <is>
          <t>ASHLY ESPINOZA</t>
        </is>
      </c>
      <c r="L872" s="4" t="n">
        <v/>
      </c>
      <c r="M872" s="4" t="n">
        <v/>
      </c>
      <c r="N872" s="4" t="n">
        <v>3232278677</v>
      </c>
      <c r="O872" s="4" t="inlineStr">
        <is>
          <t>zulcisney@hotmail.com</t>
        </is>
      </c>
      <c r="P872" s="4" t="inlineStr">
        <is>
          <t>BTA SEDE D</t>
        </is>
      </c>
      <c r="Q872" s="4" t="inlineStr">
        <is>
          <t>NEGOCIOS</t>
        </is>
      </c>
      <c r="R872" s="4" t="n">
        <v>204</v>
      </c>
    </row>
    <row r="873" ht="20" customHeight="1">
      <c r="A873" s="6" t="inlineStr">
        <is>
          <t>1105786500</t>
        </is>
      </c>
      <c r="B873" s="7" t="inlineStr">
        <is>
          <t>PRESENCIAL BOGOTÁ</t>
        </is>
      </c>
      <c r="C873" s="7" t="inlineStr">
        <is>
          <t>MAYKOL STIVEN OSPINA ACOSTA</t>
        </is>
      </c>
      <c r="D873" s="7" t="inlineStr">
        <is>
          <t>OPERACIONES</t>
        </is>
      </c>
      <c r="E873" s="7" t="inlineStr">
        <is>
          <t>REGIONAL BOGOTA</t>
        </is>
      </c>
      <c r="F873" s="7" t="inlineStr">
        <is>
          <t>BOGOTA CENTRO</t>
        </is>
      </c>
      <c r="G873" s="7" t="inlineStr">
        <is>
          <t>PRESENCIAL</t>
        </is>
      </c>
      <c r="H873" s="7" t="inlineStr">
        <is>
          <t>DOCENTE AUX/N/TC/CONT PUBL/FUN.ACADE-ADMIN</t>
        </is>
      </c>
      <c r="I873" s="7" t="inlineStr">
        <is>
          <t>CONTADURIA PUBLICA</t>
        </is>
      </c>
      <c r="J873" s="7" t="inlineStr">
        <is>
          <t>REINTEGRO</t>
        </is>
      </c>
      <c r="K873" s="7" t="inlineStr">
        <is>
          <t>ASHLY ESPINOZA</t>
        </is>
      </c>
      <c r="L873" s="7" t="n">
        <v/>
      </c>
      <c r="M873" s="7" t="n">
        <v/>
      </c>
      <c r="N873" s="7" t="n">
        <v>3209722355</v>
      </c>
      <c r="O873" s="7" t="inlineStr">
        <is>
          <t>maykolospina07@gmail.com</t>
        </is>
      </c>
      <c r="P873" s="7" t="inlineStr">
        <is>
          <t>BTA SEDE D</t>
        </is>
      </c>
      <c r="Q873" s="7" t="inlineStr">
        <is>
          <t>NEGOCIOS</t>
        </is>
      </c>
      <c r="R873" s="7" t="n">
        <v>204</v>
      </c>
    </row>
    <row r="874" ht="20" customHeight="1">
      <c r="A874" s="3" t="inlineStr">
        <is>
          <t>79168204</t>
        </is>
      </c>
      <c r="B874" s="4" t="inlineStr">
        <is>
          <t>PRESENCIAL BOGOTÁ</t>
        </is>
      </c>
      <c r="C874" s="4" t="inlineStr">
        <is>
          <t>JAIME TORRES SUAREZ</t>
        </is>
      </c>
      <c r="D874" s="4" t="inlineStr">
        <is>
          <t>OPERACIONES</t>
        </is>
      </c>
      <c r="E874" s="4" t="inlineStr">
        <is>
          <t>REGIONAL BOGOTA</t>
        </is>
      </c>
      <c r="F874" s="4" t="inlineStr">
        <is>
          <t>BOGOTA CENTRO</t>
        </is>
      </c>
      <c r="G874" s="4" t="inlineStr">
        <is>
          <t>PRESENCIAL</t>
        </is>
      </c>
      <c r="H874" s="4" t="inlineStr">
        <is>
          <t>DOCENTE ASOC/N/TC/DERECHO/FUN.ACADE-ADMIN</t>
        </is>
      </c>
      <c r="I874" s="4" t="inlineStr">
        <is>
          <t>DERECHO</t>
        </is>
      </c>
      <c r="J874" s="4" t="inlineStr">
        <is>
          <t>REINTEGRO</t>
        </is>
      </c>
      <c r="K874" s="4" t="inlineStr">
        <is>
          <t>ASHLY ESPINOZA</t>
        </is>
      </c>
      <c r="L874" s="4" t="n">
        <v/>
      </c>
      <c r="M874" s="4" t="n">
        <v/>
      </c>
      <c r="N874" s="4" t="n">
        <v>3112858871</v>
      </c>
      <c r="O874" s="4" t="inlineStr">
        <is>
          <t>jaimets47@yahoo.com</t>
        </is>
      </c>
      <c r="P874" s="4" t="inlineStr">
        <is>
          <t>BTA SEDE F</t>
        </is>
      </c>
      <c r="Q874" s="4" t="inlineStr">
        <is>
          <t>NEGOCIOS</t>
        </is>
      </c>
      <c r="R874" s="4" t="n">
        <v>204</v>
      </c>
    </row>
    <row r="875" ht="20" customHeight="1">
      <c r="A875" s="6" t="inlineStr">
        <is>
          <t>9975404</t>
        </is>
      </c>
      <c r="B875" s="7" t="inlineStr">
        <is>
          <t>PRESENCIAL BOGOTÁ</t>
        </is>
      </c>
      <c r="C875" s="7" t="inlineStr">
        <is>
          <t>PAULO CESAR HENAO QUINTERO</t>
        </is>
      </c>
      <c r="D875" s="7" t="inlineStr">
        <is>
          <t>OPERACIONES</t>
        </is>
      </c>
      <c r="E875" s="7" t="inlineStr">
        <is>
          <t>REGIONAL BOGOTA</t>
        </is>
      </c>
      <c r="F875" s="7" t="inlineStr">
        <is>
          <t>BOGOTA CENTRO</t>
        </is>
      </c>
      <c r="G875" s="7" t="inlineStr">
        <is>
          <t>PRESENCIAL</t>
        </is>
      </c>
      <c r="H875" s="7" t="inlineStr">
        <is>
          <t>DOCENTE AUX/N/MT-DERECHO</t>
        </is>
      </c>
      <c r="I875" s="7" t="inlineStr">
        <is>
          <t>DERECHO</t>
        </is>
      </c>
      <c r="J875" s="7" t="inlineStr">
        <is>
          <t>REINTEGRO</t>
        </is>
      </c>
      <c r="K875" s="7" t="inlineStr">
        <is>
          <t>ASHLY ESPINOZA</t>
        </is>
      </c>
      <c r="L875" s="7" t="n">
        <v/>
      </c>
      <c r="M875" s="7" t="n">
        <v/>
      </c>
      <c r="N875" s="7" t="n">
        <v>3046835927</v>
      </c>
      <c r="O875" s="7" t="inlineStr">
        <is>
          <t>paulo.henao071179@gmail.com</t>
        </is>
      </c>
      <c r="P875" s="7" t="inlineStr">
        <is>
          <t>BTA SEDE F</t>
        </is>
      </c>
      <c r="Q875" s="7" t="inlineStr">
        <is>
          <t>NEGOCIOS</t>
        </is>
      </c>
      <c r="R875" s="7" t="n">
        <v>204</v>
      </c>
    </row>
    <row r="876" ht="20" customHeight="1">
      <c r="A876" s="3" t="inlineStr">
        <is>
          <t>1018404720</t>
        </is>
      </c>
      <c r="B876" s="4" t="inlineStr">
        <is>
          <t>PRESENCIAL BOGOTÁ</t>
        </is>
      </c>
      <c r="C876" s="4" t="inlineStr">
        <is>
          <t>ANDERSON MARTÍNEZ JIMÉNEZ</t>
        </is>
      </c>
      <c r="D876" s="4" t="inlineStr">
        <is>
          <t>OPERACIONES</t>
        </is>
      </c>
      <c r="E876" s="4" t="inlineStr">
        <is>
          <t>REGIONAL BOGOTA</t>
        </is>
      </c>
      <c r="F876" s="4" t="inlineStr">
        <is>
          <t>BOGOTA CENTRO</t>
        </is>
      </c>
      <c r="G876" s="4" t="inlineStr">
        <is>
          <t>PRESENCIAL</t>
        </is>
      </c>
      <c r="H876" s="4" t="inlineStr">
        <is>
          <t>DOCENTE AUX/N/TC/DERECHO/FUN.ACADE-ADMIN</t>
        </is>
      </c>
      <c r="I876" s="4" t="inlineStr">
        <is>
          <t>DERECHO</t>
        </is>
      </c>
      <c r="J876" s="4" t="inlineStr">
        <is>
          <t>REINTEGRO</t>
        </is>
      </c>
      <c r="K876" s="4" t="inlineStr">
        <is>
          <t>ASHLY ESPINOZA</t>
        </is>
      </c>
      <c r="L876" s="4" t="n">
        <v/>
      </c>
      <c r="M876" s="4" t="n">
        <v/>
      </c>
      <c r="N876" s="4" t="n">
        <v>3108865253</v>
      </c>
      <c r="O876" s="4" t="inlineStr">
        <is>
          <t>anderm.jimenez@gmail.com</t>
        </is>
      </c>
      <c r="P876" s="4" t="inlineStr">
        <is>
          <t>BTA SEDE D</t>
        </is>
      </c>
      <c r="Q876" s="4" t="inlineStr">
        <is>
          <t>NEGOCIOS</t>
        </is>
      </c>
      <c r="R876" s="4" t="n">
        <v>204</v>
      </c>
    </row>
    <row r="877" ht="20" customHeight="1">
      <c r="A877" s="6" t="inlineStr">
        <is>
          <t>1020736205</t>
        </is>
      </c>
      <c r="B877" s="7" t="inlineStr">
        <is>
          <t>PRESENCIAL BOGOTÁ</t>
        </is>
      </c>
      <c r="C877" s="7" t="inlineStr">
        <is>
          <t>JEFERSON CASAS ZULUAGA</t>
        </is>
      </c>
      <c r="D877" s="7" t="inlineStr">
        <is>
          <t>OPERACIONES</t>
        </is>
      </c>
      <c r="E877" s="7" t="inlineStr">
        <is>
          <t>REGIONAL BOGOTA</t>
        </is>
      </c>
      <c r="F877" s="7" t="inlineStr">
        <is>
          <t>BOGOTA CENTRO</t>
        </is>
      </c>
      <c r="G877" s="7" t="inlineStr">
        <is>
          <t>PRESENCIAL</t>
        </is>
      </c>
      <c r="H877" s="7" t="inlineStr">
        <is>
          <t>DOCENTE ASIS/N/TC/DERECHO/FUN.ACADE-ADMIN</t>
        </is>
      </c>
      <c r="I877" s="7" t="inlineStr">
        <is>
          <t>DERECHO</t>
        </is>
      </c>
      <c r="J877" s="7" t="inlineStr">
        <is>
          <t>REINTEGRO</t>
        </is>
      </c>
      <c r="K877" s="7" t="inlineStr">
        <is>
          <t>ASHLY ESPINOZA</t>
        </is>
      </c>
      <c r="L877" s="7" t="n">
        <v/>
      </c>
      <c r="M877" s="7" t="n">
        <v/>
      </c>
      <c r="N877" s="7" t="n">
        <v>3214914885</v>
      </c>
      <c r="O877" s="7" t="inlineStr">
        <is>
          <t>jeferson.casas@hotmail.com</t>
        </is>
      </c>
      <c r="P877" s="7" t="inlineStr">
        <is>
          <t>BTA SEDE F</t>
        </is>
      </c>
      <c r="Q877" s="7" t="inlineStr">
        <is>
          <t>NEGOCIOS</t>
        </is>
      </c>
      <c r="R877" s="7" t="n">
        <v>204</v>
      </c>
    </row>
    <row r="878" ht="20" customHeight="1">
      <c r="A878" s="3" t="inlineStr">
        <is>
          <t>1030533835</t>
        </is>
      </c>
      <c r="B878" s="4" t="inlineStr">
        <is>
          <t>PRESENCIAL BOGOTÁ</t>
        </is>
      </c>
      <c r="C878" s="4" t="inlineStr">
        <is>
          <t>JAVIER CAMILO CUETO GARCIA</t>
        </is>
      </c>
      <c r="D878" s="4" t="inlineStr">
        <is>
          <t>OPERACIONES</t>
        </is>
      </c>
      <c r="E878" s="4" t="inlineStr">
        <is>
          <t>REGIONAL BOGOTA</t>
        </is>
      </c>
      <c r="F878" s="4" t="inlineStr">
        <is>
          <t>BOGOTA CENTRO</t>
        </is>
      </c>
      <c r="G878" s="4" t="inlineStr">
        <is>
          <t>PRESENCIAL</t>
        </is>
      </c>
      <c r="H878" s="4" t="inlineStr">
        <is>
          <t>DOCENTE ASOC/N/TC/DERECHO/FUN.ACADE-ADMIN</t>
        </is>
      </c>
      <c r="I878" s="4" t="inlineStr">
        <is>
          <t>DERECHO</t>
        </is>
      </c>
      <c r="J878" s="4" t="inlineStr">
        <is>
          <t>REINTEGRO</t>
        </is>
      </c>
      <c r="K878" s="4" t="inlineStr">
        <is>
          <t>ASHLY ESPINOZA</t>
        </is>
      </c>
      <c r="L878" s="4" t="n">
        <v/>
      </c>
      <c r="M878" s="4" t="n">
        <v/>
      </c>
      <c r="N878" s="4" t="n">
        <v>3057106351</v>
      </c>
      <c r="O878" s="4" t="inlineStr">
        <is>
          <t>jccuetog@gmail.com</t>
        </is>
      </c>
      <c r="P878" s="4" t="inlineStr">
        <is>
          <t>BTA SEDE F</t>
        </is>
      </c>
      <c r="Q878" s="4" t="inlineStr">
        <is>
          <t>NEGOCIOS</t>
        </is>
      </c>
      <c r="R878" s="4" t="n">
        <v>204</v>
      </c>
    </row>
    <row r="879" ht="20" customHeight="1">
      <c r="A879" s="6" t="inlineStr">
        <is>
          <t>1098766313</t>
        </is>
      </c>
      <c r="B879" s="7" t="inlineStr">
        <is>
          <t>PRESENCIAL BOGOTÁ</t>
        </is>
      </c>
      <c r="C879" s="7" t="inlineStr">
        <is>
          <t>DIEGO FERNANDO LINDARTE VARGAS</t>
        </is>
      </c>
      <c r="D879" s="7" t="inlineStr">
        <is>
          <t>OPERACIONES</t>
        </is>
      </c>
      <c r="E879" s="7" t="inlineStr">
        <is>
          <t>REGIONAL BOGOTA</t>
        </is>
      </c>
      <c r="F879" s="7" t="inlineStr">
        <is>
          <t>BOGOTA CENTRO</t>
        </is>
      </c>
      <c r="G879" s="7" t="inlineStr">
        <is>
          <t>PRESENCIAL</t>
        </is>
      </c>
      <c r="H879" s="7" t="inlineStr">
        <is>
          <t>DOCENTE ASIS/N/TC/DERECHO/FUN.ACADE-ADMIN</t>
        </is>
      </c>
      <c r="I879" s="7" t="inlineStr">
        <is>
          <t>DERECHO</t>
        </is>
      </c>
      <c r="J879" s="7" t="inlineStr">
        <is>
          <t>REINTEGRO</t>
        </is>
      </c>
      <c r="K879" s="7" t="inlineStr">
        <is>
          <t>ASHLY ESPINOZA</t>
        </is>
      </c>
      <c r="L879" s="7" t="n">
        <v/>
      </c>
      <c r="M879" s="7" t="n">
        <v/>
      </c>
      <c r="N879" s="7" t="n">
        <v>3014598751</v>
      </c>
      <c r="O879" s="7" t="inlineStr">
        <is>
          <t>Dlindarte95@gmail.com</t>
        </is>
      </c>
      <c r="P879" s="7" t="inlineStr">
        <is>
          <t>BTA SEDE D</t>
        </is>
      </c>
      <c r="Q879" s="7" t="inlineStr">
        <is>
          <t>NEGOCIOS</t>
        </is>
      </c>
      <c r="R879" s="7" t="n">
        <v>204</v>
      </c>
    </row>
    <row r="880" ht="20" customHeight="1">
      <c r="A880" s="3" t="inlineStr">
        <is>
          <t>1052411055</t>
        </is>
      </c>
      <c r="B880" s="4" t="inlineStr">
        <is>
          <t>PRESENCIAL BOGOTÁ</t>
        </is>
      </c>
      <c r="C880" s="4" t="inlineStr">
        <is>
          <t>YESSICA JULIETH PEREZ HERNANDEZ</t>
        </is>
      </c>
      <c r="D880" s="4" t="inlineStr">
        <is>
          <t>OPERACIONES</t>
        </is>
      </c>
      <c r="E880" s="4" t="inlineStr">
        <is>
          <t>REGIONAL BOGOTA</t>
        </is>
      </c>
      <c r="F880" s="4" t="inlineStr">
        <is>
          <t>BOGOTA CENTRO</t>
        </is>
      </c>
      <c r="G880" s="4" t="inlineStr">
        <is>
          <t>PRESENCIAL</t>
        </is>
      </c>
      <c r="H880" s="4" t="inlineStr">
        <is>
          <t>DOCENTE ASESOR EN DERECHO PRIVADO</t>
        </is>
      </c>
      <c r="I880" s="4" t="inlineStr">
        <is>
          <t>DERECHO</t>
        </is>
      </c>
      <c r="J880" s="4" t="inlineStr">
        <is>
          <t>REINTEGRO</t>
        </is>
      </c>
      <c r="K880" s="4" t="inlineStr">
        <is>
          <t>ASHLY ESPINOZA</t>
        </is>
      </c>
      <c r="L880" s="4" t="n">
        <v/>
      </c>
      <c r="M880" s="4" t="n">
        <v/>
      </c>
      <c r="N880" s="4" t="n">
        <v>3104793717</v>
      </c>
      <c r="O880" s="4" t="inlineStr">
        <is>
          <t>YESSICAPEREZHER@GMAIL.COM</t>
        </is>
      </c>
      <c r="P880" s="4" t="inlineStr">
        <is>
          <t>BTA SEDE A</t>
        </is>
      </c>
      <c r="Q880" s="4" t="inlineStr">
        <is>
          <t>NEGOCIOS</t>
        </is>
      </c>
      <c r="R880" s="4" t="n">
        <v>204</v>
      </c>
    </row>
    <row r="881" ht="20" customHeight="1">
      <c r="A881" s="6" t="inlineStr">
        <is>
          <t>80222362</t>
        </is>
      </c>
      <c r="B881" s="7" t="inlineStr">
        <is>
          <t>PRESENCIAL BOGOTÁ</t>
        </is>
      </c>
      <c r="C881" s="7" t="inlineStr">
        <is>
          <t>ELMER GENIER ACOSTA HERNANDEZ</t>
        </is>
      </c>
      <c r="D881" s="7" t="inlineStr">
        <is>
          <t>OPERACIONES</t>
        </is>
      </c>
      <c r="E881" s="7" t="inlineStr">
        <is>
          <t>REGIONAL BOGOTA</t>
        </is>
      </c>
      <c r="F881" s="7" t="inlineStr">
        <is>
          <t>BOGOTA CENTRO</t>
        </is>
      </c>
      <c r="G881" s="7" t="inlineStr">
        <is>
          <t>PRESENCIAL</t>
        </is>
      </c>
      <c r="H881" s="7" t="inlineStr">
        <is>
          <t>DOCENTE ASESOR EN DERECHO LABORAL</t>
        </is>
      </c>
      <c r="I881" s="7" t="inlineStr">
        <is>
          <t>DERECHO</t>
        </is>
      </c>
      <c r="J881" s="7" t="inlineStr">
        <is>
          <t>REINTEGRO</t>
        </is>
      </c>
      <c r="K881" s="7" t="inlineStr">
        <is>
          <t>ASHLY ESPINOZA</t>
        </is>
      </c>
      <c r="L881" s="7" t="inlineStr">
        <is>
          <t>CONFIRMADO PRESENCIAL</t>
        </is>
      </c>
      <c r="M881" s="7" t="n">
        <v/>
      </c>
      <c r="N881" s="7" t="n">
        <v>3194253445</v>
      </c>
      <c r="O881" s="7" t="inlineStr">
        <is>
          <t>ELGEACOS2@HOTMAIL.COM</t>
        </is>
      </c>
      <c r="P881" s="7" t="inlineStr">
        <is>
          <t>BTA SEDE F</t>
        </is>
      </c>
      <c r="Q881" s="7" t="inlineStr">
        <is>
          <t>NEGOCIOS</t>
        </is>
      </c>
      <c r="R881" s="7" t="n">
        <v>204</v>
      </c>
    </row>
    <row r="882" ht="20" customHeight="1">
      <c r="A882" s="3" t="inlineStr">
        <is>
          <t>1033779677</t>
        </is>
      </c>
      <c r="B882" s="4" t="inlineStr">
        <is>
          <t>PRESENCIAL BOGOTÁ</t>
        </is>
      </c>
      <c r="C882" s="4" t="inlineStr">
        <is>
          <t>JEAN CARLO CARDENAS CARRILLO</t>
        </is>
      </c>
      <c r="D882" s="4" t="inlineStr">
        <is>
          <t>OPERACIONES</t>
        </is>
      </c>
      <c r="E882" s="4" t="inlineStr">
        <is>
          <t>REGIONAL BOGOTA</t>
        </is>
      </c>
      <c r="F882" s="4" t="inlineStr">
        <is>
          <t>BOGOTA CENTRO</t>
        </is>
      </c>
      <c r="G882" s="4" t="inlineStr">
        <is>
          <t>PRESENCIAL</t>
        </is>
      </c>
      <c r="H882" s="4" t="inlineStr">
        <is>
          <t>DOC AUX T&amp;T/N/TC/DIR PROD ME AUD/FUN.ACADE-ADMIN</t>
        </is>
      </c>
      <c r="I882" s="4" t="inlineStr">
        <is>
          <t>DIRECCION Y PRODUCCION DE MEDIOS AUDIOVISUALES</t>
        </is>
      </c>
      <c r="J882" s="4" t="inlineStr">
        <is>
          <t>REINTEGRO</t>
        </is>
      </c>
      <c r="K882" s="4" t="inlineStr">
        <is>
          <t>ANA SANCHEZ</t>
        </is>
      </c>
      <c r="L882" s="4" t="inlineStr">
        <is>
          <t>CONFIRMADO PRESENCIAL</t>
        </is>
      </c>
      <c r="M882" s="4" t="n">
        <v/>
      </c>
      <c r="N882" s="4" t="n">
        <v>3125814367</v>
      </c>
      <c r="O882" s="4" t="inlineStr">
        <is>
          <t>ryukdeath23@gmail.com</t>
        </is>
      </c>
      <c r="P882" s="4" t="inlineStr">
        <is>
          <t>BTA SEDE A</t>
        </is>
      </c>
      <c r="Q882" s="4" t="inlineStr">
        <is>
          <t>BELLAS ARTES</t>
        </is>
      </c>
      <c r="R882" s="4" t="n">
        <v>402</v>
      </c>
    </row>
    <row r="883" ht="20" customHeight="1">
      <c r="A883" s="6" t="inlineStr">
        <is>
          <t>79876950</t>
        </is>
      </c>
      <c r="B883" s="7" t="inlineStr">
        <is>
          <t>PRESENCIAL BOGOTÁ</t>
        </is>
      </c>
      <c r="C883" s="7" t="inlineStr">
        <is>
          <t>DANILO HERNAN MURILLO DAZA</t>
        </is>
      </c>
      <c r="D883" s="7" t="inlineStr">
        <is>
          <t>OPERACIONES</t>
        </is>
      </c>
      <c r="E883" s="7" t="inlineStr">
        <is>
          <t>REGIONAL BOGOTA</t>
        </is>
      </c>
      <c r="F883" s="7" t="inlineStr">
        <is>
          <t>BOGOTA CENTRO</t>
        </is>
      </c>
      <c r="G883" s="7" t="inlineStr">
        <is>
          <t>PRESENCIAL</t>
        </is>
      </c>
      <c r="H883" s="7" t="inlineStr">
        <is>
          <t>DOCENTE AUX/N/TC/DIR PROD ME AUD/FUN.ACADE-ADMIN</t>
        </is>
      </c>
      <c r="I883" s="7" t="inlineStr">
        <is>
          <t>DIRECCION Y PRODUCCION DE MEDIOS AUDIOVISUALES</t>
        </is>
      </c>
      <c r="J883" s="7" t="inlineStr">
        <is>
          <t>REINTEGRO</t>
        </is>
      </c>
      <c r="K883" s="7" t="inlineStr">
        <is>
          <t>ANA SANCHEZ</t>
        </is>
      </c>
      <c r="L883" s="7" t="inlineStr">
        <is>
          <t>CONFIRMADO PRESENCIAL</t>
        </is>
      </c>
      <c r="M883" s="7" t="n">
        <v/>
      </c>
      <c r="N883" s="7" t="n">
        <v>3144342121</v>
      </c>
      <c r="O883" s="7" t="inlineStr">
        <is>
          <t>damurdaz77@gmail.com</t>
        </is>
      </c>
      <c r="P883" s="7" t="inlineStr">
        <is>
          <t>BTA SEDE F</t>
        </is>
      </c>
      <c r="Q883" s="7" t="inlineStr">
        <is>
          <t>BELLAS ARTES</t>
        </is>
      </c>
      <c r="R883" s="7" t="n">
        <v>402</v>
      </c>
    </row>
    <row r="884" ht="20" customHeight="1">
      <c r="A884" s="3" t="inlineStr">
        <is>
          <t>1075874836</t>
        </is>
      </c>
      <c r="B884" s="4" t="inlineStr">
        <is>
          <t>PRESENCIAL BOGOTÁ</t>
        </is>
      </c>
      <c r="C884" s="4" t="inlineStr">
        <is>
          <t>DIEGO ALEXANDER PINILLA ROZO</t>
        </is>
      </c>
      <c r="D884" s="4" t="inlineStr">
        <is>
          <t>OPERACIONES</t>
        </is>
      </c>
      <c r="E884" s="4" t="inlineStr">
        <is>
          <t>REGIONAL BOGOTA</t>
        </is>
      </c>
      <c r="F884" s="4" t="inlineStr">
        <is>
          <t>BOGOTA CENTRO</t>
        </is>
      </c>
      <c r="G884" s="4" t="inlineStr">
        <is>
          <t>PRESENCIAL</t>
        </is>
      </c>
      <c r="H884" s="4" t="inlineStr">
        <is>
          <t>DOC AUX T&amp;T/N/TC/DIR PROD ME AUD/FUN.ACADE-ADMIN</t>
        </is>
      </c>
      <c r="I884" s="4" t="inlineStr">
        <is>
          <t>DIRECCION Y PRODUCCION DE MEDIOS AUDIOVISUALES</t>
        </is>
      </c>
      <c r="J884" s="4" t="inlineStr">
        <is>
          <t>REINTEGRO</t>
        </is>
      </c>
      <c r="K884" s="4" t="inlineStr">
        <is>
          <t>ANA SANCHEZ</t>
        </is>
      </c>
      <c r="L884" s="4" t="inlineStr">
        <is>
          <t>SIN RESPUESTA</t>
        </is>
      </c>
      <c r="M884" s="4" t="n">
        <v/>
      </c>
      <c r="N884" s="4" t="n">
        <v>3102056744</v>
      </c>
      <c r="O884" s="4" t="inlineStr">
        <is>
          <t>dpinillar19@gmail.com</t>
        </is>
      </c>
      <c r="P884" s="4" t="inlineStr">
        <is>
          <t>BTA SEDE F</t>
        </is>
      </c>
      <c r="Q884" s="4" t="inlineStr">
        <is>
          <t>BELLAS ARTES</t>
        </is>
      </c>
      <c r="R884" s="4" t="n">
        <v>402</v>
      </c>
    </row>
    <row r="885" ht="20" customHeight="1">
      <c r="A885" s="6" t="inlineStr">
        <is>
          <t>1032476792</t>
        </is>
      </c>
      <c r="B885" s="7" t="inlineStr">
        <is>
          <t>PRESENCIAL BOGOTÁ</t>
        </is>
      </c>
      <c r="C885" s="7" t="inlineStr">
        <is>
          <t>JUAN MANUEL GOMEZ DIAZ</t>
        </is>
      </c>
      <c r="D885" s="7" t="inlineStr">
        <is>
          <t>OPERACIONES</t>
        </is>
      </c>
      <c r="E885" s="7" t="inlineStr">
        <is>
          <t>REGIONAL BOGOTA</t>
        </is>
      </c>
      <c r="F885" s="7" t="inlineStr">
        <is>
          <t>BOGOTA CENTRO</t>
        </is>
      </c>
      <c r="G885" s="7" t="inlineStr">
        <is>
          <t>PRESENCIAL</t>
        </is>
      </c>
      <c r="H885" s="7" t="inlineStr">
        <is>
          <t>DOC AUX T&amp;T/N/TC/DIR PROD ME AUD/FUN.ACADE-ADMIN</t>
        </is>
      </c>
      <c r="I885" s="7" t="inlineStr">
        <is>
          <t>DIRECCION Y PRODUCCION DE MEDIOS AUDIOVISUALES</t>
        </is>
      </c>
      <c r="J885" s="7" t="inlineStr">
        <is>
          <t>REINTEGRO</t>
        </is>
      </c>
      <c r="K885" s="7" t="inlineStr">
        <is>
          <t>ANA SANCHEZ</t>
        </is>
      </c>
      <c r="L885" s="7" t="inlineStr">
        <is>
          <t>CONFIRMADO PRESENCIAL</t>
        </is>
      </c>
      <c r="M885" s="7" t="n">
        <v/>
      </c>
      <c r="N885" s="7" t="n">
        <v>3142761767</v>
      </c>
      <c r="O885" s="7" t="inlineStr">
        <is>
          <t>jmgomezd86@gmail.com</t>
        </is>
      </c>
      <c r="P885" s="7" t="inlineStr">
        <is>
          <t>BTA SEDE F</t>
        </is>
      </c>
      <c r="Q885" s="7" t="inlineStr">
        <is>
          <t>BELLAS ARTES</t>
        </is>
      </c>
      <c r="R885" s="7" t="n">
        <v>402</v>
      </c>
    </row>
    <row r="886" ht="20" customHeight="1">
      <c r="A886" s="3" t="inlineStr">
        <is>
          <t>79793636</t>
        </is>
      </c>
      <c r="B886" s="4" t="inlineStr">
        <is>
          <t>PRESENCIAL BOGOTÁ</t>
        </is>
      </c>
      <c r="C886" s="4" t="inlineStr">
        <is>
          <t>ORLANDO CHABUR CALVO</t>
        </is>
      </c>
      <c r="D886" s="4" t="inlineStr">
        <is>
          <t>OPERACIONES</t>
        </is>
      </c>
      <c r="E886" s="4" t="inlineStr">
        <is>
          <t>REGIONAL BOGOTA</t>
        </is>
      </c>
      <c r="F886" s="4" t="inlineStr">
        <is>
          <t>BOGOTA CENTRO</t>
        </is>
      </c>
      <c r="G886" s="4" t="inlineStr">
        <is>
          <t>PRESENCIAL</t>
        </is>
      </c>
      <c r="H886" s="4" t="inlineStr">
        <is>
          <t>DOC AUX T&amp;T/N/TC/DIR PROD ME AUD/FUN.ACADE-ADMIN</t>
        </is>
      </c>
      <c r="I886" s="4" t="inlineStr">
        <is>
          <t>DIRECCION Y PRODUCCION DE MEDIOS AUDIOVISUALES</t>
        </is>
      </c>
      <c r="J886" s="4" t="inlineStr">
        <is>
          <t>REINTEGRO</t>
        </is>
      </c>
      <c r="K886" s="4" t="inlineStr">
        <is>
          <t>ANA SANCHEZ</t>
        </is>
      </c>
      <c r="L886" s="4" t="inlineStr">
        <is>
          <t>CONFIRMADO PRESENCIAL</t>
        </is>
      </c>
      <c r="M886" s="4" t="n">
        <v/>
      </c>
      <c r="N886" s="4" t="n">
        <v>3134093825</v>
      </c>
      <c r="O886" s="4" t="inlineStr">
        <is>
          <t>ORLANBASS2@GMAIL.COM</t>
        </is>
      </c>
      <c r="P886" s="4" t="inlineStr">
        <is>
          <t>BTA SEDE F</t>
        </is>
      </c>
      <c r="Q886" s="4" t="inlineStr">
        <is>
          <t>BELLAS ARTES</t>
        </is>
      </c>
      <c r="R886" s="4" t="n">
        <v>402</v>
      </c>
    </row>
    <row r="887" ht="20" customHeight="1">
      <c r="A887" s="6" t="inlineStr">
        <is>
          <t>1024510434</t>
        </is>
      </c>
      <c r="B887" s="7" t="inlineStr">
        <is>
          <t>PRESENCIAL BOGOTÁ</t>
        </is>
      </c>
      <c r="C887" s="7" t="inlineStr">
        <is>
          <t>JORGE LEONARDO ARIAS MORENO</t>
        </is>
      </c>
      <c r="D887" s="7" t="inlineStr">
        <is>
          <t>OPERACIONES</t>
        </is>
      </c>
      <c r="E887" s="7" t="inlineStr">
        <is>
          <t>REGIONAL BOGOTA</t>
        </is>
      </c>
      <c r="F887" s="7" t="inlineStr">
        <is>
          <t>BOGOTA CENTRO</t>
        </is>
      </c>
      <c r="G887" s="7" t="inlineStr">
        <is>
          <t>PRESENCIAL</t>
        </is>
      </c>
      <c r="H887" s="7" t="inlineStr">
        <is>
          <t>DOC AUX T&amp;T/N/TC/DIR PROD ME AUD/FUN.ACADE-ADMIN</t>
        </is>
      </c>
      <c r="I887" s="7" t="inlineStr">
        <is>
          <t>DIRECCION Y PRODUCCION DE MEDIOS AUDIOVISUALES</t>
        </is>
      </c>
      <c r="J887" s="7" t="inlineStr">
        <is>
          <t>REINTEGRO</t>
        </is>
      </c>
      <c r="K887" s="7" t="inlineStr">
        <is>
          <t>ANA SANCHEZ</t>
        </is>
      </c>
      <c r="L887" s="7" t="inlineStr">
        <is>
          <t>CONFIRMADO PRESENCIAL</t>
        </is>
      </c>
      <c r="M887" s="7" t="n">
        <v/>
      </c>
      <c r="N887" s="7" t="n">
        <v>3007541798</v>
      </c>
      <c r="O887" s="7" t="inlineStr">
        <is>
          <t>GEORGE.22.182@HOTMAIL.COM</t>
        </is>
      </c>
      <c r="P887" s="7" t="inlineStr">
        <is>
          <t>BTA SEDE F</t>
        </is>
      </c>
      <c r="Q887" s="7" t="inlineStr">
        <is>
          <t>BELLAS ARTES</t>
        </is>
      </c>
      <c r="R887" s="7" t="n">
        <v>402</v>
      </c>
    </row>
    <row r="888" ht="20" customHeight="1">
      <c r="A888" s="3" t="inlineStr">
        <is>
          <t>4377227</t>
        </is>
      </c>
      <c r="B888" s="4" t="inlineStr">
        <is>
          <t>PRESENCIAL BOGOTÁ</t>
        </is>
      </c>
      <c r="C888" s="4" t="inlineStr">
        <is>
          <t>FRANCISCO ALEJANDRO CASTRO JARAMILLO</t>
        </is>
      </c>
      <c r="D888" s="4" t="inlineStr">
        <is>
          <t>OPERACIONES</t>
        </is>
      </c>
      <c r="E888" s="4" t="inlineStr">
        <is>
          <t>REGIONAL BOGOTA</t>
        </is>
      </c>
      <c r="F888" s="4" t="inlineStr">
        <is>
          <t>BOGOTA CENTRO</t>
        </is>
      </c>
      <c r="G888" s="4" t="inlineStr">
        <is>
          <t>PRESENCIAL</t>
        </is>
      </c>
      <c r="H888" s="4" t="inlineStr">
        <is>
          <t>DOC AUX T&amp;T/N/TC/DIR PROD ME AUD/FUN.ACADE-ADMIN</t>
        </is>
      </c>
      <c r="I888" s="4" t="inlineStr">
        <is>
          <t>DIRECCION Y PRODUCCION DE MEDIOS AUDIOVISUALES</t>
        </is>
      </c>
      <c r="J888" s="4" t="inlineStr">
        <is>
          <t>REINTEGRO</t>
        </is>
      </c>
      <c r="K888" s="4" t="inlineStr">
        <is>
          <t>ANA SANCHEZ</t>
        </is>
      </c>
      <c r="L888" s="4" t="inlineStr">
        <is>
          <t>CONFIRMADO PRESENCIAL</t>
        </is>
      </c>
      <c r="M888" s="4" t="n">
        <v/>
      </c>
      <c r="N888" s="4" t="n">
        <v>3176971372</v>
      </c>
      <c r="O888" s="4" t="inlineStr">
        <is>
          <t>ALCAJA00@GMAIL.COM</t>
        </is>
      </c>
      <c r="P888" s="4" t="inlineStr">
        <is>
          <t>BTA SEDE F</t>
        </is>
      </c>
      <c r="Q888" s="4" t="inlineStr">
        <is>
          <t>BELLAS ARTES</t>
        </is>
      </c>
      <c r="R888" s="4" t="n">
        <v>402</v>
      </c>
    </row>
    <row r="889" ht="20" customHeight="1">
      <c r="A889" s="6" t="inlineStr">
        <is>
          <t>1143408564</t>
        </is>
      </c>
      <c r="B889" s="7" t="inlineStr">
        <is>
          <t>PRESENCIAL BOGOTÁ</t>
        </is>
      </c>
      <c r="C889" s="7" t="inlineStr">
        <is>
          <t>SEBASTIAN DAVID GARCIA MENDOZA</t>
        </is>
      </c>
      <c r="D889" s="7" t="inlineStr">
        <is>
          <t>OPERACIONES</t>
        </is>
      </c>
      <c r="E889" s="7" t="inlineStr">
        <is>
          <t>REGIONAL BOGOTA</t>
        </is>
      </c>
      <c r="F889" s="7" t="inlineStr">
        <is>
          <t>BOGOTA CENTRO</t>
        </is>
      </c>
      <c r="G889" s="7" t="inlineStr">
        <is>
          <t>PRESENCIAL</t>
        </is>
      </c>
      <c r="H889" s="7" t="inlineStr">
        <is>
          <t>DOC AUX T&amp;T/N/TC/DIR PROD ME AUD/FUN.ACADE-ADMIN</t>
        </is>
      </c>
      <c r="I889" s="7" t="inlineStr">
        <is>
          <t>DIRECCION Y PRODUCCION DE MEDIOS AUDIOVISUALES</t>
        </is>
      </c>
      <c r="J889" s="7" t="inlineStr">
        <is>
          <t>REINTEGRO</t>
        </is>
      </c>
      <c r="K889" s="7" t="inlineStr">
        <is>
          <t>ANA SANCHEZ</t>
        </is>
      </c>
      <c r="L889" s="7" t="inlineStr">
        <is>
          <t>SIN RESPUESTA</t>
        </is>
      </c>
      <c r="M889" s="7" t="n">
        <v/>
      </c>
      <c r="N889" s="7" t="n">
        <v>3023268512</v>
      </c>
      <c r="O889" s="7" t="inlineStr">
        <is>
          <t>sebgarmen98@gmail.com</t>
        </is>
      </c>
      <c r="P889" s="7" t="inlineStr">
        <is>
          <t>BTA SEDE F</t>
        </is>
      </c>
      <c r="Q889" s="7" t="inlineStr">
        <is>
          <t>BELLAS ARTES</t>
        </is>
      </c>
      <c r="R889" s="7" t="n">
        <v>402</v>
      </c>
    </row>
    <row r="890" ht="20" customHeight="1">
      <c r="A890" s="3" t="inlineStr">
        <is>
          <t>1016041421</t>
        </is>
      </c>
      <c r="B890" s="4" t="inlineStr">
        <is>
          <t>PRESENCIAL BOGOTÁ</t>
        </is>
      </c>
      <c r="C890" s="4" t="inlineStr">
        <is>
          <t>JULIAN DAVID RINCON GALAN</t>
        </is>
      </c>
      <c r="D890" s="4" t="inlineStr">
        <is>
          <t>OPERACIONES</t>
        </is>
      </c>
      <c r="E890" s="4" t="inlineStr">
        <is>
          <t>REGIONAL BOGOTA</t>
        </is>
      </c>
      <c r="F890" s="4" t="inlineStr">
        <is>
          <t>BOGOTA CENTRO</t>
        </is>
      </c>
      <c r="G890" s="4" t="inlineStr">
        <is>
          <t>PRESENCIAL</t>
        </is>
      </c>
      <c r="H890" s="4" t="inlineStr">
        <is>
          <t>DOC AUX T&amp;T/N/TC/DIR PROD ME AUD/FUN.ACADE-ADMIN</t>
        </is>
      </c>
      <c r="I890" s="4" t="inlineStr">
        <is>
          <t>DIRECCION Y PRODUCCION DE MEDIOS AUDIOVISUALES</t>
        </is>
      </c>
      <c r="J890" s="4" t="inlineStr">
        <is>
          <t>REINTEGRO</t>
        </is>
      </c>
      <c r="K890" s="4" t="inlineStr">
        <is>
          <t>ANA SANCHEZ</t>
        </is>
      </c>
      <c r="L890" s="4" t="inlineStr">
        <is>
          <t>SIN RESPUESTA</t>
        </is>
      </c>
      <c r="M890" s="4" t="n">
        <v/>
      </c>
      <c r="N890" s="4" t="n">
        <v>3118928741</v>
      </c>
      <c r="O890" s="4" t="inlineStr">
        <is>
          <t>rincon.dvj@gmail.com</t>
        </is>
      </c>
      <c r="P890" s="4" t="inlineStr">
        <is>
          <t>BTA SEDE F</t>
        </is>
      </c>
      <c r="Q890" s="4" t="inlineStr">
        <is>
          <t>BELLAS ARTES</t>
        </is>
      </c>
      <c r="R890" s="4" t="n">
        <v>402</v>
      </c>
    </row>
    <row r="891" ht="20" customHeight="1">
      <c r="A891" s="6" t="inlineStr">
        <is>
          <t>1018421944</t>
        </is>
      </c>
      <c r="B891" s="7" t="inlineStr">
        <is>
          <t>PRESENCIAL BOGOTÁ</t>
        </is>
      </c>
      <c r="C891" s="7" t="inlineStr">
        <is>
          <t>ALVARO SANTIAGO JACOME FERREIRA</t>
        </is>
      </c>
      <c r="D891" s="7" t="inlineStr">
        <is>
          <t>OPERACIONES</t>
        </is>
      </c>
      <c r="E891" s="7" t="inlineStr">
        <is>
          <t>REGIONAL BOGOTA</t>
        </is>
      </c>
      <c r="F891" s="7" t="inlineStr">
        <is>
          <t>BOGOTA CENTRO</t>
        </is>
      </c>
      <c r="G891" s="7" t="inlineStr">
        <is>
          <t>PRESENCIAL</t>
        </is>
      </c>
      <c r="H891" s="7" t="inlineStr">
        <is>
          <t>DOCENTE AUX/N/TC/DIR PROD ME AUD/FUN.ACADE-ADMIN</t>
        </is>
      </c>
      <c r="I891" s="7" t="inlineStr">
        <is>
          <t>DIRECCION Y PRODUCCION DE MEDIOS AUDIOVISUALES</t>
        </is>
      </c>
      <c r="J891" s="7" t="inlineStr">
        <is>
          <t>REINTEGRO</t>
        </is>
      </c>
      <c r="K891" s="7" t="inlineStr">
        <is>
          <t>ANA SANCHEZ</t>
        </is>
      </c>
      <c r="L891" s="7" t="inlineStr">
        <is>
          <t>SIN RESPUESTA</t>
        </is>
      </c>
      <c r="M891" s="7" t="n">
        <v/>
      </c>
      <c r="N891" s="7" t="n">
        <v>3102215809</v>
      </c>
      <c r="O891" s="7" t="inlineStr">
        <is>
          <t>realhitsstudio@gmail.com</t>
        </is>
      </c>
      <c r="P891" s="7" t="inlineStr">
        <is>
          <t>BTA SEDE F</t>
        </is>
      </c>
      <c r="Q891" s="7" t="inlineStr">
        <is>
          <t>BELLAS ARTES</t>
        </is>
      </c>
      <c r="R891" s="7" t="n">
        <v>402</v>
      </c>
    </row>
    <row r="892" ht="20" customHeight="1">
      <c r="A892" s="3" t="inlineStr">
        <is>
          <t>1102890459</t>
        </is>
      </c>
      <c r="B892" s="4" t="inlineStr">
        <is>
          <t>PRESENCIAL REGIONAL</t>
        </is>
      </c>
      <c r="C892" s="4" t="inlineStr">
        <is>
          <t>PAULA ALEJANDRA URBINA GOMEZ</t>
        </is>
      </c>
      <c r="D892" s="4" t="inlineStr">
        <is>
          <t>OPERACIONES</t>
        </is>
      </c>
      <c r="E892" s="4" t="inlineStr">
        <is>
          <t>REGIONAL HUILA</t>
        </is>
      </c>
      <c r="F892" s="4" t="inlineStr">
        <is>
          <t>NEIVA</t>
        </is>
      </c>
      <c r="G892" s="4" t="inlineStr">
        <is>
          <t>PRESENCIAL</t>
        </is>
      </c>
      <c r="H892" s="4" t="inlineStr">
        <is>
          <t>DOC AUX T&amp;T/N/TC/DIS PROD MOD/FUN.ACADE-ADMIN</t>
        </is>
      </c>
      <c r="I892" s="4" t="inlineStr">
        <is>
          <t>DISEÑO DE MODA Y PATRONAJE</t>
        </is>
      </c>
      <c r="J892" s="4" t="inlineStr">
        <is>
          <t>REINTEGRO</t>
        </is>
      </c>
      <c r="K892" s="4" t="inlineStr">
        <is>
          <t>ANA SANCHEZ</t>
        </is>
      </c>
      <c r="L892" s="4" t="inlineStr">
        <is>
          <t>SIN RESPUESTA</t>
        </is>
      </c>
      <c r="M892" s="4" t="n">
        <v/>
      </c>
      <c r="N892" s="4" t="n">
        <v>3044722036</v>
      </c>
      <c r="O892" s="4" t="inlineStr">
        <is>
          <t>paulaurbina1999@gmail.com</t>
        </is>
      </c>
      <c r="P892" s="4" t="inlineStr">
        <is>
          <t>NEIVA SEDE</t>
        </is>
      </c>
      <c r="Q892" s="4" t="inlineStr">
        <is>
          <t>BELLAS ARTES</t>
        </is>
      </c>
      <c r="R892" s="4" t="n">
        <v/>
      </c>
    </row>
    <row r="893" ht="20" customHeight="1">
      <c r="A893" s="6" t="inlineStr">
        <is>
          <t>1110562052</t>
        </is>
      </c>
      <c r="B893" s="7" t="inlineStr">
        <is>
          <t>PRESENCIAL REGIONAL</t>
        </is>
      </c>
      <c r="C893" s="7" t="inlineStr">
        <is>
          <t>SAMUEL ESTEBAN SERNA MOLINA</t>
        </is>
      </c>
      <c r="D893" s="7" t="inlineStr">
        <is>
          <t>OPERACIONES</t>
        </is>
      </c>
      <c r="E893" s="7" t="inlineStr">
        <is>
          <t>REGIONAL TOLIMA</t>
        </is>
      </c>
      <c r="F893" s="7" t="inlineStr">
        <is>
          <t>IBAGUÉ</t>
        </is>
      </c>
      <c r="G893" s="7" t="inlineStr">
        <is>
          <t>PRESENCIAL</t>
        </is>
      </c>
      <c r="H893" s="7" t="inlineStr">
        <is>
          <t>DOC AUX T&amp;T/N/TC/DIS PROD MOD/FUN.ACADE-ADMIN</t>
        </is>
      </c>
      <c r="I893" s="7" t="inlineStr">
        <is>
          <t>DISEÑO DE MODA Y PATRONAJE</t>
        </is>
      </c>
      <c r="J893" s="7" t="inlineStr">
        <is>
          <t>REINTEGRO</t>
        </is>
      </c>
      <c r="K893" s="7" t="inlineStr">
        <is>
          <t>ANA SANCHEZ</t>
        </is>
      </c>
      <c r="L893" s="7" t="inlineStr">
        <is>
          <t>SIN RESPUESTA</t>
        </is>
      </c>
      <c r="M893" s="7" t="n">
        <v/>
      </c>
      <c r="N893" s="7" t="n">
        <v>3245967594</v>
      </c>
      <c r="O893" s="7" t="inlineStr">
        <is>
          <t>SAMUELSSERNA@HOTMAIL.COM</t>
        </is>
      </c>
      <c r="P893" s="7" t="inlineStr">
        <is>
          <t>IBAGUE SEDE</t>
        </is>
      </c>
      <c r="Q893" s="7" t="inlineStr">
        <is>
          <t>BELLAS ARTES</t>
        </is>
      </c>
      <c r="R893" s="7" t="n">
        <v/>
      </c>
    </row>
    <row r="894" ht="20" customHeight="1">
      <c r="A894" s="3" t="inlineStr">
        <is>
          <t>1098640126</t>
        </is>
      </c>
      <c r="B894" s="4" t="inlineStr">
        <is>
          <t>PRESENCIAL REGIONAL</t>
        </is>
      </c>
      <c r="C894" s="4" t="inlineStr">
        <is>
          <t>JORGE ANDRES PEREZ GAMBOA</t>
        </is>
      </c>
      <c r="D894" s="4" t="inlineStr">
        <is>
          <t>OPERACIONES</t>
        </is>
      </c>
      <c r="E894" s="4" t="inlineStr">
        <is>
          <t>REGIONAL HUILA</t>
        </is>
      </c>
      <c r="F894" s="4" t="inlineStr">
        <is>
          <t>NEIVA</t>
        </is>
      </c>
      <c r="G894" s="4" t="inlineStr">
        <is>
          <t>PRESENCIAL</t>
        </is>
      </c>
      <c r="H894" s="4" t="inlineStr">
        <is>
          <t>DOC AUX T&amp;T/N/TC/DIS GRAFICO/PROYECCION</t>
        </is>
      </c>
      <c r="I894" s="4" t="inlineStr">
        <is>
          <t>DISEÑO GRAFICO</t>
        </is>
      </c>
      <c r="J894" s="4" t="inlineStr">
        <is>
          <t>REINTEGRO</t>
        </is>
      </c>
      <c r="K894" s="4" t="inlineStr">
        <is>
          <t>ANA SANCHEZ</t>
        </is>
      </c>
      <c r="L894" s="4" t="inlineStr">
        <is>
          <t>CONFIRMADO PRESENCIAL</t>
        </is>
      </c>
      <c r="M894" s="4" t="n">
        <v/>
      </c>
      <c r="N894" s="4" t="n">
        <v>3167570661</v>
      </c>
      <c r="O894" s="4" t="inlineStr">
        <is>
          <t>i.d.jorgeandresperez@gmail.com</t>
        </is>
      </c>
      <c r="P894" s="4" t="inlineStr">
        <is>
          <t>NEIVA SEDE</t>
        </is>
      </c>
      <c r="Q894" s="4" t="inlineStr">
        <is>
          <t>BELLAS ARTES</t>
        </is>
      </c>
      <c r="R894" s="4" t="n">
        <v/>
      </c>
    </row>
    <row r="895" ht="20" customHeight="1">
      <c r="A895" s="6" t="inlineStr">
        <is>
          <t>53118361</t>
        </is>
      </c>
      <c r="B895" s="7" t="inlineStr">
        <is>
          <t>PRESENCIAL BOGOTÁ</t>
        </is>
      </c>
      <c r="C895" s="7" t="inlineStr">
        <is>
          <t>NATHALIA LOPEZ ZAMBRANO</t>
        </is>
      </c>
      <c r="D895" s="7" t="inlineStr">
        <is>
          <t>OPERACIONES</t>
        </is>
      </c>
      <c r="E895" s="7" t="inlineStr">
        <is>
          <t>REGIONAL BOGOTA</t>
        </is>
      </c>
      <c r="F895" s="7" t="inlineStr">
        <is>
          <t>BOGOTA CENTRO</t>
        </is>
      </c>
      <c r="G895" s="7" t="inlineStr">
        <is>
          <t>PRESENCIAL</t>
        </is>
      </c>
      <c r="H895" s="7" t="inlineStr">
        <is>
          <t>DOCENTE ASIS/N/TC/DIS GRAFICO/FUN.ACADE-ADMIN</t>
        </is>
      </c>
      <c r="I895" s="7" t="inlineStr">
        <is>
          <t>DISEÑO GRAFICO</t>
        </is>
      </c>
      <c r="J895" s="7" t="inlineStr">
        <is>
          <t>REINTEGRO</t>
        </is>
      </c>
      <c r="K895" s="7" t="inlineStr">
        <is>
          <t>ANA SANCHEZ</t>
        </is>
      </c>
      <c r="L895" s="7" t="inlineStr">
        <is>
          <t>CONFIRMADO PRESENCIAL</t>
        </is>
      </c>
      <c r="M895" s="7" t="n">
        <v/>
      </c>
      <c r="N895" s="7" t="n">
        <v>3178252761</v>
      </c>
      <c r="O895" s="7" t="inlineStr">
        <is>
          <t>renathalopezam@gmail.com</t>
        </is>
      </c>
      <c r="P895" s="7" t="inlineStr">
        <is>
          <t>BTA SEDE F</t>
        </is>
      </c>
      <c r="Q895" s="7" t="inlineStr">
        <is>
          <t>BELLAS ARTES</t>
        </is>
      </c>
      <c r="R895" s="7" t="n">
        <v>402</v>
      </c>
    </row>
    <row r="896" ht="20" customHeight="1">
      <c r="A896" s="3" t="inlineStr">
        <is>
          <t>52219581</t>
        </is>
      </c>
      <c r="B896" s="4" t="inlineStr">
        <is>
          <t>PRESENCIAL BOGOTÁ</t>
        </is>
      </c>
      <c r="C896" s="4" t="inlineStr">
        <is>
          <t>PAOLA ANDREA DLUYZ MONSALVE</t>
        </is>
      </c>
      <c r="D896" s="4" t="inlineStr">
        <is>
          <t>OPERACIONES</t>
        </is>
      </c>
      <c r="E896" s="4" t="inlineStr">
        <is>
          <t>REGIONAL BOGOTA</t>
        </is>
      </c>
      <c r="F896" s="4" t="inlineStr">
        <is>
          <t>BOGOTA CENTRO</t>
        </is>
      </c>
      <c r="G896" s="4" t="inlineStr">
        <is>
          <t>PRESENCIAL</t>
        </is>
      </c>
      <c r="H896" s="4" t="inlineStr">
        <is>
          <t>DOCENTE ASIS/N/TC/DIS GRAFICO/FUN.ACADE-ADMIN</t>
        </is>
      </c>
      <c r="I896" s="4" t="inlineStr">
        <is>
          <t>DISEÑO GRAFICO</t>
        </is>
      </c>
      <c r="J896" s="4" t="inlineStr">
        <is>
          <t>REINTEGRO</t>
        </is>
      </c>
      <c r="K896" s="4" t="inlineStr">
        <is>
          <t>ANA SANCHEZ</t>
        </is>
      </c>
      <c r="L896" s="4" t="inlineStr">
        <is>
          <t>CONFIRMADO PRESENCIAL</t>
        </is>
      </c>
      <c r="M896" s="4" t="n">
        <v/>
      </c>
      <c r="N896" s="4" t="n">
        <v>3203498774</v>
      </c>
      <c r="O896" s="4" t="inlineStr">
        <is>
          <t>pdluyz@gmail.com</t>
        </is>
      </c>
      <c r="P896" s="4" t="inlineStr">
        <is>
          <t>BTA SEDE F</t>
        </is>
      </c>
      <c r="Q896" s="4" t="inlineStr">
        <is>
          <t>BELLAS ARTES</t>
        </is>
      </c>
      <c r="R896" s="4" t="n">
        <v>402</v>
      </c>
    </row>
    <row r="897" ht="20" customHeight="1">
      <c r="A897" s="6" t="inlineStr">
        <is>
          <t>1026272735</t>
        </is>
      </c>
      <c r="B897" s="7" t="inlineStr">
        <is>
          <t>PRESENCIAL BOGOTÁ</t>
        </is>
      </c>
      <c r="C897" s="7" t="inlineStr">
        <is>
          <t>LEONARDO REYES CATÓLICO</t>
        </is>
      </c>
      <c r="D897" s="7" t="inlineStr">
        <is>
          <t>OPERACIONES</t>
        </is>
      </c>
      <c r="E897" s="7" t="inlineStr">
        <is>
          <t>REGIONAL BOGOTA</t>
        </is>
      </c>
      <c r="F897" s="7" t="inlineStr">
        <is>
          <t>BOGOTA CENTRO</t>
        </is>
      </c>
      <c r="G897" s="7" t="inlineStr">
        <is>
          <t>PRESENCIAL</t>
        </is>
      </c>
      <c r="H897" s="7" t="inlineStr">
        <is>
          <t>DOCENTE ASIS/N/TC/DIS GRAFICO/FUN.ACADE-ADMIN</t>
        </is>
      </c>
      <c r="I897" s="7" t="inlineStr">
        <is>
          <t>DISEÑO GRAFICO</t>
        </is>
      </c>
      <c r="J897" s="7" t="inlineStr">
        <is>
          <t>REINTEGRO</t>
        </is>
      </c>
      <c r="K897" s="7" t="inlineStr">
        <is>
          <t>ANA SANCHEZ</t>
        </is>
      </c>
      <c r="L897" s="7" t="inlineStr">
        <is>
          <t>CONFIRMADO PRESENCIAL</t>
        </is>
      </c>
      <c r="M897" s="7" t="n">
        <v/>
      </c>
      <c r="N897" s="7" t="n">
        <v>3166020777</v>
      </c>
      <c r="O897" s="7" t="inlineStr">
        <is>
          <t>lioniandi@hotmail.com</t>
        </is>
      </c>
      <c r="P897" s="7" t="inlineStr">
        <is>
          <t>BTA SEDE F</t>
        </is>
      </c>
      <c r="Q897" s="7" t="inlineStr">
        <is>
          <t>BELLAS ARTES</t>
        </is>
      </c>
      <c r="R897" s="7" t="n">
        <v>402</v>
      </c>
    </row>
    <row r="898" ht="20" customHeight="1">
      <c r="A898" s="3" t="inlineStr">
        <is>
          <t>1015422840</t>
        </is>
      </c>
      <c r="B898" s="4" t="inlineStr">
        <is>
          <t>PRESENCIAL BOGOTÁ</t>
        </is>
      </c>
      <c r="C898" s="4" t="inlineStr">
        <is>
          <t>JEISSON EDUARDO PEREZ PARDO</t>
        </is>
      </c>
      <c r="D898" s="4" t="inlineStr">
        <is>
          <t>OPERACIONES</t>
        </is>
      </c>
      <c r="E898" s="4" t="inlineStr">
        <is>
          <t>REGIONAL BOGOTA</t>
        </is>
      </c>
      <c r="F898" s="4" t="inlineStr">
        <is>
          <t>BOGOTA CENTRO</t>
        </is>
      </c>
      <c r="G898" s="4" t="inlineStr">
        <is>
          <t>PRESENCIAL</t>
        </is>
      </c>
      <c r="H898" s="4" t="inlineStr">
        <is>
          <t>DOCENTE AUX/N/TC/DIS GRAFICO/FUN.ACADE-ADMIN</t>
        </is>
      </c>
      <c r="I898" s="4" t="inlineStr">
        <is>
          <t>DISEÑO GRAFICO</t>
        </is>
      </c>
      <c r="J898" s="4" t="inlineStr">
        <is>
          <t>REINTEGRO</t>
        </is>
      </c>
      <c r="K898" s="4" t="inlineStr">
        <is>
          <t>ANA SANCHEZ</t>
        </is>
      </c>
      <c r="L898" s="4" t="inlineStr">
        <is>
          <t>CONFIRMADO PRESENCIAL</t>
        </is>
      </c>
      <c r="M898" s="4" t="n">
        <v/>
      </c>
      <c r="N898" s="4" t="n">
        <v>3187345031</v>
      </c>
      <c r="O898" s="4" t="inlineStr">
        <is>
          <t>JEISSONE.PEREZPARDO@GMAIL.COM</t>
        </is>
      </c>
      <c r="P898" s="4" t="inlineStr">
        <is>
          <t>BTA SEDE F</t>
        </is>
      </c>
      <c r="Q898" s="4" t="inlineStr">
        <is>
          <t>BELLAS ARTES</t>
        </is>
      </c>
      <c r="R898" s="4" t="n">
        <v>402</v>
      </c>
    </row>
    <row r="899" ht="20" customHeight="1">
      <c r="A899" s="6" t="inlineStr">
        <is>
          <t>7691663</t>
        </is>
      </c>
      <c r="B899" s="7" t="inlineStr">
        <is>
          <t>PRESENCIAL REGIONAL</t>
        </is>
      </c>
      <c r="C899" s="7" t="inlineStr">
        <is>
          <t>MARCO ANTONIO MORENO MUÑOZ</t>
        </is>
      </c>
      <c r="D899" s="7" t="inlineStr">
        <is>
          <t>OPERACIONES</t>
        </is>
      </c>
      <c r="E899" s="7" t="inlineStr">
        <is>
          <t>REGIONAL HUILA</t>
        </is>
      </c>
      <c r="F899" s="7" t="inlineStr">
        <is>
          <t>NEIVA</t>
        </is>
      </c>
      <c r="G899" s="7" t="inlineStr">
        <is>
          <t>PRESENCIAL</t>
        </is>
      </c>
      <c r="H899" s="7" t="inlineStr">
        <is>
          <t>DOCENTE AUX/N/TC/DIS GRAFICO/FUN.ACADE-ADMIN</t>
        </is>
      </c>
      <c r="I899" s="7" t="inlineStr">
        <is>
          <t>DISEÑO GRAFICO</t>
        </is>
      </c>
      <c r="J899" s="7" t="inlineStr">
        <is>
          <t>REINTEGRO</t>
        </is>
      </c>
      <c r="K899" s="7" t="inlineStr">
        <is>
          <t>ANA SANCHEZ</t>
        </is>
      </c>
      <c r="L899" s="7" t="inlineStr">
        <is>
          <t>SIN RESPUESTA</t>
        </is>
      </c>
      <c r="M899" s="7" t="n">
        <v/>
      </c>
      <c r="N899" s="7" t="n">
        <v>3104708895</v>
      </c>
      <c r="O899" s="7" t="inlineStr">
        <is>
          <t>marcomore@gmail.com</t>
        </is>
      </c>
      <c r="P899" s="7" t="inlineStr">
        <is>
          <t>NEIVA SEDE</t>
        </is>
      </c>
      <c r="Q899" s="7" t="inlineStr">
        <is>
          <t>BELLAS ARTES</t>
        </is>
      </c>
      <c r="R899" s="7" t="n">
        <v/>
      </c>
    </row>
    <row r="900" ht="20" customHeight="1">
      <c r="A900" s="3" t="inlineStr">
        <is>
          <t>8731077</t>
        </is>
      </c>
      <c r="B900" s="4" t="inlineStr">
        <is>
          <t>PRESENCIAL BOGOTÁ</t>
        </is>
      </c>
      <c r="C900" s="4" t="inlineStr">
        <is>
          <t>JAVIER ANTONIO VARGAS ACOSTA</t>
        </is>
      </c>
      <c r="D900" s="4" t="inlineStr">
        <is>
          <t>OPERACIONES</t>
        </is>
      </c>
      <c r="E900" s="4" t="inlineStr">
        <is>
          <t>REGIONAL BOGOTA</t>
        </is>
      </c>
      <c r="F900" s="4" t="inlineStr">
        <is>
          <t>BOGOTA CENTRO</t>
        </is>
      </c>
      <c r="G900" s="4" t="inlineStr">
        <is>
          <t>PRESENCIAL</t>
        </is>
      </c>
      <c r="H900" s="4" t="inlineStr">
        <is>
          <t>DOCENTE ASIS/N/TC/DIS GRAFICO/FUN.ACADE-ADMIN</t>
        </is>
      </c>
      <c r="I900" s="4" t="inlineStr">
        <is>
          <t>DISEÑO GRAFICO</t>
        </is>
      </c>
      <c r="J900" s="4" t="inlineStr">
        <is>
          <t>REINTEGRO</t>
        </is>
      </c>
      <c r="K900" s="4" t="inlineStr">
        <is>
          <t>ANA SANCHEZ</t>
        </is>
      </c>
      <c r="L900" s="4" t="inlineStr">
        <is>
          <t>CONFIRMADO PRESENCIAL</t>
        </is>
      </c>
      <c r="M900" s="4" t="n">
        <v/>
      </c>
      <c r="N900" s="4" t="n">
        <v>3176813490</v>
      </c>
      <c r="O900" s="4" t="inlineStr">
        <is>
          <t>vjavier7@gmail.com</t>
        </is>
      </c>
      <c r="P900" s="4" t="inlineStr">
        <is>
          <t>BTA SEDE F</t>
        </is>
      </c>
      <c r="Q900" s="4" t="inlineStr">
        <is>
          <t>BELLAS ARTES</t>
        </is>
      </c>
      <c r="R900" s="4" t="n">
        <v>402</v>
      </c>
    </row>
    <row r="901" ht="20" customHeight="1">
      <c r="A901" s="6" t="inlineStr">
        <is>
          <t>1071987725</t>
        </is>
      </c>
      <c r="B901" s="7" t="inlineStr">
        <is>
          <t>PRESENCIAL BOGOTÁ</t>
        </is>
      </c>
      <c r="C901" s="7" t="inlineStr">
        <is>
          <t>ADRIANA JUDITH SANCHEZ HERNANDEZ</t>
        </is>
      </c>
      <c r="D901" s="7" t="inlineStr">
        <is>
          <t>OPERACIONES</t>
        </is>
      </c>
      <c r="E901" s="7" t="inlineStr">
        <is>
          <t>REGIONAL BOGOTA</t>
        </is>
      </c>
      <c r="F901" s="7" t="inlineStr">
        <is>
          <t>BOGOTA CENTRO</t>
        </is>
      </c>
      <c r="G901" s="7" t="inlineStr">
        <is>
          <t>PRESENCIAL</t>
        </is>
      </c>
      <c r="H901" s="7" t="inlineStr">
        <is>
          <t>DOCENTE AUX/N/TC/DIS GRAFICO/FUN.ACADE-ADMIN</t>
        </is>
      </c>
      <c r="I901" s="7" t="inlineStr">
        <is>
          <t>DISEÑO GRAFICO</t>
        </is>
      </c>
      <c r="J901" s="7" t="inlineStr">
        <is>
          <t>REINTEGRO</t>
        </is>
      </c>
      <c r="K901" s="7" t="inlineStr">
        <is>
          <t>ANA SANCHEZ</t>
        </is>
      </c>
      <c r="L901" s="7" t="inlineStr">
        <is>
          <t>CONFIRMADO PRESENCIAL</t>
        </is>
      </c>
      <c r="M901" s="7" t="n">
        <v/>
      </c>
      <c r="N901" s="7" t="n">
        <v>3166136100</v>
      </c>
      <c r="O901" s="7" t="inlineStr">
        <is>
          <t>judith_j@hotmail.es</t>
        </is>
      </c>
      <c r="P901" s="7" t="inlineStr">
        <is>
          <t>BTA SEDE F</t>
        </is>
      </c>
      <c r="Q901" s="7" t="inlineStr">
        <is>
          <t>BELLAS ARTES</t>
        </is>
      </c>
      <c r="R901" s="7" t="n">
        <v>402</v>
      </c>
    </row>
    <row r="902" ht="20" customHeight="1">
      <c r="A902" s="3" t="inlineStr">
        <is>
          <t>80931741</t>
        </is>
      </c>
      <c r="B902" s="4" t="inlineStr">
        <is>
          <t>PRESENCIAL BOGOTÁ</t>
        </is>
      </c>
      <c r="C902" s="4" t="inlineStr">
        <is>
          <t>ANDRES RUFINO BARRETO ALARCON</t>
        </is>
      </c>
      <c r="D902" s="4" t="inlineStr">
        <is>
          <t>OPERACIONES</t>
        </is>
      </c>
      <c r="E902" s="4" t="inlineStr">
        <is>
          <t>REGIONAL BOGOTA</t>
        </is>
      </c>
      <c r="F902" s="4" t="inlineStr">
        <is>
          <t>BOGOTA CENTRO</t>
        </is>
      </c>
      <c r="G902" s="4" t="inlineStr">
        <is>
          <t>PRESENCIAL</t>
        </is>
      </c>
      <c r="H902" s="4" t="inlineStr">
        <is>
          <t>DOC AUX T&amp;T/N/TC/DIS GRAFICO/FUN.ACADE-ADMIN</t>
        </is>
      </c>
      <c r="I902" s="4" t="inlineStr">
        <is>
          <t>DISEÑO GRAFICO</t>
        </is>
      </c>
      <c r="J902" s="4" t="inlineStr">
        <is>
          <t>REINTEGRO</t>
        </is>
      </c>
      <c r="K902" s="4" t="inlineStr">
        <is>
          <t>ANA SANCHEZ</t>
        </is>
      </c>
      <c r="L902" s="4" t="inlineStr">
        <is>
          <t>PENDIENTE POR CONFIRMAR</t>
        </is>
      </c>
      <c r="M902" s="4" t="n">
        <v/>
      </c>
      <c r="N902" s="4" t="n">
        <v>3223780285</v>
      </c>
      <c r="O902" s="4" t="inlineStr">
        <is>
          <t>rufopage85@gmail.com</t>
        </is>
      </c>
      <c r="P902" s="4" t="inlineStr">
        <is>
          <t>BTA SEDE F</t>
        </is>
      </c>
      <c r="Q902" s="4" t="inlineStr">
        <is>
          <t>BELLAS ARTES</t>
        </is>
      </c>
      <c r="R902" s="4" t="n">
        <v>402</v>
      </c>
    </row>
    <row r="903" ht="20" customHeight="1">
      <c r="A903" s="6" t="inlineStr">
        <is>
          <t>1233912982</t>
        </is>
      </c>
      <c r="B903" s="7" t="inlineStr">
        <is>
          <t>PRESENCIAL BOGOTÁ</t>
        </is>
      </c>
      <c r="C903" s="7" t="inlineStr">
        <is>
          <t>JOAN SEBASTIAN MAYORGA CABRERA</t>
        </is>
      </c>
      <c r="D903" s="7" t="inlineStr">
        <is>
          <t>OPERACIONES</t>
        </is>
      </c>
      <c r="E903" s="7" t="inlineStr">
        <is>
          <t>REGIONAL BOGOTA</t>
        </is>
      </c>
      <c r="F903" s="7" t="inlineStr">
        <is>
          <t>BOGOTA CENTRO</t>
        </is>
      </c>
      <c r="G903" s="7" t="inlineStr">
        <is>
          <t>PRESENCIAL</t>
        </is>
      </c>
      <c r="H903" s="7" t="inlineStr">
        <is>
          <t>DOCENTE AUX/N/TC/DIS GRAFICO/PROYECCION</t>
        </is>
      </c>
      <c r="I903" s="7" t="inlineStr">
        <is>
          <t>DISEÑO GRAFICO</t>
        </is>
      </c>
      <c r="J903" s="7" t="inlineStr">
        <is>
          <t>REINTEGRO</t>
        </is>
      </c>
      <c r="K903" s="7" t="inlineStr">
        <is>
          <t>ANA SANCHEZ</t>
        </is>
      </c>
      <c r="L903" s="7" t="inlineStr">
        <is>
          <t>CONFIRMADO PRESENCIAL</t>
        </is>
      </c>
      <c r="M903" s="7" t="n">
        <v/>
      </c>
      <c r="N903" s="7" t="n">
        <v>3132437030</v>
      </c>
      <c r="O903" s="7" t="inlineStr">
        <is>
          <t>jsmayorgaca@unal.edu.co</t>
        </is>
      </c>
      <c r="P903" s="7" t="inlineStr">
        <is>
          <t>BTA SEDE F</t>
        </is>
      </c>
      <c r="Q903" s="7" t="inlineStr">
        <is>
          <t>BELLAS ARTES</t>
        </is>
      </c>
      <c r="R903" s="7" t="n">
        <v>402</v>
      </c>
    </row>
    <row r="904" ht="20" customHeight="1">
      <c r="A904" s="3" t="inlineStr">
        <is>
          <t>1032424495</t>
        </is>
      </c>
      <c r="B904" s="4" t="inlineStr">
        <is>
          <t>PRESENCIAL BOGOTÁ</t>
        </is>
      </c>
      <c r="C904" s="4" t="inlineStr">
        <is>
          <t>JULIETH ESMERALDA BAQUERO SAENZ</t>
        </is>
      </c>
      <c r="D904" s="4" t="inlineStr">
        <is>
          <t>OPERACIONES</t>
        </is>
      </c>
      <c r="E904" s="4" t="inlineStr">
        <is>
          <t>REGIONAL BOGOTA</t>
        </is>
      </c>
      <c r="F904" s="4" t="inlineStr">
        <is>
          <t>BOGOTA CENTRO</t>
        </is>
      </c>
      <c r="G904" s="4" t="inlineStr">
        <is>
          <t>PRESENCIAL</t>
        </is>
      </c>
      <c r="H904" s="4" t="inlineStr">
        <is>
          <t>DOC AUX T&amp;T/N/TC/DIS GRAFICO/FUN.ACADE-ADMIN</t>
        </is>
      </c>
      <c r="I904" s="4" t="inlineStr">
        <is>
          <t>DISEÑO GRAFICO</t>
        </is>
      </c>
      <c r="J904" s="4" t="inlineStr">
        <is>
          <t>REINTEGRO</t>
        </is>
      </c>
      <c r="K904" s="4" t="inlineStr">
        <is>
          <t>ANA SANCHEZ</t>
        </is>
      </c>
      <c r="L904" s="4" t="inlineStr">
        <is>
          <t>CONFIRMADO PRESENCIAL</t>
        </is>
      </c>
      <c r="M904" s="4" t="n">
        <v/>
      </c>
      <c r="N904" s="4" t="n">
        <v>3229045136</v>
      </c>
      <c r="O904" s="4" t="inlineStr">
        <is>
          <t>juliethsaenz@hotmail.com</t>
        </is>
      </c>
      <c r="P904" s="4" t="inlineStr">
        <is>
          <t>BTA SEDE F</t>
        </is>
      </c>
      <c r="Q904" s="4" t="inlineStr">
        <is>
          <t>BELLAS ARTES</t>
        </is>
      </c>
      <c r="R904" s="4" t="n">
        <v>402</v>
      </c>
    </row>
    <row r="905" ht="20" customHeight="1">
      <c r="A905" s="6" t="inlineStr">
        <is>
          <t>1013603555</t>
        </is>
      </c>
      <c r="B905" s="7" t="inlineStr">
        <is>
          <t>PRESENCIAL BOGOTÁ</t>
        </is>
      </c>
      <c r="C905" s="7" t="inlineStr">
        <is>
          <t>DAVID FERNANDO JURADO MONTOYA</t>
        </is>
      </c>
      <c r="D905" s="7" t="inlineStr">
        <is>
          <t>OPERACIONES</t>
        </is>
      </c>
      <c r="E905" s="7" t="inlineStr">
        <is>
          <t>REGIONAL BOGOTA</t>
        </is>
      </c>
      <c r="F905" s="7" t="inlineStr">
        <is>
          <t>BOGOTA CENTRO</t>
        </is>
      </c>
      <c r="G905" s="7" t="inlineStr">
        <is>
          <t>VIRTUAL</t>
        </is>
      </c>
      <c r="H905" s="7" t="inlineStr">
        <is>
          <t>DOC ASOC/N/V/MT/DIS GRAFICO</t>
        </is>
      </c>
      <c r="I905" s="7" t="inlineStr">
        <is>
          <t>DISEÑO GRAFICO</t>
        </is>
      </c>
      <c r="J905" s="7" t="inlineStr">
        <is>
          <t>REINTEGRO</t>
        </is>
      </c>
      <c r="K905" s="7" t="inlineStr">
        <is>
          <t>ANA SANCHEZ</t>
        </is>
      </c>
      <c r="L905" s="7" t="inlineStr">
        <is>
          <t>CONFIRMADO PRESENCIAL</t>
        </is>
      </c>
      <c r="M905" s="7" t="n">
        <v/>
      </c>
      <c r="N905" s="7" t="n">
        <v>3016309773</v>
      </c>
      <c r="O905" s="7" t="inlineStr">
        <is>
          <t>dajuradom@gmail.com</t>
        </is>
      </c>
      <c r="P905" s="7" t="inlineStr">
        <is>
          <t>BTA SEDE A</t>
        </is>
      </c>
      <c r="Q905" s="7" t="inlineStr">
        <is>
          <t>BELLAS ARTES</t>
        </is>
      </c>
      <c r="R905" s="7" t="n">
        <v>402</v>
      </c>
    </row>
    <row r="906" ht="20" customHeight="1">
      <c r="A906" s="3" t="inlineStr">
        <is>
          <t>1075322807</t>
        </is>
      </c>
      <c r="B906" s="4" t="inlineStr">
        <is>
          <t>PRESENCIAL REGIONAL</t>
        </is>
      </c>
      <c r="C906" s="4" t="inlineStr">
        <is>
          <t>GERMAN DAVID CAMACHO GUEVARA</t>
        </is>
      </c>
      <c r="D906" s="4" t="inlineStr">
        <is>
          <t>OPERACIONES</t>
        </is>
      </c>
      <c r="E906" s="4" t="inlineStr">
        <is>
          <t>REGIONAL HUILA</t>
        </is>
      </c>
      <c r="F906" s="4" t="inlineStr">
        <is>
          <t>NEIVA</t>
        </is>
      </c>
      <c r="G906" s="4" t="inlineStr">
        <is>
          <t>PRESENCIAL</t>
        </is>
      </c>
      <c r="H906" s="4" t="inlineStr">
        <is>
          <t>DOC AUX T&amp;T/N/TC/DIS GRAFICO/PROYECCION</t>
        </is>
      </c>
      <c r="I906" s="4" t="inlineStr">
        <is>
          <t>DISEÑO GRAFICO</t>
        </is>
      </c>
      <c r="J906" s="4" t="inlineStr">
        <is>
          <t>REINTEGRO</t>
        </is>
      </c>
      <c r="K906" s="4" t="inlineStr">
        <is>
          <t>ANA SANCHEZ</t>
        </is>
      </c>
      <c r="L906" s="4" t="inlineStr">
        <is>
          <t>CONFIRMADO PRESENCIAL</t>
        </is>
      </c>
      <c r="M906" s="4" t="n">
        <v/>
      </c>
      <c r="N906" s="4" t="n">
        <v>3222402400</v>
      </c>
      <c r="O906" s="4" t="inlineStr">
        <is>
          <t>Gcamacho0124@gmail.com</t>
        </is>
      </c>
      <c r="P906" s="4" t="inlineStr">
        <is>
          <t>NEIVA SEDE</t>
        </is>
      </c>
      <c r="Q906" s="4" t="inlineStr">
        <is>
          <t>BELLAS ARTES</t>
        </is>
      </c>
      <c r="R906" s="4" t="n">
        <v/>
      </c>
    </row>
    <row r="907" ht="20" customHeight="1">
      <c r="A907" s="6" t="inlineStr">
        <is>
          <t>80110361</t>
        </is>
      </c>
      <c r="B907" s="7" t="inlineStr">
        <is>
          <t>PRESENCIAL BOGOTÁ</t>
        </is>
      </c>
      <c r="C907" s="7" t="inlineStr">
        <is>
          <t>JAIME ANDRES TAUTIVA GOMEZ</t>
        </is>
      </c>
      <c r="D907" s="7" t="inlineStr">
        <is>
          <t>OPERACIONES</t>
        </is>
      </c>
      <c r="E907" s="7" t="inlineStr">
        <is>
          <t>REGIONAL BOGOTA</t>
        </is>
      </c>
      <c r="F907" s="7" t="inlineStr">
        <is>
          <t>BOGOTA CENTRO</t>
        </is>
      </c>
      <c r="G907" s="7" t="inlineStr">
        <is>
          <t>PRESENCIAL</t>
        </is>
      </c>
      <c r="H907" s="7" t="inlineStr">
        <is>
          <t>DOCENTE ASIS/N/TC/DIS GRAFICO/FUN.ACADE-ADMIN</t>
        </is>
      </c>
      <c r="I907" s="7" t="inlineStr">
        <is>
          <t>DISEÑO GRAFICO</t>
        </is>
      </c>
      <c r="J907" s="7" t="inlineStr">
        <is>
          <t>REINTEGRO</t>
        </is>
      </c>
      <c r="K907" s="7" t="inlineStr">
        <is>
          <t>ANA SANCHEZ</t>
        </is>
      </c>
      <c r="L907" s="7" t="inlineStr">
        <is>
          <t>CONFIRMADO PRESENCIAL</t>
        </is>
      </c>
      <c r="M907" s="7" t="n">
        <v/>
      </c>
      <c r="N907" s="7" t="n">
        <v>3125529196</v>
      </c>
      <c r="O907" s="7" t="inlineStr">
        <is>
          <t>jtautiva@gmail.com</t>
        </is>
      </c>
      <c r="P907" s="7" t="inlineStr">
        <is>
          <t>BTA SEDE F</t>
        </is>
      </c>
      <c r="Q907" s="7" t="inlineStr">
        <is>
          <t>BELLAS ARTES</t>
        </is>
      </c>
      <c r="R907" s="7" t="n">
        <v>402</v>
      </c>
    </row>
    <row r="908" ht="20" customHeight="1">
      <c r="A908" s="3" t="inlineStr">
        <is>
          <t>1031181367</t>
        </is>
      </c>
      <c r="B908" s="4" t="inlineStr">
        <is>
          <t>PRESENCIAL BOGOTÁ</t>
        </is>
      </c>
      <c r="C908" s="4" t="inlineStr">
        <is>
          <t>LEIDY TATIANA LEON SANCHEZ</t>
        </is>
      </c>
      <c r="D908" s="4" t="inlineStr">
        <is>
          <t>OPERACIONES</t>
        </is>
      </c>
      <c r="E908" s="4" t="inlineStr">
        <is>
          <t>REGIONAL BOGOTA</t>
        </is>
      </c>
      <c r="F908" s="4" t="inlineStr">
        <is>
          <t>BOGOTA CENTRO</t>
        </is>
      </c>
      <c r="G908" s="4" t="inlineStr">
        <is>
          <t>PRESENCIAL</t>
        </is>
      </c>
      <c r="H908" s="4" t="inlineStr">
        <is>
          <t>DOC AUX T&amp;T/N/TC/DIS GRAFICO/FUN.ACADE-ADMIN</t>
        </is>
      </c>
      <c r="I908" s="4" t="inlineStr">
        <is>
          <t>DISEÑO GRAFICO</t>
        </is>
      </c>
      <c r="J908" s="4" t="inlineStr">
        <is>
          <t>REINTEGRO</t>
        </is>
      </c>
      <c r="K908" s="4" t="inlineStr">
        <is>
          <t>ANA SANCHEZ</t>
        </is>
      </c>
      <c r="L908" s="4" t="inlineStr">
        <is>
          <t>SIN RESPUESTA</t>
        </is>
      </c>
      <c r="M908" s="4" t="n">
        <v/>
      </c>
      <c r="N908" s="4" t="n">
        <v>3195092154</v>
      </c>
      <c r="O908" s="4" t="inlineStr">
        <is>
          <t>tatiana9917sanchez@gmail.com</t>
        </is>
      </c>
      <c r="P908" s="4" t="inlineStr">
        <is>
          <t>BTA SEDE F</t>
        </is>
      </c>
      <c r="Q908" s="4" t="inlineStr">
        <is>
          <t>BELLAS ARTES</t>
        </is>
      </c>
      <c r="R908" s="4" t="n">
        <v>402</v>
      </c>
    </row>
    <row r="909" ht="20" customHeight="1">
      <c r="A909" s="6" t="inlineStr">
        <is>
          <t>1083001191</t>
        </is>
      </c>
      <c r="B909" s="7" t="inlineStr">
        <is>
          <t>VIRTUAL</t>
        </is>
      </c>
      <c r="C909" s="7" t="inlineStr">
        <is>
          <t>LADY MARIANE FONTALVO TOLOSA</t>
        </is>
      </c>
      <c r="D909" s="7" t="inlineStr">
        <is>
          <t>OPERACIONES</t>
        </is>
      </c>
      <c r="E909" s="7" t="inlineStr">
        <is>
          <t>REGIONAL MAGDALENA</t>
        </is>
      </c>
      <c r="F909" s="7" t="inlineStr">
        <is>
          <t>SANTA MARTA</t>
        </is>
      </c>
      <c r="G909" s="7" t="inlineStr">
        <is>
          <t>PRESENCIAL</t>
        </is>
      </c>
      <c r="H909" s="7" t="inlineStr">
        <is>
          <t>DOC AUX T&amp;T/N/TC/DIS GRAFICO/FUN.ACADE-ADMIN</t>
        </is>
      </c>
      <c r="I909" s="7" t="inlineStr">
        <is>
          <t>DISEÑO GRAFICO</t>
        </is>
      </c>
      <c r="J909" s="7" t="inlineStr">
        <is>
          <t>REINTEGRO</t>
        </is>
      </c>
      <c r="K909" s="7" t="inlineStr">
        <is>
          <t>ANA SANCHEZ</t>
        </is>
      </c>
      <c r="L909" s="7" t="n">
        <v/>
      </c>
      <c r="M909" s="7" t="n">
        <v/>
      </c>
      <c r="N909" s="7" t="n">
        <v>3008993339</v>
      </c>
      <c r="O909" s="7" t="inlineStr">
        <is>
          <t>ladymfontalvo@gmail.com</t>
        </is>
      </c>
      <c r="P909" s="7" t="inlineStr">
        <is>
          <t>SANTA MARTA SEDE</t>
        </is>
      </c>
      <c r="Q909" s="7" t="inlineStr">
        <is>
          <t>BELLAS ARTES</t>
        </is>
      </c>
      <c r="R909" s="7" t="n">
        <v/>
      </c>
    </row>
    <row r="910" ht="20" customHeight="1">
      <c r="A910" s="3" t="inlineStr">
        <is>
          <t>1023965976</t>
        </is>
      </c>
      <c r="B910" s="4" t="inlineStr">
        <is>
          <t>PRESENCIAL BOGOTÁ</t>
        </is>
      </c>
      <c r="C910" s="4" t="inlineStr">
        <is>
          <t>ANDRES CAMILO MORENO RODRÍGUEZ</t>
        </is>
      </c>
      <c r="D910" s="4" t="inlineStr">
        <is>
          <t>OPERACIONES</t>
        </is>
      </c>
      <c r="E910" s="4" t="inlineStr">
        <is>
          <t>REGIONAL BOGOTA</t>
        </is>
      </c>
      <c r="F910" s="4" t="inlineStr">
        <is>
          <t>BOGOTA CENTRO</t>
        </is>
      </c>
      <c r="G910" s="4" t="inlineStr">
        <is>
          <t>PRESENCIAL</t>
        </is>
      </c>
      <c r="H910" s="4" t="inlineStr">
        <is>
          <t>DOC AUX T&amp;T/N/TC/DIS GRAFICO/FUN.ACADE-ADMIN</t>
        </is>
      </c>
      <c r="I910" s="4" t="inlineStr">
        <is>
          <t>DISEÑO GRAFICO</t>
        </is>
      </c>
      <c r="J910" s="4" t="inlineStr">
        <is>
          <t>REINTEGRO</t>
        </is>
      </c>
      <c r="K910" s="4" t="inlineStr">
        <is>
          <t>ANA SANCHEZ</t>
        </is>
      </c>
      <c r="L910" s="4" t="inlineStr">
        <is>
          <t>SIN RESPUESTA</t>
        </is>
      </c>
      <c r="M910" s="4" t="n">
        <v/>
      </c>
      <c r="N910" s="4" t="n">
        <v>3168368534</v>
      </c>
      <c r="O910" s="4" t="inlineStr">
        <is>
          <t>acamilo792@gmail.com</t>
        </is>
      </c>
      <c r="P910" s="4" t="inlineStr">
        <is>
          <t>BTA SEDE F</t>
        </is>
      </c>
      <c r="Q910" s="4" t="inlineStr">
        <is>
          <t>BELLAS ARTES</t>
        </is>
      </c>
      <c r="R910" s="4" t="n">
        <v>402</v>
      </c>
    </row>
    <row r="911" ht="20" customHeight="1">
      <c r="A911" s="6" t="inlineStr">
        <is>
          <t>1106896891</t>
        </is>
      </c>
      <c r="B911" s="7" t="inlineStr">
        <is>
          <t>PRESENCIAL REGIONAL</t>
        </is>
      </c>
      <c r="C911" s="7" t="inlineStr">
        <is>
          <t>SERGIO ANDRES TRUJILLO QUINTERO</t>
        </is>
      </c>
      <c r="D911" s="7" t="inlineStr">
        <is>
          <t>OPERACIONES</t>
        </is>
      </c>
      <c r="E911" s="7" t="inlineStr">
        <is>
          <t>REGIONAL TOLIMA</t>
        </is>
      </c>
      <c r="F911" s="7" t="inlineStr">
        <is>
          <t>IBAGUÉ</t>
        </is>
      </c>
      <c r="G911" s="7" t="inlineStr">
        <is>
          <t>PRESENCIAL</t>
        </is>
      </c>
      <c r="H911" s="7" t="inlineStr">
        <is>
          <t>DOC AUX T&amp;T/N/TC/DIS GRAFICO/FUN.ACADE-ADMIN</t>
        </is>
      </c>
      <c r="I911" s="7" t="inlineStr">
        <is>
          <t>DISEÑO GRAFICO</t>
        </is>
      </c>
      <c r="J911" s="7" t="inlineStr">
        <is>
          <t>REINTEGRO</t>
        </is>
      </c>
      <c r="K911" s="7" t="inlineStr">
        <is>
          <t>ANA SANCHEZ</t>
        </is>
      </c>
      <c r="L911" s="7" t="inlineStr">
        <is>
          <t>SIN RESPUESTA</t>
        </is>
      </c>
      <c r="M911" s="7" t="n">
        <v/>
      </c>
      <c r="N911" s="7" t="n">
        <v>3123265417</v>
      </c>
      <c r="O911" s="7" t="inlineStr">
        <is>
          <t>satq95@gmail.com</t>
        </is>
      </c>
      <c r="P911" s="7" t="inlineStr">
        <is>
          <t>IBAGUE SEDE</t>
        </is>
      </c>
      <c r="Q911" s="7" t="inlineStr">
        <is>
          <t>BELLAS ARTES</t>
        </is>
      </c>
      <c r="R911" s="7" t="n">
        <v/>
      </c>
    </row>
    <row r="912" ht="20" customHeight="1">
      <c r="A912" s="3" t="inlineStr">
        <is>
          <t>1121936350</t>
        </is>
      </c>
      <c r="B912" s="4" t="inlineStr">
        <is>
          <t>PRESENCIAL BOGOTÁ</t>
        </is>
      </c>
      <c r="C912" s="4" t="inlineStr">
        <is>
          <t>JUAN MANUEL SAAVEDRA CARDENAS</t>
        </is>
      </c>
      <c r="D912" s="4" t="inlineStr">
        <is>
          <t>OPERACIONES</t>
        </is>
      </c>
      <c r="E912" s="4" t="inlineStr">
        <is>
          <t>REGIONAL BOGOTA</t>
        </is>
      </c>
      <c r="F912" s="4" t="inlineStr">
        <is>
          <t>BOGOTA CENTRO</t>
        </is>
      </c>
      <c r="G912" s="4" t="inlineStr">
        <is>
          <t>PRESENCIAL</t>
        </is>
      </c>
      <c r="H912" s="4" t="inlineStr">
        <is>
          <t>DOC AUX T&amp;T/N/TC/DIS GRAFICO/FUN.ACADE-ADMIN</t>
        </is>
      </c>
      <c r="I912" s="4" t="inlineStr">
        <is>
          <t>DISEÑO GRAFICO</t>
        </is>
      </c>
      <c r="J912" s="4" t="inlineStr">
        <is>
          <t>REINTEGRO</t>
        </is>
      </c>
      <c r="K912" s="4" t="inlineStr">
        <is>
          <t>ANA SANCHEZ</t>
        </is>
      </c>
      <c r="L912" s="4" t="inlineStr">
        <is>
          <t>SIN RESPUESTA</t>
        </is>
      </c>
      <c r="M912" s="4" t="n">
        <v/>
      </c>
      <c r="N912" s="4" t="n">
        <v>3164101679</v>
      </c>
      <c r="O912" s="4" t="inlineStr">
        <is>
          <t>manolosaa.25@gmail.com</t>
        </is>
      </c>
      <c r="P912" s="4" t="inlineStr">
        <is>
          <t>BTA SEDE F</t>
        </is>
      </c>
      <c r="Q912" s="4" t="inlineStr">
        <is>
          <t>BELLAS ARTES</t>
        </is>
      </c>
      <c r="R912" s="4" t="n">
        <v>402</v>
      </c>
    </row>
    <row r="913" ht="20" customHeight="1">
      <c r="A913" s="6" t="inlineStr">
        <is>
          <t>1022434102</t>
        </is>
      </c>
      <c r="B913" s="7" t="inlineStr">
        <is>
          <t>PRESENCIAL REGIONAL</t>
        </is>
      </c>
      <c r="C913" s="7" t="inlineStr">
        <is>
          <t>ANGIE PAOLA VILLAMIL CUELLAR</t>
        </is>
      </c>
      <c r="D913" s="7" t="inlineStr">
        <is>
          <t>OPERACIONES</t>
        </is>
      </c>
      <c r="E913" s="7" t="inlineStr">
        <is>
          <t>REGIONAL TOLIMA</t>
        </is>
      </c>
      <c r="F913" s="7" t="inlineStr">
        <is>
          <t>IBAGUÉ</t>
        </is>
      </c>
      <c r="G913" s="7" t="inlineStr">
        <is>
          <t>PRESENCIAL</t>
        </is>
      </c>
      <c r="H913" s="7" t="inlineStr">
        <is>
          <t>DOC AUX T&amp;T/N/TC/DIS GRAFICO/FUN.ACADE-ADMIN</t>
        </is>
      </c>
      <c r="I913" s="7" t="inlineStr">
        <is>
          <t>DISEÑO GRAFICO</t>
        </is>
      </c>
      <c r="J913" s="7" t="inlineStr">
        <is>
          <t>REINTEGRO</t>
        </is>
      </c>
      <c r="K913" s="7" t="inlineStr">
        <is>
          <t>ANA SANCHEZ</t>
        </is>
      </c>
      <c r="L913" s="7" t="inlineStr">
        <is>
          <t>CONFIRMADO PRESENCIAL</t>
        </is>
      </c>
      <c r="M913" s="7" t="n">
        <v/>
      </c>
      <c r="N913" s="7" t="n">
        <v>3142541308</v>
      </c>
      <c r="O913" s="7" t="inlineStr">
        <is>
          <t>paolavillamil99@gmail.com</t>
        </is>
      </c>
      <c r="P913" s="7" t="inlineStr">
        <is>
          <t>IBAGUE SEDE</t>
        </is>
      </c>
      <c r="Q913" s="7" t="inlineStr">
        <is>
          <t>BELLAS ARTES</t>
        </is>
      </c>
      <c r="R913" s="7" t="n">
        <v/>
      </c>
    </row>
    <row r="914" ht="20" customHeight="1">
      <c r="A914" s="3" t="inlineStr">
        <is>
          <t>1017156205</t>
        </is>
      </c>
      <c r="B914" s="4" t="inlineStr">
        <is>
          <t>PRESENCIAL REGIONAL</t>
        </is>
      </c>
      <c r="C914" s="4" t="inlineStr">
        <is>
          <t>ALEXANDRA CAROLINA GONZALEZ ESCOBAR</t>
        </is>
      </c>
      <c r="D914" s="4" t="inlineStr">
        <is>
          <t>OPERACIONES</t>
        </is>
      </c>
      <c r="E914" s="4" t="inlineStr">
        <is>
          <t>REGIONAL ANTIOQUIA</t>
        </is>
      </c>
      <c r="F914" s="4" t="inlineStr">
        <is>
          <t>MEDELLIN</t>
        </is>
      </c>
      <c r="G914" s="4" t="inlineStr">
        <is>
          <t>VIRTUAL</t>
        </is>
      </c>
      <c r="H914" s="4" t="inlineStr">
        <is>
          <t>DOC AUX T&amp;T/N/V/MT/DIS GRAFICO</t>
        </is>
      </c>
      <c r="I914" s="4" t="inlineStr">
        <is>
          <t>DISEÑO GRAFICO</t>
        </is>
      </c>
      <c r="J914" s="4" t="inlineStr">
        <is>
          <t>REINTEGRO</t>
        </is>
      </c>
      <c r="K914" s="4" t="inlineStr">
        <is>
          <t>ANA SANCHEZ</t>
        </is>
      </c>
      <c r="L914" s="4" t="inlineStr">
        <is>
          <t>SIN RESPUESTA</t>
        </is>
      </c>
      <c r="M914" s="4" t="n">
        <v/>
      </c>
      <c r="N914" s="4" t="n">
        <v>3015780639</v>
      </c>
      <c r="O914" s="4" t="inlineStr">
        <is>
          <t>contactoinvector@gmail.com</t>
        </is>
      </c>
      <c r="P914" s="4" t="inlineStr">
        <is>
          <t>MEDELLIN SEDE</t>
        </is>
      </c>
      <c r="Q914" s="4" t="inlineStr">
        <is>
          <t>BELLAS ARTES</t>
        </is>
      </c>
      <c r="R914" s="4" t="n">
        <v/>
      </c>
    </row>
    <row r="915" ht="20" customHeight="1">
      <c r="A915" s="6" t="inlineStr">
        <is>
          <t>52453535</t>
        </is>
      </c>
      <c r="B915" s="7" t="inlineStr">
        <is>
          <t>PRESENCIAL REGIONAL</t>
        </is>
      </c>
      <c r="C915" s="7" t="inlineStr">
        <is>
          <t>OLGA LILIANA CAYCEDO HERNANDEZ</t>
        </is>
      </c>
      <c r="D915" s="7" t="inlineStr">
        <is>
          <t>OPERACIONES</t>
        </is>
      </c>
      <c r="E915" s="7" t="inlineStr">
        <is>
          <t>REGIONAL TOLIMA</t>
        </is>
      </c>
      <c r="F915" s="7" t="inlineStr">
        <is>
          <t>IBAGUÉ</t>
        </is>
      </c>
      <c r="G915" s="7" t="inlineStr">
        <is>
          <t>PRESENCIAL</t>
        </is>
      </c>
      <c r="H915" s="7" t="inlineStr">
        <is>
          <t>DOCENTE ASOC/N/TC/DIS GRAFICO/FUN.ACADE-ADMIN</t>
        </is>
      </c>
      <c r="I915" s="7" t="inlineStr">
        <is>
          <t>DISEÑO GRAFICO</t>
        </is>
      </c>
      <c r="J915" s="7" t="inlineStr">
        <is>
          <t>REINTEGRO</t>
        </is>
      </c>
      <c r="K915" s="7" t="inlineStr">
        <is>
          <t>ANA SANCHEZ</t>
        </is>
      </c>
      <c r="L915" s="7" t="inlineStr">
        <is>
          <t>SIN RESPUESTA</t>
        </is>
      </c>
      <c r="M915" s="7" t="n">
        <v/>
      </c>
      <c r="N915" s="7" t="n">
        <v>3206357953</v>
      </c>
      <c r="O915" s="7" t="inlineStr">
        <is>
          <t>lacanem3@gmail.com</t>
        </is>
      </c>
      <c r="P915" s="7" t="inlineStr">
        <is>
          <t>IBAGUE SEDE</t>
        </is>
      </c>
      <c r="Q915" s="7" t="inlineStr">
        <is>
          <t>BELLAS ARTES</t>
        </is>
      </c>
      <c r="R915" s="7" t="n">
        <v/>
      </c>
    </row>
    <row r="916" ht="20" customHeight="1">
      <c r="A916" s="3" t="inlineStr">
        <is>
          <t>1031162225</t>
        </is>
      </c>
      <c r="B916" s="4" t="inlineStr">
        <is>
          <t>PRESENCIAL BOGOTÁ</t>
        </is>
      </c>
      <c r="C916" s="4" t="inlineStr">
        <is>
          <t>ANGEL LEONARDO PORTUGUEZ RODRIGUEZ</t>
        </is>
      </c>
      <c r="D916" s="4" t="inlineStr">
        <is>
          <t>OPERACIONES</t>
        </is>
      </c>
      <c r="E916" s="4" t="inlineStr">
        <is>
          <t>REGIONAL BOGOTA</t>
        </is>
      </c>
      <c r="F916" s="4" t="inlineStr">
        <is>
          <t>BOGOTA CENTRO</t>
        </is>
      </c>
      <c r="G916" s="4" t="inlineStr">
        <is>
          <t>VIRTUAL</t>
        </is>
      </c>
      <c r="H916" s="4" t="inlineStr">
        <is>
          <t>DOC AUX/N/V/MT/DIS GRAFICO</t>
        </is>
      </c>
      <c r="I916" s="4" t="inlineStr">
        <is>
          <t>DISEÑO GRAFICO</t>
        </is>
      </c>
      <c r="J916" s="4" t="inlineStr">
        <is>
          <t>REINTEGRO</t>
        </is>
      </c>
      <c r="K916" s="4" t="inlineStr">
        <is>
          <t>ANA SANCHEZ</t>
        </is>
      </c>
      <c r="L916" s="4" t="inlineStr">
        <is>
          <t>CONFIRMADO PRESENCIAL</t>
        </is>
      </c>
      <c r="M916" s="4" t="n">
        <v/>
      </c>
      <c r="N916" s="4" t="n">
        <v>3173916519</v>
      </c>
      <c r="O916" s="4" t="inlineStr">
        <is>
          <t>leopoldo-04@hotmail.com</t>
        </is>
      </c>
      <c r="P916" s="4" t="inlineStr">
        <is>
          <t>BTA SEDE A</t>
        </is>
      </c>
      <c r="Q916" s="4" t="inlineStr">
        <is>
          <t>BELLAS ARTES</t>
        </is>
      </c>
      <c r="R916" s="4" t="n">
        <v>402</v>
      </c>
    </row>
    <row r="917" ht="20" customHeight="1">
      <c r="A917" s="6" t="inlineStr">
        <is>
          <t>65630279</t>
        </is>
      </c>
      <c r="B917" s="7" t="inlineStr">
        <is>
          <t>PRESENCIAL REGIONAL</t>
        </is>
      </c>
      <c r="C917" s="7" t="inlineStr">
        <is>
          <t>LEIDY YURANNY ESTRADA ESCOBAR</t>
        </is>
      </c>
      <c r="D917" s="7" t="inlineStr">
        <is>
          <t>OPERACIONES</t>
        </is>
      </c>
      <c r="E917" s="7" t="inlineStr">
        <is>
          <t>REGIONAL TOLIMA</t>
        </is>
      </c>
      <c r="F917" s="7" t="inlineStr">
        <is>
          <t>IBAGUÉ</t>
        </is>
      </c>
      <c r="G917" s="7" t="inlineStr">
        <is>
          <t>PRESENCIAL</t>
        </is>
      </c>
      <c r="H917" s="7" t="inlineStr">
        <is>
          <t>DOC AUX T&amp;T/N/TC/DIS GRAFICO/FUN.ACADE-ADMIN</t>
        </is>
      </c>
      <c r="I917" s="7" t="inlineStr">
        <is>
          <t>DISEÑO GRAFICO</t>
        </is>
      </c>
      <c r="J917" s="7" t="inlineStr">
        <is>
          <t>REINTEGRO</t>
        </is>
      </c>
      <c r="K917" s="7" t="inlineStr">
        <is>
          <t>ANA SANCHEZ</t>
        </is>
      </c>
      <c r="L917" s="7" t="inlineStr">
        <is>
          <t>SIN RESPUESTA</t>
        </is>
      </c>
      <c r="M917" s="7" t="n">
        <v/>
      </c>
      <c r="N917" s="7" t="n">
        <v>3133257739</v>
      </c>
      <c r="O917" s="7" t="inlineStr">
        <is>
          <t>anyshalom@hotmail.com</t>
        </is>
      </c>
      <c r="P917" s="7" t="inlineStr">
        <is>
          <t>IBAGUE SEDE</t>
        </is>
      </c>
      <c r="Q917" s="7" t="inlineStr">
        <is>
          <t>BELLAS ARTES</t>
        </is>
      </c>
      <c r="R917" s="7" t="n">
        <v/>
      </c>
    </row>
    <row r="918" ht="20" customHeight="1">
      <c r="A918" s="3" t="inlineStr">
        <is>
          <t>1083013646</t>
        </is>
      </c>
      <c r="B918" s="4" t="inlineStr">
        <is>
          <t>VIRTUAL</t>
        </is>
      </c>
      <c r="C918" s="4" t="inlineStr">
        <is>
          <t>CARLOS MARIO ACOSTA BARROS</t>
        </is>
      </c>
      <c r="D918" s="4" t="inlineStr">
        <is>
          <t>OPERACIONES</t>
        </is>
      </c>
      <c r="E918" s="4" t="inlineStr">
        <is>
          <t>REGIONAL MAGDALENA</t>
        </is>
      </c>
      <c r="F918" s="4" t="inlineStr">
        <is>
          <t>SANTA MARTA</t>
        </is>
      </c>
      <c r="G918" s="4" t="inlineStr">
        <is>
          <t>PRESENCIAL</t>
        </is>
      </c>
      <c r="H918" s="4" t="inlineStr">
        <is>
          <t>DOCENTE AUX/N/TC/DIS GRAFICO/FUN.ACADE-ADMIN</t>
        </is>
      </c>
      <c r="I918" s="4" t="inlineStr">
        <is>
          <t>DISEÑO GRAFICO</t>
        </is>
      </c>
      <c r="J918" s="4" t="inlineStr">
        <is>
          <t>REINTEGRO</t>
        </is>
      </c>
      <c r="K918" s="4" t="inlineStr">
        <is>
          <t>ANA SANCHEZ</t>
        </is>
      </c>
      <c r="L918" s="4" t="n">
        <v/>
      </c>
      <c r="M918" s="4" t="n">
        <v/>
      </c>
      <c r="N918" s="4" t="n">
        <v>3014528200</v>
      </c>
      <c r="O918" s="4" t="inlineStr">
        <is>
          <t>carlosmacosta24@gmail.com</t>
        </is>
      </c>
      <c r="P918" s="4" t="inlineStr">
        <is>
          <t>SANTA MARTA SEDE</t>
        </is>
      </c>
      <c r="Q918" s="4" t="inlineStr">
        <is>
          <t>BELLAS ARTES</t>
        </is>
      </c>
      <c r="R918" s="4" t="n">
        <v/>
      </c>
    </row>
    <row r="919" ht="20" customHeight="1">
      <c r="A919" s="6" t="inlineStr">
        <is>
          <t>1075305068</t>
        </is>
      </c>
      <c r="B919" s="7" t="inlineStr">
        <is>
          <t>PRESENCIAL REGIONAL</t>
        </is>
      </c>
      <c r="C919" s="7" t="inlineStr">
        <is>
          <t>LUISA FERNANDA RAMOS MONTEALEGRE</t>
        </is>
      </c>
      <c r="D919" s="7" t="inlineStr">
        <is>
          <t>OPERACIONES</t>
        </is>
      </c>
      <c r="E919" s="7" t="inlineStr">
        <is>
          <t>REGIONAL HUILA</t>
        </is>
      </c>
      <c r="F919" s="7" t="inlineStr">
        <is>
          <t>NEIVA</t>
        </is>
      </c>
      <c r="G919" s="7" t="inlineStr">
        <is>
          <t>PRESENCIAL</t>
        </is>
      </c>
      <c r="H919" s="7" t="inlineStr">
        <is>
          <t>DOC AUX T&amp;T/N/TC/DIS GRAFICO/PROYECCION</t>
        </is>
      </c>
      <c r="I919" s="7" t="inlineStr">
        <is>
          <t>DISEÑO GRAFICO</t>
        </is>
      </c>
      <c r="J919" s="7" t="inlineStr">
        <is>
          <t>REINTEGRO</t>
        </is>
      </c>
      <c r="K919" s="7" t="inlineStr">
        <is>
          <t>ANA SANCHEZ</t>
        </is>
      </c>
      <c r="L919" s="7" t="inlineStr">
        <is>
          <t>CONFIRMADO PRESENCIAL</t>
        </is>
      </c>
      <c r="M919" s="7" t="n">
        <v/>
      </c>
      <c r="N919" s="7" t="n">
        <v>3115260312</v>
      </c>
      <c r="O919" s="7" t="inlineStr">
        <is>
          <t>lf.creativapublicitaria@gmail.com</t>
        </is>
      </c>
      <c r="P919" s="7" t="inlineStr">
        <is>
          <t>NEIVA SEDE</t>
        </is>
      </c>
      <c r="Q919" s="7" t="inlineStr">
        <is>
          <t>BELLAS ARTES</t>
        </is>
      </c>
      <c r="R919" s="7" t="n">
        <v/>
      </c>
    </row>
    <row r="920" ht="20" customHeight="1">
      <c r="A920" s="3" t="inlineStr">
        <is>
          <t>1082897635</t>
        </is>
      </c>
      <c r="B920" s="4" t="inlineStr">
        <is>
          <t>VIRTUAL</t>
        </is>
      </c>
      <c r="C920" s="4" t="inlineStr">
        <is>
          <t>LUIS GABRIEL ANTOLINEZ CHACIN</t>
        </is>
      </c>
      <c r="D920" s="4" t="inlineStr">
        <is>
          <t>OPERACIONES</t>
        </is>
      </c>
      <c r="E920" s="4" t="inlineStr">
        <is>
          <t>REGIONAL MAGDALENA</t>
        </is>
      </c>
      <c r="F920" s="4" t="inlineStr">
        <is>
          <t>SANTA MARTA</t>
        </is>
      </c>
      <c r="G920" s="4" t="inlineStr">
        <is>
          <t>PRESENCIAL</t>
        </is>
      </c>
      <c r="H920" s="4" t="inlineStr">
        <is>
          <t>DOC AUX T&amp;T/N/TC/DIS GRAFICO/FUN.ACADE-ADMIN</t>
        </is>
      </c>
      <c r="I920" s="4" t="inlineStr">
        <is>
          <t>DISEÑO GRAFICO</t>
        </is>
      </c>
      <c r="J920" s="4" t="inlineStr">
        <is>
          <t>REINTEGRO</t>
        </is>
      </c>
      <c r="K920" s="4" t="inlineStr">
        <is>
          <t>ANA SANCHEZ</t>
        </is>
      </c>
      <c r="L920" s="4" t="n">
        <v/>
      </c>
      <c r="M920" s="4" t="n">
        <v/>
      </c>
      <c r="N920" s="4" t="n">
        <v>3016034416</v>
      </c>
      <c r="O920" s="4" t="inlineStr">
        <is>
          <t>GABBOANTOLINEZ@GMAIL.COM</t>
        </is>
      </c>
      <c r="P920" s="4" t="inlineStr">
        <is>
          <t>SANTA MARTA SEDE</t>
        </is>
      </c>
      <c r="Q920" s="4" t="inlineStr">
        <is>
          <t>BELLAS ARTES</t>
        </is>
      </c>
      <c r="R920" s="4" t="n">
        <v/>
      </c>
    </row>
    <row r="921" ht="20" customHeight="1">
      <c r="A921" s="6" t="inlineStr">
        <is>
          <t>5827554</t>
        </is>
      </c>
      <c r="B921" s="7" t="inlineStr">
        <is>
          <t>PRESENCIAL REGIONAL</t>
        </is>
      </c>
      <c r="C921" s="7" t="inlineStr">
        <is>
          <t>GUILLERMO ANDRES JARAMILLO AREVALO</t>
        </is>
      </c>
      <c r="D921" s="7" t="inlineStr">
        <is>
          <t>OPERACIONES</t>
        </is>
      </c>
      <c r="E921" s="7" t="inlineStr">
        <is>
          <t>REGIONAL TOLIMA</t>
        </is>
      </c>
      <c r="F921" s="7" t="inlineStr">
        <is>
          <t>IBAGUÉ</t>
        </is>
      </c>
      <c r="G921" s="7" t="inlineStr">
        <is>
          <t>PRESENCIAL</t>
        </is>
      </c>
      <c r="H921" s="7" t="inlineStr">
        <is>
          <t>DOC AUX T&amp;T/N/TC/DIS GRAFICO/FUN.ACADE-ADMIN</t>
        </is>
      </c>
      <c r="I921" s="7" t="inlineStr">
        <is>
          <t>DISEÑO GRAFICO</t>
        </is>
      </c>
      <c r="J921" s="7" t="inlineStr">
        <is>
          <t>REINTEGRO</t>
        </is>
      </c>
      <c r="K921" s="7" t="inlineStr">
        <is>
          <t>ANA SANCHEZ</t>
        </is>
      </c>
      <c r="L921" s="7" t="inlineStr">
        <is>
          <t>SIN RESPUESTA</t>
        </is>
      </c>
      <c r="M921" s="7" t="n">
        <v/>
      </c>
      <c r="N921" s="7" t="n">
        <v>3175387548</v>
      </c>
      <c r="O921" s="7" t="inlineStr">
        <is>
          <t>guillermojaramilloartista@gmail.com</t>
        </is>
      </c>
      <c r="P921" s="7" t="inlineStr">
        <is>
          <t>IBAGUE SEDE</t>
        </is>
      </c>
      <c r="Q921" s="7" t="inlineStr">
        <is>
          <t>BELLAS ARTES</t>
        </is>
      </c>
      <c r="R921" s="7" t="n">
        <v/>
      </c>
    </row>
    <row r="922" ht="20" customHeight="1">
      <c r="A922" s="3" t="inlineStr">
        <is>
          <t>1085258582</t>
        </is>
      </c>
      <c r="B922" s="4" t="inlineStr">
        <is>
          <t>PRESENCIAL REGIONAL</t>
        </is>
      </c>
      <c r="C922" s="4" t="inlineStr">
        <is>
          <t>JOSE LUIS PANTOJA REALPE</t>
        </is>
      </c>
      <c r="D922" s="4" t="inlineStr">
        <is>
          <t>OPERACIONES</t>
        </is>
      </c>
      <c r="E922" s="4" t="inlineStr">
        <is>
          <t>REGIONAL HUILA</t>
        </is>
      </c>
      <c r="F922" s="4" t="inlineStr">
        <is>
          <t>NEIVA</t>
        </is>
      </c>
      <c r="G922" s="4" t="inlineStr">
        <is>
          <t>VIRTUAL</t>
        </is>
      </c>
      <c r="H922" s="4" t="inlineStr">
        <is>
          <t>DOC AUX T&amp;T/N/V/MT/DIS GRAFICO</t>
        </is>
      </c>
      <c r="I922" s="4" t="inlineStr">
        <is>
          <t>DISEÑO GRAFICO</t>
        </is>
      </c>
      <c r="J922" s="4" t="inlineStr">
        <is>
          <t>REINTEGRO</t>
        </is>
      </c>
      <c r="K922" s="4" t="inlineStr">
        <is>
          <t>ANA SANCHEZ</t>
        </is>
      </c>
      <c r="L922" s="4" t="inlineStr">
        <is>
          <t>SIN RESPUESTA</t>
        </is>
      </c>
      <c r="M922" s="4" t="n">
        <v/>
      </c>
      <c r="N922" s="4" t="n">
        <v>3142805349</v>
      </c>
      <c r="O922" s="4" t="inlineStr">
        <is>
          <t>jlpr725@gmail.com</t>
        </is>
      </c>
      <c r="P922" s="4" t="inlineStr">
        <is>
          <t>NEIVA SEDE</t>
        </is>
      </c>
      <c r="Q922" s="4" t="inlineStr">
        <is>
          <t>BELLAS ARTES</t>
        </is>
      </c>
      <c r="R922" s="4" t="n">
        <v/>
      </c>
    </row>
    <row r="923" ht="20" customHeight="1">
      <c r="A923" s="6" t="inlineStr">
        <is>
          <t>80223287</t>
        </is>
      </c>
      <c r="B923" s="7" t="inlineStr">
        <is>
          <t>PRESENCIAL BOGOTÁ</t>
        </is>
      </c>
      <c r="C923" s="7" t="inlineStr">
        <is>
          <t>MARIO ALBERTO PINEDA SORIANO</t>
        </is>
      </c>
      <c r="D923" s="7" t="inlineStr">
        <is>
          <t>OPERACIONES</t>
        </is>
      </c>
      <c r="E923" s="7" t="inlineStr">
        <is>
          <t>REGIONAL BOGOTA</t>
        </is>
      </c>
      <c r="F923" s="7" t="inlineStr">
        <is>
          <t>BOGOTA CENTRO</t>
        </is>
      </c>
      <c r="G923" s="7" t="inlineStr">
        <is>
          <t>PRESENCIAL</t>
        </is>
      </c>
      <c r="H923" s="7" t="inlineStr">
        <is>
          <t>DOC AUX T&amp;T/N/TC/DIS GRAFICO/FUN.ACADE-ADMIN</t>
        </is>
      </c>
      <c r="I923" s="7" t="inlineStr">
        <is>
          <t>DISEÑO GRAFICO</t>
        </is>
      </c>
      <c r="J923" s="7" t="inlineStr">
        <is>
          <t>REINTEGRO</t>
        </is>
      </c>
      <c r="K923" s="7" t="inlineStr">
        <is>
          <t>ANA SANCHEZ</t>
        </is>
      </c>
      <c r="L923" s="7" t="inlineStr">
        <is>
          <t>CONFIRMADO PRESENCIAL</t>
        </is>
      </c>
      <c r="M923" s="7" t="n">
        <v/>
      </c>
      <c r="N923" s="7" t="n">
        <v>3144904739</v>
      </c>
      <c r="O923" s="7" t="inlineStr">
        <is>
          <t>mapinedas.consultor@gmail.com</t>
        </is>
      </c>
      <c r="P923" s="7" t="inlineStr">
        <is>
          <t>BTA SEDE F</t>
        </is>
      </c>
      <c r="Q923" s="7" t="inlineStr">
        <is>
          <t>BELLAS ARTES</t>
        </is>
      </c>
      <c r="R923" s="7" t="n">
        <v>402</v>
      </c>
    </row>
    <row r="924" ht="20" customHeight="1">
      <c r="A924" s="3" t="inlineStr">
        <is>
          <t>80932302</t>
        </is>
      </c>
      <c r="B924" s="4" t="inlineStr">
        <is>
          <t>PRESENCIAL BOGOTÁ</t>
        </is>
      </c>
      <c r="C924" s="4" t="inlineStr">
        <is>
          <t>JHON ALEXANDER UYAZAN MAYORGA</t>
        </is>
      </c>
      <c r="D924" s="4" t="inlineStr">
        <is>
          <t>OPERACIONES</t>
        </is>
      </c>
      <c r="E924" s="4" t="inlineStr">
        <is>
          <t>REGIONAL BOGOTA</t>
        </is>
      </c>
      <c r="F924" s="4" t="inlineStr">
        <is>
          <t>BOGOTA CENTRO</t>
        </is>
      </c>
      <c r="G924" s="4" t="inlineStr">
        <is>
          <t>PRESENCIAL</t>
        </is>
      </c>
      <c r="H924" s="4" t="inlineStr">
        <is>
          <t>DOCENTE ASIS/N/TC/DIS GRAFICO/FUN.ACADE-ADMIN</t>
        </is>
      </c>
      <c r="I924" s="4" t="inlineStr">
        <is>
          <t>DISEÑO GRAFICO</t>
        </is>
      </c>
      <c r="J924" s="4" t="inlineStr">
        <is>
          <t>REINTEGRO</t>
        </is>
      </c>
      <c r="K924" s="4" t="inlineStr">
        <is>
          <t>ANA SANCHEZ</t>
        </is>
      </c>
      <c r="L924" s="4" t="inlineStr">
        <is>
          <t>CONFIRMADO PRESENCIAL</t>
        </is>
      </c>
      <c r="M924" s="4" t="n">
        <v/>
      </c>
      <c r="N924" s="4" t="n">
        <v>3157879867</v>
      </c>
      <c r="O924" s="4" t="inlineStr">
        <is>
          <t>john.uyazan@gmail.com</t>
        </is>
      </c>
      <c r="P924" s="4" t="inlineStr">
        <is>
          <t>BTA SEDE F</t>
        </is>
      </c>
      <c r="Q924" s="4" t="inlineStr">
        <is>
          <t>BELLAS ARTES</t>
        </is>
      </c>
      <c r="R924" s="4" t="n">
        <v>402</v>
      </c>
    </row>
    <row r="925" ht="20" customHeight="1">
      <c r="A925" s="6" t="inlineStr">
        <is>
          <t>80126340</t>
        </is>
      </c>
      <c r="B925" s="7" t="inlineStr">
        <is>
          <t>PRESENCIAL BOGOTÁ</t>
        </is>
      </c>
      <c r="C925" s="7" t="inlineStr">
        <is>
          <t>HENRY GONZALEZ GARCIA</t>
        </is>
      </c>
      <c r="D925" s="7" t="inlineStr">
        <is>
          <t>OPERACIONES</t>
        </is>
      </c>
      <c r="E925" s="7" t="inlineStr">
        <is>
          <t>REGIONAL BOGOTA</t>
        </is>
      </c>
      <c r="F925" s="7" t="inlineStr">
        <is>
          <t>BOGOTA CENTRO</t>
        </is>
      </c>
      <c r="G925" s="7" t="inlineStr">
        <is>
          <t>PRESENCIAL</t>
        </is>
      </c>
      <c r="H925" s="7" t="inlineStr">
        <is>
          <t>DOCENTE AUX/N/TC/DIS GRAFICO/FUN.ACADE-ADMIN</t>
        </is>
      </c>
      <c r="I925" s="7" t="inlineStr">
        <is>
          <t>DISEÑO GRAFICO</t>
        </is>
      </c>
      <c r="J925" s="7" t="inlineStr">
        <is>
          <t>REINTEGRO</t>
        </is>
      </c>
      <c r="K925" s="7" t="inlineStr">
        <is>
          <t>ANA SANCHEZ</t>
        </is>
      </c>
      <c r="L925" s="7" t="inlineStr">
        <is>
          <t>SIN RESPUESTA</t>
        </is>
      </c>
      <c r="M925" s="7" t="n">
        <v/>
      </c>
      <c r="N925" s="7" t="n">
        <v>3138898457</v>
      </c>
      <c r="O925" s="7" t="inlineStr">
        <is>
          <t>henryx82@gmail.com</t>
        </is>
      </c>
      <c r="P925" s="7" t="inlineStr">
        <is>
          <t>BTA SEDE F</t>
        </is>
      </c>
      <c r="Q925" s="7" t="inlineStr">
        <is>
          <t>BELLAS ARTES</t>
        </is>
      </c>
      <c r="R925" s="7" t="n">
        <v>402</v>
      </c>
    </row>
    <row r="926" ht="20" customHeight="1">
      <c r="A926" s="3" t="inlineStr">
        <is>
          <t>1111200230</t>
        </is>
      </c>
      <c r="B926" s="4" t="inlineStr">
        <is>
          <t>PRESENCIAL REGIONAL</t>
        </is>
      </c>
      <c r="C926" s="4" t="inlineStr">
        <is>
          <t>CARLOS MARIO PIRAGUA RUGELES</t>
        </is>
      </c>
      <c r="D926" s="4" t="inlineStr">
        <is>
          <t>OPERACIONES</t>
        </is>
      </c>
      <c r="E926" s="4" t="inlineStr">
        <is>
          <t>REGIONAL TOLIMA</t>
        </is>
      </c>
      <c r="F926" s="4" t="inlineStr">
        <is>
          <t>IBAGUÉ</t>
        </is>
      </c>
      <c r="G926" s="4" t="inlineStr">
        <is>
          <t>PRESENCIAL</t>
        </is>
      </c>
      <c r="H926" s="4" t="inlineStr">
        <is>
          <t>DOCENTE ASIS/N/TC/DIS GRAFICO/FUN.ACADE-ADMIN</t>
        </is>
      </c>
      <c r="I926" s="4" t="inlineStr">
        <is>
          <t>DISEÑO GRAFICO</t>
        </is>
      </c>
      <c r="J926" s="4" t="inlineStr">
        <is>
          <t>REINTEGRO</t>
        </is>
      </c>
      <c r="K926" s="4" t="inlineStr">
        <is>
          <t>ANA SANCHEZ</t>
        </is>
      </c>
      <c r="L926" s="4" t="inlineStr">
        <is>
          <t>SIN RESPUESTA</t>
        </is>
      </c>
      <c r="M926" s="4" t="n">
        <v/>
      </c>
      <c r="N926" s="4" t="n">
        <v>3013855587</v>
      </c>
      <c r="O926" s="4" t="inlineStr">
        <is>
          <t>cmpiraguar@gmail.com</t>
        </is>
      </c>
      <c r="P926" s="4" t="inlineStr">
        <is>
          <t>IBAGUE SEDE</t>
        </is>
      </c>
      <c r="Q926" s="4" t="inlineStr">
        <is>
          <t>BELLAS ARTES</t>
        </is>
      </c>
      <c r="R926" s="4" t="n">
        <v/>
      </c>
    </row>
    <row r="927" ht="20" customHeight="1">
      <c r="A927" s="6" t="inlineStr">
        <is>
          <t>1020726680</t>
        </is>
      </c>
      <c r="B927" s="7" t="inlineStr">
        <is>
          <t>VIRTUAL</t>
        </is>
      </c>
      <c r="C927" s="7" t="inlineStr">
        <is>
          <t>JUAN PABLO JARAMILLO SCARPETTA</t>
        </is>
      </c>
      <c r="D927" s="7" t="inlineStr">
        <is>
          <t>OPERACIONES</t>
        </is>
      </c>
      <c r="E927" s="7" t="inlineStr">
        <is>
          <t>REGIONAL MAGDALENA</t>
        </is>
      </c>
      <c r="F927" s="7" t="inlineStr">
        <is>
          <t>SANTA MARTA</t>
        </is>
      </c>
      <c r="G927" s="7" t="inlineStr">
        <is>
          <t>PRESENCIAL</t>
        </is>
      </c>
      <c r="H927" s="7" t="inlineStr">
        <is>
          <t>DOC AUX T&amp;T/N/TC/DIS GRAFICO/FUN.ACADE-ADMIN</t>
        </is>
      </c>
      <c r="I927" s="7" t="inlineStr">
        <is>
          <t>DISEÑO GRAFICO</t>
        </is>
      </c>
      <c r="J927" s="7" t="inlineStr">
        <is>
          <t>REINTEGRO</t>
        </is>
      </c>
      <c r="K927" s="7" t="inlineStr">
        <is>
          <t>ANA SANCHEZ</t>
        </is>
      </c>
      <c r="L927" s="7" t="n">
        <v/>
      </c>
      <c r="M927" s="7" t="n">
        <v/>
      </c>
      <c r="N927" s="7" t="n">
        <v>3133840232</v>
      </c>
      <c r="O927" s="7" t="inlineStr">
        <is>
          <t>jaras3dart@gmail.com</t>
        </is>
      </c>
      <c r="P927" s="7" t="inlineStr">
        <is>
          <t>SANTA MARTA SEDE</t>
        </is>
      </c>
      <c r="Q927" s="7" t="inlineStr">
        <is>
          <t>BELLAS ARTES</t>
        </is>
      </c>
      <c r="R927" s="7" t="n">
        <v/>
      </c>
    </row>
    <row r="928" ht="20" customHeight="1">
      <c r="A928" s="3" t="inlineStr">
        <is>
          <t>1234646469</t>
        </is>
      </c>
      <c r="B928" s="4" t="inlineStr">
        <is>
          <t>PRESENCIAL REGIONAL</t>
        </is>
      </c>
      <c r="C928" s="4" t="inlineStr">
        <is>
          <t>GABRIEL ANDRES GOMEZ VALBUENA</t>
        </is>
      </c>
      <c r="D928" s="4" t="inlineStr">
        <is>
          <t>OPERACIONES</t>
        </is>
      </c>
      <c r="E928" s="4" t="inlineStr">
        <is>
          <t>REGIONAL TOLIMA</t>
        </is>
      </c>
      <c r="F928" s="4" t="inlineStr">
        <is>
          <t>IBAGUÉ</t>
        </is>
      </c>
      <c r="G928" s="4" t="inlineStr">
        <is>
          <t>PRESENCIAL</t>
        </is>
      </c>
      <c r="H928" s="4" t="inlineStr">
        <is>
          <t>DOC AUX T&amp;T/N/TC/DIS GRAFICO/FUN.ACADE-ADMIN</t>
        </is>
      </c>
      <c r="I928" s="4" t="inlineStr">
        <is>
          <t>DISEÑO GRAFICO</t>
        </is>
      </c>
      <c r="J928" s="4" t="inlineStr">
        <is>
          <t>REINTEGRO</t>
        </is>
      </c>
      <c r="K928" s="4" t="inlineStr">
        <is>
          <t>ANA SANCHEZ</t>
        </is>
      </c>
      <c r="L928" s="4" t="inlineStr">
        <is>
          <t>CONFIRMADO PRESENCIAL</t>
        </is>
      </c>
      <c r="M928" s="4" t="n">
        <v/>
      </c>
      <c r="N928" s="4" t="n">
        <v>3168273206</v>
      </c>
      <c r="O928" s="4" t="inlineStr">
        <is>
          <t>Gabrielg00914@gmail.com</t>
        </is>
      </c>
      <c r="P928" s="4" t="inlineStr">
        <is>
          <t>IBAGUE SEDE</t>
        </is>
      </c>
      <c r="Q928" s="4" t="inlineStr">
        <is>
          <t>BELLAS ARTES</t>
        </is>
      </c>
      <c r="R928" s="4" t="n">
        <v/>
      </c>
    </row>
    <row r="929" ht="20" customHeight="1">
      <c r="A929" s="6" t="inlineStr">
        <is>
          <t>1022402780</t>
        </is>
      </c>
      <c r="B929" s="7" t="inlineStr">
        <is>
          <t>PRESENCIAL BOGOTÁ</t>
        </is>
      </c>
      <c r="C929" s="7" t="inlineStr">
        <is>
          <t>MIKE ALEXANDRE MUNAR GUAYARA</t>
        </is>
      </c>
      <c r="D929" s="7" t="inlineStr">
        <is>
          <t>OPERACIONES</t>
        </is>
      </c>
      <c r="E929" s="7" t="inlineStr">
        <is>
          <t>REGIONAL BOGOTA</t>
        </is>
      </c>
      <c r="F929" s="7" t="inlineStr">
        <is>
          <t>BOGOTA CENTRO</t>
        </is>
      </c>
      <c r="G929" s="7" t="inlineStr">
        <is>
          <t>PRESENCIAL</t>
        </is>
      </c>
      <c r="H929" s="7" t="inlineStr">
        <is>
          <t>DOC AUX T&amp;T/N/TC/DIS GRAFICO/FUN.ACADE-ADMIN</t>
        </is>
      </c>
      <c r="I929" s="7" t="inlineStr">
        <is>
          <t>DISEÑO GRAFICO</t>
        </is>
      </c>
      <c r="J929" s="7" t="inlineStr">
        <is>
          <t>REINTEGRO</t>
        </is>
      </c>
      <c r="K929" s="7" t="inlineStr">
        <is>
          <t>ANA SANCHEZ</t>
        </is>
      </c>
      <c r="L929" s="7" t="inlineStr">
        <is>
          <t>CONFIRMADO PRESENCIAL</t>
        </is>
      </c>
      <c r="M929" s="7" t="n">
        <v/>
      </c>
      <c r="N929" s="7" t="n">
        <v>3058604974</v>
      </c>
      <c r="O929" s="7" t="inlineStr">
        <is>
          <t>mikeamunar@gmail.com</t>
        </is>
      </c>
      <c r="P929" s="7" t="inlineStr">
        <is>
          <t>BTA SEDE F</t>
        </is>
      </c>
      <c r="Q929" s="7" t="inlineStr">
        <is>
          <t>BELLAS ARTES</t>
        </is>
      </c>
      <c r="R929" s="7" t="n">
        <v>403</v>
      </c>
    </row>
    <row r="930" ht="20" customHeight="1">
      <c r="A930" s="3" t="inlineStr">
        <is>
          <t>1000454298</t>
        </is>
      </c>
      <c r="B930" s="4" t="inlineStr">
        <is>
          <t>PRESENCIAL BOGOTÁ</t>
        </is>
      </c>
      <c r="C930" s="4" t="inlineStr">
        <is>
          <t>PAULA CAMILA HUERTAS QUINTERO</t>
        </is>
      </c>
      <c r="D930" s="4" t="inlineStr">
        <is>
          <t>OPERACIONES</t>
        </is>
      </c>
      <c r="E930" s="4" t="inlineStr">
        <is>
          <t>REGIONAL BOGOTA</t>
        </is>
      </c>
      <c r="F930" s="4" t="inlineStr">
        <is>
          <t>BOGOTA CENTRO</t>
        </is>
      </c>
      <c r="G930" s="4" t="inlineStr">
        <is>
          <t>PRESENCIAL</t>
        </is>
      </c>
      <c r="H930" s="4" t="inlineStr">
        <is>
          <t>DOC AUX T&amp;T/N/TC/DIS GRAFICO/FUN.ACADE-ADMIN</t>
        </is>
      </c>
      <c r="I930" s="4" t="inlineStr">
        <is>
          <t>DISEÑO GRAFICO</t>
        </is>
      </c>
      <c r="J930" s="4" t="inlineStr">
        <is>
          <t>REINTEGRO</t>
        </is>
      </c>
      <c r="K930" s="4" t="inlineStr">
        <is>
          <t>ANA SANCHEZ</t>
        </is>
      </c>
      <c r="L930" s="4" t="inlineStr">
        <is>
          <t>SIN RESPUESTA</t>
        </is>
      </c>
      <c r="M930" s="4" t="n">
        <v/>
      </c>
      <c r="N930" s="4" t="n">
        <v>3105527413</v>
      </c>
      <c r="O930" s="4" t="inlineStr">
        <is>
          <t>Phuertasq2@gmail.com</t>
        </is>
      </c>
      <c r="P930" s="4" t="inlineStr">
        <is>
          <t>BTA SEDE F</t>
        </is>
      </c>
      <c r="Q930" s="4" t="inlineStr">
        <is>
          <t>BELLAS ARTES</t>
        </is>
      </c>
      <c r="R930" s="4" t="n">
        <v>403</v>
      </c>
    </row>
    <row r="931" ht="20" customHeight="1">
      <c r="A931" s="6" t="inlineStr">
        <is>
          <t>1010235547</t>
        </is>
      </c>
      <c r="B931" s="7" t="inlineStr">
        <is>
          <t>PRESENCIAL BOGOTÁ</t>
        </is>
      </c>
      <c r="C931" s="7" t="inlineStr">
        <is>
          <t>LINA MARIA MARTINEZ PLAZAS</t>
        </is>
      </c>
      <c r="D931" s="7" t="inlineStr">
        <is>
          <t>OPERACIONES</t>
        </is>
      </c>
      <c r="E931" s="7" t="inlineStr">
        <is>
          <t>REGIONAL BOGOTA</t>
        </is>
      </c>
      <c r="F931" s="7" t="inlineStr">
        <is>
          <t>BOGOTA CENTRO</t>
        </is>
      </c>
      <c r="G931" s="7" t="inlineStr">
        <is>
          <t>PRESENCIAL</t>
        </is>
      </c>
      <c r="H931" s="7" t="inlineStr">
        <is>
          <t>DOCENTE ASIS/N/TC/DIS GRAFICO/FUN.ACADE-ADMIN</t>
        </is>
      </c>
      <c r="I931" s="7" t="inlineStr">
        <is>
          <t>DISEÑO GRAFICO</t>
        </is>
      </c>
      <c r="J931" s="7" t="inlineStr">
        <is>
          <t>REINTEGRO</t>
        </is>
      </c>
      <c r="K931" s="7" t="inlineStr">
        <is>
          <t>ANA SANCHEZ</t>
        </is>
      </c>
      <c r="L931" s="7" t="inlineStr">
        <is>
          <t>SIN RESPUESTA</t>
        </is>
      </c>
      <c r="M931" s="7" t="n">
        <v/>
      </c>
      <c r="N931" s="7" t="n">
        <v>3023178057</v>
      </c>
      <c r="O931" s="7" t="inlineStr">
        <is>
          <t>MARTINEZPLAZASMARIA@GMAIL.COM</t>
        </is>
      </c>
      <c r="P931" s="7" t="inlineStr">
        <is>
          <t>BTA SEDE F</t>
        </is>
      </c>
      <c r="Q931" s="7" t="inlineStr">
        <is>
          <t>BELLAS ARTES</t>
        </is>
      </c>
      <c r="R931" s="7" t="n">
        <v>403</v>
      </c>
    </row>
    <row r="932" ht="20" customHeight="1">
      <c r="A932" s="3" t="inlineStr">
        <is>
          <t>1121835674</t>
        </is>
      </c>
      <c r="B932" s="4" t="inlineStr">
        <is>
          <t>PRESENCIAL REGIONAL</t>
        </is>
      </c>
      <c r="C932" s="4" t="inlineStr">
        <is>
          <t>JHON ARLEY PARRADO ARENAS</t>
        </is>
      </c>
      <c r="D932" s="4" t="inlineStr">
        <is>
          <t>OPERACIONES</t>
        </is>
      </c>
      <c r="E932" s="4" t="inlineStr">
        <is>
          <t>REGIONAL TOLIMA</t>
        </is>
      </c>
      <c r="F932" s="4" t="inlineStr">
        <is>
          <t>IBAGUÉ</t>
        </is>
      </c>
      <c r="G932" s="4" t="inlineStr">
        <is>
          <t>PRESENCIAL</t>
        </is>
      </c>
      <c r="H932" s="4" t="inlineStr">
        <is>
          <t>DOCENTE AUX/N/TC/DIS GRAFICO/FUN.ACADE-ADMIN</t>
        </is>
      </c>
      <c r="I932" s="4" t="inlineStr">
        <is>
          <t>DISEÑO GRAFICO</t>
        </is>
      </c>
      <c r="J932" s="4" t="inlineStr">
        <is>
          <t>REINTEGRO</t>
        </is>
      </c>
      <c r="K932" s="4" t="inlineStr">
        <is>
          <t>ANA SANCHEZ</t>
        </is>
      </c>
      <c r="L932" s="4" t="inlineStr">
        <is>
          <t>CONFIRMADO PRESENCIAL</t>
        </is>
      </c>
      <c r="M932" s="4" t="n">
        <v/>
      </c>
      <c r="N932" s="4" t="n">
        <v>3157892104</v>
      </c>
      <c r="O932" s="4" t="inlineStr">
        <is>
          <t>ARENASJHON782@GMAIL.COM</t>
        </is>
      </c>
      <c r="P932" s="4" t="inlineStr">
        <is>
          <t>IBAGUE SEDE</t>
        </is>
      </c>
      <c r="Q932" s="4" t="inlineStr">
        <is>
          <t>BELLAS ARTES</t>
        </is>
      </c>
      <c r="R932" s="4" t="n">
        <v/>
      </c>
    </row>
    <row r="933" ht="20" customHeight="1">
      <c r="A933" s="6" t="inlineStr">
        <is>
          <t>79731123</t>
        </is>
      </c>
      <c r="B933" s="7" t="inlineStr">
        <is>
          <t>PRESENCIAL BOGOTÁ</t>
        </is>
      </c>
      <c r="C933" s="7" t="inlineStr">
        <is>
          <t>OSCAR MAURICIO CASTELLANOS ÑAÑEZ</t>
        </is>
      </c>
      <c r="D933" s="7" t="inlineStr">
        <is>
          <t>OPERACIONES</t>
        </is>
      </c>
      <c r="E933" s="7" t="inlineStr">
        <is>
          <t>REGIONAL BOGOTA</t>
        </is>
      </c>
      <c r="F933" s="7" t="inlineStr">
        <is>
          <t>BOGOTA CENTRO</t>
        </is>
      </c>
      <c r="G933" s="7" t="inlineStr">
        <is>
          <t>PRESENCIAL</t>
        </is>
      </c>
      <c r="H933" s="7" t="inlineStr">
        <is>
          <t>DOCENTE ASIS/N/TC/DIS GRAFICO/FUN.ACADE-ADMIN</t>
        </is>
      </c>
      <c r="I933" s="7" t="inlineStr">
        <is>
          <t>DISEÑO GRAFICO</t>
        </is>
      </c>
      <c r="J933" s="7" t="inlineStr">
        <is>
          <t>REINTEGRO</t>
        </is>
      </c>
      <c r="K933" s="7" t="inlineStr">
        <is>
          <t>ANA SANCHEZ</t>
        </is>
      </c>
      <c r="L933" s="7" t="inlineStr">
        <is>
          <t>SIN RESPUESTA</t>
        </is>
      </c>
      <c r="M933" s="7" t="n">
        <v/>
      </c>
      <c r="N933" s="7" t="n">
        <v>3102133607</v>
      </c>
      <c r="O933" s="7" t="inlineStr">
        <is>
          <t>oscarmauricioc@gmail.com</t>
        </is>
      </c>
      <c r="P933" s="7" t="inlineStr">
        <is>
          <t>BTA SEDE F</t>
        </is>
      </c>
      <c r="Q933" s="7" t="inlineStr">
        <is>
          <t>BELLAS ARTES</t>
        </is>
      </c>
      <c r="R933" s="7" t="n">
        <v>403</v>
      </c>
    </row>
    <row r="934" ht="20" customHeight="1">
      <c r="A934" s="3" t="inlineStr">
        <is>
          <t>1070961899</t>
        </is>
      </c>
      <c r="B934" s="4" t="inlineStr">
        <is>
          <t>PRESENCIAL BOGOTÁ</t>
        </is>
      </c>
      <c r="C934" s="4" t="inlineStr">
        <is>
          <t>FELIPE AREVALO MORENO</t>
        </is>
      </c>
      <c r="D934" s="4" t="inlineStr">
        <is>
          <t>OPERACIONES</t>
        </is>
      </c>
      <c r="E934" s="4" t="inlineStr">
        <is>
          <t>REGIONAL BOGOTA</t>
        </is>
      </c>
      <c r="F934" s="4" t="inlineStr">
        <is>
          <t>BOGOTA CENTRO</t>
        </is>
      </c>
      <c r="G934" s="4" t="inlineStr">
        <is>
          <t>PRESENCIAL</t>
        </is>
      </c>
      <c r="H934" s="4" t="inlineStr">
        <is>
          <t>DOC AUX T&amp;T/N/TC/DIS GRAFICO/FUN.ACADE-ADMIN</t>
        </is>
      </c>
      <c r="I934" s="4" t="inlineStr">
        <is>
          <t>DISEÑO GRAFICO</t>
        </is>
      </c>
      <c r="J934" s="4" t="inlineStr">
        <is>
          <t>REINTEGRO</t>
        </is>
      </c>
      <c r="K934" s="4" t="inlineStr">
        <is>
          <t>ANA SANCHEZ</t>
        </is>
      </c>
      <c r="L934" s="4" t="inlineStr">
        <is>
          <t>SIN RESPUESTA</t>
        </is>
      </c>
      <c r="M934" s="4" t="n">
        <v/>
      </c>
      <c r="N934" s="4" t="n">
        <v>3125538334</v>
      </c>
      <c r="O934" s="4" t="inlineStr">
        <is>
          <t>publicista76@gmail.com</t>
        </is>
      </c>
      <c r="P934" s="4" t="inlineStr">
        <is>
          <t>BTA SEDE F</t>
        </is>
      </c>
      <c r="Q934" s="4" t="inlineStr">
        <is>
          <t>BELLAS ARTES</t>
        </is>
      </c>
      <c r="R934" s="4" t="n">
        <v>403</v>
      </c>
    </row>
    <row r="935" ht="20" customHeight="1">
      <c r="A935" s="6" t="inlineStr">
        <is>
          <t>1083025743</t>
        </is>
      </c>
      <c r="B935" s="7" t="inlineStr">
        <is>
          <t>VIRTUAL</t>
        </is>
      </c>
      <c r="C935" s="7" t="inlineStr">
        <is>
          <t>DANIEL DAVID MORALES BARRIOS</t>
        </is>
      </c>
      <c r="D935" s="7" t="inlineStr">
        <is>
          <t>OPERACIONES</t>
        </is>
      </c>
      <c r="E935" s="7" t="inlineStr">
        <is>
          <t>REGIONAL MAGDALENA</t>
        </is>
      </c>
      <c r="F935" s="7" t="inlineStr">
        <is>
          <t>SANTA MARTA</t>
        </is>
      </c>
      <c r="G935" s="7" t="inlineStr">
        <is>
          <t>PRESENCIAL</t>
        </is>
      </c>
      <c r="H935" s="7" t="inlineStr">
        <is>
          <t>DOC AUX T&amp;T/N/TC/DIS GRAFICO/FUN.ACADE-ADMIN</t>
        </is>
      </c>
      <c r="I935" s="7" t="inlineStr">
        <is>
          <t>DISEÑO GRAFICO</t>
        </is>
      </c>
      <c r="J935" s="7" t="inlineStr">
        <is>
          <t>REINTEGRO</t>
        </is>
      </c>
      <c r="K935" s="7" t="inlineStr">
        <is>
          <t>ANA SANCHEZ</t>
        </is>
      </c>
      <c r="L935" s="7" t="n">
        <v/>
      </c>
      <c r="M935" s="7" t="n">
        <v/>
      </c>
      <c r="N935" s="7" t="n">
        <v>3122760583</v>
      </c>
      <c r="O935" s="7" t="inlineStr">
        <is>
          <t>DANMB.ART@GMAIL.COM</t>
        </is>
      </c>
      <c r="P935" s="7" t="inlineStr">
        <is>
          <t>SANTA MARTA SEDE</t>
        </is>
      </c>
      <c r="Q935" s="7" t="inlineStr">
        <is>
          <t>BELLAS ARTES</t>
        </is>
      </c>
      <c r="R935" s="7" t="n">
        <v/>
      </c>
    </row>
    <row r="936" ht="20" customHeight="1">
      <c r="A936" s="3" t="inlineStr">
        <is>
          <t>1019022412</t>
        </is>
      </c>
      <c r="B936" s="4" t="inlineStr">
        <is>
          <t>PRESENCIAL BOGOTÁ</t>
        </is>
      </c>
      <c r="C936" s="4" t="inlineStr">
        <is>
          <t>SEBASTIAN FELIPE CAMARGO LEON</t>
        </is>
      </c>
      <c r="D936" s="4" t="inlineStr">
        <is>
          <t>OPERACIONES</t>
        </is>
      </c>
      <c r="E936" s="4" t="inlineStr">
        <is>
          <t>REGIONAL BOGOTA</t>
        </is>
      </c>
      <c r="F936" s="4" t="inlineStr">
        <is>
          <t>BOGOTA CENTRO</t>
        </is>
      </c>
      <c r="G936" s="4" t="inlineStr">
        <is>
          <t>VIRTUAL</t>
        </is>
      </c>
      <c r="H936" s="4" t="inlineStr">
        <is>
          <t>DOC AUX T&amp;T/N/V/TC/DIS GRAFICO/FUN.ACADE</t>
        </is>
      </c>
      <c r="I936" s="4" t="inlineStr">
        <is>
          <t>DISEÑO GRAFICO</t>
        </is>
      </c>
      <c r="J936" s="4" t="inlineStr">
        <is>
          <t>REINTEGRO</t>
        </is>
      </c>
      <c r="K936" s="4" t="inlineStr">
        <is>
          <t>ANA SANCHEZ</t>
        </is>
      </c>
      <c r="L936" s="4" t="inlineStr">
        <is>
          <t>CONFIRMADO PRESENCIAL</t>
        </is>
      </c>
      <c r="M936" s="4" t="n">
        <v/>
      </c>
      <c r="N936" s="4" t="n">
        <v>3238397976</v>
      </c>
      <c r="O936" s="4" t="inlineStr">
        <is>
          <t>camargopublicidad@gmail.com</t>
        </is>
      </c>
      <c r="P936" s="4" t="inlineStr">
        <is>
          <t>BTA SEDE A</t>
        </is>
      </c>
      <c r="Q936" s="4" t="inlineStr">
        <is>
          <t>BELLAS ARTES</t>
        </is>
      </c>
      <c r="R936" s="4" t="n">
        <v>403</v>
      </c>
    </row>
    <row r="937" ht="20" customHeight="1">
      <c r="A937" s="6" t="inlineStr">
        <is>
          <t>80547263</t>
        </is>
      </c>
      <c r="B937" s="7" t="inlineStr">
        <is>
          <t>PRESENCIAL BOGOTÁ</t>
        </is>
      </c>
      <c r="C937" s="7" t="inlineStr">
        <is>
          <t>JOHN ALEXANDER FERRER MAYORGA</t>
        </is>
      </c>
      <c r="D937" s="7" t="inlineStr">
        <is>
          <t>OPERACIONES</t>
        </is>
      </c>
      <c r="E937" s="7" t="inlineStr">
        <is>
          <t>REGIONAL BOGOTA</t>
        </is>
      </c>
      <c r="F937" s="7" t="inlineStr">
        <is>
          <t>BOGOTA CENTRO</t>
        </is>
      </c>
      <c r="G937" s="7" t="inlineStr">
        <is>
          <t>VIRTUAL</t>
        </is>
      </c>
      <c r="H937" s="7" t="inlineStr">
        <is>
          <t>DOC AUX T&amp;T/N/V/TC/DIS GRAFICO/FUN.ACADE</t>
        </is>
      </c>
      <c r="I937" s="7" t="inlineStr">
        <is>
          <t>DISEÑO GRAFICO</t>
        </is>
      </c>
      <c r="J937" s="7" t="inlineStr">
        <is>
          <t>REINTEGRO</t>
        </is>
      </c>
      <c r="K937" s="7" t="inlineStr">
        <is>
          <t>ANA SANCHEZ</t>
        </is>
      </c>
      <c r="L937" s="7" t="inlineStr">
        <is>
          <t>SIN RESPUESTA</t>
        </is>
      </c>
      <c r="M937" s="7" t="n">
        <v/>
      </c>
      <c r="N937" s="7" t="n">
        <v>3028305769</v>
      </c>
      <c r="O937" s="7" t="inlineStr">
        <is>
          <t>jaferrerdesign@gmail.com</t>
        </is>
      </c>
      <c r="P937" s="7" t="inlineStr">
        <is>
          <t>BTA SEDE F</t>
        </is>
      </c>
      <c r="Q937" s="7" t="inlineStr">
        <is>
          <t>BELLAS ARTES</t>
        </is>
      </c>
      <c r="R937" s="7" t="n">
        <v>403</v>
      </c>
    </row>
    <row r="938" ht="20" customHeight="1">
      <c r="A938" s="3" t="inlineStr">
        <is>
          <t>1032451810</t>
        </is>
      </c>
      <c r="B938" s="4" t="inlineStr">
        <is>
          <t>PRESENCIAL BOGOTÁ</t>
        </is>
      </c>
      <c r="C938" s="4" t="inlineStr">
        <is>
          <t>SERGIO IVAN ALBARRACIN SANCHEZ</t>
        </is>
      </c>
      <c r="D938" s="4" t="inlineStr">
        <is>
          <t>OPERACIONES</t>
        </is>
      </c>
      <c r="E938" s="4" t="inlineStr">
        <is>
          <t>REGIONAL BOGOTA</t>
        </is>
      </c>
      <c r="F938" s="4" t="inlineStr">
        <is>
          <t>BOGOTA CENTRO</t>
        </is>
      </c>
      <c r="G938" s="4" t="inlineStr">
        <is>
          <t>PRESENCIAL</t>
        </is>
      </c>
      <c r="H938" s="4" t="inlineStr">
        <is>
          <t>DOC AUX T&amp;T/N/TC/DIS GRAFICO/FUN.ACADE-ADMIN</t>
        </is>
      </c>
      <c r="I938" s="4" t="inlineStr">
        <is>
          <t>DISEÑO GRAFICO</t>
        </is>
      </c>
      <c r="J938" s="4" t="inlineStr">
        <is>
          <t>REINTEGRO</t>
        </is>
      </c>
      <c r="K938" s="4" t="inlineStr">
        <is>
          <t>ANA SANCHEZ</t>
        </is>
      </c>
      <c r="L938" s="4" t="inlineStr">
        <is>
          <t>CONFIRMADO PRESENCIAL</t>
        </is>
      </c>
      <c r="M938" s="4" t="n">
        <v/>
      </c>
      <c r="N938" s="4" t="n">
        <v>3114738744</v>
      </c>
      <c r="O938" s="4" t="inlineStr">
        <is>
          <t>SERGIOI.ALBARRACINS@GMAIL.COM</t>
        </is>
      </c>
      <c r="P938" s="4" t="inlineStr">
        <is>
          <t>BTA SEDE F</t>
        </is>
      </c>
      <c r="Q938" s="4" t="inlineStr">
        <is>
          <t>BELLAS ARTES</t>
        </is>
      </c>
      <c r="R938" s="4" t="n">
        <v>403</v>
      </c>
    </row>
    <row r="939" ht="20" customHeight="1">
      <c r="A939" s="6" t="inlineStr">
        <is>
          <t>1110517557</t>
        </is>
      </c>
      <c r="B939" s="7" t="inlineStr">
        <is>
          <t>PRESENCIAL REGIONAL</t>
        </is>
      </c>
      <c r="C939" s="7" t="inlineStr">
        <is>
          <t>MARIA CAMILA AVILA ISAACS</t>
        </is>
      </c>
      <c r="D939" s="7" t="inlineStr">
        <is>
          <t>OPERACIONES</t>
        </is>
      </c>
      <c r="E939" s="7" t="inlineStr">
        <is>
          <t>REGIONAL TOLIMA</t>
        </is>
      </c>
      <c r="F939" s="7" t="inlineStr">
        <is>
          <t>IBAGUÉ</t>
        </is>
      </c>
      <c r="G939" s="7" t="inlineStr">
        <is>
          <t>PRESENCIAL</t>
        </is>
      </c>
      <c r="H939" s="7" t="inlineStr">
        <is>
          <t>DOC AUX T&amp;T/N/TC/DIS GRAFICO/FUN.ACADE-ADMIN</t>
        </is>
      </c>
      <c r="I939" s="7" t="inlineStr">
        <is>
          <t>DISEÑO GRAFICO</t>
        </is>
      </c>
      <c r="J939" s="7" t="inlineStr">
        <is>
          <t>REINTEGRO</t>
        </is>
      </c>
      <c r="K939" s="7" t="inlineStr">
        <is>
          <t>ANA SANCHEZ</t>
        </is>
      </c>
      <c r="L939" s="7" t="inlineStr">
        <is>
          <t>CONFIRMADO PRESENCIAL</t>
        </is>
      </c>
      <c r="M939" s="7" t="n">
        <v/>
      </c>
      <c r="N939" s="7" t="n">
        <v>3158132275</v>
      </c>
      <c r="O939" s="7" t="inlineStr">
        <is>
          <t>mariacamilaavila08@gmail.com</t>
        </is>
      </c>
      <c r="P939" s="7" t="inlineStr">
        <is>
          <t>IBAGUE SEDE</t>
        </is>
      </c>
      <c r="Q939" s="7" t="inlineStr">
        <is>
          <t>BELLAS ARTES</t>
        </is>
      </c>
      <c r="R939" s="7" t="n">
        <v/>
      </c>
    </row>
    <row r="940" ht="20" customHeight="1">
      <c r="A940" s="3" t="inlineStr">
        <is>
          <t>1110524275</t>
        </is>
      </c>
      <c r="B940" s="4" t="inlineStr">
        <is>
          <t>PRESENCIAL REGIONAL</t>
        </is>
      </c>
      <c r="C940" s="4" t="inlineStr">
        <is>
          <t>PAOLA ANDREA RODRIGUEZ TRIVIÑO</t>
        </is>
      </c>
      <c r="D940" s="4" t="inlineStr">
        <is>
          <t>OPERACIONES</t>
        </is>
      </c>
      <c r="E940" s="4" t="inlineStr">
        <is>
          <t>REGIONAL TOLIMA</t>
        </is>
      </c>
      <c r="F940" s="4" t="inlineStr">
        <is>
          <t>IBAGUÉ</t>
        </is>
      </c>
      <c r="G940" s="4" t="inlineStr">
        <is>
          <t>PRESENCIAL</t>
        </is>
      </c>
      <c r="H940" s="4" t="inlineStr">
        <is>
          <t>DOC AUX T&amp;T/N/TC/DIS GRAFICO/FUN.ACADE-ADMIN</t>
        </is>
      </c>
      <c r="I940" s="4" t="inlineStr">
        <is>
          <t>DISEÑO GRAFICO</t>
        </is>
      </c>
      <c r="J940" s="4" t="inlineStr">
        <is>
          <t>REINTEGRO</t>
        </is>
      </c>
      <c r="K940" s="4" t="inlineStr">
        <is>
          <t>ANA SANCHEZ</t>
        </is>
      </c>
      <c r="L940" s="4" t="inlineStr">
        <is>
          <t>CONFIRMADO PRESENCIAL</t>
        </is>
      </c>
      <c r="M940" s="4" t="n">
        <v/>
      </c>
      <c r="N940" s="4" t="n">
        <v>3044090480</v>
      </c>
      <c r="O940" s="4" t="inlineStr">
        <is>
          <t>paolarte360@gmail.com</t>
        </is>
      </c>
      <c r="P940" s="4" t="inlineStr">
        <is>
          <t>IBAGUE SEDE</t>
        </is>
      </c>
      <c r="Q940" s="4" t="inlineStr">
        <is>
          <t>BELLAS ARTES</t>
        </is>
      </c>
      <c r="R940" s="4" t="n">
        <v/>
      </c>
    </row>
    <row r="941" ht="20" customHeight="1">
      <c r="A941" s="6" t="inlineStr">
        <is>
          <t>1083041500</t>
        </is>
      </c>
      <c r="B941" s="7" t="inlineStr">
        <is>
          <t>VIRTUAL</t>
        </is>
      </c>
      <c r="C941" s="7" t="inlineStr">
        <is>
          <t>MARIA ALEJANDRA ALCAZAR QUINTO</t>
        </is>
      </c>
      <c r="D941" s="7" t="inlineStr">
        <is>
          <t>OPERACIONES</t>
        </is>
      </c>
      <c r="E941" s="7" t="inlineStr">
        <is>
          <t>REGIONAL MAGDALENA</t>
        </is>
      </c>
      <c r="F941" s="7" t="inlineStr">
        <is>
          <t>SANTA MARTA</t>
        </is>
      </c>
      <c r="G941" s="7" t="inlineStr">
        <is>
          <t>PRESENCIAL</t>
        </is>
      </c>
      <c r="H941" s="7" t="inlineStr">
        <is>
          <t>DOC AUX T&amp;T/N/TC/DIS GRAFICO/FUN.ACADE-ADMIN</t>
        </is>
      </c>
      <c r="I941" s="7" t="inlineStr">
        <is>
          <t>DISEÑO GRAFICO</t>
        </is>
      </c>
      <c r="J941" s="7" t="inlineStr">
        <is>
          <t>REINTEGRO</t>
        </is>
      </c>
      <c r="K941" s="7" t="inlineStr">
        <is>
          <t>ANA SANCHEZ</t>
        </is>
      </c>
      <c r="L941" s="7" t="n">
        <v/>
      </c>
      <c r="M941" s="7" t="n">
        <v/>
      </c>
      <c r="N941" s="7" t="n">
        <v>3023397677</v>
      </c>
      <c r="O941" s="7" t="inlineStr">
        <is>
          <t>marialcazar98@gmail.com</t>
        </is>
      </c>
      <c r="P941" s="7" t="inlineStr">
        <is>
          <t>SANTA MARTA SEDE</t>
        </is>
      </c>
      <c r="Q941" s="7" t="inlineStr">
        <is>
          <t>BELLAS ARTES</t>
        </is>
      </c>
      <c r="R941" s="7" t="n">
        <v/>
      </c>
    </row>
    <row r="942" ht="20" customHeight="1">
      <c r="A942" s="3" t="inlineStr">
        <is>
          <t>52996196</t>
        </is>
      </c>
      <c r="B942" s="4" t="inlineStr">
        <is>
          <t>PRESENCIAL BOGOTÁ</t>
        </is>
      </c>
      <c r="C942" s="4" t="inlineStr">
        <is>
          <t>MARIA CLAUDIA MUÑOZ FAJARDO</t>
        </is>
      </c>
      <c r="D942" s="4" t="inlineStr">
        <is>
          <t>OPERACIONES</t>
        </is>
      </c>
      <c r="E942" s="4" t="inlineStr">
        <is>
          <t>REGIONAL BOGOTA</t>
        </is>
      </c>
      <c r="F942" s="4" t="inlineStr">
        <is>
          <t>BOGOTA CENTRO</t>
        </is>
      </c>
      <c r="G942" s="4" t="inlineStr">
        <is>
          <t>PRESENCIAL</t>
        </is>
      </c>
      <c r="H942" s="4" t="inlineStr">
        <is>
          <t>DOCENTE AUX/N/TC/DIS GRAFICO/FUN.ACADE-ADMIN</t>
        </is>
      </c>
      <c r="I942" s="4" t="inlineStr">
        <is>
          <t>DISEÑO GRAFICO</t>
        </is>
      </c>
      <c r="J942" s="4" t="inlineStr">
        <is>
          <t>REINTEGRO</t>
        </is>
      </c>
      <c r="K942" s="4" t="inlineStr">
        <is>
          <t>ANA SANCHEZ</t>
        </is>
      </c>
      <c r="L942" s="4" t="inlineStr">
        <is>
          <t>SIN RESPUESTA</t>
        </is>
      </c>
      <c r="M942" s="4" t="n">
        <v/>
      </c>
      <c r="N942" s="4" t="n">
        <v>3103297045</v>
      </c>
      <c r="O942" s="4" t="inlineStr">
        <is>
          <t>maclaum@gmail.com</t>
        </is>
      </c>
      <c r="P942" s="4" t="inlineStr">
        <is>
          <t>BTA SEDE F</t>
        </is>
      </c>
      <c r="Q942" s="4" t="inlineStr">
        <is>
          <t>BELLAS ARTES</t>
        </is>
      </c>
      <c r="R942" s="4" t="n">
        <v>403</v>
      </c>
    </row>
    <row r="943" ht="20" customHeight="1">
      <c r="A943" s="6" t="inlineStr">
        <is>
          <t>1110475692</t>
        </is>
      </c>
      <c r="B943" s="7" t="inlineStr">
        <is>
          <t>PRESENCIAL REGIONAL</t>
        </is>
      </c>
      <c r="C943" s="7" t="inlineStr">
        <is>
          <t>LESLY NATALIA SANCHEZ RODRIGUEZ</t>
        </is>
      </c>
      <c r="D943" s="7" t="inlineStr">
        <is>
          <t>OPERACIONES</t>
        </is>
      </c>
      <c r="E943" s="7" t="inlineStr">
        <is>
          <t>REGIONAL TOLIMA</t>
        </is>
      </c>
      <c r="F943" s="7" t="inlineStr">
        <is>
          <t>IBAGUÉ</t>
        </is>
      </c>
      <c r="G943" s="7" t="inlineStr">
        <is>
          <t>PRESENCIAL</t>
        </is>
      </c>
      <c r="H943" s="7" t="inlineStr">
        <is>
          <t>DOC AUX T&amp;T/N/MT/DIS GRAFICO</t>
        </is>
      </c>
      <c r="I943" s="7" t="inlineStr">
        <is>
          <t>DISEÑO GRAFICO</t>
        </is>
      </c>
      <c r="J943" s="7" t="inlineStr">
        <is>
          <t>REINTEGRO</t>
        </is>
      </c>
      <c r="K943" s="7" t="inlineStr">
        <is>
          <t>ANA SANCHEZ</t>
        </is>
      </c>
      <c r="L943" s="7" t="inlineStr">
        <is>
          <t>SIN RESPUESTA</t>
        </is>
      </c>
      <c r="M943" s="7" t="n">
        <v/>
      </c>
      <c r="N943" s="7" t="n">
        <v>3102099493</v>
      </c>
      <c r="O943" s="7" t="inlineStr">
        <is>
          <t>nattico7@gmail.com</t>
        </is>
      </c>
      <c r="P943" s="7" t="inlineStr">
        <is>
          <t>IBAGUE SEDE</t>
        </is>
      </c>
      <c r="Q943" s="7" t="inlineStr">
        <is>
          <t>BELLAS ARTES</t>
        </is>
      </c>
      <c r="R943" s="7" t="n">
        <v/>
      </c>
    </row>
    <row r="944" ht="20" customHeight="1">
      <c r="A944" s="3" t="inlineStr">
        <is>
          <t>1012425136</t>
        </is>
      </c>
      <c r="B944" s="4" t="inlineStr">
        <is>
          <t>PRESENCIAL BOGOTÁ</t>
        </is>
      </c>
      <c r="C944" s="4" t="inlineStr">
        <is>
          <t>CARLOS ARTURO PEÑALOZA HERRERA</t>
        </is>
      </c>
      <c r="D944" s="4" t="inlineStr">
        <is>
          <t>OPERACIONES</t>
        </is>
      </c>
      <c r="E944" s="4" t="inlineStr">
        <is>
          <t>REGIONAL BOGOTA</t>
        </is>
      </c>
      <c r="F944" s="4" t="inlineStr">
        <is>
          <t>BOGOTA CENTRO</t>
        </is>
      </c>
      <c r="G944" s="4" t="inlineStr">
        <is>
          <t>PRESENCIAL</t>
        </is>
      </c>
      <c r="H944" s="4" t="inlineStr">
        <is>
          <t>DOC AUX T&amp;T/N/TC/DIS GRAFICO/FUN.ACADE-ADMIN</t>
        </is>
      </c>
      <c r="I944" s="4" t="inlineStr">
        <is>
          <t>DISEÑO GRAFICO</t>
        </is>
      </c>
      <c r="J944" s="4" t="inlineStr">
        <is>
          <t>REINTEGRO</t>
        </is>
      </c>
      <c r="K944" s="4" t="inlineStr">
        <is>
          <t>ANA SANCHEZ</t>
        </is>
      </c>
      <c r="L944" s="4" t="inlineStr">
        <is>
          <t>SIN RESPUESTA</t>
        </is>
      </c>
      <c r="M944" s="4" t="n">
        <v/>
      </c>
      <c r="N944" s="4" t="n">
        <v>3134817676</v>
      </c>
      <c r="O944" s="4" t="inlineStr">
        <is>
          <t>animadorcarlosp@gmail.com</t>
        </is>
      </c>
      <c r="P944" s="4" t="inlineStr">
        <is>
          <t>BTA SEDE F</t>
        </is>
      </c>
      <c r="Q944" s="4" t="inlineStr">
        <is>
          <t>BELLAS ARTES</t>
        </is>
      </c>
      <c r="R944" s="4" t="n">
        <v>403</v>
      </c>
    </row>
    <row r="945" ht="20" customHeight="1">
      <c r="A945" s="6" t="inlineStr">
        <is>
          <t>1079940873</t>
        </is>
      </c>
      <c r="B945" s="7" t="inlineStr">
        <is>
          <t>VIRTUAL</t>
        </is>
      </c>
      <c r="C945" s="7" t="inlineStr">
        <is>
          <t>ROBINSON ANDRES DE LEON PEREZ</t>
        </is>
      </c>
      <c r="D945" s="7" t="inlineStr">
        <is>
          <t>OPERACIONES</t>
        </is>
      </c>
      <c r="E945" s="7" t="inlineStr">
        <is>
          <t>REGIONAL MAGDALENA</t>
        </is>
      </c>
      <c r="F945" s="7" t="inlineStr">
        <is>
          <t>SANTA MARTA</t>
        </is>
      </c>
      <c r="G945" s="7" t="inlineStr">
        <is>
          <t>PRESENCIAL</t>
        </is>
      </c>
      <c r="H945" s="7" t="inlineStr">
        <is>
          <t>DOCENTE AUX/N/TC/DIS GRAFICO/FUN.ACADE-ADMIN</t>
        </is>
      </c>
      <c r="I945" s="7" t="inlineStr">
        <is>
          <t>DISEÑO GRAFICO</t>
        </is>
      </c>
      <c r="J945" s="7" t="inlineStr">
        <is>
          <t>REINTEGRO</t>
        </is>
      </c>
      <c r="K945" s="7" t="inlineStr">
        <is>
          <t>ANA SANCHEZ</t>
        </is>
      </c>
      <c r="L945" s="7" t="n">
        <v/>
      </c>
      <c r="M945" s="7" t="n">
        <v/>
      </c>
      <c r="N945" s="7" t="n">
        <v>3332605688</v>
      </c>
      <c r="O945" s="7" t="inlineStr">
        <is>
          <t>Robinson.deleon@cun.edu.co</t>
        </is>
      </c>
      <c r="P945" s="7" t="inlineStr">
        <is>
          <t>SANTA MARTA SEDE</t>
        </is>
      </c>
      <c r="Q945" s="7" t="inlineStr">
        <is>
          <t>BELLAS ARTES</t>
        </is>
      </c>
      <c r="R945" s="7" t="n">
        <v/>
      </c>
    </row>
    <row r="946" ht="20" customHeight="1">
      <c r="A946" s="3" t="inlineStr">
        <is>
          <t>1030666008</t>
        </is>
      </c>
      <c r="B946" s="4" t="inlineStr">
        <is>
          <t>PRESENCIAL BOGOTÁ</t>
        </is>
      </c>
      <c r="C946" s="4" t="inlineStr">
        <is>
          <t>SERGIO NICOLAS MONTES RODRIGUEZ</t>
        </is>
      </c>
      <c r="D946" s="4" t="inlineStr">
        <is>
          <t>OPERACIONES</t>
        </is>
      </c>
      <c r="E946" s="4" t="inlineStr">
        <is>
          <t>REGIONAL BOGOTA</t>
        </is>
      </c>
      <c r="F946" s="4" t="inlineStr">
        <is>
          <t>BOGOTA CENTRO</t>
        </is>
      </c>
      <c r="G946" s="4" t="inlineStr">
        <is>
          <t>PRESENCIAL</t>
        </is>
      </c>
      <c r="H946" s="4" t="inlineStr">
        <is>
          <t>DOCENTE ASIS/N/TC/DIS GRAFICO/FUN.ACADE-ADMIN</t>
        </is>
      </c>
      <c r="I946" s="4" t="inlineStr">
        <is>
          <t>DISEÑO GRAFICO</t>
        </is>
      </c>
      <c r="J946" s="4" t="inlineStr">
        <is>
          <t>REINTEGRO</t>
        </is>
      </c>
      <c r="K946" s="4" t="inlineStr">
        <is>
          <t>ANA SANCHEZ</t>
        </is>
      </c>
      <c r="L946" s="4" t="inlineStr">
        <is>
          <t>CONFIRMADO PRESENCIAL</t>
        </is>
      </c>
      <c r="M946" s="4" t="n">
        <v/>
      </c>
      <c r="N946" s="4" t="n">
        <v>3133757909</v>
      </c>
      <c r="O946" s="4" t="inlineStr">
        <is>
          <t>SN.MONTES10@UNIANDES.EDU.CO</t>
        </is>
      </c>
      <c r="P946" s="4" t="inlineStr">
        <is>
          <t>BTA SEDE F</t>
        </is>
      </c>
      <c r="Q946" s="4" t="inlineStr">
        <is>
          <t>BELLAS ARTES</t>
        </is>
      </c>
      <c r="R946" s="4" t="n">
        <v>403</v>
      </c>
    </row>
    <row r="947" ht="20" customHeight="1">
      <c r="A947" s="6" t="inlineStr">
        <is>
          <t>1010092375</t>
        </is>
      </c>
      <c r="B947" s="7" t="inlineStr">
        <is>
          <t>PRESENCIAL BOGOTÁ</t>
        </is>
      </c>
      <c r="C947" s="7" t="inlineStr">
        <is>
          <t>LAURA CAMILA MUÑOZ PEREZ</t>
        </is>
      </c>
      <c r="D947" s="7" t="inlineStr">
        <is>
          <t>OPERACIONES</t>
        </is>
      </c>
      <c r="E947" s="7" t="inlineStr">
        <is>
          <t>REGIONAL BOGOTA</t>
        </is>
      </c>
      <c r="F947" s="7" t="inlineStr">
        <is>
          <t>BOGOTA CENTRO</t>
        </is>
      </c>
      <c r="G947" s="7" t="inlineStr">
        <is>
          <t>PRESENCIAL</t>
        </is>
      </c>
      <c r="H947" s="7" t="inlineStr">
        <is>
          <t>DOCENTE ASIS/N/TC/DIS GRAFICO/FUN.ACADE-ADMIN</t>
        </is>
      </c>
      <c r="I947" s="7" t="inlineStr">
        <is>
          <t>DISEÑO GRAFICO</t>
        </is>
      </c>
      <c r="J947" s="7" t="inlineStr">
        <is>
          <t>REINTEGRO</t>
        </is>
      </c>
      <c r="K947" s="7" t="inlineStr">
        <is>
          <t>ANA SANCHEZ</t>
        </is>
      </c>
      <c r="L947" s="7" t="inlineStr">
        <is>
          <t>SIN RESPUESTA</t>
        </is>
      </c>
      <c r="M947" s="7" t="n">
        <v/>
      </c>
      <c r="N947" s="7" t="n">
        <v>3132814678</v>
      </c>
      <c r="O947" s="7" t="inlineStr">
        <is>
          <t>camilauser1d@gmail.com</t>
        </is>
      </c>
      <c r="P947" s="7" t="inlineStr">
        <is>
          <t>BTA SEDE F</t>
        </is>
      </c>
      <c r="Q947" s="7" t="inlineStr">
        <is>
          <t>BELLAS ARTES</t>
        </is>
      </c>
      <c r="R947" s="7" t="n">
        <v>403</v>
      </c>
    </row>
    <row r="948" ht="20" customHeight="1">
      <c r="A948" s="3" t="inlineStr">
        <is>
          <t>1110517544</t>
        </is>
      </c>
      <c r="B948" s="4" t="inlineStr">
        <is>
          <t>PRESENCIAL REGIONAL</t>
        </is>
      </c>
      <c r="C948" s="4" t="inlineStr">
        <is>
          <t>JUAN CAMILO GUTIERREZ MENESES</t>
        </is>
      </c>
      <c r="D948" s="4" t="inlineStr">
        <is>
          <t>OPERACIONES</t>
        </is>
      </c>
      <c r="E948" s="4" t="inlineStr">
        <is>
          <t>REGIONAL HUILA</t>
        </is>
      </c>
      <c r="F948" s="4" t="inlineStr">
        <is>
          <t>NEIVA</t>
        </is>
      </c>
      <c r="G948" s="4" t="inlineStr">
        <is>
          <t>PRESENCIAL</t>
        </is>
      </c>
      <c r="H948" s="4" t="inlineStr">
        <is>
          <t>DOC AUX T&amp;T/N/TC/DIS GRAFICO/FUN.ACADE-ADMIN</t>
        </is>
      </c>
      <c r="I948" s="4" t="inlineStr">
        <is>
          <t>DISEÑO GRAFICO</t>
        </is>
      </c>
      <c r="J948" s="4" t="inlineStr">
        <is>
          <t>REINTEGRO</t>
        </is>
      </c>
      <c r="K948" s="4" t="inlineStr">
        <is>
          <t>ANA SANCHEZ</t>
        </is>
      </c>
      <c r="L948" s="4" t="inlineStr">
        <is>
          <t>SIN RESPUESTA</t>
        </is>
      </c>
      <c r="M948" s="4" t="n">
        <v/>
      </c>
      <c r="N948" s="4" t="n">
        <v>3113005190</v>
      </c>
      <c r="O948" s="4" t="inlineStr">
        <is>
          <t>jcgutierrezme@ut.edu.co</t>
        </is>
      </c>
      <c r="P948" s="4" t="inlineStr">
        <is>
          <t>NEIVA SEDE</t>
        </is>
      </c>
      <c r="Q948" s="4" t="inlineStr">
        <is>
          <t>BELLAS ARTES</t>
        </is>
      </c>
      <c r="R948" s="4" t="n">
        <v/>
      </c>
    </row>
    <row r="949" ht="20" customHeight="1">
      <c r="A949" s="6" t="inlineStr">
        <is>
          <t>1001297009</t>
        </is>
      </c>
      <c r="B949" s="7" t="inlineStr">
        <is>
          <t>PRESENCIAL REGIONAL</t>
        </is>
      </c>
      <c r="C949" s="7" t="inlineStr">
        <is>
          <t>EDGAR ANDRES VENEGAS GUARNIZO</t>
        </is>
      </c>
      <c r="D949" s="7" t="inlineStr">
        <is>
          <t>OPERACIONES</t>
        </is>
      </c>
      <c r="E949" s="7" t="inlineStr">
        <is>
          <t>REGIONAL TOLIMA</t>
        </is>
      </c>
      <c r="F949" s="7" t="inlineStr">
        <is>
          <t>IBAGUÉ</t>
        </is>
      </c>
      <c r="G949" s="7" t="inlineStr">
        <is>
          <t>PRESENCIAL</t>
        </is>
      </c>
      <c r="H949" s="7" t="inlineStr">
        <is>
          <t>DOC AUX T&amp;T/N/TC/DIS GRAFICO/FUN.ACADE-ADMIN</t>
        </is>
      </c>
      <c r="I949" s="7" t="inlineStr">
        <is>
          <t>DISEÑO GRAFICO</t>
        </is>
      </c>
      <c r="J949" s="7" t="inlineStr">
        <is>
          <t>REINTEGRO</t>
        </is>
      </c>
      <c r="K949" s="7" t="inlineStr">
        <is>
          <t>ANA SANCHEZ</t>
        </is>
      </c>
      <c r="L949" s="7" t="inlineStr">
        <is>
          <t>CONFIRMADO PRESENCIAL</t>
        </is>
      </c>
      <c r="M949" s="7" t="n">
        <v/>
      </c>
      <c r="N949" s="7" t="n">
        <v>3045816372</v>
      </c>
      <c r="O949" s="7" t="inlineStr">
        <is>
          <t>ANDRESVENEGAS0326@GMAIL.COM</t>
        </is>
      </c>
      <c r="P949" s="7" t="inlineStr">
        <is>
          <t>IBAGUE SEDE</t>
        </is>
      </c>
      <c r="Q949" s="7" t="inlineStr">
        <is>
          <t>BELLAS ARTES</t>
        </is>
      </c>
      <c r="R949" s="7" t="n">
        <v/>
      </c>
    </row>
    <row r="950" ht="20" customHeight="1">
      <c r="A950" s="3" t="inlineStr">
        <is>
          <t>65744684</t>
        </is>
      </c>
      <c r="B950" s="4" t="inlineStr">
        <is>
          <t>PRESENCIAL REGIONAL</t>
        </is>
      </c>
      <c r="C950" s="4" t="inlineStr">
        <is>
          <t>LUZ STELLA MARROQUIN PATINO</t>
        </is>
      </c>
      <c r="D950" s="4" t="inlineStr">
        <is>
          <t>OPERACIONES</t>
        </is>
      </c>
      <c r="E950" s="4" t="inlineStr">
        <is>
          <t>REGIONAL TOLIMA</t>
        </is>
      </c>
      <c r="F950" s="4" t="inlineStr">
        <is>
          <t>IBAGUÉ</t>
        </is>
      </c>
      <c r="G950" s="4" t="inlineStr">
        <is>
          <t>PRESENCIAL</t>
        </is>
      </c>
      <c r="H950" s="4" t="inlineStr">
        <is>
          <t>DOC AUX T&amp;T/N/TC/DIS PROD MOD/PROYECCIO</t>
        </is>
      </c>
      <c r="I950" s="4" t="inlineStr">
        <is>
          <t>DISEÑO Y PRODUCCION DE MODAS</t>
        </is>
      </c>
      <c r="J950" s="4" t="inlineStr">
        <is>
          <t>REINTEGRO</t>
        </is>
      </c>
      <c r="K950" s="4" t="inlineStr">
        <is>
          <t>ANA SANCHEZ</t>
        </is>
      </c>
      <c r="L950" s="4" t="inlineStr">
        <is>
          <t>CONFIRMADO PRESENCIAL</t>
        </is>
      </c>
      <c r="M950" s="4" t="n">
        <v/>
      </c>
      <c r="N950" s="4" t="n">
        <v>3163823625</v>
      </c>
      <c r="O950" s="4" t="inlineStr">
        <is>
          <t>luzmapa13@hotmail.com</t>
        </is>
      </c>
      <c r="P950" s="4" t="inlineStr">
        <is>
          <t>IBAGUE SEDE</t>
        </is>
      </c>
      <c r="Q950" s="4" t="inlineStr">
        <is>
          <t>BELLAS ARTES</t>
        </is>
      </c>
      <c r="R950" s="4" t="n">
        <v/>
      </c>
    </row>
    <row r="951" ht="20" customHeight="1">
      <c r="A951" s="6" t="inlineStr">
        <is>
          <t>52968067</t>
        </is>
      </c>
      <c r="B951" s="7" t="inlineStr">
        <is>
          <t>PRESENCIAL REGIONAL</t>
        </is>
      </c>
      <c r="C951" s="7" t="inlineStr">
        <is>
          <t>DIANA CAROLINA MEJIA OVIEDO</t>
        </is>
      </c>
      <c r="D951" s="7" t="inlineStr">
        <is>
          <t>OPERACIONES</t>
        </is>
      </c>
      <c r="E951" s="7" t="inlineStr">
        <is>
          <t>REGIONAL HUILA</t>
        </is>
      </c>
      <c r="F951" s="7" t="inlineStr">
        <is>
          <t>NEIVA</t>
        </is>
      </c>
      <c r="G951" s="7" t="inlineStr">
        <is>
          <t>PRESENCIAL</t>
        </is>
      </c>
      <c r="H951" s="7" t="inlineStr">
        <is>
          <t>DOCENTE AUX/N/TC/DIS PROD MOD/FUN.ACADE-ADMIN</t>
        </is>
      </c>
      <c r="I951" s="7" t="inlineStr">
        <is>
          <t>DISEÑO Y PRODUCCION DE MODAS</t>
        </is>
      </c>
      <c r="J951" s="7" t="inlineStr">
        <is>
          <t>REINTEGRO</t>
        </is>
      </c>
      <c r="K951" s="7" t="inlineStr">
        <is>
          <t>ANA SANCHEZ</t>
        </is>
      </c>
      <c r="L951" s="7" t="inlineStr">
        <is>
          <t>CONFIRMADO PRESENCIAL</t>
        </is>
      </c>
      <c r="M951" s="7" t="n">
        <v/>
      </c>
      <c r="N951" s="7" t="n">
        <v>3158767174</v>
      </c>
      <c r="O951" s="7" t="inlineStr">
        <is>
          <t>dianakm@gmail.com</t>
        </is>
      </c>
      <c r="P951" s="7" t="inlineStr">
        <is>
          <t>NEIVA SEDE</t>
        </is>
      </c>
      <c r="Q951" s="7" t="inlineStr">
        <is>
          <t>BELLAS ARTES</t>
        </is>
      </c>
      <c r="R951" s="7" t="n">
        <v/>
      </c>
    </row>
    <row r="952" ht="20" customHeight="1">
      <c r="A952" s="3" t="inlineStr">
        <is>
          <t>1082960235</t>
        </is>
      </c>
      <c r="B952" s="4" t="inlineStr">
        <is>
          <t>VIRTUAL</t>
        </is>
      </c>
      <c r="C952" s="4" t="inlineStr">
        <is>
          <t>EDINEY PATRICIA DURAN AVENDAÑO</t>
        </is>
      </c>
      <c r="D952" s="4" t="inlineStr">
        <is>
          <t>OPERACIONES</t>
        </is>
      </c>
      <c r="E952" s="4" t="inlineStr">
        <is>
          <t>REGIONAL MAGDALENA</t>
        </is>
      </c>
      <c r="F952" s="4" t="inlineStr">
        <is>
          <t>SANTA MARTA</t>
        </is>
      </c>
      <c r="G952" s="4" t="inlineStr">
        <is>
          <t>PRESENCIAL</t>
        </is>
      </c>
      <c r="H952" s="4" t="inlineStr">
        <is>
          <t>DOC AUX T&amp;T/N/TC/DIS PROD MOD/FUN.ACADE-ADMIN</t>
        </is>
      </c>
      <c r="I952" s="4" t="inlineStr">
        <is>
          <t>DISEÑO Y PRODUCCION DE MODAS</t>
        </is>
      </c>
      <c r="J952" s="4" t="inlineStr">
        <is>
          <t>REINTEGRO</t>
        </is>
      </c>
      <c r="K952" s="4" t="inlineStr">
        <is>
          <t>ANA SANCHEZ</t>
        </is>
      </c>
      <c r="L952" s="4" t="n">
        <v/>
      </c>
      <c r="M952" s="4" t="n">
        <v/>
      </c>
      <c r="N952" s="4" t="n">
        <v>3013870053</v>
      </c>
      <c r="O952" s="4" t="inlineStr">
        <is>
          <t>NICKIDURAN23@HOTMAIL.COM</t>
        </is>
      </c>
      <c r="P952" s="4" t="inlineStr">
        <is>
          <t>SANTA MARTA SEDE</t>
        </is>
      </c>
      <c r="Q952" s="4" t="inlineStr">
        <is>
          <t>BELLAS ARTES</t>
        </is>
      </c>
      <c r="R952" s="4" t="n">
        <v/>
      </c>
    </row>
    <row r="953" ht="20" customHeight="1">
      <c r="A953" s="6" t="inlineStr">
        <is>
          <t>79048946</t>
        </is>
      </c>
      <c r="B953" s="7" t="inlineStr">
        <is>
          <t>PRESENCIAL BOGOTÁ</t>
        </is>
      </c>
      <c r="C953" s="7" t="inlineStr">
        <is>
          <t>OSCAR ARTURO RODRIGUEZ VENEGAS</t>
        </is>
      </c>
      <c r="D953" s="7" t="inlineStr">
        <is>
          <t>OPERACIONES</t>
        </is>
      </c>
      <c r="E953" s="7" t="inlineStr">
        <is>
          <t>REGIONAL BOGOTA</t>
        </is>
      </c>
      <c r="F953" s="7" t="inlineStr">
        <is>
          <t>BOGOTA CENTRO</t>
        </is>
      </c>
      <c r="G953" s="7" t="inlineStr">
        <is>
          <t>PRESENCIAL</t>
        </is>
      </c>
      <c r="H953" s="7" t="inlineStr">
        <is>
          <t>DOCENTE ASIS/N/TC/DIS PROD MOD/PROYECCIO</t>
        </is>
      </c>
      <c r="I953" s="7" t="inlineStr">
        <is>
          <t>DISEÑO Y PRODUCCION DE MODAS</t>
        </is>
      </c>
      <c r="J953" s="7" t="inlineStr">
        <is>
          <t>REINTEGRO</t>
        </is>
      </c>
      <c r="K953" s="7" t="inlineStr">
        <is>
          <t>ANA SANCHEZ</t>
        </is>
      </c>
      <c r="L953" s="7" t="inlineStr">
        <is>
          <t>CONFIRMADO PRESENCIAL</t>
        </is>
      </c>
      <c r="M953" s="7" t="n">
        <v/>
      </c>
      <c r="N953" s="7" t="n">
        <v>3177691423</v>
      </c>
      <c r="O953" s="7" t="inlineStr">
        <is>
          <t>oscararturorodriguezvenegas@gmail.com</t>
        </is>
      </c>
      <c r="P953" s="7" t="inlineStr">
        <is>
          <t>BTA SEDE F</t>
        </is>
      </c>
      <c r="Q953" s="7" t="inlineStr">
        <is>
          <t>BELLAS ARTES</t>
        </is>
      </c>
      <c r="R953" s="7" t="n">
        <v>403</v>
      </c>
    </row>
    <row r="954" ht="20" customHeight="1">
      <c r="A954" s="3" t="inlineStr">
        <is>
          <t>52898706</t>
        </is>
      </c>
      <c r="B954" s="4" t="inlineStr">
        <is>
          <t>PRESENCIAL REGIONAL</t>
        </is>
      </c>
      <c r="C954" s="4" t="inlineStr">
        <is>
          <t>SANDRA MILENA ALBORNOZ CUMBE</t>
        </is>
      </c>
      <c r="D954" s="4" t="inlineStr">
        <is>
          <t>OPERACIONES</t>
        </is>
      </c>
      <c r="E954" s="4" t="inlineStr">
        <is>
          <t>REGIONAL HUILA</t>
        </is>
      </c>
      <c r="F954" s="4" t="inlineStr">
        <is>
          <t>NEIVA</t>
        </is>
      </c>
      <c r="G954" s="4" t="inlineStr">
        <is>
          <t>PRESENCIAL</t>
        </is>
      </c>
      <c r="H954" s="4" t="inlineStr">
        <is>
          <t>DOC AUX T&amp;T/N/TC/DIS PROD MOD/FUN.ACADE-ADMIN</t>
        </is>
      </c>
      <c r="I954" s="4" t="inlineStr">
        <is>
          <t>DISEÑO Y PRODUCCION DE MODAS</t>
        </is>
      </c>
      <c r="J954" s="4" t="inlineStr">
        <is>
          <t>REINTEGRO</t>
        </is>
      </c>
      <c r="K954" s="4" t="inlineStr">
        <is>
          <t>ANA SANCHEZ</t>
        </is>
      </c>
      <c r="L954" s="4" t="inlineStr">
        <is>
          <t>CONFIRMADO PRESENCIAL</t>
        </is>
      </c>
      <c r="M954" s="4" t="n">
        <v/>
      </c>
      <c r="N954" s="4" t="n">
        <v>3133085062</v>
      </c>
      <c r="O954" s="4" t="inlineStr">
        <is>
          <t>mile384@hotmail.com</t>
        </is>
      </c>
      <c r="P954" s="4" t="inlineStr">
        <is>
          <t>NEIVA SEDE</t>
        </is>
      </c>
      <c r="Q954" s="4" t="inlineStr">
        <is>
          <t>BELLAS ARTES</t>
        </is>
      </c>
      <c r="R954" s="4" t="n">
        <v/>
      </c>
    </row>
    <row r="955" ht="20" customHeight="1">
      <c r="A955" s="6" t="inlineStr">
        <is>
          <t>1152464437</t>
        </is>
      </c>
      <c r="B955" s="7" t="inlineStr">
        <is>
          <t>PRESENCIAL REGIONAL</t>
        </is>
      </c>
      <c r="C955" s="7" t="inlineStr">
        <is>
          <t>MATEO ZAPATA RUA</t>
        </is>
      </c>
      <c r="D955" s="7" t="inlineStr">
        <is>
          <t>OPERACIONES</t>
        </is>
      </c>
      <c r="E955" s="7" t="inlineStr">
        <is>
          <t>REGIONAL ANTIOQUIA</t>
        </is>
      </c>
      <c r="F955" s="7" t="inlineStr">
        <is>
          <t>MEDELLIN</t>
        </is>
      </c>
      <c r="G955" s="7" t="inlineStr">
        <is>
          <t>PRESENCIAL</t>
        </is>
      </c>
      <c r="H955" s="7" t="inlineStr">
        <is>
          <t>DOC AUX T&amp;T/N/TC/DIS PROD MOD/FUN.ACADE-ADMIN</t>
        </is>
      </c>
      <c r="I955" s="7" t="inlineStr">
        <is>
          <t>DISEÑO Y PRODUCCION DE MODAS</t>
        </is>
      </c>
      <c r="J955" s="7" t="inlineStr">
        <is>
          <t>REINTEGRO</t>
        </is>
      </c>
      <c r="K955" s="7" t="inlineStr">
        <is>
          <t>ANA SANCHEZ</t>
        </is>
      </c>
      <c r="L955" s="7" t="inlineStr">
        <is>
          <t>CONFIRMADO PRESENCIAL</t>
        </is>
      </c>
      <c r="M955" s="7" t="n">
        <v/>
      </c>
      <c r="N955" s="7" t="n">
        <v>3052418738</v>
      </c>
      <c r="O955" s="7" t="inlineStr">
        <is>
          <t>matezapata@gmail.com</t>
        </is>
      </c>
      <c r="P955" s="7" t="inlineStr">
        <is>
          <t>MEDELLIN SEDE</t>
        </is>
      </c>
      <c r="Q955" s="7" t="inlineStr">
        <is>
          <t>BELLAS ARTES</t>
        </is>
      </c>
      <c r="R955" s="7" t="n">
        <v/>
      </c>
    </row>
    <row r="956" ht="20" customHeight="1">
      <c r="A956" s="3" t="inlineStr">
        <is>
          <t>1018505461</t>
        </is>
      </c>
      <c r="B956" s="4" t="inlineStr">
        <is>
          <t>PRESENCIAL BOGOTÁ</t>
        </is>
      </c>
      <c r="C956" s="4" t="inlineStr">
        <is>
          <t>DAVIANA CAROLINA BARROS TORO</t>
        </is>
      </c>
      <c r="D956" s="4" t="inlineStr">
        <is>
          <t>OPERACIONES</t>
        </is>
      </c>
      <c r="E956" s="4" t="inlineStr">
        <is>
          <t>REGIONAL BOGOTA</t>
        </is>
      </c>
      <c r="F956" s="4" t="inlineStr">
        <is>
          <t>BOGOTA CENTRO</t>
        </is>
      </c>
      <c r="G956" s="4" t="inlineStr">
        <is>
          <t>PRESENCIAL</t>
        </is>
      </c>
      <c r="H956" s="4" t="inlineStr">
        <is>
          <t>DOC AUX T&amp;T/N/TC/DIS PROD MOD/FUN.ACADE-ADMIN</t>
        </is>
      </c>
      <c r="I956" s="4" t="inlineStr">
        <is>
          <t>DISEÑO Y PRODUCCION DE MODAS</t>
        </is>
      </c>
      <c r="J956" s="4" t="inlineStr">
        <is>
          <t>REINTEGRO</t>
        </is>
      </c>
      <c r="K956" s="4" t="inlineStr">
        <is>
          <t>ANA SANCHEZ</t>
        </is>
      </c>
      <c r="L956" s="4" t="inlineStr">
        <is>
          <t>SIN RESPUESTA</t>
        </is>
      </c>
      <c r="M956" s="4" t="n">
        <v/>
      </c>
      <c r="N956" s="4" t="n">
        <v>3023419663</v>
      </c>
      <c r="O956" s="4" t="inlineStr">
        <is>
          <t>davianacaro@gmail.com</t>
        </is>
      </c>
      <c r="P956" s="4" t="inlineStr">
        <is>
          <t>BTA SEDE F</t>
        </is>
      </c>
      <c r="Q956" s="4" t="inlineStr">
        <is>
          <t>BELLAS ARTES</t>
        </is>
      </c>
      <c r="R956" s="4" t="n">
        <v>403</v>
      </c>
    </row>
    <row r="957" ht="20" customHeight="1">
      <c r="A957" s="6" t="inlineStr">
        <is>
          <t>1047505105</t>
        </is>
      </c>
      <c r="B957" s="7" t="inlineStr">
        <is>
          <t>PRESENCIAL REGIONAL</t>
        </is>
      </c>
      <c r="C957" s="7" t="inlineStr">
        <is>
          <t>SANDRA DEL CARMEN SARMIENTO CASTILLO</t>
        </is>
      </c>
      <c r="D957" s="7" t="inlineStr">
        <is>
          <t>OPERACIONES</t>
        </is>
      </c>
      <c r="E957" s="7" t="inlineStr">
        <is>
          <t>REGIONAL ANTIOQUIA</t>
        </is>
      </c>
      <c r="F957" s="7" t="inlineStr">
        <is>
          <t>MEDELLIN</t>
        </is>
      </c>
      <c r="G957" s="7" t="inlineStr">
        <is>
          <t>PRESENCIAL</t>
        </is>
      </c>
      <c r="H957" s="7" t="inlineStr">
        <is>
          <t>DOC AUX T&amp;T/N/TC/DIS PROD MOD/FUN.ACADE-ADMIN</t>
        </is>
      </c>
      <c r="I957" s="7" t="inlineStr">
        <is>
          <t>DISEÑO Y PRODUCCION DE MODAS</t>
        </is>
      </c>
      <c r="J957" s="7" t="inlineStr">
        <is>
          <t>REINTEGRO</t>
        </is>
      </c>
      <c r="K957" s="7" t="inlineStr">
        <is>
          <t>ANA SANCHEZ</t>
        </is>
      </c>
      <c r="L957" s="7" t="inlineStr">
        <is>
          <t>CONFIRMADO PRESENCIAL</t>
        </is>
      </c>
      <c r="M957" s="7" t="n">
        <v/>
      </c>
      <c r="N957" s="7" t="n">
        <v>3126879838</v>
      </c>
      <c r="O957" s="7" t="inlineStr">
        <is>
          <t>sandra16042012@gmail.com</t>
        </is>
      </c>
      <c r="P957" s="7" t="inlineStr">
        <is>
          <t>MEDELLIN SEDE</t>
        </is>
      </c>
      <c r="Q957" s="7" t="inlineStr">
        <is>
          <t>BELLAS ARTES</t>
        </is>
      </c>
      <c r="R957" s="7" t="n">
        <v/>
      </c>
    </row>
    <row r="958" ht="20" customHeight="1">
      <c r="A958" s="3" t="inlineStr">
        <is>
          <t>1032363391</t>
        </is>
      </c>
      <c r="B958" s="4" t="inlineStr">
        <is>
          <t>PRESENCIAL BOGOTÁ</t>
        </is>
      </c>
      <c r="C958" s="4" t="inlineStr">
        <is>
          <t>JENNY ROCIO HERNANDEZ FLOREZ</t>
        </is>
      </c>
      <c r="D958" s="4" t="inlineStr">
        <is>
          <t>OPERACIONES</t>
        </is>
      </c>
      <c r="E958" s="4" t="inlineStr">
        <is>
          <t>REGIONAL BOGOTA</t>
        </is>
      </c>
      <c r="F958" s="4" t="inlineStr">
        <is>
          <t>BOGOTA CENTRO</t>
        </is>
      </c>
      <c r="G958" s="4" t="inlineStr">
        <is>
          <t>PRESENCIAL</t>
        </is>
      </c>
      <c r="H958" s="4" t="inlineStr">
        <is>
          <t>DOCENTE AUX/N/TC/DIS PROD MOD/FUN.ACADE-ADMIN</t>
        </is>
      </c>
      <c r="I958" s="4" t="inlineStr">
        <is>
          <t>DISEÑO Y PRODUCCION DE MODAS</t>
        </is>
      </c>
      <c r="J958" s="4" t="inlineStr">
        <is>
          <t>REINTEGRO</t>
        </is>
      </c>
      <c r="K958" s="4" t="inlineStr">
        <is>
          <t>ANA SANCHEZ</t>
        </is>
      </c>
      <c r="L958" s="4" t="inlineStr">
        <is>
          <t>CONFIRMADO PRESENCIAL</t>
        </is>
      </c>
      <c r="M958" s="4" t="n">
        <v/>
      </c>
      <c r="N958" s="4" t="n">
        <v>3197981337</v>
      </c>
      <c r="O958" s="4" t="inlineStr">
        <is>
          <t>jennyherflo86@gmail.com</t>
        </is>
      </c>
      <c r="P958" s="4" t="inlineStr">
        <is>
          <t>BTA SEDE F</t>
        </is>
      </c>
      <c r="Q958" s="4" t="inlineStr">
        <is>
          <t>BELLAS ARTES</t>
        </is>
      </c>
      <c r="R958" s="4" t="n">
        <v>403</v>
      </c>
    </row>
    <row r="959" ht="20" customHeight="1">
      <c r="A959" s="6" t="inlineStr">
        <is>
          <t>1013637476</t>
        </is>
      </c>
      <c r="B959" s="7" t="inlineStr">
        <is>
          <t>PRESENCIAL REGIONAL</t>
        </is>
      </c>
      <c r="C959" s="7" t="inlineStr">
        <is>
          <t>ELKIN LEONARDO GONZALEZ BOGOTA</t>
        </is>
      </c>
      <c r="D959" s="7" t="inlineStr">
        <is>
          <t>OPERACIONES</t>
        </is>
      </c>
      <c r="E959" s="7" t="inlineStr">
        <is>
          <t>REGIONAL HUILA</t>
        </is>
      </c>
      <c r="F959" s="7" t="inlineStr">
        <is>
          <t>NEIVA</t>
        </is>
      </c>
      <c r="G959" s="7" t="inlineStr">
        <is>
          <t>PRESENCIAL</t>
        </is>
      </c>
      <c r="H959" s="7" t="inlineStr">
        <is>
          <t>DOC AUX T&amp;T/N/TC/DIS PROD MOD/FUN.ACADE-ADMIN</t>
        </is>
      </c>
      <c r="I959" s="7" t="inlineStr">
        <is>
          <t>DISEÑO Y PRODUCCION DE MODAS</t>
        </is>
      </c>
      <c r="J959" s="7" t="inlineStr">
        <is>
          <t>REINTEGRO</t>
        </is>
      </c>
      <c r="K959" s="7" t="inlineStr">
        <is>
          <t>ANA SANCHEZ</t>
        </is>
      </c>
      <c r="L959" s="7" t="inlineStr">
        <is>
          <t>SIN RESPUESTA</t>
        </is>
      </c>
      <c r="M959" s="7" t="n">
        <v/>
      </c>
      <c r="N959" s="7" t="n">
        <v>3112261632</v>
      </c>
      <c r="O959" s="7" t="inlineStr">
        <is>
          <t>leonardobogota1@gmail.com</t>
        </is>
      </c>
      <c r="P959" s="7" t="inlineStr">
        <is>
          <t>NEIVA SEDE</t>
        </is>
      </c>
      <c r="Q959" s="7" t="inlineStr">
        <is>
          <t>BELLAS ARTES</t>
        </is>
      </c>
      <c r="R959" s="7" t="n">
        <v/>
      </c>
    </row>
    <row r="960" ht="20" customHeight="1">
      <c r="A960" s="3" t="inlineStr">
        <is>
          <t>57463000</t>
        </is>
      </c>
      <c r="B960" s="4" t="inlineStr">
        <is>
          <t>VIRTUAL</t>
        </is>
      </c>
      <c r="C960" s="4" t="inlineStr">
        <is>
          <t>MARTA LILIANA BENAVIDES PACHECO</t>
        </is>
      </c>
      <c r="D960" s="4" t="inlineStr">
        <is>
          <t>OPERACIONES</t>
        </is>
      </c>
      <c r="E960" s="4" t="inlineStr">
        <is>
          <t>REGIONAL MAGDALENA</t>
        </is>
      </c>
      <c r="F960" s="4" t="inlineStr">
        <is>
          <t>SANTA MARTA</t>
        </is>
      </c>
      <c r="G960" s="4" t="inlineStr">
        <is>
          <t>PRESENCIAL</t>
        </is>
      </c>
      <c r="H960" s="4" t="inlineStr">
        <is>
          <t>DOC AUX T&amp;T/N/TC/DIS PROD MOD/FUN.ACADE-ADMIN</t>
        </is>
      </c>
      <c r="I960" s="4" t="inlineStr">
        <is>
          <t>DISEÑO Y PRODUCCION DE MODAS</t>
        </is>
      </c>
      <c r="J960" s="4" t="inlineStr">
        <is>
          <t>REINTEGRO</t>
        </is>
      </c>
      <c r="K960" s="4" t="inlineStr">
        <is>
          <t>ANA SANCHEZ</t>
        </is>
      </c>
      <c r="L960" s="4" t="n">
        <v/>
      </c>
      <c r="M960" s="4" t="n">
        <v/>
      </c>
      <c r="N960" s="4" t="n">
        <v>3022924489</v>
      </c>
      <c r="O960" s="4" t="inlineStr">
        <is>
          <t>marta-benavides@hotmail.com</t>
        </is>
      </c>
      <c r="P960" s="4" t="inlineStr">
        <is>
          <t>SANTA MARTA SEDE</t>
        </is>
      </c>
      <c r="Q960" s="4" t="inlineStr">
        <is>
          <t>BELLAS ARTES</t>
        </is>
      </c>
      <c r="R960" s="4" t="n">
        <v/>
      </c>
    </row>
    <row r="961" ht="20" customHeight="1">
      <c r="A961" s="6" t="inlineStr">
        <is>
          <t>1110447822</t>
        </is>
      </c>
      <c r="B961" s="7" t="inlineStr">
        <is>
          <t>PRESENCIAL REGIONAL</t>
        </is>
      </c>
      <c r="C961" s="7" t="inlineStr">
        <is>
          <t>YUDDY VIVIANA MUÑOZ PEÑALOZA</t>
        </is>
      </c>
      <c r="D961" s="7" t="inlineStr">
        <is>
          <t>OPERACIONES</t>
        </is>
      </c>
      <c r="E961" s="7" t="inlineStr">
        <is>
          <t>REGIONAL TOLIMA</t>
        </is>
      </c>
      <c r="F961" s="7" t="inlineStr">
        <is>
          <t>IBAGUÉ</t>
        </is>
      </c>
      <c r="G961" s="7" t="inlineStr">
        <is>
          <t>PRESENCIAL</t>
        </is>
      </c>
      <c r="H961" s="7" t="inlineStr">
        <is>
          <t>DOC AUX T&amp;T/N/TC/DIS PROD MOD/FUN.ACADE-ADMIN</t>
        </is>
      </c>
      <c r="I961" s="7" t="inlineStr">
        <is>
          <t>DISEÑO Y PRODUCCION DE MODAS</t>
        </is>
      </c>
      <c r="J961" s="7" t="inlineStr">
        <is>
          <t>REINTEGRO</t>
        </is>
      </c>
      <c r="K961" s="7" t="inlineStr">
        <is>
          <t>ANA SANCHEZ</t>
        </is>
      </c>
      <c r="L961" s="7" t="inlineStr">
        <is>
          <t>CONFIRMADO PRESENCIAL</t>
        </is>
      </c>
      <c r="M961" s="7" t="n">
        <v/>
      </c>
      <c r="N961" s="7" t="n">
        <v>3008841388</v>
      </c>
      <c r="O961" s="7" t="inlineStr">
        <is>
          <t>yuvimupegoz@hotmail.com</t>
        </is>
      </c>
      <c r="P961" s="7" t="inlineStr">
        <is>
          <t>IBAGUE SEDE</t>
        </is>
      </c>
      <c r="Q961" s="7" t="inlineStr">
        <is>
          <t>BELLAS ARTES</t>
        </is>
      </c>
      <c r="R961" s="7" t="n">
        <v/>
      </c>
    </row>
    <row r="962" ht="20" customHeight="1">
      <c r="A962" s="3" t="inlineStr">
        <is>
          <t>1110573960</t>
        </is>
      </c>
      <c r="B962" s="4" t="inlineStr">
        <is>
          <t>PRESENCIAL REGIONAL</t>
        </is>
      </c>
      <c r="C962" s="4" t="inlineStr">
        <is>
          <t>LEIDY GERALDIN DIAZ CAMELO</t>
        </is>
      </c>
      <c r="D962" s="4" t="inlineStr">
        <is>
          <t>OPERACIONES</t>
        </is>
      </c>
      <c r="E962" s="4" t="inlineStr">
        <is>
          <t>REGIONAL TOLIMA</t>
        </is>
      </c>
      <c r="F962" s="4" t="inlineStr">
        <is>
          <t>IBAGUÉ</t>
        </is>
      </c>
      <c r="G962" s="4" t="inlineStr">
        <is>
          <t>PRESENCIAL</t>
        </is>
      </c>
      <c r="H962" s="4" t="inlineStr">
        <is>
          <t>DOC AUX T&amp;T/N/TC/DIS PROD MOD/FUN.ACADE-ADMIN</t>
        </is>
      </c>
      <c r="I962" s="4" t="inlineStr">
        <is>
          <t>DISEÑO Y PRODUCCION DE MODAS</t>
        </is>
      </c>
      <c r="J962" s="4" t="inlineStr">
        <is>
          <t>REINTEGRO</t>
        </is>
      </c>
      <c r="K962" s="4" t="inlineStr">
        <is>
          <t>JHANNA GOMEZ</t>
        </is>
      </c>
      <c r="L962" s="4" t="n">
        <v/>
      </c>
      <c r="M962" s="4" t="n">
        <v/>
      </c>
      <c r="N962" s="4" t="n">
        <v>3002648269</v>
      </c>
      <c r="O962" s="4" t="inlineStr">
        <is>
          <t>geraldindiaz95@gmail.com</t>
        </is>
      </c>
      <c r="P962" s="4" t="inlineStr">
        <is>
          <t>IBAGUE SEDE</t>
        </is>
      </c>
      <c r="Q962" s="4" t="inlineStr">
        <is>
          <t>BELLAS ARTES</t>
        </is>
      </c>
      <c r="R962" s="4" t="n">
        <v/>
      </c>
    </row>
    <row r="963" ht="20" customHeight="1">
      <c r="A963" s="6" t="inlineStr">
        <is>
          <t>1006415722</t>
        </is>
      </c>
      <c r="B963" s="7" t="inlineStr">
        <is>
          <t>PRESENCIAL REGIONAL</t>
        </is>
      </c>
      <c r="C963" s="7" t="inlineStr">
        <is>
          <t>GABRIELA NUÑEZ PAN</t>
        </is>
      </c>
      <c r="D963" s="7" t="inlineStr">
        <is>
          <t>OPERACIONES</t>
        </is>
      </c>
      <c r="E963" s="7" t="inlineStr">
        <is>
          <t>REGIONAL HUILA</t>
        </is>
      </c>
      <c r="F963" s="7" t="inlineStr">
        <is>
          <t>NEIVA</t>
        </is>
      </c>
      <c r="G963" s="7" t="inlineStr">
        <is>
          <t>PRESENCIAL</t>
        </is>
      </c>
      <c r="H963" s="7" t="inlineStr">
        <is>
          <t>DOC AUX T&amp;T/N/TC/DIS PROD MOD/FUN.ACADE-ADMIN</t>
        </is>
      </c>
      <c r="I963" s="7" t="inlineStr">
        <is>
          <t>DISEÑO Y PRODUCCION DE MODAS</t>
        </is>
      </c>
      <c r="J963" s="7" t="inlineStr">
        <is>
          <t>REINTEGRO</t>
        </is>
      </c>
      <c r="K963" s="7" t="inlineStr">
        <is>
          <t>JHANNA GOMEZ</t>
        </is>
      </c>
      <c r="L963" s="7" t="inlineStr">
        <is>
          <t>CONFIRMADO PRESENCIAL</t>
        </is>
      </c>
      <c r="M963" s="7" t="n">
        <v/>
      </c>
      <c r="N963" s="7" t="n">
        <v>3113768912</v>
      </c>
      <c r="O963" s="7" t="inlineStr">
        <is>
          <t>gabrielapan31@gmail.com</t>
        </is>
      </c>
      <c r="P963" s="7" t="inlineStr">
        <is>
          <t>NEIVA SEDE</t>
        </is>
      </c>
      <c r="Q963" s="7" t="inlineStr">
        <is>
          <t>BELLAS ARTES</t>
        </is>
      </c>
      <c r="R963" s="7" t="n">
        <v/>
      </c>
    </row>
    <row r="964" ht="20" customHeight="1">
      <c r="A964" s="3" t="inlineStr">
        <is>
          <t>1013680036</t>
        </is>
      </c>
      <c r="B964" s="4" t="inlineStr">
        <is>
          <t>PRESENCIAL BOGOTÁ</t>
        </is>
      </c>
      <c r="C964" s="4" t="inlineStr">
        <is>
          <t>FABIAN DAVID PULIDO BEDOYA</t>
        </is>
      </c>
      <c r="D964" s="4" t="inlineStr">
        <is>
          <t>OPERACIONES</t>
        </is>
      </c>
      <c r="E964" s="4" t="inlineStr">
        <is>
          <t>REGIONAL BOGOTA</t>
        </is>
      </c>
      <c r="F964" s="4" t="inlineStr">
        <is>
          <t>BOGOTA CENTRO</t>
        </is>
      </c>
      <c r="G964" s="4" t="inlineStr">
        <is>
          <t>PRESENCIAL</t>
        </is>
      </c>
      <c r="H964" s="4" t="inlineStr">
        <is>
          <t>DOC AUX T&amp;T/N/TC/DIS PROD MOD/FUN.ACADE-ADMIN</t>
        </is>
      </c>
      <c r="I964" s="4" t="inlineStr">
        <is>
          <t>DISEÑO Y PRODUCCION DE MODAS</t>
        </is>
      </c>
      <c r="J964" s="4" t="inlineStr">
        <is>
          <t>REINTEGRO</t>
        </is>
      </c>
      <c r="K964" s="4" t="inlineStr">
        <is>
          <t>JHANNA GOMEZ</t>
        </is>
      </c>
      <c r="L964" s="4" t="n">
        <v/>
      </c>
      <c r="M964" s="4" t="n">
        <v/>
      </c>
      <c r="N964" s="4" t="n">
        <v>3185548969</v>
      </c>
      <c r="O964" s="4" t="inlineStr">
        <is>
          <t>fabiandavidpulidobedoya@gmail.com</t>
        </is>
      </c>
      <c r="P964" s="4" t="inlineStr">
        <is>
          <t>BTA SEDE F</t>
        </is>
      </c>
      <c r="Q964" s="4" t="inlineStr">
        <is>
          <t>BELLAS ARTES</t>
        </is>
      </c>
      <c r="R964" s="4" t="n">
        <v>403</v>
      </c>
    </row>
    <row r="965" ht="20" customHeight="1">
      <c r="A965" s="6" t="inlineStr">
        <is>
          <t>34332169</t>
        </is>
      </c>
      <c r="B965" s="7" t="inlineStr">
        <is>
          <t>PRESENCIAL REGIONAL</t>
        </is>
      </c>
      <c r="C965" s="7" t="inlineStr">
        <is>
          <t>TATHIANA ANDREA IDROBO MOTTA</t>
        </is>
      </c>
      <c r="D965" s="7" t="inlineStr">
        <is>
          <t>OPERACIONES</t>
        </is>
      </c>
      <c r="E965" s="7" t="inlineStr">
        <is>
          <t>REGIONAL HUILA</t>
        </is>
      </c>
      <c r="F965" s="7" t="inlineStr">
        <is>
          <t>NEIVA</t>
        </is>
      </c>
      <c r="G965" s="7" t="inlineStr">
        <is>
          <t>PRESENCIAL</t>
        </is>
      </c>
      <c r="H965" s="7" t="inlineStr">
        <is>
          <t>DOC AUX T&amp;T/N/TC/DIS PROD MOD/FUN.ACADE-ADMIN</t>
        </is>
      </c>
      <c r="I965" s="7" t="inlineStr">
        <is>
          <t>DISEÑO Y PRODUCCION DE MODAS</t>
        </is>
      </c>
      <c r="J965" s="7" t="inlineStr">
        <is>
          <t>REINTEGRO</t>
        </is>
      </c>
      <c r="K965" s="7" t="inlineStr">
        <is>
          <t>JHANNA GOMEZ</t>
        </is>
      </c>
      <c r="L965" s="7" t="n">
        <v/>
      </c>
      <c r="M965" s="7" t="n">
        <v/>
      </c>
      <c r="N965" s="7" t="n">
        <v>3165502743</v>
      </c>
      <c r="O965" s="7" t="inlineStr">
        <is>
          <t>tidrobo@hotmail.com</t>
        </is>
      </c>
      <c r="P965" s="7" t="inlineStr">
        <is>
          <t>NEIVA SEDE</t>
        </is>
      </c>
      <c r="Q965" s="7" t="inlineStr">
        <is>
          <t>BELLAS ARTES</t>
        </is>
      </c>
      <c r="R965" s="7" t="n">
        <v/>
      </c>
    </row>
    <row r="966" ht="20" customHeight="1">
      <c r="A966" s="3" t="inlineStr">
        <is>
          <t>1110597684</t>
        </is>
      </c>
      <c r="B966" s="4" t="inlineStr">
        <is>
          <t>PRESENCIAL REGIONAL</t>
        </is>
      </c>
      <c r="C966" s="4" t="inlineStr">
        <is>
          <t>DAYANA ANDREA YANQUEN URREGO</t>
        </is>
      </c>
      <c r="D966" s="4" t="inlineStr">
        <is>
          <t>OPERACIONES</t>
        </is>
      </c>
      <c r="E966" s="4" t="inlineStr">
        <is>
          <t>REGIONAL TOLIMA</t>
        </is>
      </c>
      <c r="F966" s="4" t="inlineStr">
        <is>
          <t>IBAGUÉ</t>
        </is>
      </c>
      <c r="G966" s="4" t="inlineStr">
        <is>
          <t>PRESENCIAL</t>
        </is>
      </c>
      <c r="H966" s="4" t="inlineStr">
        <is>
          <t>DOC AUX T&amp;T/N/TC/DIS PROD MOD/FUN.ACADE-ADMIN</t>
        </is>
      </c>
      <c r="I966" s="4" t="inlineStr">
        <is>
          <t>DISEÑO Y PRODUCCION DE MODAS</t>
        </is>
      </c>
      <c r="J966" s="4" t="inlineStr">
        <is>
          <t>REINTEGRO</t>
        </is>
      </c>
      <c r="K966" s="4" t="inlineStr">
        <is>
          <t>JHANNA GOMEZ</t>
        </is>
      </c>
      <c r="L966" s="4" t="n">
        <v/>
      </c>
      <c r="M966" s="4" t="n">
        <v/>
      </c>
      <c r="N966" s="4" t="n">
        <v>3132367983</v>
      </c>
      <c r="O966" s="4" t="inlineStr">
        <is>
          <t>dayanayanken@gmail.com</t>
        </is>
      </c>
      <c r="P966" s="4" t="inlineStr">
        <is>
          <t>IBAGUE SEDE</t>
        </is>
      </c>
      <c r="Q966" s="4" t="inlineStr">
        <is>
          <t>BELLAS ARTES</t>
        </is>
      </c>
      <c r="R966" s="4" t="n">
        <v/>
      </c>
    </row>
    <row r="967" ht="20" customHeight="1">
      <c r="A967" s="6" t="inlineStr">
        <is>
          <t>1110598487</t>
        </is>
      </c>
      <c r="B967" s="7" t="inlineStr">
        <is>
          <t>PRESENCIAL REGIONAL</t>
        </is>
      </c>
      <c r="C967" s="7" t="inlineStr">
        <is>
          <t>DANIELA JUSTINICO MORENO</t>
        </is>
      </c>
      <c r="D967" s="7" t="inlineStr">
        <is>
          <t>OPERACIONES</t>
        </is>
      </c>
      <c r="E967" s="7" t="inlineStr">
        <is>
          <t>REGIONAL TOLIMA</t>
        </is>
      </c>
      <c r="F967" s="7" t="inlineStr">
        <is>
          <t>IBAGUÉ</t>
        </is>
      </c>
      <c r="G967" s="7" t="inlineStr">
        <is>
          <t>PRESENCIAL</t>
        </is>
      </c>
      <c r="H967" s="7" t="inlineStr">
        <is>
          <t>DOC AUX T&amp;T/N/TC/DIS PROD MOD/FUN.ACADE-ADMIN</t>
        </is>
      </c>
      <c r="I967" s="7" t="inlineStr">
        <is>
          <t>DISEÑO Y PRODUCCION DE MODAS</t>
        </is>
      </c>
      <c r="J967" s="7" t="inlineStr">
        <is>
          <t>REINTEGRO</t>
        </is>
      </c>
      <c r="K967" s="7" t="inlineStr">
        <is>
          <t>JHANNA GOMEZ</t>
        </is>
      </c>
      <c r="L967" s="7" t="n">
        <v/>
      </c>
      <c r="M967" s="7" t="n">
        <v/>
      </c>
      <c r="N967" s="7" t="n">
        <v>3106135112</v>
      </c>
      <c r="O967" s="7" t="inlineStr">
        <is>
          <t>danielajustinico22@gmail.com</t>
        </is>
      </c>
      <c r="P967" s="7" t="inlineStr">
        <is>
          <t>IBAGUE SEDE</t>
        </is>
      </c>
      <c r="Q967" s="7" t="inlineStr">
        <is>
          <t>BELLAS ARTES</t>
        </is>
      </c>
      <c r="R967" s="7" t="n">
        <v/>
      </c>
    </row>
    <row r="968" ht="20" customHeight="1">
      <c r="A968" s="3" t="inlineStr">
        <is>
          <t>1002343890</t>
        </is>
      </c>
      <c r="B968" s="4" t="inlineStr">
        <is>
          <t>PRESENCIAL REGIONAL</t>
        </is>
      </c>
      <c r="C968" s="4" t="inlineStr">
        <is>
          <t>KAROL VIVIANA LLERENA ARROYO</t>
        </is>
      </c>
      <c r="D968" s="4" t="inlineStr">
        <is>
          <t>OPERACIONES</t>
        </is>
      </c>
      <c r="E968" s="4" t="inlineStr">
        <is>
          <t>REGIONAL ATLANTICO</t>
        </is>
      </c>
      <c r="F968" s="4" t="inlineStr">
        <is>
          <t>BARRANQUILLA</t>
        </is>
      </c>
      <c r="G968" s="4" t="inlineStr">
        <is>
          <t>PRESENCIAL</t>
        </is>
      </c>
      <c r="H968" s="4" t="inlineStr">
        <is>
          <t>DOC AUX T&amp;T/N/TC/DIS PROD MOD/FUN.ACADE-ADMIN</t>
        </is>
      </c>
      <c r="I968" s="4" t="inlineStr">
        <is>
          <t>DISEÑO Y PRODUCCION DE MODAS</t>
        </is>
      </c>
      <c r="J968" s="4" t="inlineStr">
        <is>
          <t>REINTEGRO</t>
        </is>
      </c>
      <c r="K968" s="4" t="inlineStr">
        <is>
          <t>JHANNA GOMEZ</t>
        </is>
      </c>
      <c r="L968" s="4" t="n">
        <v/>
      </c>
      <c r="M968" s="4" t="n">
        <v/>
      </c>
      <c r="N968" s="4" t="n">
        <v>3007165587</v>
      </c>
      <c r="O968" s="4" t="inlineStr">
        <is>
          <t>karol.llerena@uac.edu.co</t>
        </is>
      </c>
      <c r="P968" s="4" t="inlineStr">
        <is>
          <t>BQUILLA SEDE</t>
        </is>
      </c>
      <c r="Q968" s="4" t="inlineStr">
        <is>
          <t>BELLAS ARTES</t>
        </is>
      </c>
      <c r="R968" s="4" t="n">
        <v/>
      </c>
    </row>
    <row r="969" ht="20" customHeight="1">
      <c r="A969" s="6" t="inlineStr">
        <is>
          <t>1037638978</t>
        </is>
      </c>
      <c r="B969" s="7" t="inlineStr">
        <is>
          <t>PRESENCIAL REGIONAL</t>
        </is>
      </c>
      <c r="C969" s="7" t="inlineStr">
        <is>
          <t>LEIDY TATIANA MADRID URRUTIA</t>
        </is>
      </c>
      <c r="D969" s="7" t="inlineStr">
        <is>
          <t>OPERACIONES</t>
        </is>
      </c>
      <c r="E969" s="7" t="inlineStr">
        <is>
          <t>REGIONAL ANTIOQUIA</t>
        </is>
      </c>
      <c r="F969" s="7" t="inlineStr">
        <is>
          <t>MEDELLIN</t>
        </is>
      </c>
      <c r="G969" s="7" t="inlineStr">
        <is>
          <t>PRESENCIAL</t>
        </is>
      </c>
      <c r="H969" s="7" t="inlineStr">
        <is>
          <t>DOC AUX T&amp;T/N/TC/DIS PROD MOD/FUN.ACADE-ADMIN</t>
        </is>
      </c>
      <c r="I969" s="7" t="inlineStr">
        <is>
          <t>DISEÑO Y PRODUCCION DE MODAS</t>
        </is>
      </c>
      <c r="J969" s="7" t="inlineStr">
        <is>
          <t>REINTEGRO</t>
        </is>
      </c>
      <c r="K969" s="7" t="inlineStr">
        <is>
          <t>JHANNA GOMEZ</t>
        </is>
      </c>
      <c r="L969" s="7" t="n">
        <v/>
      </c>
      <c r="M969" s="7" t="n">
        <v/>
      </c>
      <c r="N969" s="7" t="n">
        <v>3122018099</v>
      </c>
      <c r="O969" s="7" t="inlineStr">
        <is>
          <t>Ltatianamadrid@hotmail.com</t>
        </is>
      </c>
      <c r="P969" s="7" t="inlineStr">
        <is>
          <t>MEDELLIN SEDE</t>
        </is>
      </c>
      <c r="Q969" s="7" t="inlineStr">
        <is>
          <t>BELLAS ARTES</t>
        </is>
      </c>
      <c r="R969" s="7" t="n">
        <v/>
      </c>
    </row>
    <row r="970" ht="20" customHeight="1">
      <c r="A970" s="3" t="inlineStr">
        <is>
          <t>1193054912</t>
        </is>
      </c>
      <c r="B970" s="4" t="inlineStr">
        <is>
          <t>PRESENCIAL BOGOTÁ</t>
        </is>
      </c>
      <c r="C970" s="4" t="inlineStr">
        <is>
          <t>GERALDYN HOYOS GUTIERREZ</t>
        </is>
      </c>
      <c r="D970" s="4" t="inlineStr">
        <is>
          <t>OPERACIONES</t>
        </is>
      </c>
      <c r="E970" s="4" t="inlineStr">
        <is>
          <t>REGIONAL BOGOTA</t>
        </is>
      </c>
      <c r="F970" s="4" t="inlineStr">
        <is>
          <t>BOGOTA CENTRO</t>
        </is>
      </c>
      <c r="G970" s="4" t="inlineStr">
        <is>
          <t>PRESENCIAL</t>
        </is>
      </c>
      <c r="H970" s="4" t="inlineStr">
        <is>
          <t>DOC AUX T&amp;T/N/TC/DIS PROD MOD/FUN.ACADE-ADMIN</t>
        </is>
      </c>
      <c r="I970" s="4" t="inlineStr">
        <is>
          <t>DISEÑO Y PRODUCCION DE MODAS</t>
        </is>
      </c>
      <c r="J970" s="4" t="inlineStr">
        <is>
          <t>REINTEGRO</t>
        </is>
      </c>
      <c r="K970" s="4" t="inlineStr">
        <is>
          <t>JHANNA GOMEZ</t>
        </is>
      </c>
      <c r="L970" s="4" t="inlineStr">
        <is>
          <t>PENDIENTE POR CONFIRMAR</t>
        </is>
      </c>
      <c r="M970" s="4" t="n">
        <v/>
      </c>
      <c r="N970" s="4" t="n">
        <v>3228127630</v>
      </c>
      <c r="O970" s="4" t="inlineStr">
        <is>
          <t>geraldynhoyos@gmail.com</t>
        </is>
      </c>
      <c r="P970" s="4" t="inlineStr">
        <is>
          <t>BTA SEDE F</t>
        </is>
      </c>
      <c r="Q970" s="4" t="inlineStr">
        <is>
          <t>BELLAS ARTES</t>
        </is>
      </c>
      <c r="R970" s="4" t="n">
        <v>403</v>
      </c>
    </row>
    <row r="971" ht="20" customHeight="1">
      <c r="A971" s="6" t="inlineStr">
        <is>
          <t>52753037</t>
        </is>
      </c>
      <c r="B971" s="7" t="inlineStr">
        <is>
          <t>PRESENCIAL BOGOTÁ</t>
        </is>
      </c>
      <c r="C971" s="7" t="inlineStr">
        <is>
          <t>LUZ ANDREA PATIÑO CHIGUASUQUE</t>
        </is>
      </c>
      <c r="D971" s="7" t="inlineStr">
        <is>
          <t>OPERACIONES</t>
        </is>
      </c>
      <c r="E971" s="7" t="inlineStr">
        <is>
          <t>REGIONAL BOGOTA</t>
        </is>
      </c>
      <c r="F971" s="7" t="inlineStr">
        <is>
          <t>BOGOTA CENTRO</t>
        </is>
      </c>
      <c r="G971" s="7" t="inlineStr">
        <is>
          <t>PRESENCIAL</t>
        </is>
      </c>
      <c r="H971" s="7" t="inlineStr">
        <is>
          <t>DOC AUX T&amp;T/N/TC/DIS PROD MOD/FUN.ACADE-ADMIN</t>
        </is>
      </c>
      <c r="I971" s="7" t="inlineStr">
        <is>
          <t>DISEÑO Y PRODUCCION DE MODAS</t>
        </is>
      </c>
      <c r="J971" s="7" t="inlineStr">
        <is>
          <t>REINTEGRO</t>
        </is>
      </c>
      <c r="K971" s="7" t="inlineStr">
        <is>
          <t>JHANNA GOMEZ</t>
        </is>
      </c>
      <c r="L971" s="7" t="n">
        <v/>
      </c>
      <c r="M971" s="7" t="n">
        <v/>
      </c>
      <c r="N971" s="7" t="n">
        <v>3208583054</v>
      </c>
      <c r="O971" s="7" t="inlineStr">
        <is>
          <t>luz.patino@cun.edu.co</t>
        </is>
      </c>
      <c r="P971" s="7" t="inlineStr">
        <is>
          <t>BTA SEDE F</t>
        </is>
      </c>
      <c r="Q971" s="7" t="inlineStr">
        <is>
          <t>BELLAS ARTES</t>
        </is>
      </c>
      <c r="R971" s="7" t="n">
        <v>403</v>
      </c>
    </row>
    <row r="972" ht="20" customHeight="1">
      <c r="A972" s="3" t="inlineStr">
        <is>
          <t>1010228903</t>
        </is>
      </c>
      <c r="B972" s="4" t="inlineStr">
        <is>
          <t>PRESENCIAL BOGOTÁ</t>
        </is>
      </c>
      <c r="C972" s="4" t="inlineStr">
        <is>
          <t>YULY ANDREA MORALES JIMENEZ</t>
        </is>
      </c>
      <c r="D972" s="4" t="inlineStr">
        <is>
          <t>OPERACIONES</t>
        </is>
      </c>
      <c r="E972" s="4" t="inlineStr">
        <is>
          <t>REGIONAL BOGOTA</t>
        </is>
      </c>
      <c r="F972" s="4" t="inlineStr">
        <is>
          <t>BOGOTA CENTRO</t>
        </is>
      </c>
      <c r="G972" s="4" t="inlineStr">
        <is>
          <t>PRESENCIAL</t>
        </is>
      </c>
      <c r="H972" s="4" t="inlineStr">
        <is>
          <t>DOC AUX T&amp;T/N/TC/DIS PROD MOD/FUN.ACADE-ADMIN</t>
        </is>
      </c>
      <c r="I972" s="4" t="inlineStr">
        <is>
          <t>DISEÑO Y PRODUCCION DE MODAS</t>
        </is>
      </c>
      <c r="J972" s="4" t="inlineStr">
        <is>
          <t>REINTEGRO</t>
        </is>
      </c>
      <c r="K972" s="4" t="inlineStr">
        <is>
          <t>JHANNA GOMEZ</t>
        </is>
      </c>
      <c r="L972" s="4" t="n">
        <v/>
      </c>
      <c r="M972" s="4" t="n">
        <v/>
      </c>
      <c r="N972" s="4" t="n">
        <v>3025050881</v>
      </c>
      <c r="O972" s="4" t="inlineStr">
        <is>
          <t>yuly.morales@cun.edu.co</t>
        </is>
      </c>
      <c r="P972" s="4" t="inlineStr">
        <is>
          <t>BTA SEDE F</t>
        </is>
      </c>
      <c r="Q972" s="4" t="inlineStr">
        <is>
          <t>BELLAS ARTES</t>
        </is>
      </c>
      <c r="R972" s="4" t="n">
        <v>403</v>
      </c>
    </row>
    <row r="973" ht="20" customHeight="1">
      <c r="A973" s="6" t="inlineStr">
        <is>
          <t>1003811822</t>
        </is>
      </c>
      <c r="B973" s="7" t="inlineStr">
        <is>
          <t>PRESENCIAL REGIONAL</t>
        </is>
      </c>
      <c r="C973" s="7" t="inlineStr">
        <is>
          <t>MARIA PAULA CUENCA CASTAÑO</t>
        </is>
      </c>
      <c r="D973" s="7" t="inlineStr">
        <is>
          <t>OPERACIONES</t>
        </is>
      </c>
      <c r="E973" s="7" t="inlineStr">
        <is>
          <t>REGIONAL HUILA</t>
        </is>
      </c>
      <c r="F973" s="7" t="inlineStr">
        <is>
          <t>NEIVA</t>
        </is>
      </c>
      <c r="G973" s="7" t="inlineStr">
        <is>
          <t>PRESENCIAL</t>
        </is>
      </c>
      <c r="H973" s="7" t="inlineStr">
        <is>
          <t>DOC AUX T&amp;T/N/TC/DIS PROD MOD/FUN.ACADE-ADMIN</t>
        </is>
      </c>
      <c r="I973" s="7" t="inlineStr">
        <is>
          <t>DISEÑO Y PRODUCCION DE MODAS</t>
        </is>
      </c>
      <c r="J973" s="7" t="inlineStr">
        <is>
          <t>REINTEGRO</t>
        </is>
      </c>
      <c r="K973" s="7" t="inlineStr">
        <is>
          <t>JHANNA GOMEZ</t>
        </is>
      </c>
      <c r="L973" s="7" t="n">
        <v/>
      </c>
      <c r="M973" s="7" t="n">
        <v/>
      </c>
      <c r="N973" s="7" t="n">
        <v>3186141707</v>
      </c>
      <c r="O973" s="7" t="inlineStr">
        <is>
          <t>paulacuenca.moda@gmail.com</t>
        </is>
      </c>
      <c r="P973" s="7" t="inlineStr">
        <is>
          <t>NEIVA SEDE</t>
        </is>
      </c>
      <c r="Q973" s="7" t="inlineStr">
        <is>
          <t>BELLAS ARTES</t>
        </is>
      </c>
      <c r="R973" s="7" t="n">
        <v/>
      </c>
    </row>
    <row r="974" ht="20" customHeight="1">
      <c r="A974" s="3" t="inlineStr">
        <is>
          <t>39386869</t>
        </is>
      </c>
      <c r="B974" s="4" t="inlineStr">
        <is>
          <t>PRESENCIAL REGIONAL</t>
        </is>
      </c>
      <c r="C974" s="4" t="inlineStr">
        <is>
          <t>ADRIANA MARIA BEDOYA MONTOYA</t>
        </is>
      </c>
      <c r="D974" s="4" t="inlineStr">
        <is>
          <t>OPERACIONES</t>
        </is>
      </c>
      <c r="E974" s="4" t="inlineStr">
        <is>
          <t>REGIONAL ANTIOQUIA</t>
        </is>
      </c>
      <c r="F974" s="4" t="inlineStr">
        <is>
          <t>MEDELLIN</t>
        </is>
      </c>
      <c r="G974" s="4" t="inlineStr">
        <is>
          <t>PRESENCIAL</t>
        </is>
      </c>
      <c r="H974" s="4" t="inlineStr">
        <is>
          <t>DOC AUX T&amp;T/N/TC/DIS PROD MOD/FUN.ACADE-ADMIN</t>
        </is>
      </c>
      <c r="I974" s="4" t="inlineStr">
        <is>
          <t>DISEÑO Y PRODUCCION DE MODAS</t>
        </is>
      </c>
      <c r="J974" s="4" t="inlineStr">
        <is>
          <t>REINTEGRO</t>
        </is>
      </c>
      <c r="K974" s="4" t="inlineStr">
        <is>
          <t>JHANNA GOMEZ</t>
        </is>
      </c>
      <c r="L974" s="4" t="n">
        <v/>
      </c>
      <c r="M974" s="4" t="n">
        <v/>
      </c>
      <c r="N974" s="4" t="n">
        <v>3162582315</v>
      </c>
      <c r="O974" s="4" t="inlineStr">
        <is>
          <t>bedoyaadriana117@gmail.com</t>
        </is>
      </c>
      <c r="P974" s="4" t="inlineStr">
        <is>
          <t>MEDELLIN SEDE</t>
        </is>
      </c>
      <c r="Q974" s="4" t="inlineStr">
        <is>
          <t>BELLAS ARTES</t>
        </is>
      </c>
      <c r="R974" s="4" t="n">
        <v/>
      </c>
    </row>
    <row r="975" ht="20" customHeight="1">
      <c r="A975" s="6" t="inlineStr">
        <is>
          <t>1085316893</t>
        </is>
      </c>
      <c r="B975" s="7" t="inlineStr">
        <is>
          <t>PRESENCIAL REGIONAL</t>
        </is>
      </c>
      <c r="C975" s="7" t="inlineStr">
        <is>
          <t>DIANA CAMILA MORENO LUCERO</t>
        </is>
      </c>
      <c r="D975" s="7" t="inlineStr">
        <is>
          <t>OPERACIONES</t>
        </is>
      </c>
      <c r="E975" s="7" t="inlineStr">
        <is>
          <t>REGIONAL ANTIOQUIA</t>
        </is>
      </c>
      <c r="F975" s="7" t="inlineStr">
        <is>
          <t>MEDELLIN</t>
        </is>
      </c>
      <c r="G975" s="7" t="inlineStr">
        <is>
          <t>PRESENCIAL</t>
        </is>
      </c>
      <c r="H975" s="7" t="inlineStr">
        <is>
          <t>DOCENTE AUX/N/TC/DIS PROD MOD/FUN.ACADE-ADMIN</t>
        </is>
      </c>
      <c r="I975" s="7" t="inlineStr">
        <is>
          <t>DISEÑO Y PRODUCCION DE MODAS</t>
        </is>
      </c>
      <c r="J975" s="7" t="inlineStr">
        <is>
          <t>REINTEGRO</t>
        </is>
      </c>
      <c r="K975" s="7" t="inlineStr">
        <is>
          <t>JHANNA GOMEZ</t>
        </is>
      </c>
      <c r="L975" s="7" t="n">
        <v/>
      </c>
      <c r="M975" s="7" t="n">
        <v/>
      </c>
      <c r="N975" s="7" t="n">
        <v>3167474347</v>
      </c>
      <c r="O975" s="7" t="inlineStr">
        <is>
          <t>camilamorelu@gmail.com</t>
        </is>
      </c>
      <c r="P975" s="7" t="inlineStr">
        <is>
          <t>MEDELLIN SEDE</t>
        </is>
      </c>
      <c r="Q975" s="7" t="inlineStr">
        <is>
          <t>BELLAS ARTES</t>
        </is>
      </c>
      <c r="R975" s="7" t="n">
        <v/>
      </c>
    </row>
    <row r="976" ht="20" customHeight="1">
      <c r="A976" s="3" t="inlineStr">
        <is>
          <t>1083045828</t>
        </is>
      </c>
      <c r="B976" s="4" t="inlineStr">
        <is>
          <t>VIRTUAL</t>
        </is>
      </c>
      <c r="C976" s="4" t="inlineStr">
        <is>
          <t>VALERIA JARUFFE FERNANDEZ</t>
        </is>
      </c>
      <c r="D976" s="4" t="inlineStr">
        <is>
          <t>OPERACIONES</t>
        </is>
      </c>
      <c r="E976" s="4" t="inlineStr">
        <is>
          <t>REGIONAL MAGDALENA</t>
        </is>
      </c>
      <c r="F976" s="4" t="inlineStr">
        <is>
          <t>SANTA MARTA</t>
        </is>
      </c>
      <c r="G976" s="4" t="inlineStr">
        <is>
          <t>PRESENCIAL</t>
        </is>
      </c>
      <c r="H976" s="4" t="inlineStr">
        <is>
          <t>DOCENTE AUX/N/TC/DIS PROD MOD/FUN.ACADE-ADMIN</t>
        </is>
      </c>
      <c r="I976" s="4" t="inlineStr">
        <is>
          <t>DISEÑO Y PRODUCCION DE MODAS</t>
        </is>
      </c>
      <c r="J976" s="4" t="inlineStr">
        <is>
          <t>REINTEGRO</t>
        </is>
      </c>
      <c r="K976" s="4" t="inlineStr">
        <is>
          <t>JHANNA GOMEZ</t>
        </is>
      </c>
      <c r="L976" s="4" t="n">
        <v/>
      </c>
      <c r="M976" s="4" t="n">
        <v/>
      </c>
      <c r="N976" s="4" t="n">
        <v>3164633337</v>
      </c>
      <c r="O976" s="4" t="inlineStr">
        <is>
          <t>valeriajaruffe@gmail.com</t>
        </is>
      </c>
      <c r="P976" s="4" t="inlineStr">
        <is>
          <t>SANTA MARTA SEDE</t>
        </is>
      </c>
      <c r="Q976" s="4" t="inlineStr">
        <is>
          <t>BELLAS ARTES</t>
        </is>
      </c>
      <c r="R976" s="4" t="n">
        <v/>
      </c>
    </row>
    <row r="977" ht="20" customHeight="1">
      <c r="A977" s="6" t="inlineStr">
        <is>
          <t>1098805687</t>
        </is>
      </c>
      <c r="B977" s="7" t="inlineStr">
        <is>
          <t>PRESENCIAL REGIONAL</t>
        </is>
      </c>
      <c r="C977" s="7" t="inlineStr">
        <is>
          <t>STEPHANY MARIA ESPITIA BARROS</t>
        </is>
      </c>
      <c r="D977" s="7" t="inlineStr">
        <is>
          <t>OPERACIONES</t>
        </is>
      </c>
      <c r="E977" s="7" t="inlineStr">
        <is>
          <t>REGIONAL ANTIOQUIA</t>
        </is>
      </c>
      <c r="F977" s="7" t="inlineStr">
        <is>
          <t>MEDELLIN</t>
        </is>
      </c>
      <c r="G977" s="7" t="inlineStr">
        <is>
          <t>PRESENCIAL</t>
        </is>
      </c>
      <c r="H977" s="7" t="inlineStr">
        <is>
          <t>DOC AUX T&amp;T/N/TC/DIS PROD MOD/FUN.ACADE-ADMIN</t>
        </is>
      </c>
      <c r="I977" s="7" t="inlineStr">
        <is>
          <t>DISEÑO Y PRODUCCION DE MODAS</t>
        </is>
      </c>
      <c r="J977" s="7" t="inlineStr">
        <is>
          <t>REINTEGRO</t>
        </is>
      </c>
      <c r="K977" s="7" t="inlineStr">
        <is>
          <t>JHANNA GOMEZ</t>
        </is>
      </c>
      <c r="L977" s="7" t="n">
        <v/>
      </c>
      <c r="M977" s="7" t="n">
        <v/>
      </c>
      <c r="N977" s="7" t="n">
        <v>3059167199</v>
      </c>
      <c r="O977" s="7" t="inlineStr">
        <is>
          <t>SYHNEST@GMAIL.COM</t>
        </is>
      </c>
      <c r="P977" s="7" t="inlineStr">
        <is>
          <t>MEDELLIN SEDE</t>
        </is>
      </c>
      <c r="Q977" s="7" t="inlineStr">
        <is>
          <t>BELLAS ARTES</t>
        </is>
      </c>
      <c r="R977" s="7" t="n">
        <v/>
      </c>
    </row>
    <row r="978" ht="20" customHeight="1">
      <c r="A978" s="3" t="inlineStr">
        <is>
          <t>1234090713</t>
        </is>
      </c>
      <c r="B978" s="4" t="inlineStr">
        <is>
          <t>VIRTUAL</t>
        </is>
      </c>
      <c r="C978" s="4" t="inlineStr">
        <is>
          <t>ALEXANDRA KATERINA SUAREZ MOLINA</t>
        </is>
      </c>
      <c r="D978" s="4" t="inlineStr">
        <is>
          <t>OPERACIONES</t>
        </is>
      </c>
      <c r="E978" s="4" t="inlineStr">
        <is>
          <t>REGIONAL MAGDALENA</t>
        </is>
      </c>
      <c r="F978" s="4" t="inlineStr">
        <is>
          <t>SANTA MARTA</t>
        </is>
      </c>
      <c r="G978" s="4" t="inlineStr">
        <is>
          <t>PRESENCIAL</t>
        </is>
      </c>
      <c r="H978" s="4" t="inlineStr">
        <is>
          <t>DOC AUX T&amp;T/N/TC/DIS PROD MOD/FUN.ACADE-ADMIN</t>
        </is>
      </c>
      <c r="I978" s="4" t="inlineStr">
        <is>
          <t>DISEÑO Y PRODUCCION DE MODAS</t>
        </is>
      </c>
      <c r="J978" s="4" t="inlineStr">
        <is>
          <t>REINTEGRO</t>
        </is>
      </c>
      <c r="K978" s="4" t="inlineStr">
        <is>
          <t>JHANNA GOMEZ</t>
        </is>
      </c>
      <c r="L978" s="4" t="n">
        <v/>
      </c>
      <c r="M978" s="4" t="n">
        <v/>
      </c>
      <c r="N978" s="4" t="n">
        <v>3025930305</v>
      </c>
      <c r="O978" s="4" t="inlineStr">
        <is>
          <t>alexandrasuarez23@outlook.com</t>
        </is>
      </c>
      <c r="P978" s="4" t="inlineStr">
        <is>
          <t>SANTA MARTA SEDE</t>
        </is>
      </c>
      <c r="Q978" s="4" t="inlineStr">
        <is>
          <t>BELLAS ARTES</t>
        </is>
      </c>
      <c r="R978" s="4" t="n">
        <v/>
      </c>
    </row>
    <row r="979" ht="20" customHeight="1">
      <c r="A979" s="6" t="inlineStr">
        <is>
          <t>1019127225</t>
        </is>
      </c>
      <c r="B979" s="7" t="inlineStr">
        <is>
          <t>PRESENCIAL REGIONAL</t>
        </is>
      </c>
      <c r="C979" s="7" t="inlineStr">
        <is>
          <t>LAURA VANESA YAÑEZ FAJARDO</t>
        </is>
      </c>
      <c r="D979" s="7" t="inlineStr">
        <is>
          <t>OPERACIONES</t>
        </is>
      </c>
      <c r="E979" s="7" t="inlineStr">
        <is>
          <t>REGIONAL ANTIOQUIA</t>
        </is>
      </c>
      <c r="F979" s="7" t="inlineStr">
        <is>
          <t>MEDELLIN</t>
        </is>
      </c>
      <c r="G979" s="7" t="inlineStr">
        <is>
          <t>PRESENCIAL</t>
        </is>
      </c>
      <c r="H979" s="7" t="inlineStr">
        <is>
          <t>DOC AUX T&amp;T/N/TC/DIS PROD MOD/FUN.ACADE-ADMIN</t>
        </is>
      </c>
      <c r="I979" s="7" t="inlineStr">
        <is>
          <t>DISEÑO Y PRODUCCION DE MODAS</t>
        </is>
      </c>
      <c r="J979" s="7" t="inlineStr">
        <is>
          <t>REINTEGRO</t>
        </is>
      </c>
      <c r="K979" s="7" t="inlineStr">
        <is>
          <t>JHANNA GOMEZ</t>
        </is>
      </c>
      <c r="L979" s="7" t="n">
        <v/>
      </c>
      <c r="M979" s="7" t="n">
        <v/>
      </c>
      <c r="N979" s="7" t="n">
        <v>3115212053</v>
      </c>
      <c r="O979" s="7" t="inlineStr">
        <is>
          <t>lauravanesayanes@gmail.com</t>
        </is>
      </c>
      <c r="P979" s="7" t="inlineStr">
        <is>
          <t>MEDELLIN SEDE</t>
        </is>
      </c>
      <c r="Q979" s="7" t="inlineStr">
        <is>
          <t>BELLAS ARTES</t>
        </is>
      </c>
      <c r="R979" s="7" t="n">
        <v/>
      </c>
    </row>
    <row r="980" ht="20" customHeight="1">
      <c r="A980" s="3" t="inlineStr">
        <is>
          <t>1082960089</t>
        </is>
      </c>
      <c r="B980" s="4" t="inlineStr">
        <is>
          <t>VIRTUAL</t>
        </is>
      </c>
      <c r="C980" s="4" t="inlineStr">
        <is>
          <t>JHENYFER CAROLINA CASTAÑO BELTRAN</t>
        </is>
      </c>
      <c r="D980" s="4" t="inlineStr">
        <is>
          <t>OPERACIONES</t>
        </is>
      </c>
      <c r="E980" s="4" t="inlineStr">
        <is>
          <t>REGIONAL MAGDALENA</t>
        </is>
      </c>
      <c r="F980" s="4" t="inlineStr">
        <is>
          <t>SANTA MARTA</t>
        </is>
      </c>
      <c r="G980" s="4" t="inlineStr">
        <is>
          <t>PRESENCIAL</t>
        </is>
      </c>
      <c r="H980" s="4" t="inlineStr">
        <is>
          <t>DOC AUX T&amp;T/N/TC/DIS PROD MOD/FUN.ACADE-ADMIN</t>
        </is>
      </c>
      <c r="I980" s="4" t="inlineStr">
        <is>
          <t>DISEÑO Y PRODUCCION DE MODAS</t>
        </is>
      </c>
      <c r="J980" s="4" t="inlineStr">
        <is>
          <t>REINTEGRO</t>
        </is>
      </c>
      <c r="K980" s="4" t="inlineStr">
        <is>
          <t>JHANNA GOMEZ</t>
        </is>
      </c>
      <c r="L980" s="4" t="n">
        <v/>
      </c>
      <c r="M980" s="4" t="n">
        <v/>
      </c>
      <c r="N980" s="4" t="n">
        <v>3233587573</v>
      </c>
      <c r="O980" s="4" t="inlineStr">
        <is>
          <t>fercasbel1992@gmail.com</t>
        </is>
      </c>
      <c r="P980" s="4" t="inlineStr">
        <is>
          <t>SANTA MARTA SEDE</t>
        </is>
      </c>
      <c r="Q980" s="4" t="inlineStr">
        <is>
          <t>BELLAS ARTES</t>
        </is>
      </c>
      <c r="R980" s="4" t="n">
        <v/>
      </c>
    </row>
    <row r="981" ht="20" customHeight="1">
      <c r="A981" s="6" t="inlineStr">
        <is>
          <t>1020798739</t>
        </is>
      </c>
      <c r="B981" s="7" t="inlineStr">
        <is>
          <t>PRESENCIAL REGIONAL</t>
        </is>
      </c>
      <c r="C981" s="7" t="inlineStr">
        <is>
          <t>LINA MARIA ESPINEL ALARCON</t>
        </is>
      </c>
      <c r="D981" s="7" t="inlineStr">
        <is>
          <t>OPERACIONES</t>
        </is>
      </c>
      <c r="E981" s="7" t="inlineStr">
        <is>
          <t>REGIONAL TOLIMA</t>
        </is>
      </c>
      <c r="F981" s="7" t="inlineStr">
        <is>
          <t>IBAGUÉ</t>
        </is>
      </c>
      <c r="G981" s="7" t="inlineStr">
        <is>
          <t>PRESENCIAL</t>
        </is>
      </c>
      <c r="H981" s="7" t="inlineStr">
        <is>
          <t>DOC AUX T&amp;T/N/TC/DIS PROD MOD/FUN.ACADE-ADMIN</t>
        </is>
      </c>
      <c r="I981" s="7" t="inlineStr">
        <is>
          <t>DISEÑO Y PRODUCCION DE MODAS</t>
        </is>
      </c>
      <c r="J981" s="7" t="inlineStr">
        <is>
          <t>REINTEGRO</t>
        </is>
      </c>
      <c r="K981" s="7" t="inlineStr">
        <is>
          <t>JHANNA GOMEZ</t>
        </is>
      </c>
      <c r="L981" s="7" t="n">
        <v/>
      </c>
      <c r="M981" s="7" t="n">
        <v/>
      </c>
      <c r="N981" s="7" t="n">
        <v>3502777152</v>
      </c>
      <c r="O981" s="7" t="inlineStr">
        <is>
          <t>LINAMARIAESPINEL1@GMAIL.COM</t>
        </is>
      </c>
      <c r="P981" s="7" t="inlineStr">
        <is>
          <t>IBAGUE SEDE</t>
        </is>
      </c>
      <c r="Q981" s="7" t="inlineStr">
        <is>
          <t>BELLAS ARTES</t>
        </is>
      </c>
      <c r="R981" s="7" t="n">
        <v/>
      </c>
    </row>
    <row r="982" ht="20" customHeight="1">
      <c r="A982" s="3" t="inlineStr">
        <is>
          <t>79372701</t>
        </is>
      </c>
      <c r="B982" s="4" t="inlineStr">
        <is>
          <t>PRESENCIAL BOGOTÁ</t>
        </is>
      </c>
      <c r="C982" s="4" t="inlineStr">
        <is>
          <t>JAVIER VALDERRAMA GARZON</t>
        </is>
      </c>
      <c r="D982" s="4" t="inlineStr">
        <is>
          <t>OPERACIONES</t>
        </is>
      </c>
      <c r="E982" s="4" t="inlineStr">
        <is>
          <t>REGIONAL BOGOTA</t>
        </is>
      </c>
      <c r="F982" s="4" t="inlineStr">
        <is>
          <t>BOGOTA CENTRO</t>
        </is>
      </c>
      <c r="G982" s="4" t="inlineStr">
        <is>
          <t>PRESENCIAL</t>
        </is>
      </c>
      <c r="H982" s="4" t="inlineStr">
        <is>
          <t>DOC AUX T&amp;T/N/TC/DIS PROD MOD/FUN.ACADE-ADMIN</t>
        </is>
      </c>
      <c r="I982" s="4" t="inlineStr">
        <is>
          <t>DISEÑO Y PRODUCCION DE MODAS</t>
        </is>
      </c>
      <c r="J982" s="4" t="inlineStr">
        <is>
          <t>REINTEGRO</t>
        </is>
      </c>
      <c r="K982" s="4" t="inlineStr">
        <is>
          <t>JHANNA GOMEZ</t>
        </is>
      </c>
      <c r="L982" s="4" t="inlineStr">
        <is>
          <t>CONFIRMADO PRESENCIAL</t>
        </is>
      </c>
      <c r="M982" s="4" t="n">
        <v/>
      </c>
      <c r="N982" s="4" t="n">
        <v>3103346286</v>
      </c>
      <c r="O982" s="4" t="inlineStr">
        <is>
          <t>jyfjustfashion@gmail.com</t>
        </is>
      </c>
      <c r="P982" s="4" t="inlineStr">
        <is>
          <t>BTA SEDE F</t>
        </is>
      </c>
      <c r="Q982" s="4" t="inlineStr">
        <is>
          <t>BELLAS ARTES</t>
        </is>
      </c>
      <c r="R982" s="4" t="n">
        <v>403</v>
      </c>
    </row>
    <row r="983" ht="20" customHeight="1">
      <c r="A983" s="6" t="inlineStr">
        <is>
          <t>1026599839</t>
        </is>
      </c>
      <c r="B983" s="7" t="inlineStr">
        <is>
          <t>PRESENCIAL REGIONAL</t>
        </is>
      </c>
      <c r="C983" s="7" t="inlineStr">
        <is>
          <t>KEVIN SANTIAGO LOZANO RONCERIA</t>
        </is>
      </c>
      <c r="D983" s="7" t="inlineStr">
        <is>
          <t>OPERACIONES</t>
        </is>
      </c>
      <c r="E983" s="7" t="inlineStr">
        <is>
          <t>REGIONAL HUILA</t>
        </is>
      </c>
      <c r="F983" s="7" t="inlineStr">
        <is>
          <t>NEIVA</t>
        </is>
      </c>
      <c r="G983" s="7" t="inlineStr">
        <is>
          <t>PRESENCIAL</t>
        </is>
      </c>
      <c r="H983" s="7" t="inlineStr">
        <is>
          <t>DOC AUX T&amp;T/N/TC/DIS PROD MOD/FUN.ACADE-ADMIN</t>
        </is>
      </c>
      <c r="I983" s="7" t="inlineStr">
        <is>
          <t>DISEÑO Y PRODUCCION DE MODAS</t>
        </is>
      </c>
      <c r="J983" s="7" t="inlineStr">
        <is>
          <t>REINTEGRO</t>
        </is>
      </c>
      <c r="K983" s="7" t="inlineStr">
        <is>
          <t>JHANNA GOMEZ</t>
        </is>
      </c>
      <c r="L983" s="7" t="n">
        <v/>
      </c>
      <c r="M983" s="7" t="n">
        <v/>
      </c>
      <c r="N983" s="7" t="n">
        <v>3125314840</v>
      </c>
      <c r="O983" s="7" t="inlineStr">
        <is>
          <t>LRK1099@GMAIL.COM</t>
        </is>
      </c>
      <c r="P983" s="7" t="inlineStr">
        <is>
          <t>NEIVA SEDE</t>
        </is>
      </c>
      <c r="Q983" s="7" t="inlineStr">
        <is>
          <t>BELLAS ARTES</t>
        </is>
      </c>
      <c r="R983" s="7" t="n">
        <v/>
      </c>
    </row>
    <row r="984" ht="20" customHeight="1">
      <c r="A984" s="3" t="inlineStr">
        <is>
          <t>1003894383</t>
        </is>
      </c>
      <c r="B984" s="4" t="inlineStr">
        <is>
          <t>PRESENCIAL REGIONAL</t>
        </is>
      </c>
      <c r="C984" s="4" t="inlineStr">
        <is>
          <t>DANIELA RAMOS QUINTERO</t>
        </is>
      </c>
      <c r="D984" s="4" t="inlineStr">
        <is>
          <t>OPERACIONES</t>
        </is>
      </c>
      <c r="E984" s="4" t="inlineStr">
        <is>
          <t>REGIONAL HUILA</t>
        </is>
      </c>
      <c r="F984" s="4" t="inlineStr">
        <is>
          <t>NEIVA</t>
        </is>
      </c>
      <c r="G984" s="4" t="inlineStr">
        <is>
          <t>PRESENCIAL</t>
        </is>
      </c>
      <c r="H984" s="4" t="inlineStr">
        <is>
          <t>DOC AUX T&amp;T/N/TC/DIS PROD MOD/FUN.ACADE-ADMIN</t>
        </is>
      </c>
      <c r="I984" s="4" t="inlineStr">
        <is>
          <t>DISEÑO Y PRODUCCION DE MODAS</t>
        </is>
      </c>
      <c r="J984" s="4" t="inlineStr">
        <is>
          <t>REINTEGRO</t>
        </is>
      </c>
      <c r="K984" s="4" t="inlineStr">
        <is>
          <t>JHANNA GOMEZ</t>
        </is>
      </c>
      <c r="L984" s="4" t="n">
        <v/>
      </c>
      <c r="M984" s="4" t="n">
        <v/>
      </c>
      <c r="N984" s="4" t="n">
        <v>3222373293</v>
      </c>
      <c r="O984" s="4" t="inlineStr">
        <is>
          <t>danielarq69@gmail.com</t>
        </is>
      </c>
      <c r="P984" s="4" t="inlineStr">
        <is>
          <t>NEIVA SEDE</t>
        </is>
      </c>
      <c r="Q984" s="4" t="inlineStr">
        <is>
          <t>BELLAS ARTES</t>
        </is>
      </c>
      <c r="R984" s="4" t="n">
        <v/>
      </c>
    </row>
    <row r="985" ht="20" customHeight="1">
      <c r="A985" s="6" t="inlineStr">
        <is>
          <t>1010203514</t>
        </is>
      </c>
      <c r="B985" s="7" t="inlineStr">
        <is>
          <t>PRESENCIAL BOGOTÁ</t>
        </is>
      </c>
      <c r="C985" s="7" t="inlineStr">
        <is>
          <t>BRIAN DANIEL UYAZAN OVIEDO</t>
        </is>
      </c>
      <c r="D985" s="7" t="inlineStr">
        <is>
          <t>OPERACIONES</t>
        </is>
      </c>
      <c r="E985" s="7" t="inlineStr">
        <is>
          <t>REGIONAL BOGOTA</t>
        </is>
      </c>
      <c r="F985" s="7" t="inlineStr">
        <is>
          <t>BOGOTA CENTRO</t>
        </is>
      </c>
      <c r="G985" s="7" t="inlineStr">
        <is>
          <t>PRESENCIAL</t>
        </is>
      </c>
      <c r="H985" s="7" t="inlineStr">
        <is>
          <t>DOC AUX T&amp;T/N/TC/DIS PROD MOD/FUN.ACADE-ADMIN</t>
        </is>
      </c>
      <c r="I985" s="7" t="inlineStr">
        <is>
          <t>DISEÑO Y PRODUCCION DE MODAS</t>
        </is>
      </c>
      <c r="J985" s="7" t="inlineStr">
        <is>
          <t>REINTEGRO</t>
        </is>
      </c>
      <c r="K985" s="7" t="inlineStr">
        <is>
          <t>JHANNA GOMEZ</t>
        </is>
      </c>
      <c r="L985" s="7" t="inlineStr">
        <is>
          <t>CONFIRMADO PRESENCIAL</t>
        </is>
      </c>
      <c r="M985" s="7" t="n">
        <v/>
      </c>
      <c r="N985" s="7" t="n">
        <v>3193942463</v>
      </c>
      <c r="O985" s="7" t="inlineStr">
        <is>
          <t>danieluyazan92@gmail.com</t>
        </is>
      </c>
      <c r="P985" s="7" t="inlineStr">
        <is>
          <t>BTA SEDE F</t>
        </is>
      </c>
      <c r="Q985" s="7" t="inlineStr">
        <is>
          <t>BELLAS ARTES</t>
        </is>
      </c>
      <c r="R985" s="7" t="n">
        <v>403</v>
      </c>
    </row>
    <row r="986" ht="20" customHeight="1">
      <c r="A986" s="3" t="inlineStr">
        <is>
          <t>1014305046</t>
        </is>
      </c>
      <c r="B986" s="4" t="inlineStr">
        <is>
          <t>PRESENCIAL REGIONAL</t>
        </is>
      </c>
      <c r="C986" s="4" t="inlineStr">
        <is>
          <t>SHARAY VILAR PINEDA</t>
        </is>
      </c>
      <c r="D986" s="4" t="inlineStr">
        <is>
          <t>OPERACIONES</t>
        </is>
      </c>
      <c r="E986" s="4" t="inlineStr">
        <is>
          <t>REGIONAL HUILA</t>
        </is>
      </c>
      <c r="F986" s="4" t="inlineStr">
        <is>
          <t>NEIVA</t>
        </is>
      </c>
      <c r="G986" s="4" t="inlineStr">
        <is>
          <t>PRESENCIAL</t>
        </is>
      </c>
      <c r="H986" s="4" t="inlineStr">
        <is>
          <t>DOC AUX T&amp;T/N/TC/DIS PROD MOD/FUN.ACADE-ADMIN</t>
        </is>
      </c>
      <c r="I986" s="4" t="inlineStr">
        <is>
          <t>DISEÑO Y PRODUCCION DE MODAS</t>
        </is>
      </c>
      <c r="J986" s="4" t="inlineStr">
        <is>
          <t>REINTEGRO</t>
        </is>
      </c>
      <c r="K986" s="4" t="inlineStr">
        <is>
          <t>JHANNA GOMEZ</t>
        </is>
      </c>
      <c r="L986" s="4" t="n">
        <v/>
      </c>
      <c r="M986" s="4" t="n">
        <v/>
      </c>
      <c r="N986" s="4" t="n">
        <v>3007301505</v>
      </c>
      <c r="O986" s="4" t="inlineStr">
        <is>
          <t>sharayvilarpineda@gmail.com</t>
        </is>
      </c>
      <c r="P986" s="4" t="inlineStr">
        <is>
          <t>NEIVA SEDE</t>
        </is>
      </c>
      <c r="Q986" s="4" t="inlineStr">
        <is>
          <t>BELLAS ARTES</t>
        </is>
      </c>
      <c r="R986" s="4" t="n">
        <v/>
      </c>
    </row>
    <row r="987" ht="20" customHeight="1">
      <c r="A987" s="6" t="inlineStr">
        <is>
          <t>1073513320</t>
        </is>
      </c>
      <c r="B987" s="7" t="inlineStr">
        <is>
          <t>PRESENCIAL BOGOTÁ</t>
        </is>
      </c>
      <c r="C987" s="7" t="inlineStr">
        <is>
          <t>ANDRES CAMILO SARMIENTO SOLANO</t>
        </is>
      </c>
      <c r="D987" s="7" t="inlineStr">
        <is>
          <t>OPERACIONES</t>
        </is>
      </c>
      <c r="E987" s="7" t="inlineStr">
        <is>
          <t>REGIONAL BOGOTA</t>
        </is>
      </c>
      <c r="F987" s="7" t="inlineStr">
        <is>
          <t>BOGOTA CENTRO</t>
        </is>
      </c>
      <c r="G987" s="7" t="inlineStr">
        <is>
          <t>PRESENCIAL</t>
        </is>
      </c>
      <c r="H987" s="7" t="inlineStr">
        <is>
          <t>DOC AUX T&amp;T/N/TC/DIS PROD MOD/FUN.ACADE-ADMIN</t>
        </is>
      </c>
      <c r="I987" s="7" t="inlineStr">
        <is>
          <t>DISEÑO Y PRODUCCION DE MODAS</t>
        </is>
      </c>
      <c r="J987" s="7" t="inlineStr">
        <is>
          <t>REINTEGRO</t>
        </is>
      </c>
      <c r="K987" s="7" t="inlineStr">
        <is>
          <t>JHANNA GOMEZ</t>
        </is>
      </c>
      <c r="L987" s="7" t="n">
        <v/>
      </c>
      <c r="M987" s="7" t="n">
        <v/>
      </c>
      <c r="N987" s="7" t="n">
        <v>3045294273</v>
      </c>
      <c r="O987" s="7" t="inlineStr">
        <is>
          <t>asarmientopedagogo@gmail.com</t>
        </is>
      </c>
      <c r="P987" s="7" t="inlineStr">
        <is>
          <t>BTA SEDE F</t>
        </is>
      </c>
      <c r="Q987" s="7" t="inlineStr">
        <is>
          <t>BELLAS ARTES</t>
        </is>
      </c>
      <c r="R987" s="7" t="n">
        <v>403</v>
      </c>
    </row>
    <row r="988" ht="20" customHeight="1">
      <c r="A988" s="3" t="inlineStr">
        <is>
          <t>1140866530</t>
        </is>
      </c>
      <c r="B988" s="4" t="inlineStr">
        <is>
          <t>PRESENCIAL REGIONAL</t>
        </is>
      </c>
      <c r="C988" s="4" t="inlineStr">
        <is>
          <t>JUAN DAVID RIOS PEREZ</t>
        </is>
      </c>
      <c r="D988" s="4" t="inlineStr">
        <is>
          <t>OPERACIONES</t>
        </is>
      </c>
      <c r="E988" s="4" t="inlineStr">
        <is>
          <t>REGIONAL ATLANTICO</t>
        </is>
      </c>
      <c r="F988" s="4" t="inlineStr">
        <is>
          <t>BARRANQUILLA</t>
        </is>
      </c>
      <c r="G988" s="4" t="inlineStr">
        <is>
          <t>VIRTUAL</t>
        </is>
      </c>
      <c r="H988" s="4" t="inlineStr">
        <is>
          <t>DOC ASIS/N/V/TC/EMPRENDIMIENTO/FUN.ACADE-ADMIN</t>
        </is>
      </c>
      <c r="I988" s="4" t="inlineStr">
        <is>
          <t>EMPRENDIMIENTO</t>
        </is>
      </c>
      <c r="J988" s="4" t="inlineStr">
        <is>
          <t>REINTEGRO</t>
        </is>
      </c>
      <c r="K988" s="4" t="inlineStr">
        <is>
          <t>JHANNA GOMEZ</t>
        </is>
      </c>
      <c r="L988" s="4" t="n">
        <v/>
      </c>
      <c r="M988" s="4" t="n">
        <v/>
      </c>
      <c r="N988" s="4" t="n">
        <v>3128573076</v>
      </c>
      <c r="O988" s="4" t="inlineStr">
        <is>
          <t>juandavidriosperez@gmail.com</t>
        </is>
      </c>
      <c r="P988" s="4" t="inlineStr">
        <is>
          <t>BQUILLA SEDE</t>
        </is>
      </c>
      <c r="Q988" s="4" t="inlineStr">
        <is>
          <t>TRANSVERSALES</t>
        </is>
      </c>
      <c r="R988" s="4" t="n">
        <v/>
      </c>
    </row>
    <row r="989" ht="20" customHeight="1">
      <c r="A989" s="6" t="inlineStr">
        <is>
          <t>1015442225</t>
        </is>
      </c>
      <c r="B989" s="7" t="inlineStr">
        <is>
          <t>PRESENCIAL BOGOTÁ</t>
        </is>
      </c>
      <c r="C989" s="7" t="inlineStr">
        <is>
          <t>ALEJANDRA MARIA MARTINEZ SALGADO</t>
        </is>
      </c>
      <c r="D989" s="7" t="inlineStr">
        <is>
          <t>OPERACIONES</t>
        </is>
      </c>
      <c r="E989" s="7" t="inlineStr">
        <is>
          <t>REGIONAL BOGOTA</t>
        </is>
      </c>
      <c r="F989" s="7" t="inlineStr">
        <is>
          <t>BOGOTA CENTRO</t>
        </is>
      </c>
      <c r="G989" s="7" t="inlineStr">
        <is>
          <t>PRESENCIAL</t>
        </is>
      </c>
      <c r="H989" s="7" t="inlineStr">
        <is>
          <t>DOC AUX T&amp;T/N/TC/EMPRENDIMIE/FUN.ACADE-ADMIN</t>
        </is>
      </c>
      <c r="I989" s="7" t="inlineStr">
        <is>
          <t>EMPRENDIMIENTO</t>
        </is>
      </c>
      <c r="J989" s="7" t="inlineStr">
        <is>
          <t>REINTEGRO</t>
        </is>
      </c>
      <c r="K989" s="7" t="inlineStr">
        <is>
          <t>JHANNA GOMEZ</t>
        </is>
      </c>
      <c r="L989" s="7" t="n">
        <v/>
      </c>
      <c r="M989" s="7" t="n">
        <v/>
      </c>
      <c r="N989" s="7" t="n">
        <v>3043591260</v>
      </c>
      <c r="O989" s="7" t="inlineStr">
        <is>
          <t>almamartinezsalgado@gmail.com</t>
        </is>
      </c>
      <c r="P989" s="7" t="inlineStr">
        <is>
          <t>BTA SEDE A</t>
        </is>
      </c>
      <c r="Q989" s="7" t="inlineStr">
        <is>
          <t>TRANSVERSALES</t>
        </is>
      </c>
      <c r="R989" s="7" t="n">
        <v>801</v>
      </c>
    </row>
    <row r="990" ht="20" customHeight="1">
      <c r="A990" s="3" t="inlineStr">
        <is>
          <t>80767663</t>
        </is>
      </c>
      <c r="B990" s="4" t="inlineStr">
        <is>
          <t>PRESENCIAL BOGOTÁ</t>
        </is>
      </c>
      <c r="C990" s="4" t="inlineStr">
        <is>
          <t>DIEGO ARMANDO OLIVARES RODRIGUEZ</t>
        </is>
      </c>
      <c r="D990" s="4" t="inlineStr">
        <is>
          <t>OPERACIONES</t>
        </is>
      </c>
      <c r="E990" s="4" t="inlineStr">
        <is>
          <t>REGIONAL BOGOTA</t>
        </is>
      </c>
      <c r="F990" s="4" t="inlineStr">
        <is>
          <t>BOGOTA CENTRO</t>
        </is>
      </c>
      <c r="G990" s="4" t="inlineStr">
        <is>
          <t>VIRTUAL</t>
        </is>
      </c>
      <c r="H990" s="4" t="inlineStr">
        <is>
          <t>DOC ASIS/N/V/TC/EMPRENDIMIENTO/FUN.ACADE-ADMIN</t>
        </is>
      </c>
      <c r="I990" s="4" t="inlineStr">
        <is>
          <t>EMPRENDIMIENTO</t>
        </is>
      </c>
      <c r="J990" s="4" t="inlineStr">
        <is>
          <t>REINTEGRO</t>
        </is>
      </c>
      <c r="K990" s="4" t="inlineStr">
        <is>
          <t>JHANNA GOMEZ</t>
        </is>
      </c>
      <c r="L990" s="4" t="inlineStr">
        <is>
          <t>CONFIRMADO PRESENCIAL</t>
        </is>
      </c>
      <c r="M990" s="4" t="n">
        <v/>
      </c>
      <c r="N990" s="4" t="n">
        <v>3112354806</v>
      </c>
      <c r="O990" s="4" t="inlineStr">
        <is>
          <t>jerico8474@hotmail.com</t>
        </is>
      </c>
      <c r="P990" s="4" t="inlineStr">
        <is>
          <t>BTA SEDE A</t>
        </is>
      </c>
      <c r="Q990" s="4" t="inlineStr">
        <is>
          <t>TRANSVERSALES</t>
        </is>
      </c>
      <c r="R990" s="4" t="n">
        <v>801</v>
      </c>
    </row>
    <row r="991" ht="20" customHeight="1">
      <c r="A991" s="6" t="inlineStr">
        <is>
          <t>1031163375</t>
        </is>
      </c>
      <c r="B991" s="7" t="inlineStr">
        <is>
          <t>PRESENCIAL BOGOTÁ</t>
        </is>
      </c>
      <c r="C991" s="7" t="inlineStr">
        <is>
          <t>JHON JAIRO BENITEZ NIÑO</t>
        </is>
      </c>
      <c r="D991" s="7" t="inlineStr">
        <is>
          <t>OPERACIONES</t>
        </is>
      </c>
      <c r="E991" s="7" t="inlineStr">
        <is>
          <t>REGIONAL BOGOTA</t>
        </is>
      </c>
      <c r="F991" s="7" t="inlineStr">
        <is>
          <t>BOGOTA CENTRO</t>
        </is>
      </c>
      <c r="G991" s="7" t="inlineStr">
        <is>
          <t>VIRTUAL</t>
        </is>
      </c>
      <c r="H991" s="7" t="inlineStr">
        <is>
          <t>DOC ASIS/N/V/TC/EMPRENDIMIENTO/FUN.ACADE-ADMIN</t>
        </is>
      </c>
      <c r="I991" s="7" t="inlineStr">
        <is>
          <t>EMPRENDIMIENTO</t>
        </is>
      </c>
      <c r="J991" s="7" t="inlineStr">
        <is>
          <t>REINTEGRO</t>
        </is>
      </c>
      <c r="K991" s="7" t="inlineStr">
        <is>
          <t>JHANNA GOMEZ</t>
        </is>
      </c>
      <c r="L991" s="7" t="inlineStr">
        <is>
          <t>CONFIRMADO PRESENCIAL</t>
        </is>
      </c>
      <c r="M991" s="7" t="n">
        <v/>
      </c>
      <c r="N991" s="7" t="n">
        <v>3133270688</v>
      </c>
      <c r="O991" s="7" t="inlineStr">
        <is>
          <t>JHONJABENI@GMAIL.COM</t>
        </is>
      </c>
      <c r="P991" s="7" t="inlineStr">
        <is>
          <t>BTA SEDE A</t>
        </is>
      </c>
      <c r="Q991" s="7" t="inlineStr">
        <is>
          <t>TRANSVERSALES</t>
        </is>
      </c>
      <c r="R991" s="7" t="n">
        <v>801</v>
      </c>
    </row>
    <row r="992" ht="20" customHeight="1">
      <c r="A992" s="3" t="inlineStr">
        <is>
          <t>52771002</t>
        </is>
      </c>
      <c r="B992" s="4" t="inlineStr">
        <is>
          <t>PRESENCIAL BOGOTÁ</t>
        </is>
      </c>
      <c r="C992" s="4" t="inlineStr">
        <is>
          <t>DEISY MORENO SANCHEZ</t>
        </is>
      </c>
      <c r="D992" s="4" t="inlineStr">
        <is>
          <t>OPERACIONES</t>
        </is>
      </c>
      <c r="E992" s="4" t="inlineStr">
        <is>
          <t>REGIONAL BOGOTA</t>
        </is>
      </c>
      <c r="F992" s="4" t="inlineStr">
        <is>
          <t>BOGOTA CENTRO</t>
        </is>
      </c>
      <c r="G992" s="4" t="inlineStr">
        <is>
          <t>PRESENCIAL</t>
        </is>
      </c>
      <c r="H992" s="4" t="inlineStr">
        <is>
          <t>DOCENTE ASIS/N/TC/EMPRENDIMIE/FUN.ACADE-ADMIN</t>
        </is>
      </c>
      <c r="I992" s="4" t="inlineStr">
        <is>
          <t>EMPRENDIMIENTO</t>
        </is>
      </c>
      <c r="J992" s="4" t="inlineStr">
        <is>
          <t>REINTEGRO</t>
        </is>
      </c>
      <c r="K992" s="4" t="inlineStr">
        <is>
          <t>JHANNA GOMEZ</t>
        </is>
      </c>
      <c r="L992" s="4" t="n">
        <v/>
      </c>
      <c r="M992" s="4" t="n">
        <v/>
      </c>
      <c r="N992" s="4" t="n">
        <v>3024027950</v>
      </c>
      <c r="O992" s="4" t="inlineStr">
        <is>
          <t>deisymoreno176@gmail.com</t>
        </is>
      </c>
      <c r="P992" s="4" t="inlineStr">
        <is>
          <t>BTA SEDE A</t>
        </is>
      </c>
      <c r="Q992" s="4" t="inlineStr">
        <is>
          <t>TRANSVERSALES</t>
        </is>
      </c>
      <c r="R992" s="4" t="n">
        <v>801</v>
      </c>
    </row>
    <row r="993" ht="20" customHeight="1">
      <c r="A993" s="6" t="inlineStr">
        <is>
          <t>79884207</t>
        </is>
      </c>
      <c r="B993" s="7" t="inlineStr">
        <is>
          <t>PRESENCIAL BOGOTÁ</t>
        </is>
      </c>
      <c r="C993" s="7" t="inlineStr">
        <is>
          <t>CARLOS MAURICIO BAEZ PALENCIA</t>
        </is>
      </c>
      <c r="D993" s="7" t="inlineStr">
        <is>
          <t>OPERACIONES</t>
        </is>
      </c>
      <c r="E993" s="7" t="inlineStr">
        <is>
          <t>REGIONAL BOGOTA</t>
        </is>
      </c>
      <c r="F993" s="7" t="inlineStr">
        <is>
          <t>BOGOTA CENTRO</t>
        </is>
      </c>
      <c r="G993" s="7" t="inlineStr">
        <is>
          <t>PRESENCIAL</t>
        </is>
      </c>
      <c r="H993" s="7" t="inlineStr">
        <is>
          <t>DOC AUX T&amp;T/N/TC/EMPRENDIMIE/FUN.ACADE-ADMIN</t>
        </is>
      </c>
      <c r="I993" s="7" t="inlineStr">
        <is>
          <t>EMPRENDIMIENTO</t>
        </is>
      </c>
      <c r="J993" s="7" t="inlineStr">
        <is>
          <t>REINTEGRO</t>
        </is>
      </c>
      <c r="K993" s="7" t="inlineStr">
        <is>
          <t>JHANNA GOMEZ</t>
        </is>
      </c>
      <c r="L993" s="7" t="n">
        <v/>
      </c>
      <c r="M993" s="7" t="n">
        <v/>
      </c>
      <c r="N993" s="7" t="n">
        <v>3133303003</v>
      </c>
      <c r="O993" s="7" t="inlineStr">
        <is>
          <t>maobaezp@gmail.com</t>
        </is>
      </c>
      <c r="P993" s="7" t="inlineStr">
        <is>
          <t>BTA SEDE A</t>
        </is>
      </c>
      <c r="Q993" s="7" t="inlineStr">
        <is>
          <t>TRANSVERSALES</t>
        </is>
      </c>
      <c r="R993" s="7" t="n">
        <v>801</v>
      </c>
    </row>
    <row r="994" ht="20" customHeight="1">
      <c r="A994" s="3" t="inlineStr">
        <is>
          <t>1072714323</t>
        </is>
      </c>
      <c r="B994" s="4" t="inlineStr">
        <is>
          <t>PRESENCIAL BOGOTÁ</t>
        </is>
      </c>
      <c r="C994" s="4" t="inlineStr">
        <is>
          <t>DIEGO ALEJANDRO ESGUERRA BUITRAGO</t>
        </is>
      </c>
      <c r="D994" s="4" t="inlineStr">
        <is>
          <t>OPERACIONES</t>
        </is>
      </c>
      <c r="E994" s="4" t="inlineStr">
        <is>
          <t>REGIONAL BOGOTA</t>
        </is>
      </c>
      <c r="F994" s="4" t="inlineStr">
        <is>
          <t>BOGOTA CENTRO</t>
        </is>
      </c>
      <c r="G994" s="4" t="inlineStr">
        <is>
          <t>PRESENCIAL</t>
        </is>
      </c>
      <c r="H994" s="4" t="inlineStr">
        <is>
          <t>DOC AUX T&amp;T/N/TC/EMPRENDIMIE/FUN.ACADE-ADMIN</t>
        </is>
      </c>
      <c r="I994" s="4" t="inlineStr">
        <is>
          <t>EMPRENDIMIENTO</t>
        </is>
      </c>
      <c r="J994" s="4" t="inlineStr">
        <is>
          <t>REINTEGRO</t>
        </is>
      </c>
      <c r="K994" s="4" t="inlineStr">
        <is>
          <t>JHANNA GOMEZ</t>
        </is>
      </c>
      <c r="L994" s="4" t="n">
        <v/>
      </c>
      <c r="M994" s="4" t="n">
        <v/>
      </c>
      <c r="N994" s="4" t="n">
        <v>3208541877</v>
      </c>
      <c r="O994" s="4" t="inlineStr">
        <is>
          <t>desguerrabuitrago@gmail.com</t>
        </is>
      </c>
      <c r="P994" s="4" t="inlineStr">
        <is>
          <t>BTA SEDE J</t>
        </is>
      </c>
      <c r="Q994" s="4" t="inlineStr">
        <is>
          <t>TRANSVERSALES</t>
        </is>
      </c>
      <c r="R994" s="4" t="n">
        <v>801</v>
      </c>
    </row>
    <row r="995" ht="20" customHeight="1">
      <c r="A995" s="6" t="inlineStr">
        <is>
          <t>1010205140</t>
        </is>
      </c>
      <c r="B995" s="7" t="inlineStr">
        <is>
          <t>PRESENCIAL BOGOTÁ</t>
        </is>
      </c>
      <c r="C995" s="7" t="inlineStr">
        <is>
          <t>MARIA ISABEL ZARATE BARRANTES</t>
        </is>
      </c>
      <c r="D995" s="7" t="inlineStr">
        <is>
          <t>OPERACIONES</t>
        </is>
      </c>
      <c r="E995" s="7" t="inlineStr">
        <is>
          <t>REGIONAL BOGOTA</t>
        </is>
      </c>
      <c r="F995" s="7" t="inlineStr">
        <is>
          <t>BOGOTA CENTRO</t>
        </is>
      </c>
      <c r="G995" s="7" t="inlineStr">
        <is>
          <t>PRESENCIAL</t>
        </is>
      </c>
      <c r="H995" s="7" t="inlineStr">
        <is>
          <t>DOCENTE AUX/N/TC/EMPRENDIMIE/FUN.ACADE-ADMIN</t>
        </is>
      </c>
      <c r="I995" s="7" t="inlineStr">
        <is>
          <t>EMPRENDIMIENTO</t>
        </is>
      </c>
      <c r="J995" s="7" t="inlineStr">
        <is>
          <t>REINTEGRO</t>
        </is>
      </c>
      <c r="K995" s="7" t="inlineStr">
        <is>
          <t>JHANNA GOMEZ</t>
        </is>
      </c>
      <c r="L995" s="7" t="n">
        <v/>
      </c>
      <c r="M995" s="7" t="n">
        <v/>
      </c>
      <c r="N995" s="7" t="n">
        <v>3192591410</v>
      </c>
      <c r="O995" s="7" t="inlineStr">
        <is>
          <t>issazarate2025@gmail.com</t>
        </is>
      </c>
      <c r="P995" s="7" t="inlineStr">
        <is>
          <t>BTA SEDE J</t>
        </is>
      </c>
      <c r="Q995" s="7" t="inlineStr">
        <is>
          <t>TRANSVERSALES</t>
        </is>
      </c>
      <c r="R995" s="7" t="n">
        <v>801</v>
      </c>
    </row>
    <row r="996" ht="20" customHeight="1">
      <c r="A996" s="3" t="inlineStr">
        <is>
          <t>1030597409</t>
        </is>
      </c>
      <c r="B996" s="4" t="inlineStr">
        <is>
          <t>PRESENCIAL BOGOTÁ</t>
        </is>
      </c>
      <c r="C996" s="4" t="inlineStr">
        <is>
          <t>LUIS ALFREDO NARVAEZ JARAMILLO</t>
        </is>
      </c>
      <c r="D996" s="4" t="inlineStr">
        <is>
          <t>OPERACIONES</t>
        </is>
      </c>
      <c r="E996" s="4" t="inlineStr">
        <is>
          <t>REGIONAL BOGOTA</t>
        </is>
      </c>
      <c r="F996" s="4" t="inlineStr">
        <is>
          <t>BOGOTA CENTRO</t>
        </is>
      </c>
      <c r="G996" s="4" t="inlineStr">
        <is>
          <t>VIRTUAL</t>
        </is>
      </c>
      <c r="H996" s="4" t="inlineStr">
        <is>
          <t>DOC ASIS/N/V/TC/ESP TRANSF DIGITAL/FUN.ACADE-ADMIN</t>
        </is>
      </c>
      <c r="I996" s="4" t="inlineStr">
        <is>
          <t>ESPECIALIZACION DE TRANSFORMACION DIGITAL</t>
        </is>
      </c>
      <c r="J996" s="4" t="inlineStr">
        <is>
          <t>REINTEGRO</t>
        </is>
      </c>
      <c r="K996" s="4" t="inlineStr">
        <is>
          <t>JHANNA GOMEZ</t>
        </is>
      </c>
      <c r="L996" s="4" t="n">
        <v/>
      </c>
      <c r="M996" s="4" t="n">
        <v/>
      </c>
      <c r="N996" s="4" t="n">
        <v>3014566559</v>
      </c>
      <c r="O996" s="4" t="inlineStr">
        <is>
          <t>LNARVAEZJ@HOTMAIL.COM</t>
        </is>
      </c>
      <c r="P996" s="4" t="inlineStr">
        <is>
          <t>BTA SEDE A</t>
        </is>
      </c>
      <c r="Q996" s="4" t="inlineStr">
        <is>
          <t>ESPECIALIZACIONES</t>
        </is>
      </c>
      <c r="R996" s="4" t="n">
        <v>603</v>
      </c>
    </row>
    <row r="997" ht="20" customHeight="1">
      <c r="A997" s="6" t="inlineStr">
        <is>
          <t>39578035</t>
        </is>
      </c>
      <c r="B997" s="7" t="inlineStr">
        <is>
          <t>PRESENCIAL BOGOTÁ</t>
        </is>
      </c>
      <c r="C997" s="7" t="inlineStr">
        <is>
          <t>CHARLIE PAOLA CHACON ROCHA</t>
        </is>
      </c>
      <c r="D997" s="7" t="inlineStr">
        <is>
          <t>OPERACIONES</t>
        </is>
      </c>
      <c r="E997" s="7" t="inlineStr">
        <is>
          <t>REGIONAL BOGOTA</t>
        </is>
      </c>
      <c r="F997" s="7" t="inlineStr">
        <is>
          <t>BOGOTA CENTRO</t>
        </is>
      </c>
      <c r="G997" s="7" t="inlineStr">
        <is>
          <t>VIRTUAL</t>
        </is>
      </c>
      <c r="H997" s="7" t="inlineStr">
        <is>
          <t>DOC ASIS/N/V/TC/IDIOMAS/FUN.ACADE-ADMIN</t>
        </is>
      </c>
      <c r="I997" s="7" t="inlineStr">
        <is>
          <t>IDIOMAS</t>
        </is>
      </c>
      <c r="J997" s="7" t="inlineStr">
        <is>
          <t>REINTEGRO</t>
        </is>
      </c>
      <c r="K997" s="7" t="inlineStr">
        <is>
          <t>JHANNA GOMEZ</t>
        </is>
      </c>
      <c r="L997" s="7" t="n">
        <v/>
      </c>
      <c r="M997" s="7" t="n">
        <v/>
      </c>
      <c r="N997" s="7" t="n">
        <v>3154225400</v>
      </c>
      <c r="O997" s="7" t="inlineStr">
        <is>
          <t>charliepaola@hotmail.com</t>
        </is>
      </c>
      <c r="P997" s="7" t="inlineStr">
        <is>
          <t>BTA SEDE A</t>
        </is>
      </c>
      <c r="Q997" s="7" t="inlineStr">
        <is>
          <t>TRANSVERSALES</t>
        </is>
      </c>
      <c r="R997" s="7" t="n">
        <v>801</v>
      </c>
    </row>
    <row r="998" ht="20" customHeight="1">
      <c r="A998" s="3" t="inlineStr">
        <is>
          <t>1110567475</t>
        </is>
      </c>
      <c r="B998" s="4" t="inlineStr">
        <is>
          <t>PRESENCIAL REGIONAL</t>
        </is>
      </c>
      <c r="C998" s="4" t="inlineStr">
        <is>
          <t>ANGELLO CAMILO SANCHEZ GALINDO</t>
        </is>
      </c>
      <c r="D998" s="4" t="inlineStr">
        <is>
          <t>OPERACIONES</t>
        </is>
      </c>
      <c r="E998" s="4" t="inlineStr">
        <is>
          <t>REGIONAL TOLIMA</t>
        </is>
      </c>
      <c r="F998" s="4" t="inlineStr">
        <is>
          <t>IBAGUÉ</t>
        </is>
      </c>
      <c r="G998" s="4" t="inlineStr">
        <is>
          <t>VIRTUAL</t>
        </is>
      </c>
      <c r="H998" s="4" t="inlineStr">
        <is>
          <t>DOC AUX T&amp;T/N/V/TC/IDIOMAS/FUN.ACADE-ADMIN</t>
        </is>
      </c>
      <c r="I998" s="4" t="inlineStr">
        <is>
          <t>IDIOMAS</t>
        </is>
      </c>
      <c r="J998" s="4" t="inlineStr">
        <is>
          <t>REINTEGRO</t>
        </is>
      </c>
      <c r="K998" s="4" t="inlineStr">
        <is>
          <t>JHANNA GOMEZ</t>
        </is>
      </c>
      <c r="L998" s="4" t="n">
        <v/>
      </c>
      <c r="M998" s="4" t="n">
        <v/>
      </c>
      <c r="N998" s="4" t="n">
        <v>3132908739</v>
      </c>
      <c r="O998" s="4" t="inlineStr">
        <is>
          <t>angellocsg@outlook.com</t>
        </is>
      </c>
      <c r="P998" s="4" t="inlineStr">
        <is>
          <t>IBAGUE SEDE</t>
        </is>
      </c>
      <c r="Q998" s="4" t="inlineStr">
        <is>
          <t>TRANSVERSALES</t>
        </is>
      </c>
      <c r="R998" s="4" t="n">
        <v/>
      </c>
    </row>
    <row r="999" ht="20" customHeight="1">
      <c r="A999" s="6" t="inlineStr">
        <is>
          <t>80882570</t>
        </is>
      </c>
      <c r="B999" s="7" t="inlineStr">
        <is>
          <t>PRESENCIAL BOGOTÁ</t>
        </is>
      </c>
      <c r="C999" s="7" t="inlineStr">
        <is>
          <t>ANDRES ALBERTO GARRIDO TORRES</t>
        </is>
      </c>
      <c r="D999" s="7" t="inlineStr">
        <is>
          <t>OPERACIONES</t>
        </is>
      </c>
      <c r="E999" s="7" t="inlineStr">
        <is>
          <t>REGIONAL BOGOTA</t>
        </is>
      </c>
      <c r="F999" s="7" t="inlineStr">
        <is>
          <t>BOGOTA CENTRO</t>
        </is>
      </c>
      <c r="G999" s="7" t="inlineStr">
        <is>
          <t>VIRTUAL</t>
        </is>
      </c>
      <c r="H999" s="7" t="inlineStr">
        <is>
          <t>DOC ASIS/N/V/TC/IDIOMAS/FUN.ACADE-ADMIN</t>
        </is>
      </c>
      <c r="I999" s="7" t="inlineStr">
        <is>
          <t>IDIOMAS</t>
        </is>
      </c>
      <c r="J999" s="7" t="inlineStr">
        <is>
          <t>REINTEGRO</t>
        </is>
      </c>
      <c r="K999" s="7" t="inlineStr">
        <is>
          <t>JHANNA GOMEZ</t>
        </is>
      </c>
      <c r="L999" s="7" t="n">
        <v/>
      </c>
      <c r="M999" s="7" t="n">
        <v/>
      </c>
      <c r="N999" s="7" t="n">
        <v>3154806818</v>
      </c>
      <c r="O999" s="7" t="inlineStr">
        <is>
          <t>andresgator@gmail.com</t>
        </is>
      </c>
      <c r="P999" s="7" t="inlineStr">
        <is>
          <t>BTA SEDE A</t>
        </is>
      </c>
      <c r="Q999" s="7" t="inlineStr">
        <is>
          <t>TRANSVERSALES</t>
        </is>
      </c>
      <c r="R999" s="7" t="n">
        <v>801</v>
      </c>
    </row>
    <row r="1000" ht="20" customHeight="1">
      <c r="A1000" s="3" t="inlineStr">
        <is>
          <t>1012352548</t>
        </is>
      </c>
      <c r="B1000" s="4" t="inlineStr">
        <is>
          <t>PRESENCIAL BOGOTÁ</t>
        </is>
      </c>
      <c r="C1000" s="4" t="inlineStr">
        <is>
          <t>VERONICA CASTRO MUNAR</t>
        </is>
      </c>
      <c r="D1000" s="4" t="inlineStr">
        <is>
          <t>OPERACIONES</t>
        </is>
      </c>
      <c r="E1000" s="4" t="inlineStr">
        <is>
          <t>REGIONAL BOGOTA</t>
        </is>
      </c>
      <c r="F1000" s="4" t="inlineStr">
        <is>
          <t>BOGOTA CENTRO</t>
        </is>
      </c>
      <c r="G1000" s="4" t="inlineStr">
        <is>
          <t>VIRTUAL</t>
        </is>
      </c>
      <c r="H1000" s="4" t="inlineStr">
        <is>
          <t>DOC ASOC/N/V/TC/ING DE SISTEMAS/FUN.ACADE-ADMIN</t>
        </is>
      </c>
      <c r="I1000" s="4" t="inlineStr">
        <is>
          <t>INGENIERIA DE SISTEMAS</t>
        </is>
      </c>
      <c r="J1000" s="4" t="inlineStr">
        <is>
          <t>REINTEGRO</t>
        </is>
      </c>
      <c r="K1000" s="4" t="inlineStr">
        <is>
          <t>JHANNA GOMEZ</t>
        </is>
      </c>
      <c r="L1000" s="4" t="n">
        <v/>
      </c>
      <c r="M1000" s="4" t="n">
        <v/>
      </c>
      <c r="N1000" s="4" t="n">
        <v>3204680601</v>
      </c>
      <c r="O1000" s="4" t="inlineStr">
        <is>
          <t>vkasmunar@gmail.com</t>
        </is>
      </c>
      <c r="P1000" s="4" t="inlineStr">
        <is>
          <t>BTA SEDE J</t>
        </is>
      </c>
      <c r="Q1000" s="4" t="inlineStr">
        <is>
          <t>INGENIERIA</t>
        </is>
      </c>
      <c r="R1000" s="4" t="n">
        <v>503</v>
      </c>
    </row>
    <row r="1001" ht="20" customHeight="1">
      <c r="A1001" s="6" t="inlineStr">
        <is>
          <t>78746303</t>
        </is>
      </c>
      <c r="B1001" s="7" t="inlineStr">
        <is>
          <t>PRESENCIAL REGIONAL</t>
        </is>
      </c>
      <c r="C1001" s="7" t="inlineStr">
        <is>
          <t>RAFAEL ENRIQUE BENEDETTI NAVARRO</t>
        </is>
      </c>
      <c r="D1001" s="7" t="inlineStr">
        <is>
          <t>OPERACIONES</t>
        </is>
      </c>
      <c r="E1001" s="7" t="inlineStr">
        <is>
          <t>REGIONAL CORDOBA</t>
        </is>
      </c>
      <c r="F1001" s="7" t="inlineStr">
        <is>
          <t>MONTERIA</t>
        </is>
      </c>
      <c r="G1001" s="7" t="inlineStr">
        <is>
          <t>PRESENCIAL</t>
        </is>
      </c>
      <c r="H1001" s="7" t="inlineStr">
        <is>
          <t>DOCENTE ASIS/N/TC/ING SISTEM/FUN.ACADE-ADMIN</t>
        </is>
      </c>
      <c r="I1001" s="7" t="inlineStr">
        <is>
          <t>INGENIERIA DE SISTEMAS</t>
        </is>
      </c>
      <c r="J1001" s="7" t="inlineStr">
        <is>
          <t>REINTEGRO</t>
        </is>
      </c>
      <c r="K1001" s="7" t="inlineStr">
        <is>
          <t>JHANNA GOMEZ</t>
        </is>
      </c>
      <c r="L1001" s="7" t="inlineStr">
        <is>
          <t>CONFIRMADO PRESENCIAL</t>
        </is>
      </c>
      <c r="M1001" s="7" t="n">
        <v/>
      </c>
      <c r="N1001" s="7" t="n">
        <v>3008948572</v>
      </c>
      <c r="O1001" s="7" t="inlineStr">
        <is>
          <t>rafael.benedetti75@gmail.com</t>
        </is>
      </c>
      <c r="P1001" s="7" t="inlineStr">
        <is>
          <t>MONTERIA SEDE</t>
        </is>
      </c>
      <c r="Q1001" s="7" t="inlineStr">
        <is>
          <t>INGENIERIA</t>
        </is>
      </c>
      <c r="R1001" s="7" t="n">
        <v/>
      </c>
    </row>
    <row r="1002" ht="20" customHeight="1">
      <c r="A1002" s="3" t="inlineStr">
        <is>
          <t>92532615</t>
        </is>
      </c>
      <c r="B1002" s="4" t="inlineStr">
        <is>
          <t>PRESENCIAL REGIONAL</t>
        </is>
      </c>
      <c r="C1002" s="4" t="inlineStr">
        <is>
          <t>KERWIN CARLOS TORRES CASTILLO</t>
        </is>
      </c>
      <c r="D1002" s="4" t="inlineStr">
        <is>
          <t>OPERACIONES</t>
        </is>
      </c>
      <c r="E1002" s="4" t="inlineStr">
        <is>
          <t>REGIONAL SUCRE</t>
        </is>
      </c>
      <c r="F1002" s="4" t="inlineStr">
        <is>
          <t>SINCELEJO</t>
        </is>
      </c>
      <c r="G1002" s="4" t="inlineStr">
        <is>
          <t>PRESENCIAL</t>
        </is>
      </c>
      <c r="H1002" s="4" t="inlineStr">
        <is>
          <t>DOCENTE AUX/N/TC/ING SISTEM/FUN.ACADE-ADMIN</t>
        </is>
      </c>
      <c r="I1002" s="4" t="inlineStr">
        <is>
          <t>INGENIERIA DE SISTEMAS</t>
        </is>
      </c>
      <c r="J1002" s="4" t="inlineStr">
        <is>
          <t>REINTEGRO</t>
        </is>
      </c>
      <c r="K1002" s="4" t="inlineStr">
        <is>
          <t>JHANNA GOMEZ</t>
        </is>
      </c>
      <c r="L1002" s="4" t="n">
        <v/>
      </c>
      <c r="M1002" s="4" t="n">
        <v/>
      </c>
      <c r="N1002" s="4" t="n">
        <v>3015487006</v>
      </c>
      <c r="O1002" s="4" t="inlineStr">
        <is>
          <t>torreskerwin@gmail.com</t>
        </is>
      </c>
      <c r="P1002" s="4" t="inlineStr">
        <is>
          <t>SINCELEJO SEDE</t>
        </is>
      </c>
      <c r="Q1002" s="4" t="inlineStr">
        <is>
          <t>INGENIERIA</t>
        </is>
      </c>
      <c r="R1002" s="4" t="n">
        <v/>
      </c>
    </row>
    <row r="1003" ht="20" customHeight="1">
      <c r="A1003" s="6" t="inlineStr">
        <is>
          <t>92523364</t>
        </is>
      </c>
      <c r="B1003" s="7" t="inlineStr">
        <is>
          <t>PRESENCIAL REGIONAL</t>
        </is>
      </c>
      <c r="C1003" s="7" t="inlineStr">
        <is>
          <t>EDWIN ANTONIO ARRIETA BENAVIDES</t>
        </is>
      </c>
      <c r="D1003" s="7" t="inlineStr">
        <is>
          <t>OPERACIONES</t>
        </is>
      </c>
      <c r="E1003" s="7" t="inlineStr">
        <is>
          <t>REGIONAL SUCRE</t>
        </is>
      </c>
      <c r="F1003" s="7" t="inlineStr">
        <is>
          <t>SINCELEJO</t>
        </is>
      </c>
      <c r="G1003" s="7" t="inlineStr">
        <is>
          <t>PRESENCIAL</t>
        </is>
      </c>
      <c r="H1003" s="7" t="inlineStr">
        <is>
          <t>DOC AUX T&amp;T/N/TC/ING SISTEM/PROYECCION</t>
        </is>
      </c>
      <c r="I1003" s="7" t="inlineStr">
        <is>
          <t>INGENIERIA DE SISTEMAS</t>
        </is>
      </c>
      <c r="J1003" s="7" t="inlineStr">
        <is>
          <t>REINTEGRO</t>
        </is>
      </c>
      <c r="K1003" s="7" t="inlineStr">
        <is>
          <t>JHANNA GOMEZ</t>
        </is>
      </c>
      <c r="L1003" s="7" t="n">
        <v/>
      </c>
      <c r="M1003" s="7" t="n">
        <v/>
      </c>
      <c r="N1003" s="7" t="n">
        <v>3184492083</v>
      </c>
      <c r="O1003" s="7" t="inlineStr">
        <is>
          <t>arrietaedwin@gmail.com</t>
        </is>
      </c>
      <c r="P1003" s="7" t="inlineStr">
        <is>
          <t>SINCELEJO SEDE</t>
        </is>
      </c>
      <c r="Q1003" s="7" t="inlineStr">
        <is>
          <t>INGENIERIA</t>
        </is>
      </c>
      <c r="R1003" s="7" t="n">
        <v/>
      </c>
    </row>
    <row r="1004" ht="20" customHeight="1">
      <c r="A1004" s="3" t="inlineStr">
        <is>
          <t>1110545690</t>
        </is>
      </c>
      <c r="B1004" s="4" t="inlineStr">
        <is>
          <t>PRESENCIAL REGIONAL</t>
        </is>
      </c>
      <c r="C1004" s="4" t="inlineStr">
        <is>
          <t>JULIETH CAROLINA RIOS BOCANEGRA</t>
        </is>
      </c>
      <c r="D1004" s="4" t="inlineStr">
        <is>
          <t>OPERACIONES</t>
        </is>
      </c>
      <c r="E1004" s="4" t="inlineStr">
        <is>
          <t>REGIONAL TOLIMA</t>
        </is>
      </c>
      <c r="F1004" s="4" t="inlineStr">
        <is>
          <t>IBAGUÉ</t>
        </is>
      </c>
      <c r="G1004" s="4" t="inlineStr">
        <is>
          <t>PRESENCIAL</t>
        </is>
      </c>
      <c r="H1004" s="4" t="inlineStr">
        <is>
          <t>DOCENTE AUX/N/TC/ING SISTEM/FUN.ACADE-ADMIN</t>
        </is>
      </c>
      <c r="I1004" s="4" t="inlineStr">
        <is>
          <t>INGENIERIA DE SISTEMAS</t>
        </is>
      </c>
      <c r="J1004" s="4" t="inlineStr">
        <is>
          <t>REINTEGRO</t>
        </is>
      </c>
      <c r="K1004" s="4" t="inlineStr">
        <is>
          <t>JHANNA GOMEZ</t>
        </is>
      </c>
      <c r="L1004" s="4" t="n">
        <v/>
      </c>
      <c r="M1004" s="4" t="n">
        <v/>
      </c>
      <c r="N1004" s="4" t="n">
        <v>3114867519</v>
      </c>
      <c r="O1004" s="4" t="inlineStr">
        <is>
          <t>juliethcrb@gmail.com</t>
        </is>
      </c>
      <c r="P1004" s="4" t="inlineStr">
        <is>
          <t>IBAGUE SEDE</t>
        </is>
      </c>
      <c r="Q1004" s="4" t="inlineStr">
        <is>
          <t>INGENIERIA</t>
        </is>
      </c>
      <c r="R1004" s="4" t="n">
        <v/>
      </c>
    </row>
    <row r="1005" ht="20" customHeight="1">
      <c r="A1005" s="6" t="inlineStr">
        <is>
          <t>92526312</t>
        </is>
      </c>
      <c r="B1005" s="7" t="inlineStr">
        <is>
          <t>PRESENCIAL REGIONAL</t>
        </is>
      </c>
      <c r="C1005" s="7" t="inlineStr">
        <is>
          <t>LUIS FERNANDO ALMARIO NARVAEZ</t>
        </is>
      </c>
      <c r="D1005" s="7" t="inlineStr">
        <is>
          <t>OPERACIONES</t>
        </is>
      </c>
      <c r="E1005" s="7" t="inlineStr">
        <is>
          <t>REGIONAL SUCRE</t>
        </is>
      </c>
      <c r="F1005" s="7" t="inlineStr">
        <is>
          <t>SINCELEJO</t>
        </is>
      </c>
      <c r="G1005" s="7" t="inlineStr">
        <is>
          <t>PRESENCIAL</t>
        </is>
      </c>
      <c r="H1005" s="7" t="inlineStr">
        <is>
          <t>DOCENTE AUX/N/MT/ING SISTEM</t>
        </is>
      </c>
      <c r="I1005" s="7" t="inlineStr">
        <is>
          <t>INGENIERIA DE SISTEMAS</t>
        </is>
      </c>
      <c r="J1005" s="7" t="inlineStr">
        <is>
          <t>REINTEGRO</t>
        </is>
      </c>
      <c r="K1005" s="7" t="inlineStr">
        <is>
          <t>JHANNA GOMEZ</t>
        </is>
      </c>
      <c r="L1005" s="7" t="n">
        <v/>
      </c>
      <c r="M1005" s="7" t="n">
        <v/>
      </c>
      <c r="N1005" s="7" t="n">
        <v>3002176880</v>
      </c>
      <c r="O1005" s="7" t="inlineStr">
        <is>
          <t>lalmari@gmail.com</t>
        </is>
      </c>
      <c r="P1005" s="7" t="inlineStr">
        <is>
          <t>SINCELEJO SEDE</t>
        </is>
      </c>
      <c r="Q1005" s="7" t="inlineStr">
        <is>
          <t>INGENIERIA</t>
        </is>
      </c>
      <c r="R1005" s="7" t="n">
        <v/>
      </c>
    </row>
    <row r="1006" ht="20" customHeight="1">
      <c r="A1006" s="3" t="inlineStr">
        <is>
          <t>1110455172</t>
        </is>
      </c>
      <c r="B1006" s="4" t="inlineStr">
        <is>
          <t>PRESENCIAL REGIONAL</t>
        </is>
      </c>
      <c r="C1006" s="4" t="inlineStr">
        <is>
          <t>JONNATHAN DAVID CUELLAR BARRERO</t>
        </is>
      </c>
      <c r="D1006" s="4" t="inlineStr">
        <is>
          <t>OPERACIONES</t>
        </is>
      </c>
      <c r="E1006" s="4" t="inlineStr">
        <is>
          <t>REGIONAL TOLIMA</t>
        </is>
      </c>
      <c r="F1006" s="4" t="inlineStr">
        <is>
          <t>IBAGUÉ</t>
        </is>
      </c>
      <c r="G1006" s="4" t="inlineStr">
        <is>
          <t>PRESENCIAL</t>
        </is>
      </c>
      <c r="H1006" s="4" t="inlineStr">
        <is>
          <t>DOC AUX T&amp;T/N/MT/ING SISTEM</t>
        </is>
      </c>
      <c r="I1006" s="4" t="inlineStr">
        <is>
          <t>INGENIERIA DE SISTEMAS</t>
        </is>
      </c>
      <c r="J1006" s="4" t="inlineStr">
        <is>
          <t>REINTEGRO</t>
        </is>
      </c>
      <c r="K1006" s="4" t="inlineStr">
        <is>
          <t>JHANNA GOMEZ</t>
        </is>
      </c>
      <c r="L1006" s="4" t="n">
        <v/>
      </c>
      <c r="M1006" s="4" t="n">
        <v/>
      </c>
      <c r="N1006" s="4" t="n">
        <v>3123889084</v>
      </c>
      <c r="O1006" s="4" t="inlineStr">
        <is>
          <t>jonnatancb@gmail.com</t>
        </is>
      </c>
      <c r="P1006" s="4" t="inlineStr">
        <is>
          <t>IBAGUE SEDE</t>
        </is>
      </c>
      <c r="Q1006" s="4" t="inlineStr">
        <is>
          <t>INGENIERIA</t>
        </is>
      </c>
      <c r="R1006" s="4" t="n">
        <v/>
      </c>
    </row>
    <row r="1007" ht="20" customHeight="1">
      <c r="A1007" s="6" t="inlineStr">
        <is>
          <t>1234645458</t>
        </is>
      </c>
      <c r="B1007" s="7" t="inlineStr">
        <is>
          <t>PRESENCIAL REGIONAL</t>
        </is>
      </c>
      <c r="C1007" s="7" t="inlineStr">
        <is>
          <t>JUAN DAVID FORERO ACOSTA</t>
        </is>
      </c>
      <c r="D1007" s="7" t="inlineStr">
        <is>
          <t>OPERACIONES</t>
        </is>
      </c>
      <c r="E1007" s="7" t="inlineStr">
        <is>
          <t>REGIONAL TOLIMA</t>
        </is>
      </c>
      <c r="F1007" s="7" t="inlineStr">
        <is>
          <t>IBAGUÉ</t>
        </is>
      </c>
      <c r="G1007" s="7" t="inlineStr">
        <is>
          <t>PRESENCIAL</t>
        </is>
      </c>
      <c r="H1007" s="7" t="inlineStr">
        <is>
          <t>DOC AUX T&amp;T/N/MT/ING SISTEM</t>
        </is>
      </c>
      <c r="I1007" s="7" t="inlineStr">
        <is>
          <t>INGENIERIA DE SISTEMAS</t>
        </is>
      </c>
      <c r="J1007" s="7" t="inlineStr">
        <is>
          <t>REINTEGRO</t>
        </is>
      </c>
      <c r="K1007" s="7" t="inlineStr">
        <is>
          <t>JHANNA GOMEZ</t>
        </is>
      </c>
      <c r="L1007" s="7" t="inlineStr">
        <is>
          <t>CONFIRMADO PRESENCIAL</t>
        </is>
      </c>
      <c r="M1007" s="7" t="n">
        <v/>
      </c>
      <c r="N1007" s="7" t="n">
        <v>3157878702</v>
      </c>
      <c r="O1007" s="7" t="inlineStr">
        <is>
          <t>Juanmaximo01@gmail.com</t>
        </is>
      </c>
      <c r="P1007" s="7" t="inlineStr">
        <is>
          <t>IBAGUE SEDE</t>
        </is>
      </c>
      <c r="Q1007" s="7" t="inlineStr">
        <is>
          <t>INGENIERIA</t>
        </is>
      </c>
      <c r="R1007" s="7" t="n">
        <v/>
      </c>
    </row>
    <row r="1008" ht="20" customHeight="1">
      <c r="A1008" s="3" t="inlineStr">
        <is>
          <t>1067956433</t>
        </is>
      </c>
      <c r="B1008" s="4" t="inlineStr">
        <is>
          <t>PRESENCIAL REGIONAL</t>
        </is>
      </c>
      <c r="C1008" s="4" t="inlineStr">
        <is>
          <t>OSCAR LUIS SIBAJA CUELLO</t>
        </is>
      </c>
      <c r="D1008" s="4" t="inlineStr">
        <is>
          <t>OPERACIONES</t>
        </is>
      </c>
      <c r="E1008" s="4" t="inlineStr">
        <is>
          <t>REGIONAL CORDOBA</t>
        </is>
      </c>
      <c r="F1008" s="4" t="inlineStr">
        <is>
          <t>MONTERIA</t>
        </is>
      </c>
      <c r="G1008" s="4" t="inlineStr">
        <is>
          <t>PRESENCIAL</t>
        </is>
      </c>
      <c r="H1008" s="4" t="inlineStr">
        <is>
          <t>DOCENTE ASIS/N/TC/ING SISTEM/FUN.ACADE-ADMIN</t>
        </is>
      </c>
      <c r="I1008" s="4" t="inlineStr">
        <is>
          <t>INGENIERIA DE SISTEMAS</t>
        </is>
      </c>
      <c r="J1008" s="4" t="inlineStr">
        <is>
          <t>REINTEGRO</t>
        </is>
      </c>
      <c r="K1008" s="4" t="inlineStr">
        <is>
          <t>JHANNA GOMEZ</t>
        </is>
      </c>
      <c r="L1008" s="4" t="n">
        <v/>
      </c>
      <c r="M1008" s="4" t="n">
        <v/>
      </c>
      <c r="N1008" s="4" t="n">
        <v>3014476262</v>
      </c>
      <c r="O1008" s="4" t="inlineStr">
        <is>
          <t>Oscar.sibajacuello@gmail.com</t>
        </is>
      </c>
      <c r="P1008" s="4" t="inlineStr">
        <is>
          <t>MONTERIA SEDE</t>
        </is>
      </c>
      <c r="Q1008" s="4" t="inlineStr">
        <is>
          <t>INGENIERIA</t>
        </is>
      </c>
      <c r="R1008" s="4" t="n">
        <v/>
      </c>
    </row>
    <row r="1009" ht="20" customHeight="1">
      <c r="A1009" s="6" t="inlineStr">
        <is>
          <t>78761502</t>
        </is>
      </c>
      <c r="B1009" s="7" t="inlineStr">
        <is>
          <t>PRESENCIAL REGIONAL</t>
        </is>
      </c>
      <c r="C1009" s="7" t="inlineStr">
        <is>
          <t>VICTOR FABIAN CASTRO PEREZ</t>
        </is>
      </c>
      <c r="D1009" s="7" t="inlineStr">
        <is>
          <t>OPERACIONES</t>
        </is>
      </c>
      <c r="E1009" s="7" t="inlineStr">
        <is>
          <t>REGIONAL CORDOBA</t>
        </is>
      </c>
      <c r="F1009" s="7" t="inlineStr">
        <is>
          <t>MONTERIA</t>
        </is>
      </c>
      <c r="G1009" s="7" t="inlineStr">
        <is>
          <t>PRESENCIAL</t>
        </is>
      </c>
      <c r="H1009" s="7" t="inlineStr">
        <is>
          <t>DOCENTE ASIS/N/TC/ING SISTEM/FUN.ACADE-ADMIN</t>
        </is>
      </c>
      <c r="I1009" s="7" t="inlineStr">
        <is>
          <t>INGENIERIA DE SISTEMAS</t>
        </is>
      </c>
      <c r="J1009" s="7" t="inlineStr">
        <is>
          <t>REINTEGRO</t>
        </is>
      </c>
      <c r="K1009" s="7" t="inlineStr">
        <is>
          <t>JHANNA GOMEZ</t>
        </is>
      </c>
      <c r="L1009" s="7" t="n">
        <v/>
      </c>
      <c r="M1009" s="7" t="n">
        <v/>
      </c>
      <c r="N1009" s="7" t="n">
        <v>3013050489</v>
      </c>
      <c r="O1009" s="7" t="inlineStr">
        <is>
          <t>ingvictorcastro@gmail.com</t>
        </is>
      </c>
      <c r="P1009" s="7" t="inlineStr">
        <is>
          <t>MONTERIA SEDE</t>
        </is>
      </c>
      <c r="Q1009" s="7" t="inlineStr">
        <is>
          <t>INGENIERIA</t>
        </is>
      </c>
      <c r="R1009" s="7" t="n">
        <v/>
      </c>
    </row>
    <row r="1010" ht="20" customHeight="1">
      <c r="A1010" s="3" t="inlineStr">
        <is>
          <t>1062424483</t>
        </is>
      </c>
      <c r="B1010" s="4" t="inlineStr">
        <is>
          <t>PRESENCIAL REGIONAL</t>
        </is>
      </c>
      <c r="C1010" s="4" t="inlineStr">
        <is>
          <t>WILSON JOSE LOPEZ MERCADO</t>
        </is>
      </c>
      <c r="D1010" s="4" t="inlineStr">
        <is>
          <t>OPERACIONES</t>
        </is>
      </c>
      <c r="E1010" s="4" t="inlineStr">
        <is>
          <t>REGIONAL CORDOBA</t>
        </is>
      </c>
      <c r="F1010" s="4" t="inlineStr">
        <is>
          <t>MONTERIA</t>
        </is>
      </c>
      <c r="G1010" s="4" t="inlineStr">
        <is>
          <t>PRESENCIAL</t>
        </is>
      </c>
      <c r="H1010" s="4" t="inlineStr">
        <is>
          <t>DOC AUX T&amp;T/N/TC/ING SISTEM/FUN.ACADE-ADMIN</t>
        </is>
      </c>
      <c r="I1010" s="4" t="inlineStr">
        <is>
          <t>INGENIERIA DE SISTEMAS</t>
        </is>
      </c>
      <c r="J1010" s="4" t="inlineStr">
        <is>
          <t>REINTEGRO</t>
        </is>
      </c>
      <c r="K1010" s="4" t="inlineStr">
        <is>
          <t>JHANNA GOMEZ</t>
        </is>
      </c>
      <c r="L1010" s="4" t="n">
        <v/>
      </c>
      <c r="M1010" s="4" t="n">
        <v/>
      </c>
      <c r="N1010" s="4" t="n">
        <v>3205585912</v>
      </c>
      <c r="O1010" s="4" t="inlineStr">
        <is>
          <t>wilson1lopezmercado@gmail.com</t>
        </is>
      </c>
      <c r="P1010" s="4" t="inlineStr">
        <is>
          <t>MONTERIA SEDE</t>
        </is>
      </c>
      <c r="Q1010" s="4" t="inlineStr">
        <is>
          <t>INGENIERIA</t>
        </is>
      </c>
      <c r="R1010" s="4" t="n">
        <v/>
      </c>
    </row>
    <row r="1011" ht="20" customHeight="1">
      <c r="A1011" s="6" t="inlineStr">
        <is>
          <t>14398501</t>
        </is>
      </c>
      <c r="B1011" s="7" t="inlineStr">
        <is>
          <t>PRESENCIAL REGIONAL</t>
        </is>
      </c>
      <c r="C1011" s="7" t="inlineStr">
        <is>
          <t>CARLOS EDGAR LOZANO CIFUENTES</t>
        </is>
      </c>
      <c r="D1011" s="7" t="inlineStr">
        <is>
          <t>OPERACIONES</t>
        </is>
      </c>
      <c r="E1011" s="7" t="inlineStr">
        <is>
          <t>REGIONAL TOLIMA</t>
        </is>
      </c>
      <c r="F1011" s="7" t="inlineStr">
        <is>
          <t>IBAGUÉ</t>
        </is>
      </c>
      <c r="G1011" s="7" t="inlineStr">
        <is>
          <t>PRESENCIAL</t>
        </is>
      </c>
      <c r="H1011" s="7" t="inlineStr">
        <is>
          <t>DOCENTE AUX/N/TC/ING SISTEM/FUN.ACADE-ADMIN</t>
        </is>
      </c>
      <c r="I1011" s="7" t="inlineStr">
        <is>
          <t>INGENIERIA DE SISTEMAS</t>
        </is>
      </c>
      <c r="J1011" s="7" t="inlineStr">
        <is>
          <t>REINTEGRO</t>
        </is>
      </c>
      <c r="K1011" s="7" t="inlineStr">
        <is>
          <t>JHANNA GOMEZ</t>
        </is>
      </c>
      <c r="L1011" s="7" t="n">
        <v/>
      </c>
      <c r="M1011" s="7" t="n">
        <v/>
      </c>
      <c r="N1011" s="7" t="n">
        <v>3043266787</v>
      </c>
      <c r="O1011" s="7" t="inlineStr">
        <is>
          <t>carlosedgarlozanocifentes2020@hotmail.com</t>
        </is>
      </c>
      <c r="P1011" s="7" t="inlineStr">
        <is>
          <t>IBAGUE SEDE</t>
        </is>
      </c>
      <c r="Q1011" s="7" t="inlineStr">
        <is>
          <t>INGENIERIA</t>
        </is>
      </c>
      <c r="R1011" s="7" t="n">
        <v/>
      </c>
    </row>
    <row r="1012" ht="20" customHeight="1">
      <c r="A1012" s="3" t="inlineStr">
        <is>
          <t>1076647036</t>
        </is>
      </c>
      <c r="B1012" s="4" t="inlineStr">
        <is>
          <t>PRESENCIAL BOGOTÁ</t>
        </is>
      </c>
      <c r="C1012" s="4" t="inlineStr">
        <is>
          <t>YOHANA CAROLINA OLARTE PARRA</t>
        </is>
      </c>
      <c r="D1012" s="4" t="inlineStr">
        <is>
          <t>OPERACIONES</t>
        </is>
      </c>
      <c r="E1012" s="4" t="inlineStr">
        <is>
          <t>REGIONAL BOGOTA</t>
        </is>
      </c>
      <c r="F1012" s="4" t="inlineStr">
        <is>
          <t>BOGOTA SUR</t>
        </is>
      </c>
      <c r="G1012" s="4" t="inlineStr">
        <is>
          <t>PRESENCIAL</t>
        </is>
      </c>
      <c r="H1012" s="4" t="inlineStr">
        <is>
          <t>DOCENTE AUX/N/TC/ING SISTEM/FUN.ACADE-ADMIN</t>
        </is>
      </c>
      <c r="I1012" s="4" t="inlineStr">
        <is>
          <t>INGENIERIA DE SISTEMAS</t>
        </is>
      </c>
      <c r="J1012" s="4" t="inlineStr">
        <is>
          <t>REINTEGRO</t>
        </is>
      </c>
      <c r="K1012" s="4" t="inlineStr">
        <is>
          <t>JHANNA GOMEZ</t>
        </is>
      </c>
      <c r="L1012" s="4" t="n">
        <v/>
      </c>
      <c r="M1012" s="4" t="n">
        <v/>
      </c>
      <c r="N1012" s="4" t="n">
        <v>3185191193</v>
      </c>
      <c r="O1012" s="4" t="inlineStr">
        <is>
          <t>yohana1.olarte@gmail.com</t>
        </is>
      </c>
      <c r="P1012" s="4" t="inlineStr">
        <is>
          <t>BTA SEDE G</t>
        </is>
      </c>
      <c r="Q1012" s="4" t="inlineStr">
        <is>
          <t>INGENIERIA</t>
        </is>
      </c>
      <c r="R1012" s="4" t="n">
        <v>503</v>
      </c>
    </row>
    <row r="1013" ht="20" customHeight="1">
      <c r="A1013" s="6" t="inlineStr">
        <is>
          <t>1007355745</t>
        </is>
      </c>
      <c r="B1013" s="7" t="inlineStr">
        <is>
          <t>PRESENCIAL REGIONAL</t>
        </is>
      </c>
      <c r="C1013" s="7" t="inlineStr">
        <is>
          <t>FRANZ ESTEBAN CORTES MEDINA</t>
        </is>
      </c>
      <c r="D1013" s="7" t="inlineStr">
        <is>
          <t>OPERACIONES</t>
        </is>
      </c>
      <c r="E1013" s="7" t="inlineStr">
        <is>
          <t>REGIONAL TOLIMA</t>
        </is>
      </c>
      <c r="F1013" s="7" t="inlineStr">
        <is>
          <t>IBAGUÉ</t>
        </is>
      </c>
      <c r="G1013" s="7" t="inlineStr">
        <is>
          <t>PRESENCIAL</t>
        </is>
      </c>
      <c r="H1013" s="7" t="inlineStr">
        <is>
          <t>DOC AUX T&amp;T/N/TC/ING SISTEM/FUN.ACADE-ADMIN</t>
        </is>
      </c>
      <c r="I1013" s="7" t="inlineStr">
        <is>
          <t>INGENIERIA DE SISTEMAS</t>
        </is>
      </c>
      <c r="J1013" s="7" t="inlineStr">
        <is>
          <t>REINTEGRO</t>
        </is>
      </c>
      <c r="K1013" s="7" t="inlineStr">
        <is>
          <t>JHANNA GOMEZ</t>
        </is>
      </c>
      <c r="L1013" s="7" t="n">
        <v/>
      </c>
      <c r="M1013" s="7" t="n">
        <v/>
      </c>
      <c r="N1013" s="7" t="n">
        <v>3232930395</v>
      </c>
      <c r="O1013" s="7" t="inlineStr">
        <is>
          <t>frescome2000@gmail.com</t>
        </is>
      </c>
      <c r="P1013" s="7" t="inlineStr">
        <is>
          <t>IBAGUE SEDE</t>
        </is>
      </c>
      <c r="Q1013" s="7" t="inlineStr">
        <is>
          <t>INGENIERIA</t>
        </is>
      </c>
      <c r="R1013" s="7" t="n">
        <v/>
      </c>
    </row>
    <row r="1014" ht="20" customHeight="1">
      <c r="A1014" s="3" t="inlineStr">
        <is>
          <t>1104706314</t>
        </is>
      </c>
      <c r="B1014" s="4" t="inlineStr">
        <is>
          <t>PRESENCIAL REGIONAL</t>
        </is>
      </c>
      <c r="C1014" s="4" t="inlineStr">
        <is>
          <t>DAVID ALBERTO ORTEGA CADENA</t>
        </is>
      </c>
      <c r="D1014" s="4" t="inlineStr">
        <is>
          <t>OPERACIONES</t>
        </is>
      </c>
      <c r="E1014" s="4" t="inlineStr">
        <is>
          <t>REGIONAL TOLIMA</t>
        </is>
      </c>
      <c r="F1014" s="4" t="inlineStr">
        <is>
          <t>IBAGUÉ</t>
        </is>
      </c>
      <c r="G1014" s="4" t="inlineStr">
        <is>
          <t>PRESENCIAL</t>
        </is>
      </c>
      <c r="H1014" s="4" t="inlineStr">
        <is>
          <t>DOC AUX T&amp;T/N/MT/ING SISTEM</t>
        </is>
      </c>
      <c r="I1014" s="4" t="inlineStr">
        <is>
          <t>INGENIERIA DE SISTEMAS</t>
        </is>
      </c>
      <c r="J1014" s="4" t="inlineStr">
        <is>
          <t>REINTEGRO</t>
        </is>
      </c>
      <c r="K1014" s="4" t="inlineStr">
        <is>
          <t>JHANNA GOMEZ</t>
        </is>
      </c>
      <c r="L1014" s="4" t="n">
        <v/>
      </c>
      <c r="M1014" s="4" t="n">
        <v/>
      </c>
      <c r="N1014" s="4" t="n">
        <v>3185572439</v>
      </c>
      <c r="O1014" s="4" t="inlineStr">
        <is>
          <t>davidortegacadena@gmail.com</t>
        </is>
      </c>
      <c r="P1014" s="4" t="inlineStr">
        <is>
          <t>IBAGUE SEDE</t>
        </is>
      </c>
      <c r="Q1014" s="4" t="inlineStr">
        <is>
          <t>INGENIERIA</t>
        </is>
      </c>
      <c r="R1014" s="4" t="n">
        <v/>
      </c>
    </row>
    <row r="1015" ht="20" customHeight="1">
      <c r="A1015" s="6" t="inlineStr">
        <is>
          <t>88311020</t>
        </is>
      </c>
      <c r="B1015" s="7" t="inlineStr">
        <is>
          <t>PRESENCIAL REGIONAL</t>
        </is>
      </c>
      <c r="C1015" s="7" t="inlineStr">
        <is>
          <t>GABRIEL SÁNCHEZ SUÁREZ</t>
        </is>
      </c>
      <c r="D1015" s="7" t="inlineStr">
        <is>
          <t>OPERACIONES</t>
        </is>
      </c>
      <c r="E1015" s="7" t="inlineStr">
        <is>
          <t>REGIONAL TOLIMA</t>
        </is>
      </c>
      <c r="F1015" s="7" t="inlineStr">
        <is>
          <t>IBAGUÉ</t>
        </is>
      </c>
      <c r="G1015" s="7" t="inlineStr">
        <is>
          <t>PRESENCIAL</t>
        </is>
      </c>
      <c r="H1015" s="7" t="inlineStr">
        <is>
          <t>DOC AUX T&amp;T/N/TC/ING SISTEM/FUN.ACADE-ADMIN</t>
        </is>
      </c>
      <c r="I1015" s="7" t="inlineStr">
        <is>
          <t>INGENIERIA DE SISTEMAS</t>
        </is>
      </c>
      <c r="J1015" s="7" t="inlineStr">
        <is>
          <t>REINTEGRO</t>
        </is>
      </c>
      <c r="K1015" s="7" t="inlineStr">
        <is>
          <t>JHANNA GOMEZ</t>
        </is>
      </c>
      <c r="L1015" s="7" t="n">
        <v/>
      </c>
      <c r="M1015" s="7" t="n">
        <v/>
      </c>
      <c r="N1015" s="7" t="n">
        <v>3123781522</v>
      </c>
      <c r="O1015" s="7" t="inlineStr">
        <is>
          <t>gabrielsanchezsuarez@gmail.com</t>
        </is>
      </c>
      <c r="P1015" s="7" t="inlineStr">
        <is>
          <t>IBAGUE SEDE</t>
        </is>
      </c>
      <c r="Q1015" s="7" t="inlineStr">
        <is>
          <t>INGENIERIA</t>
        </is>
      </c>
      <c r="R1015" s="7" t="n">
        <v/>
      </c>
    </row>
    <row r="1016" ht="20" customHeight="1">
      <c r="A1016" s="3" t="inlineStr">
        <is>
          <t>1102881685</t>
        </is>
      </c>
      <c r="B1016" s="4" t="inlineStr">
        <is>
          <t>PRESENCIAL REGIONAL</t>
        </is>
      </c>
      <c r="C1016" s="4" t="inlineStr">
        <is>
          <t>FABER ALEMAN MENDOZA</t>
        </is>
      </c>
      <c r="D1016" s="4" t="inlineStr">
        <is>
          <t>OPERACIONES</t>
        </is>
      </c>
      <c r="E1016" s="4" t="inlineStr">
        <is>
          <t>REGIONAL SUCRE</t>
        </is>
      </c>
      <c r="F1016" s="4" t="inlineStr">
        <is>
          <t>SINCELEJO</t>
        </is>
      </c>
      <c r="G1016" s="4" t="inlineStr">
        <is>
          <t>PRESENCIAL</t>
        </is>
      </c>
      <c r="H1016" s="4" t="inlineStr">
        <is>
          <t>DOC AUX T&amp;T/N/TC/ING SISTEM/FUN.ACADE-ADMIN</t>
        </is>
      </c>
      <c r="I1016" s="4" t="inlineStr">
        <is>
          <t>INGENIERIA DE SISTEMAS</t>
        </is>
      </c>
      <c r="J1016" s="4" t="inlineStr">
        <is>
          <t>REINTEGRO</t>
        </is>
      </c>
      <c r="K1016" s="4" t="inlineStr">
        <is>
          <t>JHANNA GOMEZ</t>
        </is>
      </c>
      <c r="L1016" s="4" t="n">
        <v/>
      </c>
      <c r="M1016" s="4" t="n">
        <v/>
      </c>
      <c r="N1016" s="4" t="n">
        <v>3002354721</v>
      </c>
      <c r="O1016" s="4" t="inlineStr">
        <is>
          <t>faber17.am@gmail.com</t>
        </is>
      </c>
      <c r="P1016" s="4" t="inlineStr">
        <is>
          <t>SINCELEJO SEDE</t>
        </is>
      </c>
      <c r="Q1016" s="4" t="inlineStr">
        <is>
          <t>INGENIERIA</t>
        </is>
      </c>
      <c r="R1016" s="4" t="n">
        <v/>
      </c>
    </row>
    <row r="1017" ht="20" customHeight="1">
      <c r="A1017" s="6" t="inlineStr">
        <is>
          <t>1039683123</t>
        </is>
      </c>
      <c r="B1017" s="7" t="inlineStr">
        <is>
          <t>PRESENCIAL REGIONAL</t>
        </is>
      </c>
      <c r="C1017" s="7" t="inlineStr">
        <is>
          <t>YENNIFER XIOMARA HERNANDEZ HIRALDO</t>
        </is>
      </c>
      <c r="D1017" s="7" t="inlineStr">
        <is>
          <t>OPERACIONES</t>
        </is>
      </c>
      <c r="E1017" s="7" t="inlineStr">
        <is>
          <t>REGIONAL TOLIMA</t>
        </is>
      </c>
      <c r="F1017" s="7" t="inlineStr">
        <is>
          <t>IBAGUÉ</t>
        </is>
      </c>
      <c r="G1017" s="7" t="inlineStr">
        <is>
          <t>PRESENCIAL</t>
        </is>
      </c>
      <c r="H1017" s="7" t="inlineStr">
        <is>
          <t>DOCENTE AUX/N/MT/ING SISTEM</t>
        </is>
      </c>
      <c r="I1017" s="7" t="inlineStr">
        <is>
          <t>INGENIERIA DE SISTEMAS</t>
        </is>
      </c>
      <c r="J1017" s="7" t="inlineStr">
        <is>
          <t>REINTEGRO</t>
        </is>
      </c>
      <c r="K1017" s="7" t="inlineStr">
        <is>
          <t>JHANNA GOMEZ</t>
        </is>
      </c>
      <c r="L1017" s="7" t="n">
        <v/>
      </c>
      <c r="M1017" s="7" t="n">
        <v/>
      </c>
      <c r="N1017" s="7" t="n">
        <v>3208672387</v>
      </c>
      <c r="O1017" s="7" t="inlineStr">
        <is>
          <t>yexiomar@gmail.com</t>
        </is>
      </c>
      <c r="P1017" s="7" t="inlineStr">
        <is>
          <t>IBAGUE SEDE</t>
        </is>
      </c>
      <c r="Q1017" s="7" t="inlineStr">
        <is>
          <t>INGENIERIA</t>
        </is>
      </c>
      <c r="R1017" s="7" t="n">
        <v/>
      </c>
    </row>
    <row r="1018" ht="20" customHeight="1">
      <c r="A1018" s="3" t="inlineStr">
        <is>
          <t>1102871755</t>
        </is>
      </c>
      <c r="B1018" s="4" t="inlineStr">
        <is>
          <t>PRESENCIAL REGIONAL</t>
        </is>
      </c>
      <c r="C1018" s="4" t="inlineStr">
        <is>
          <t>VAIRON JESUS VASQUEZ DIAZ</t>
        </is>
      </c>
      <c r="D1018" s="4" t="inlineStr">
        <is>
          <t>OPERACIONES</t>
        </is>
      </c>
      <c r="E1018" s="4" t="inlineStr">
        <is>
          <t>REGIONAL SUCRE</t>
        </is>
      </c>
      <c r="F1018" s="4" t="inlineStr">
        <is>
          <t>SINCELEJO</t>
        </is>
      </c>
      <c r="G1018" s="4" t="inlineStr">
        <is>
          <t>PRESENCIAL</t>
        </is>
      </c>
      <c r="H1018" s="4" t="inlineStr">
        <is>
          <t>DOC AUX T&amp;T/N/MT/ING SISTEM</t>
        </is>
      </c>
      <c r="I1018" s="4" t="inlineStr">
        <is>
          <t>INGENIERIA DE SISTEMAS</t>
        </is>
      </c>
      <c r="J1018" s="4" t="inlineStr">
        <is>
          <t>REINTEGRO</t>
        </is>
      </c>
      <c r="K1018" s="4" t="inlineStr">
        <is>
          <t>JHANNA GOMEZ</t>
        </is>
      </c>
      <c r="L1018" s="4" t="n">
        <v/>
      </c>
      <c r="M1018" s="4" t="n">
        <v/>
      </c>
      <c r="N1018" s="4" t="n">
        <v>3013983437</v>
      </c>
      <c r="O1018" s="4" t="inlineStr">
        <is>
          <t>VAIRONJVD@GMAIL.COM</t>
        </is>
      </c>
      <c r="P1018" s="4" t="inlineStr">
        <is>
          <t>SINCELEJO SEDE</t>
        </is>
      </c>
      <c r="Q1018" s="4" t="inlineStr">
        <is>
          <t>INGENIERIA</t>
        </is>
      </c>
      <c r="R1018" s="4" t="n">
        <v/>
      </c>
    </row>
    <row r="1019" ht="20" customHeight="1">
      <c r="A1019" s="6" t="inlineStr">
        <is>
          <t>1102849953</t>
        </is>
      </c>
      <c r="B1019" s="7" t="inlineStr">
        <is>
          <t>PRESENCIAL REGIONAL</t>
        </is>
      </c>
      <c r="C1019" s="7" t="inlineStr">
        <is>
          <t>YESID DE JESUS SUAREZ PATERNINA</t>
        </is>
      </c>
      <c r="D1019" s="7" t="inlineStr">
        <is>
          <t>OPERACIONES</t>
        </is>
      </c>
      <c r="E1019" s="7" t="inlineStr">
        <is>
          <t>REGIONAL SUCRE</t>
        </is>
      </c>
      <c r="F1019" s="7" t="inlineStr">
        <is>
          <t>SINCELEJO</t>
        </is>
      </c>
      <c r="G1019" s="7" t="inlineStr">
        <is>
          <t>PRESENCIAL</t>
        </is>
      </c>
      <c r="H1019" s="7" t="inlineStr">
        <is>
          <t>DOCENTE AUX/N/MT/ING SISTEM</t>
        </is>
      </c>
      <c r="I1019" s="7" t="inlineStr">
        <is>
          <t>INGENIERIA DE SISTEMAS</t>
        </is>
      </c>
      <c r="J1019" s="7" t="inlineStr">
        <is>
          <t>REINTEGRO</t>
        </is>
      </c>
      <c r="K1019" s="7" t="inlineStr">
        <is>
          <t>JHANNA GOMEZ</t>
        </is>
      </c>
      <c r="L1019" s="7" t="n">
        <v/>
      </c>
      <c r="M1019" s="7" t="n">
        <v/>
      </c>
      <c r="N1019" s="7" t="n">
        <v>3007549711</v>
      </c>
      <c r="O1019" s="7" t="inlineStr">
        <is>
          <t>yesid.suarezp7@gmail.com</t>
        </is>
      </c>
      <c r="P1019" s="7" t="inlineStr">
        <is>
          <t>SINCELEJO SEDE</t>
        </is>
      </c>
      <c r="Q1019" s="7" t="inlineStr">
        <is>
          <t>INGENIERIA</t>
        </is>
      </c>
      <c r="R1019" s="7" t="n">
        <v/>
      </c>
    </row>
    <row r="1020" ht="20" customHeight="1">
      <c r="A1020" s="3" t="inlineStr">
        <is>
          <t>79873426</t>
        </is>
      </c>
      <c r="B1020" s="4" t="inlineStr">
        <is>
          <t>PRESENCIAL BOGOTÁ</t>
        </is>
      </c>
      <c r="C1020" s="4" t="inlineStr">
        <is>
          <t>HERBERT ANDRES PARDO MURCIA</t>
        </is>
      </c>
      <c r="D1020" s="4" t="inlineStr">
        <is>
          <t>OPERACIONES</t>
        </is>
      </c>
      <c r="E1020" s="4" t="inlineStr">
        <is>
          <t>REGIONAL BOGOTA</t>
        </is>
      </c>
      <c r="F1020" s="4" t="inlineStr">
        <is>
          <t>BOGOTA CENTRO</t>
        </is>
      </c>
      <c r="G1020" s="4" t="inlineStr">
        <is>
          <t>PRESENCIAL</t>
        </is>
      </c>
      <c r="H1020" s="4" t="inlineStr">
        <is>
          <t>DOC AUX T&amp;T/N/MT/ING SISTEM</t>
        </is>
      </c>
      <c r="I1020" s="4" t="inlineStr">
        <is>
          <t>INGENIERIA DE SISTEMAS</t>
        </is>
      </c>
      <c r="J1020" s="4" t="inlineStr">
        <is>
          <t>REINTEGRO</t>
        </is>
      </c>
      <c r="K1020" s="4" t="inlineStr">
        <is>
          <t>JHANNA GOMEZ</t>
        </is>
      </c>
      <c r="L1020" s="4" t="n">
        <v/>
      </c>
      <c r="M1020" s="4" t="n">
        <v/>
      </c>
      <c r="N1020" s="4" t="n">
        <v>3105880187</v>
      </c>
      <c r="O1020" s="4" t="inlineStr">
        <is>
          <t>andrespardo5@gmail.com</t>
        </is>
      </c>
      <c r="P1020" s="4" t="inlineStr">
        <is>
          <t>BTA SEDE G</t>
        </is>
      </c>
      <c r="Q1020" s="4" t="inlineStr">
        <is>
          <t>INGENIERIA</t>
        </is>
      </c>
      <c r="R1020" s="4" t="n">
        <v>503</v>
      </c>
    </row>
    <row r="1021" ht="20" customHeight="1">
      <c r="A1021" s="6" t="inlineStr">
        <is>
          <t>1063137379</t>
        </is>
      </c>
      <c r="B1021" s="7" t="inlineStr">
        <is>
          <t>PRESENCIAL REGIONAL</t>
        </is>
      </c>
      <c r="C1021" s="7" t="inlineStr">
        <is>
          <t>ENRIQUE MANUEL MORA NEGRETE</t>
        </is>
      </c>
      <c r="D1021" s="7" t="inlineStr">
        <is>
          <t>OPERACIONES</t>
        </is>
      </c>
      <c r="E1021" s="7" t="inlineStr">
        <is>
          <t>REGIONAL CORDOBA</t>
        </is>
      </c>
      <c r="F1021" s="7" t="inlineStr">
        <is>
          <t>MONTERIA</t>
        </is>
      </c>
      <c r="G1021" s="7" t="inlineStr">
        <is>
          <t>PRESENCIAL</t>
        </is>
      </c>
      <c r="H1021" s="7" t="inlineStr">
        <is>
          <t>DOC AUX T&amp;T/N/TC/ING SISTEM/FUN.ACADE-ADMIN</t>
        </is>
      </c>
      <c r="I1021" s="7" t="inlineStr">
        <is>
          <t>INGENIERIA DE SISTEMAS</t>
        </is>
      </c>
      <c r="J1021" s="7" t="inlineStr">
        <is>
          <t>REINTEGRO</t>
        </is>
      </c>
      <c r="K1021" s="7" t="inlineStr">
        <is>
          <t>JHANNA GOMEZ</t>
        </is>
      </c>
      <c r="L1021" s="7" t="n">
        <v/>
      </c>
      <c r="M1021" s="7" t="n">
        <v/>
      </c>
      <c r="N1021" s="7" t="n">
        <v>3214833073</v>
      </c>
      <c r="O1021" s="7" t="inlineStr">
        <is>
          <t>enmone27@gmail.com</t>
        </is>
      </c>
      <c r="P1021" s="7" t="inlineStr">
        <is>
          <t>MONTERIA SEDE</t>
        </is>
      </c>
      <c r="Q1021" s="7" t="inlineStr">
        <is>
          <t>INGENIERIA</t>
        </is>
      </c>
      <c r="R1021" s="7" t="n">
        <v/>
      </c>
    </row>
    <row r="1022" ht="20" customHeight="1">
      <c r="A1022" s="3" t="inlineStr">
        <is>
          <t>1010054822</t>
        </is>
      </c>
      <c r="B1022" s="4" t="inlineStr">
        <is>
          <t>PRESENCIAL REGIONAL</t>
        </is>
      </c>
      <c r="C1022" s="4" t="inlineStr">
        <is>
          <t>JASSER LENEY BLANCO MOGOLLON</t>
        </is>
      </c>
      <c r="D1022" s="4" t="inlineStr">
        <is>
          <t>OPERACIONES</t>
        </is>
      </c>
      <c r="E1022" s="4" t="inlineStr">
        <is>
          <t>REGIONAL SUCRE</t>
        </is>
      </c>
      <c r="F1022" s="4" t="inlineStr">
        <is>
          <t>SINCELEJO</t>
        </is>
      </c>
      <c r="G1022" s="4" t="inlineStr">
        <is>
          <t>PRESENCIAL</t>
        </is>
      </c>
      <c r="H1022" s="4" t="inlineStr">
        <is>
          <t>DOC AUX T&amp;T/N/MT/ING SISTEM</t>
        </is>
      </c>
      <c r="I1022" s="4" t="inlineStr">
        <is>
          <t>INGENIERIA DE SISTEMAS</t>
        </is>
      </c>
      <c r="J1022" s="4" t="inlineStr">
        <is>
          <t>REINTEGRO</t>
        </is>
      </c>
      <c r="K1022" s="4" t="inlineStr">
        <is>
          <t>JHANNA GOMEZ</t>
        </is>
      </c>
      <c r="L1022" s="4" t="n">
        <v/>
      </c>
      <c r="M1022" s="4" t="n">
        <v/>
      </c>
      <c r="N1022" s="4" t="n">
        <v>3196353431</v>
      </c>
      <c r="O1022" s="4" t="inlineStr">
        <is>
          <t>yaser.keny@gmail.com</t>
        </is>
      </c>
      <c r="P1022" s="4" t="inlineStr">
        <is>
          <t>SINCELEJO SEDE</t>
        </is>
      </c>
      <c r="Q1022" s="4" t="inlineStr">
        <is>
          <t>INGENIERIA</t>
        </is>
      </c>
      <c r="R1022" s="4" t="n">
        <v/>
      </c>
    </row>
    <row r="1023" ht="20" customHeight="1">
      <c r="A1023" s="6" t="inlineStr">
        <is>
          <t>53044416</t>
        </is>
      </c>
      <c r="B1023" s="7" t="inlineStr">
        <is>
          <t>PRESENCIAL BOGOTÁ</t>
        </is>
      </c>
      <c r="C1023" s="7" t="inlineStr">
        <is>
          <t>JENNY ALEXANDRA ROA FERNANDEZ</t>
        </is>
      </c>
      <c r="D1023" s="7" t="inlineStr">
        <is>
          <t>OPERACIONES</t>
        </is>
      </c>
      <c r="E1023" s="7" t="inlineStr">
        <is>
          <t>REGIONAL BOGOTA</t>
        </is>
      </c>
      <c r="F1023" s="7" t="inlineStr">
        <is>
          <t>BOGOTA CENTRO</t>
        </is>
      </c>
      <c r="G1023" s="7" t="inlineStr">
        <is>
          <t>PRESENCIAL</t>
        </is>
      </c>
      <c r="H1023" s="7" t="inlineStr">
        <is>
          <t>DOCENTE AUX/N/MT/ING SISTEM</t>
        </is>
      </c>
      <c r="I1023" s="7" t="inlineStr">
        <is>
          <t>INGENIERIA DE SISTEMAS</t>
        </is>
      </c>
      <c r="J1023" s="7" t="inlineStr">
        <is>
          <t>REINTEGRO</t>
        </is>
      </c>
      <c r="K1023" s="7" t="inlineStr">
        <is>
          <t>JHANNA GOMEZ</t>
        </is>
      </c>
      <c r="L1023" s="7" t="inlineStr">
        <is>
          <t>CONFIRMADO PRESENCIAL</t>
        </is>
      </c>
      <c r="M1023" s="7" t="n">
        <v/>
      </c>
      <c r="N1023" s="7" t="n">
        <v>3112959326</v>
      </c>
      <c r="O1023" s="7" t="inlineStr">
        <is>
          <t>ROAALEXANDRA@HOTMAIL.COM</t>
        </is>
      </c>
      <c r="P1023" s="7" t="inlineStr">
        <is>
          <t>BTA SEDE G</t>
        </is>
      </c>
      <c r="Q1023" s="7" t="inlineStr">
        <is>
          <t>INGENIERIA</t>
        </is>
      </c>
      <c r="R1023" s="7" t="n">
        <v>503</v>
      </c>
    </row>
    <row r="1024" ht="20" customHeight="1">
      <c r="A1024" s="3" t="inlineStr">
        <is>
          <t>1103107342</t>
        </is>
      </c>
      <c r="B1024" s="4" t="inlineStr">
        <is>
          <t>PRESENCIAL REGIONAL</t>
        </is>
      </c>
      <c r="C1024" s="4" t="inlineStr">
        <is>
          <t>LIZETH CANDELARIA PATERNINA PEREZ</t>
        </is>
      </c>
      <c r="D1024" s="4" t="inlineStr">
        <is>
          <t>OPERACIONES</t>
        </is>
      </c>
      <c r="E1024" s="4" t="inlineStr">
        <is>
          <t>REGIONAL SUCRE</t>
        </is>
      </c>
      <c r="F1024" s="4" t="inlineStr">
        <is>
          <t>SINCELEJO</t>
        </is>
      </c>
      <c r="G1024" s="4" t="inlineStr">
        <is>
          <t>PRESENCIAL</t>
        </is>
      </c>
      <c r="H1024" s="4" t="inlineStr">
        <is>
          <t>DOCENTE ASIS/N/MT/ING SISTEM</t>
        </is>
      </c>
      <c r="I1024" s="4" t="inlineStr">
        <is>
          <t>INGENIERIA DE SISTEMAS</t>
        </is>
      </c>
      <c r="J1024" s="4" t="inlineStr">
        <is>
          <t>REINTEGRO</t>
        </is>
      </c>
      <c r="K1024" s="4" t="inlineStr">
        <is>
          <t>JHANNA GOMEZ</t>
        </is>
      </c>
      <c r="L1024" s="4" t="n">
        <v/>
      </c>
      <c r="M1024" s="4" t="n">
        <v/>
      </c>
      <c r="N1024" s="4" t="n">
        <v>3014946655</v>
      </c>
      <c r="O1024" s="4" t="inlineStr">
        <is>
          <t>LISETHPATERNINA@OUTLOOK.COM</t>
        </is>
      </c>
      <c r="P1024" s="4" t="inlineStr">
        <is>
          <t>SINCELEJO SEDE</t>
        </is>
      </c>
      <c r="Q1024" s="4" t="inlineStr">
        <is>
          <t>INGENIERIA</t>
        </is>
      </c>
      <c r="R1024" s="4" t="n">
        <v/>
      </c>
    </row>
    <row r="1025" ht="20" customHeight="1">
      <c r="A1025" s="6" t="inlineStr">
        <is>
          <t>1020773350</t>
        </is>
      </c>
      <c r="B1025" s="7" t="inlineStr">
        <is>
          <t>PRESENCIAL BOGOTÁ</t>
        </is>
      </c>
      <c r="C1025" s="7" t="inlineStr">
        <is>
          <t>JUAN CAMILO ANDRADE PLAZAS</t>
        </is>
      </c>
      <c r="D1025" s="7" t="inlineStr">
        <is>
          <t>OPERACIONES</t>
        </is>
      </c>
      <c r="E1025" s="7" t="inlineStr">
        <is>
          <t>REGIONAL BOGOTA</t>
        </is>
      </c>
      <c r="F1025" s="7" t="inlineStr">
        <is>
          <t>BOGOTA CENTRO</t>
        </is>
      </c>
      <c r="G1025" s="7" t="inlineStr">
        <is>
          <t>PRESENCIAL</t>
        </is>
      </c>
      <c r="H1025" s="7" t="inlineStr">
        <is>
          <t>DOC AUX T&amp;T/N/TC/ING SISTEM/FUN.ACADE-ADMIN</t>
        </is>
      </c>
      <c r="I1025" s="7" t="inlineStr">
        <is>
          <t>INGENIERIA DE SISTEMAS</t>
        </is>
      </c>
      <c r="J1025" s="7" t="inlineStr">
        <is>
          <t>REINTEGRO</t>
        </is>
      </c>
      <c r="K1025" s="7" t="inlineStr">
        <is>
          <t>JHANNA GOMEZ</t>
        </is>
      </c>
      <c r="L1025" s="7" t="inlineStr">
        <is>
          <t>CONFIRMADO PRESENCIAL</t>
        </is>
      </c>
      <c r="M1025" s="7" t="n">
        <v/>
      </c>
      <c r="N1025" s="7" t="n">
        <v>3156165943</v>
      </c>
      <c r="O1025" s="7" t="inlineStr">
        <is>
          <t>mrcahz1992@gmail.com</t>
        </is>
      </c>
      <c r="P1025" s="7" t="inlineStr">
        <is>
          <t>BTA SEDE G</t>
        </is>
      </c>
      <c r="Q1025" s="7" t="inlineStr">
        <is>
          <t>INGENIERIA</t>
        </is>
      </c>
      <c r="R1025" s="7" t="n">
        <v>503</v>
      </c>
    </row>
    <row r="1026" ht="20" customHeight="1">
      <c r="A1026" s="3" t="inlineStr">
        <is>
          <t>1102873401</t>
        </is>
      </c>
      <c r="B1026" s="4" t="inlineStr">
        <is>
          <t>PRESENCIAL REGIONAL</t>
        </is>
      </c>
      <c r="C1026" s="4" t="inlineStr">
        <is>
          <t>NEMIS EDUARDO PADILLA OLIVEROS</t>
        </is>
      </c>
      <c r="D1026" s="4" t="inlineStr">
        <is>
          <t>OPERACIONES</t>
        </is>
      </c>
      <c r="E1026" s="4" t="inlineStr">
        <is>
          <t>REGIONAL SUCRE</t>
        </is>
      </c>
      <c r="F1026" s="4" t="inlineStr">
        <is>
          <t>SINCELEJO</t>
        </is>
      </c>
      <c r="G1026" s="4" t="inlineStr">
        <is>
          <t>PRESENCIAL</t>
        </is>
      </c>
      <c r="H1026" s="4" t="inlineStr">
        <is>
          <t>DOCENTE ASIS/N/MT/ING SISTEM</t>
        </is>
      </c>
      <c r="I1026" s="4" t="inlineStr">
        <is>
          <t>INGENIERIA DE SISTEMAS</t>
        </is>
      </c>
      <c r="J1026" s="4" t="inlineStr">
        <is>
          <t>REINTEGRO</t>
        </is>
      </c>
      <c r="K1026" s="4" t="inlineStr">
        <is>
          <t>JHANNA GOMEZ</t>
        </is>
      </c>
      <c r="L1026" s="4" t="n">
        <v/>
      </c>
      <c r="M1026" s="4" t="n">
        <v/>
      </c>
      <c r="N1026" s="4" t="n">
        <v>3148511901</v>
      </c>
      <c r="O1026" s="4" t="inlineStr">
        <is>
          <t>NEMIS.PADILLA@GMAIL.COM</t>
        </is>
      </c>
      <c r="P1026" s="4" t="inlineStr">
        <is>
          <t>SINCELEJO SEDE</t>
        </is>
      </c>
      <c r="Q1026" s="4" t="inlineStr">
        <is>
          <t>INGENIERIA</t>
        </is>
      </c>
      <c r="R1026" s="4" t="n">
        <v/>
      </c>
    </row>
    <row r="1027" ht="20" customHeight="1">
      <c r="A1027" s="6" t="inlineStr">
        <is>
          <t>1233504005</t>
        </is>
      </c>
      <c r="B1027" s="7" t="inlineStr">
        <is>
          <t>PRESENCIAL BOGOTÁ</t>
        </is>
      </c>
      <c r="C1027" s="7" t="inlineStr">
        <is>
          <t>BRAYAN SANTIAGO BUITRAGO MURILLO</t>
        </is>
      </c>
      <c r="D1027" s="7" t="inlineStr">
        <is>
          <t>OPERACIONES</t>
        </is>
      </c>
      <c r="E1027" s="7" t="inlineStr">
        <is>
          <t>REGIONAL BOGOTA</t>
        </is>
      </c>
      <c r="F1027" s="7" t="inlineStr">
        <is>
          <t>BOGOTA CENTRO</t>
        </is>
      </c>
      <c r="G1027" s="7" t="inlineStr">
        <is>
          <t>PRESENCIAL</t>
        </is>
      </c>
      <c r="H1027" s="7" t="inlineStr">
        <is>
          <t>DOC AUX T&amp;T/N/MT/ING SISTEM</t>
        </is>
      </c>
      <c r="I1027" s="7" t="inlineStr">
        <is>
          <t>INGENIERIA DE SISTEMAS</t>
        </is>
      </c>
      <c r="J1027" s="7" t="inlineStr">
        <is>
          <t>REINTEGRO</t>
        </is>
      </c>
      <c r="K1027" s="7" t="inlineStr">
        <is>
          <t>JHANNA GOMEZ</t>
        </is>
      </c>
      <c r="L1027" s="7" t="inlineStr">
        <is>
          <t>CONFIRMADO PRESENCIAL</t>
        </is>
      </c>
      <c r="M1027" s="7" t="n">
        <v/>
      </c>
      <c r="N1027" s="7" t="n">
        <v>3134551324</v>
      </c>
      <c r="O1027" s="7" t="inlineStr">
        <is>
          <t>INSANTIAGOBUITRAGO@OUTLOOK.COM</t>
        </is>
      </c>
      <c r="P1027" s="7" t="inlineStr">
        <is>
          <t>BTA SEDE G</t>
        </is>
      </c>
      <c r="Q1027" s="7" t="inlineStr">
        <is>
          <t>INGENIERIA</t>
        </is>
      </c>
      <c r="R1027" s="7" t="n">
        <v>503</v>
      </c>
    </row>
    <row r="1028" ht="20" customHeight="1">
      <c r="A1028" s="3" t="inlineStr">
        <is>
          <t>1074134476</t>
        </is>
      </c>
      <c r="B1028" s="4" t="inlineStr">
        <is>
          <t>PRESENCIAL BOGOTÁ</t>
        </is>
      </c>
      <c r="C1028" s="4" t="inlineStr">
        <is>
          <t>JULIAN CAMILO CLAVIJO CASTRO</t>
        </is>
      </c>
      <c r="D1028" s="4" t="inlineStr">
        <is>
          <t>OPERACIONES</t>
        </is>
      </c>
      <c r="E1028" s="4" t="inlineStr">
        <is>
          <t>REGIONAL BOGOTA</t>
        </is>
      </c>
      <c r="F1028" s="4" t="inlineStr">
        <is>
          <t>BOGOTA CENTRO</t>
        </is>
      </c>
      <c r="G1028" s="4" t="inlineStr">
        <is>
          <t>PRESENCIAL</t>
        </is>
      </c>
      <c r="H1028" s="4" t="inlineStr">
        <is>
          <t>DOC AUX T&amp;T/N/MT/ING SISTEM</t>
        </is>
      </c>
      <c r="I1028" s="4" t="inlineStr">
        <is>
          <t>INGENIERIA DE SISTEMAS</t>
        </is>
      </c>
      <c r="J1028" s="4" t="inlineStr">
        <is>
          <t>REINTEGRO</t>
        </is>
      </c>
      <c r="K1028" s="4" t="inlineStr">
        <is>
          <t>JHANNA GOMEZ</t>
        </is>
      </c>
      <c r="L1028" s="4" t="n">
        <v/>
      </c>
      <c r="M1028" s="4" t="n">
        <v/>
      </c>
      <c r="N1028" s="4" t="n">
        <v>3044523862</v>
      </c>
      <c r="O1028" s="4" t="inlineStr">
        <is>
          <t>julianclavijocastro@hotmail.com</t>
        </is>
      </c>
      <c r="P1028" s="4" t="inlineStr">
        <is>
          <t>BTA SEDE G</t>
        </is>
      </c>
      <c r="Q1028" s="4" t="inlineStr">
        <is>
          <t>INGENIERIA</t>
        </is>
      </c>
      <c r="R1028" s="4" t="n">
        <v>503</v>
      </c>
    </row>
    <row r="1029" ht="20" customHeight="1">
      <c r="A1029" s="6" t="inlineStr">
        <is>
          <t>5820761</t>
        </is>
      </c>
      <c r="B1029" s="7" t="inlineStr">
        <is>
          <t>PRESENCIAL REGIONAL</t>
        </is>
      </c>
      <c r="C1029" s="7" t="inlineStr">
        <is>
          <t>GERMAN EDUARDO RAMIREZ RODRIGUEZ</t>
        </is>
      </c>
      <c r="D1029" s="7" t="inlineStr">
        <is>
          <t>OPERACIONES</t>
        </is>
      </c>
      <c r="E1029" s="7" t="inlineStr">
        <is>
          <t>REGIONAL TOLIMA</t>
        </is>
      </c>
      <c r="F1029" s="7" t="inlineStr">
        <is>
          <t>IBAGUÉ</t>
        </is>
      </c>
      <c r="G1029" s="7" t="inlineStr">
        <is>
          <t>PRESENCIAL</t>
        </is>
      </c>
      <c r="H1029" s="7" t="inlineStr">
        <is>
          <t>DOCENTE AUX/N/MT/ING SISTEM</t>
        </is>
      </c>
      <c r="I1029" s="7" t="inlineStr">
        <is>
          <t>INGENIERIA DE SISTEMAS</t>
        </is>
      </c>
      <c r="J1029" s="7" t="inlineStr">
        <is>
          <t>REINTEGRO</t>
        </is>
      </c>
      <c r="K1029" s="7" t="inlineStr">
        <is>
          <t>JHANNA GOMEZ</t>
        </is>
      </c>
      <c r="L1029" s="7" t="n">
        <v/>
      </c>
      <c r="M1029" s="7" t="n">
        <v/>
      </c>
      <c r="N1029" s="7" t="n">
        <v>3144575984</v>
      </c>
      <c r="O1029" s="7" t="inlineStr">
        <is>
          <t>ingeduramirez@gmail.com</t>
        </is>
      </c>
      <c r="P1029" s="7" t="inlineStr">
        <is>
          <t>IBAGUE SEDE</t>
        </is>
      </c>
      <c r="Q1029" s="7" t="inlineStr">
        <is>
          <t>INGENIERIA</t>
        </is>
      </c>
      <c r="R1029" s="7" t="n">
        <v/>
      </c>
    </row>
    <row r="1030" ht="20" customHeight="1">
      <c r="A1030" s="3" t="inlineStr">
        <is>
          <t>80141029</t>
        </is>
      </c>
      <c r="B1030" s="4" t="inlineStr">
        <is>
          <t>PRESENCIAL BOGOTÁ</t>
        </is>
      </c>
      <c r="C1030" s="4" t="inlineStr">
        <is>
          <t>WALTER EDGARDO GARZON HERNANDEZ</t>
        </is>
      </c>
      <c r="D1030" s="4" t="inlineStr">
        <is>
          <t>OPERACIONES</t>
        </is>
      </c>
      <c r="E1030" s="4" t="inlineStr">
        <is>
          <t>REGIONAL BOGOTA</t>
        </is>
      </c>
      <c r="F1030" s="4" t="inlineStr">
        <is>
          <t>BOGOTA SUBA</t>
        </is>
      </c>
      <c r="G1030" s="4" t="inlineStr">
        <is>
          <t>PRESENCIAL</t>
        </is>
      </c>
      <c r="H1030" s="4" t="inlineStr">
        <is>
          <t>DOC AUX T&amp;T/N/MT/ING SISTEM</t>
        </is>
      </c>
      <c r="I1030" s="4" t="inlineStr">
        <is>
          <t>INGENIERIA DE SISTEMAS</t>
        </is>
      </c>
      <c r="J1030" s="4" t="inlineStr">
        <is>
          <t>REINTEGRO</t>
        </is>
      </c>
      <c r="K1030" s="4" t="inlineStr">
        <is>
          <t>JHANNA GOMEZ</t>
        </is>
      </c>
      <c r="L1030" s="4" t="n">
        <v/>
      </c>
      <c r="M1030" s="4" t="n">
        <v/>
      </c>
      <c r="N1030" s="4" t="n">
        <v>3103387601</v>
      </c>
      <c r="O1030" s="4" t="inlineStr">
        <is>
          <t>walgar23@hotmail.com</t>
        </is>
      </c>
      <c r="P1030" s="4" t="inlineStr">
        <is>
          <t>BTA SEDE SUBA</t>
        </is>
      </c>
      <c r="Q1030" s="4" t="inlineStr">
        <is>
          <t>INGENIERIA</t>
        </is>
      </c>
      <c r="R1030" s="4" t="n">
        <v>503</v>
      </c>
    </row>
    <row r="1031" ht="20" customHeight="1">
      <c r="A1031" s="6" t="inlineStr">
        <is>
          <t>7843437</t>
        </is>
      </c>
      <c r="B1031" s="7" t="inlineStr">
        <is>
          <t>PRESENCIAL BOGOTÁ</t>
        </is>
      </c>
      <c r="C1031" s="7" t="inlineStr">
        <is>
          <t>SHESMAN ALEXANDER MURCIA GARCIA</t>
        </is>
      </c>
      <c r="D1031" s="7" t="inlineStr">
        <is>
          <t>OPERACIONES</t>
        </is>
      </c>
      <c r="E1031" s="7" t="inlineStr">
        <is>
          <t>REGIONAL BOGOTA</t>
        </is>
      </c>
      <c r="F1031" s="7" t="inlineStr">
        <is>
          <t>BOGOTA CENTRO</t>
        </is>
      </c>
      <c r="G1031" s="7" t="inlineStr">
        <is>
          <t>PRESENCIAL</t>
        </is>
      </c>
      <c r="H1031" s="7" t="inlineStr">
        <is>
          <t>DOC AUX T&amp;T/N/MT/ING SISTEM</t>
        </is>
      </c>
      <c r="I1031" s="7" t="inlineStr">
        <is>
          <t>INGENIERIA DE SISTEMAS</t>
        </is>
      </c>
      <c r="J1031" s="7" t="inlineStr">
        <is>
          <t>REINTEGRO</t>
        </is>
      </c>
      <c r="K1031" s="7" t="inlineStr">
        <is>
          <t>JHANNA GOMEZ</t>
        </is>
      </c>
      <c r="L1031" s="7" t="n">
        <v/>
      </c>
      <c r="M1031" s="7" t="n">
        <v/>
      </c>
      <c r="N1031" s="7" t="n">
        <v>3133557830</v>
      </c>
      <c r="O1031" s="7" t="inlineStr">
        <is>
          <t>pyrophorussolutions@gmail.com</t>
        </is>
      </c>
      <c r="P1031" s="7" t="inlineStr">
        <is>
          <t>BTA SEDE G</t>
        </is>
      </c>
      <c r="Q1031" s="7" t="inlineStr">
        <is>
          <t>INGENIERIA</t>
        </is>
      </c>
      <c r="R1031" s="7" t="n">
        <v>503</v>
      </c>
    </row>
    <row r="1032" ht="20" customHeight="1">
      <c r="A1032" s="3" t="inlineStr">
        <is>
          <t>79999330</t>
        </is>
      </c>
      <c r="B1032" s="4" t="inlineStr">
        <is>
          <t>PRESENCIAL BOGOTÁ</t>
        </is>
      </c>
      <c r="C1032" s="4" t="inlineStr">
        <is>
          <t>LUIS ENRIQUE ARIAS CHAVARRO</t>
        </is>
      </c>
      <c r="D1032" s="4" t="inlineStr">
        <is>
          <t>OPERACIONES</t>
        </is>
      </c>
      <c r="E1032" s="4" t="inlineStr">
        <is>
          <t>REGIONAL BOGOTA</t>
        </is>
      </c>
      <c r="F1032" s="4" t="inlineStr">
        <is>
          <t>BOGOTA CENTRO</t>
        </is>
      </c>
      <c r="G1032" s="4" t="inlineStr">
        <is>
          <t>PRESENCIAL</t>
        </is>
      </c>
      <c r="H1032" s="4" t="inlineStr">
        <is>
          <t>DOC AUX T&amp;T/N/MT/ING SISTEM</t>
        </is>
      </c>
      <c r="I1032" s="4" t="inlineStr">
        <is>
          <t>INGENIERIA DE SISTEMAS</t>
        </is>
      </c>
      <c r="J1032" s="4" t="inlineStr">
        <is>
          <t>REINTEGRO</t>
        </is>
      </c>
      <c r="K1032" s="4" t="inlineStr">
        <is>
          <t>JHANNA GOMEZ</t>
        </is>
      </c>
      <c r="L1032" s="4" t="n">
        <v/>
      </c>
      <c r="M1032" s="4" t="n">
        <v/>
      </c>
      <c r="N1032" s="4" t="n">
        <v>3224006233</v>
      </c>
      <c r="O1032" s="4" t="inlineStr">
        <is>
          <t>ariaschavarro@gmail.com</t>
        </is>
      </c>
      <c r="P1032" s="4" t="inlineStr">
        <is>
          <t>BTA SEDE G</t>
        </is>
      </c>
      <c r="Q1032" s="4" t="inlineStr">
        <is>
          <t>INGENIERIA</t>
        </is>
      </c>
      <c r="R1032" s="4" t="n">
        <v>503</v>
      </c>
    </row>
    <row r="1033" ht="20" customHeight="1">
      <c r="A1033" s="6" t="inlineStr">
        <is>
          <t>80397161</t>
        </is>
      </c>
      <c r="B1033" s="7" t="inlineStr">
        <is>
          <t>PRESENCIAL BOGOTÁ</t>
        </is>
      </c>
      <c r="C1033" s="7" t="inlineStr">
        <is>
          <t>VICTOR MANUEL CASTRO GALVIS</t>
        </is>
      </c>
      <c r="D1033" s="7" t="inlineStr">
        <is>
          <t>OPERACIONES</t>
        </is>
      </c>
      <c r="E1033" s="7" t="inlineStr">
        <is>
          <t>REGIONAL BOGOTA</t>
        </is>
      </c>
      <c r="F1033" s="7" t="inlineStr">
        <is>
          <t>BOGOTA CENTRO</t>
        </is>
      </c>
      <c r="G1033" s="7" t="inlineStr">
        <is>
          <t>PRESENCIAL</t>
        </is>
      </c>
      <c r="H1033" s="7" t="inlineStr">
        <is>
          <t>DOC AUX T&amp;T/N/MT/ING SISTEM</t>
        </is>
      </c>
      <c r="I1033" s="7" t="inlineStr">
        <is>
          <t>INGENIERIA DE SISTEMAS</t>
        </is>
      </c>
      <c r="J1033" s="7" t="inlineStr">
        <is>
          <t>REINTEGRO</t>
        </is>
      </c>
      <c r="K1033" s="7" t="inlineStr">
        <is>
          <t>JHANNA GOMEZ</t>
        </is>
      </c>
      <c r="L1033" s="7" t="n">
        <v/>
      </c>
      <c r="M1033" s="7" t="n">
        <v/>
      </c>
      <c r="N1033" s="7" t="n">
        <v>3124771090</v>
      </c>
      <c r="O1033" s="7" t="inlineStr">
        <is>
          <t>VMCASTRO09@GMAIL.COM</t>
        </is>
      </c>
      <c r="P1033" s="7" t="inlineStr">
        <is>
          <t>BTA SEDE A</t>
        </is>
      </c>
      <c r="Q1033" s="7" t="inlineStr">
        <is>
          <t>INGENIERIA</t>
        </is>
      </c>
      <c r="R1033" s="7" t="n">
        <v>503</v>
      </c>
    </row>
    <row r="1034" ht="20" customHeight="1">
      <c r="A1034" s="3" t="inlineStr">
        <is>
          <t>80092690</t>
        </is>
      </c>
      <c r="B1034" s="4" t="inlineStr">
        <is>
          <t>PRESENCIAL BOGOTÁ</t>
        </is>
      </c>
      <c r="C1034" s="4" t="inlineStr">
        <is>
          <t>EDUWIN LEONARDO PARRA SANTOS</t>
        </is>
      </c>
      <c r="D1034" s="4" t="inlineStr">
        <is>
          <t>OPERACIONES</t>
        </is>
      </c>
      <c r="E1034" s="4" t="inlineStr">
        <is>
          <t>REGIONAL BOGOTA</t>
        </is>
      </c>
      <c r="F1034" s="4" t="inlineStr">
        <is>
          <t>BOGOTA CENTRO</t>
        </is>
      </c>
      <c r="G1034" s="4" t="inlineStr">
        <is>
          <t>PRESENCIAL</t>
        </is>
      </c>
      <c r="H1034" s="4" t="inlineStr">
        <is>
          <t>DOCENTE ASIS/N/TC/ING ELECTRO/FUN.ACADE-ADMIN</t>
        </is>
      </c>
      <c r="I1034" s="4" t="inlineStr">
        <is>
          <t>INGENIERIA ELECTRONICA</t>
        </is>
      </c>
      <c r="J1034" s="4" t="inlineStr">
        <is>
          <t>REINTEGRO</t>
        </is>
      </c>
      <c r="K1034" s="4" t="inlineStr">
        <is>
          <t>JHANNA GOMEZ</t>
        </is>
      </c>
      <c r="L1034" s="4" t="n">
        <v/>
      </c>
      <c r="M1034" s="4" t="n">
        <v/>
      </c>
      <c r="N1034" s="4" t="n">
        <v>3057002841</v>
      </c>
      <c r="O1034" s="4" t="inlineStr">
        <is>
          <t>eduwinparra@gmail.com</t>
        </is>
      </c>
      <c r="P1034" s="4" t="inlineStr">
        <is>
          <t>BTA SEDE I</t>
        </is>
      </c>
      <c r="Q1034" s="4" t="inlineStr">
        <is>
          <t>INGENIERIA</t>
        </is>
      </c>
      <c r="R1034" s="4" t="n">
        <v>503</v>
      </c>
    </row>
    <row r="1035" ht="20" customHeight="1">
      <c r="A1035" s="6" t="inlineStr">
        <is>
          <t>5825348</t>
        </is>
      </c>
      <c r="B1035" s="7" t="inlineStr">
        <is>
          <t>PRESENCIAL BOGOTÁ</t>
        </is>
      </c>
      <c r="C1035" s="7" t="inlineStr">
        <is>
          <t>EMERSON JASSAN OLAYA BENITEZ</t>
        </is>
      </c>
      <c r="D1035" s="7" t="inlineStr">
        <is>
          <t>OPERACIONES</t>
        </is>
      </c>
      <c r="E1035" s="7" t="inlineStr">
        <is>
          <t>REGIONAL BOGOTA</t>
        </is>
      </c>
      <c r="F1035" s="7" t="inlineStr">
        <is>
          <t>BOGOTA CENTRO</t>
        </is>
      </c>
      <c r="G1035" s="7" t="inlineStr">
        <is>
          <t>PRESENCIAL</t>
        </is>
      </c>
      <c r="H1035" s="7" t="inlineStr">
        <is>
          <t>DOCENTE ASOC/N/TC/ING ELECTRO/FUN.ACADE-ADMIN</t>
        </is>
      </c>
      <c r="I1035" s="7" t="inlineStr">
        <is>
          <t>INGENIERIA ELECTRONICA</t>
        </is>
      </c>
      <c r="J1035" s="7" t="inlineStr">
        <is>
          <t>REINTEGRO</t>
        </is>
      </c>
      <c r="K1035" s="7" t="inlineStr">
        <is>
          <t>JHANNA GOMEZ</t>
        </is>
      </c>
      <c r="L1035" s="7" t="n">
        <v/>
      </c>
      <c r="M1035" s="7" t="n">
        <v/>
      </c>
      <c r="N1035" s="7" t="n">
        <v>3144913225</v>
      </c>
      <c r="O1035" s="7" t="inlineStr">
        <is>
          <t>emerson.j.olaya@gmail.com</t>
        </is>
      </c>
      <c r="P1035" s="7" t="inlineStr">
        <is>
          <t>BTA SEDE I</t>
        </is>
      </c>
      <c r="Q1035" s="7" t="inlineStr">
        <is>
          <t>INGENIERIA</t>
        </is>
      </c>
      <c r="R1035" s="7" t="n">
        <v>503</v>
      </c>
    </row>
    <row r="1036" ht="20" customHeight="1">
      <c r="A1036" s="3" t="inlineStr">
        <is>
          <t>1018457317</t>
        </is>
      </c>
      <c r="B1036" s="4" t="inlineStr">
        <is>
          <t>PRESENCIAL BOGOTÁ</t>
        </is>
      </c>
      <c r="C1036" s="4" t="inlineStr">
        <is>
          <t>CARLOS EDUARDO CABRERA ARDILA</t>
        </is>
      </c>
      <c r="D1036" s="4" t="inlineStr">
        <is>
          <t>OPERACIONES</t>
        </is>
      </c>
      <c r="E1036" s="4" t="inlineStr">
        <is>
          <t>REGIONAL BOGOTA</t>
        </is>
      </c>
      <c r="F1036" s="4" t="inlineStr">
        <is>
          <t>BOGOTA CENTRO</t>
        </is>
      </c>
      <c r="G1036" s="4" t="inlineStr">
        <is>
          <t>PRESENCIAL</t>
        </is>
      </c>
      <c r="H1036" s="4" t="inlineStr">
        <is>
          <t>DOCENTE ASIS/N/TC/ING ELECTRO/FUN.ACADE-ADMIN</t>
        </is>
      </c>
      <c r="I1036" s="4" t="inlineStr">
        <is>
          <t>INGENIERIA ELECTRONICA</t>
        </is>
      </c>
      <c r="J1036" s="4" t="inlineStr">
        <is>
          <t>REINTEGRO</t>
        </is>
      </c>
      <c r="K1036" s="4" t="inlineStr">
        <is>
          <t>JHANNA GOMEZ</t>
        </is>
      </c>
      <c r="L1036" s="4" t="n">
        <v/>
      </c>
      <c r="M1036" s="4" t="n">
        <v/>
      </c>
      <c r="N1036" s="4" t="n">
        <v>3046467887</v>
      </c>
      <c r="O1036" s="4" t="inlineStr">
        <is>
          <t>ccabreraa@unal.edu.co</t>
        </is>
      </c>
      <c r="P1036" s="4" t="inlineStr">
        <is>
          <t>BTA SEDE I</t>
        </is>
      </c>
      <c r="Q1036" s="4" t="inlineStr">
        <is>
          <t>INGENIERIA</t>
        </is>
      </c>
      <c r="R1036" s="4" t="n">
        <v>503</v>
      </c>
    </row>
    <row r="1037" ht="20" customHeight="1">
      <c r="A1037" s="6" t="inlineStr">
        <is>
          <t>80845705</t>
        </is>
      </c>
      <c r="B1037" s="7" t="inlineStr">
        <is>
          <t>PRESENCIAL BOGOTÁ</t>
        </is>
      </c>
      <c r="C1037" s="7" t="inlineStr">
        <is>
          <t>HELBERT ARTURO LOPEZ AMARIS</t>
        </is>
      </c>
      <c r="D1037" s="7" t="inlineStr">
        <is>
          <t>OPERACIONES</t>
        </is>
      </c>
      <c r="E1037" s="7" t="inlineStr">
        <is>
          <t>REGIONAL BOGOTA</t>
        </is>
      </c>
      <c r="F1037" s="7" t="inlineStr">
        <is>
          <t>BOGOTA CENTRO</t>
        </is>
      </c>
      <c r="G1037" s="7" t="inlineStr">
        <is>
          <t>PRESENCIAL</t>
        </is>
      </c>
      <c r="H1037" s="7" t="inlineStr">
        <is>
          <t>DOCENTE ASIS/N/TC/ING ELECTRO/FUN.ACADE-ADMIN</t>
        </is>
      </c>
      <c r="I1037" s="7" t="inlineStr">
        <is>
          <t>INGENIERIA ELECTRONICA</t>
        </is>
      </c>
      <c r="J1037" s="7" t="inlineStr">
        <is>
          <t>REINTEGRO</t>
        </is>
      </c>
      <c r="K1037" s="7" t="inlineStr">
        <is>
          <t>JHANNA GOMEZ</t>
        </is>
      </c>
      <c r="L1037" s="7" t="n">
        <v/>
      </c>
      <c r="M1037" s="7" t="n">
        <v/>
      </c>
      <c r="N1037" s="7" t="n">
        <v>3115575864</v>
      </c>
      <c r="O1037" s="7" t="inlineStr">
        <is>
          <t>hellop.85@gmail.com</t>
        </is>
      </c>
      <c r="P1037" s="7" t="inlineStr">
        <is>
          <t>BTA SEDE I</t>
        </is>
      </c>
      <c r="Q1037" s="7" t="inlineStr">
        <is>
          <t>INGENIERIA</t>
        </is>
      </c>
      <c r="R1037" s="7" t="n">
        <v>503</v>
      </c>
    </row>
    <row r="1038" ht="20" customHeight="1">
      <c r="A1038" s="3" t="inlineStr">
        <is>
          <t>1023904243</t>
        </is>
      </c>
      <c r="B1038" s="4" t="inlineStr">
        <is>
          <t>PRESENCIAL BOGOTÁ</t>
        </is>
      </c>
      <c r="C1038" s="4" t="inlineStr">
        <is>
          <t>MANUEL ALEJANDRO GUERRERO BERNAL</t>
        </is>
      </c>
      <c r="D1038" s="4" t="inlineStr">
        <is>
          <t>OPERACIONES</t>
        </is>
      </c>
      <c r="E1038" s="4" t="inlineStr">
        <is>
          <t>REGIONAL BOGOTA</t>
        </is>
      </c>
      <c r="F1038" s="4" t="inlineStr">
        <is>
          <t>BOGOTA CENTRO</t>
        </is>
      </c>
      <c r="G1038" s="4" t="inlineStr">
        <is>
          <t>PRESENCIAL</t>
        </is>
      </c>
      <c r="H1038" s="4" t="inlineStr">
        <is>
          <t>DOC AUX T&amp;T/N/MT/ING ELECTRO</t>
        </is>
      </c>
      <c r="I1038" s="4" t="inlineStr">
        <is>
          <t>INGENIERIA ELECTRONICA</t>
        </is>
      </c>
      <c r="J1038" s="4" t="inlineStr">
        <is>
          <t>REINTEGRO</t>
        </is>
      </c>
      <c r="K1038" s="4" t="inlineStr">
        <is>
          <t>JHANNA GOMEZ</t>
        </is>
      </c>
      <c r="L1038" s="4" t="n">
        <v/>
      </c>
      <c r="M1038" s="4" t="n">
        <v/>
      </c>
      <c r="N1038" s="4" t="n">
        <v>3107545153</v>
      </c>
      <c r="O1038" s="4" t="inlineStr">
        <is>
          <t>maguerrerob91@gmail.com</t>
        </is>
      </c>
      <c r="P1038" s="4" t="inlineStr">
        <is>
          <t>BTA SEDE I</t>
        </is>
      </c>
      <c r="Q1038" s="4" t="inlineStr">
        <is>
          <t>INGENIERIA</t>
        </is>
      </c>
      <c r="R1038" s="4" t="n">
        <v>503</v>
      </c>
    </row>
    <row r="1039" ht="20" customHeight="1">
      <c r="A1039" s="6" t="inlineStr">
        <is>
          <t>1026580399</t>
        </is>
      </c>
      <c r="B1039" s="7" t="inlineStr">
        <is>
          <t>PRESENCIAL BOGOTÁ</t>
        </is>
      </c>
      <c r="C1039" s="7" t="inlineStr">
        <is>
          <t>BREISMAM ALFONSO RUEDA DIAZ</t>
        </is>
      </c>
      <c r="D1039" s="7" t="inlineStr">
        <is>
          <t>OPERACIONES</t>
        </is>
      </c>
      <c r="E1039" s="7" t="inlineStr">
        <is>
          <t>REGIONAL BOGOTA</t>
        </is>
      </c>
      <c r="F1039" s="7" t="inlineStr">
        <is>
          <t>BOGOTA CENTRO</t>
        </is>
      </c>
      <c r="G1039" s="7" t="inlineStr">
        <is>
          <t>PRESENCIAL</t>
        </is>
      </c>
      <c r="H1039" s="7" t="inlineStr">
        <is>
          <t>DOC AUX T&amp;T/N/MT/ING ELECTRO</t>
        </is>
      </c>
      <c r="I1039" s="7" t="inlineStr">
        <is>
          <t>INGENIERIA ELECTRONICA</t>
        </is>
      </c>
      <c r="J1039" s="7" t="inlineStr">
        <is>
          <t>REINTEGRO</t>
        </is>
      </c>
      <c r="K1039" s="7" t="inlineStr">
        <is>
          <t>JHANNA GOMEZ</t>
        </is>
      </c>
      <c r="L1039" s="7" t="n">
        <v/>
      </c>
      <c r="M1039" s="7" t="n">
        <v/>
      </c>
      <c r="N1039" s="7" t="n">
        <v>3158218442</v>
      </c>
      <c r="O1039" s="7" t="inlineStr">
        <is>
          <t>b.rueda@uniandes.edu.co</t>
        </is>
      </c>
      <c r="P1039" s="7" t="inlineStr">
        <is>
          <t>BTA SEDE I</t>
        </is>
      </c>
      <c r="Q1039" s="7" t="inlineStr">
        <is>
          <t>INGENIERIA</t>
        </is>
      </c>
      <c r="R1039" s="7" t="n">
        <v>503</v>
      </c>
    </row>
    <row r="1040" ht="20" customHeight="1">
      <c r="A1040" s="3" t="inlineStr">
        <is>
          <t>1024527611</t>
        </is>
      </c>
      <c r="B1040" s="4" t="inlineStr">
        <is>
          <t>PRESENCIAL BOGOTÁ</t>
        </is>
      </c>
      <c r="C1040" s="4" t="inlineStr">
        <is>
          <t>SERGIO ANDRES BARRANTES JOYA</t>
        </is>
      </c>
      <c r="D1040" s="4" t="inlineStr">
        <is>
          <t>OPERACIONES</t>
        </is>
      </c>
      <c r="E1040" s="4" t="inlineStr">
        <is>
          <t>REGIONAL BOGOTA</t>
        </is>
      </c>
      <c r="F1040" s="4" t="inlineStr">
        <is>
          <t>BOGOTA CENTRO</t>
        </is>
      </c>
      <c r="G1040" s="4" t="inlineStr">
        <is>
          <t>PRESENCIAL</t>
        </is>
      </c>
      <c r="H1040" s="4" t="inlineStr">
        <is>
          <t>DOC AUX T&amp;T/N/TC/ING ELECTRO/FUN.ACADE-ADMIN</t>
        </is>
      </c>
      <c r="I1040" s="4" t="inlineStr">
        <is>
          <t>INGENIERIA ELECTRONICA</t>
        </is>
      </c>
      <c r="J1040" s="4" t="inlineStr">
        <is>
          <t>REINTEGRO</t>
        </is>
      </c>
      <c r="K1040" s="4" t="inlineStr">
        <is>
          <t>JHANNA GOMEZ</t>
        </is>
      </c>
      <c r="L1040" s="4" t="n">
        <v/>
      </c>
      <c r="M1040" s="4" t="n">
        <v/>
      </c>
      <c r="N1040" s="4" t="n">
        <v>3132797998</v>
      </c>
      <c r="O1040" s="4" t="inlineStr">
        <is>
          <t>sergio.barrantes10@gmail.com</t>
        </is>
      </c>
      <c r="P1040" s="4" t="inlineStr">
        <is>
          <t>BTA SEDE A</t>
        </is>
      </c>
      <c r="Q1040" s="4" t="inlineStr">
        <is>
          <t>INGENIERIA</t>
        </is>
      </c>
      <c r="R1040" s="4" t="n">
        <v>503</v>
      </c>
    </row>
    <row r="1041" ht="20" customHeight="1">
      <c r="A1041" s="6" t="inlineStr">
        <is>
          <t>1032427213</t>
        </is>
      </c>
      <c r="B1041" s="7" t="inlineStr">
        <is>
          <t>PRESENCIAL BOGOTÁ</t>
        </is>
      </c>
      <c r="C1041" s="7" t="inlineStr">
        <is>
          <t>JAQUELINE ANGELICA CASTELLANOS BUSTOS</t>
        </is>
      </c>
      <c r="D1041" s="7" t="inlineStr">
        <is>
          <t>OPERACIONES</t>
        </is>
      </c>
      <c r="E1041" s="7" t="inlineStr">
        <is>
          <t>REGIONAL BOGOTA</t>
        </is>
      </c>
      <c r="F1041" s="7" t="inlineStr">
        <is>
          <t>BOGOTA CENTRO</t>
        </is>
      </c>
      <c r="G1041" s="7" t="inlineStr">
        <is>
          <t>PRESENCIAL</t>
        </is>
      </c>
      <c r="H1041" s="7" t="inlineStr">
        <is>
          <t>DOCENTE ASIS/N/TC/NEGO INTER/FUN.ACADE-ADMIN</t>
        </is>
      </c>
      <c r="I1041" s="7" t="inlineStr">
        <is>
          <t>NEGOCIOS INTERNACIONALES</t>
        </is>
      </c>
      <c r="J1041" s="7" t="inlineStr">
        <is>
          <t>REINTEGRO</t>
        </is>
      </c>
      <c r="K1041" s="7" t="inlineStr">
        <is>
          <t>JHANNA GOMEZ</t>
        </is>
      </c>
      <c r="L1041" s="7" t="n">
        <v/>
      </c>
      <c r="M1041" s="7" t="n">
        <v/>
      </c>
      <c r="N1041" s="7" t="n">
        <v>3174920503</v>
      </c>
      <c r="O1041" s="7" t="inlineStr">
        <is>
          <t>jacki.castell@gmail.com</t>
        </is>
      </c>
      <c r="P1041" s="7" t="inlineStr">
        <is>
          <t>BTA SEDE A</t>
        </is>
      </c>
      <c r="Q1041" s="7" t="inlineStr">
        <is>
          <t>NEGOCIOS</t>
        </is>
      </c>
      <c r="R1041" s="7" t="n">
        <v>204</v>
      </c>
    </row>
    <row r="1042" ht="20" customHeight="1">
      <c r="A1042" s="3" t="inlineStr">
        <is>
          <t>79668464</t>
        </is>
      </c>
      <c r="B1042" s="4" t="inlineStr">
        <is>
          <t>PRESENCIAL BOGOTÁ</t>
        </is>
      </c>
      <c r="C1042" s="4" t="inlineStr">
        <is>
          <t>WILLIAM FERNEY CHILATRA DÍAZ</t>
        </is>
      </c>
      <c r="D1042" s="4" t="inlineStr">
        <is>
          <t>OPERACIONES</t>
        </is>
      </c>
      <c r="E1042" s="4" t="inlineStr">
        <is>
          <t>REGIONAL BOGOTA</t>
        </is>
      </c>
      <c r="F1042" s="4" t="inlineStr">
        <is>
          <t>BOGOTA RESTREPO</t>
        </is>
      </c>
      <c r="G1042" s="4" t="inlineStr">
        <is>
          <t>PRESENCIAL</t>
        </is>
      </c>
      <c r="H1042" s="4" t="inlineStr">
        <is>
          <t>DOCENTE AUX/N/MT/NEGO INTER</t>
        </is>
      </c>
      <c r="I1042" s="4" t="inlineStr">
        <is>
          <t>NEGOCIOS INTERNACIONALES</t>
        </is>
      </c>
      <c r="J1042" s="4" t="inlineStr">
        <is>
          <t>REINTEGRO</t>
        </is>
      </c>
      <c r="K1042" s="4" t="inlineStr">
        <is>
          <t>JESSICA BARON</t>
        </is>
      </c>
      <c r="L1042" s="4" t="inlineStr">
        <is>
          <t>CONFIRMADO PRESENCIAL</t>
        </is>
      </c>
      <c r="M1042" s="4" t="n">
        <v/>
      </c>
      <c r="N1042" s="4" t="n">
        <v>3102752422</v>
      </c>
      <c r="O1042" s="4" t="inlineStr">
        <is>
          <t>chilatrawilliam@gmail.com</t>
        </is>
      </c>
      <c r="P1042" s="4" t="inlineStr">
        <is>
          <t>BTA SEDE J</t>
        </is>
      </c>
      <c r="Q1042" s="4" t="inlineStr">
        <is>
          <t>NEGOCIOS</t>
        </is>
      </c>
      <c r="R1042" s="4" t="n">
        <v>204</v>
      </c>
    </row>
    <row r="1043" ht="20" customHeight="1">
      <c r="A1043" s="6" t="inlineStr">
        <is>
          <t>1110557091</t>
        </is>
      </c>
      <c r="B1043" s="7" t="inlineStr">
        <is>
          <t>PRESENCIAL REGIONAL</t>
        </is>
      </c>
      <c r="C1043" s="7" t="inlineStr">
        <is>
          <t>OSCAR MAURICIO CAMPOS FAJARDO</t>
        </is>
      </c>
      <c r="D1043" s="7" t="inlineStr">
        <is>
          <t>OPERACIONES</t>
        </is>
      </c>
      <c r="E1043" s="7" t="inlineStr">
        <is>
          <t>REGIONAL TOLIMA</t>
        </is>
      </c>
      <c r="F1043" s="7" t="inlineStr">
        <is>
          <t>IBAGUÉ</t>
        </is>
      </c>
      <c r="G1043" s="7" t="inlineStr">
        <is>
          <t>PRESENCIAL</t>
        </is>
      </c>
      <c r="H1043" s="7" t="inlineStr">
        <is>
          <t>DOCENTE ASIS/N/TC/NEGO INTER/FUN.ACADE-ADMIN</t>
        </is>
      </c>
      <c r="I1043" s="7" t="inlineStr">
        <is>
          <t>NEGOCIOS INTERNACIONALES</t>
        </is>
      </c>
      <c r="J1043" s="7" t="inlineStr">
        <is>
          <t>REINTEGRO</t>
        </is>
      </c>
      <c r="K1043" s="7" t="inlineStr">
        <is>
          <t>JESSICA BARON</t>
        </is>
      </c>
      <c r="L1043" s="7" t="inlineStr">
        <is>
          <t>CONFIRMADO PRESENCIAL</t>
        </is>
      </c>
      <c r="M1043" s="7" t="n">
        <v/>
      </c>
      <c r="N1043" s="7" t="n">
        <v>3219161502</v>
      </c>
      <c r="O1043" s="7" t="inlineStr">
        <is>
          <t>Omcamposf@ut.edu.co</t>
        </is>
      </c>
      <c r="P1043" s="7" t="inlineStr">
        <is>
          <t>IBAGUE SEDE</t>
        </is>
      </c>
      <c r="Q1043" s="7" t="inlineStr">
        <is>
          <t>NEGOCIOS</t>
        </is>
      </c>
      <c r="R1043" s="7" t="n">
        <v/>
      </c>
    </row>
    <row r="1044" ht="20" customHeight="1">
      <c r="A1044" s="3" t="inlineStr">
        <is>
          <t>1032438117</t>
        </is>
      </c>
      <c r="B1044" s="4" t="inlineStr">
        <is>
          <t>PRESENCIAL BOGOTÁ</t>
        </is>
      </c>
      <c r="C1044" s="4" t="inlineStr">
        <is>
          <t>NATALY MALDONADO SILVA</t>
        </is>
      </c>
      <c r="D1044" s="4" t="inlineStr">
        <is>
          <t>OPERACIONES</t>
        </is>
      </c>
      <c r="E1044" s="4" t="inlineStr">
        <is>
          <t>REGIONAL BOGOTA</t>
        </is>
      </c>
      <c r="F1044" s="4" t="inlineStr">
        <is>
          <t>BOGOTA CENTRO</t>
        </is>
      </c>
      <c r="G1044" s="4" t="inlineStr">
        <is>
          <t>VIRTUAL</t>
        </is>
      </c>
      <c r="H1044" s="4" t="inlineStr">
        <is>
          <t>DOC ASIS/N/V/MT/NEG INTER</t>
        </is>
      </c>
      <c r="I1044" s="4" t="inlineStr">
        <is>
          <t>NEGOCIOS INTERNACIONALES</t>
        </is>
      </c>
      <c r="J1044" s="4" t="inlineStr">
        <is>
          <t>REINTEGRO</t>
        </is>
      </c>
      <c r="K1044" s="4" t="inlineStr">
        <is>
          <t>JESSICA BARON</t>
        </is>
      </c>
      <c r="L1044" s="4" t="inlineStr">
        <is>
          <t>CONFIRMADO PRESENCIAL</t>
        </is>
      </c>
      <c r="M1044" s="4" t="n">
        <v/>
      </c>
      <c r="N1044" s="4" t="n">
        <v>3204165168</v>
      </c>
      <c r="O1044" s="4" t="inlineStr">
        <is>
          <t>nmaldonados@unal.edu.co</t>
        </is>
      </c>
      <c r="P1044" s="4" t="inlineStr">
        <is>
          <t>BTA SEDE A</t>
        </is>
      </c>
      <c r="Q1044" s="4" t="inlineStr">
        <is>
          <t>NEGOCIOS</t>
        </is>
      </c>
      <c r="R1044" s="4" t="n">
        <v>204</v>
      </c>
    </row>
    <row r="1045" ht="20" customHeight="1">
      <c r="A1045" s="6" t="inlineStr">
        <is>
          <t>36723248</t>
        </is>
      </c>
      <c r="B1045" s="7" t="inlineStr">
        <is>
          <t>VIRTUAL</t>
        </is>
      </c>
      <c r="C1045" s="7" t="inlineStr">
        <is>
          <t>YENIS ALEXANDRA MORALES TOBON</t>
        </is>
      </c>
      <c r="D1045" s="7" t="inlineStr">
        <is>
          <t>OPERACIONES</t>
        </is>
      </c>
      <c r="E1045" s="7" t="inlineStr">
        <is>
          <t>REGIONAL MAGDALENA</t>
        </is>
      </c>
      <c r="F1045" s="7" t="inlineStr">
        <is>
          <t>SANTA MARTA</t>
        </is>
      </c>
      <c r="G1045" s="7" t="inlineStr">
        <is>
          <t>PRESENCIAL</t>
        </is>
      </c>
      <c r="H1045" s="7" t="inlineStr">
        <is>
          <t>DOCENTE ASOC/N/TC/NEGO INTER/PROYECCION</t>
        </is>
      </c>
      <c r="I1045" s="7" t="inlineStr">
        <is>
          <t>NEGOCIOS INTERNACIONALES</t>
        </is>
      </c>
      <c r="J1045" s="7" t="inlineStr">
        <is>
          <t>REINTEGRO</t>
        </is>
      </c>
      <c r="K1045" s="7" t="inlineStr">
        <is>
          <t>JESSICA BARON</t>
        </is>
      </c>
      <c r="L1045" s="7" t="n">
        <v/>
      </c>
      <c r="M1045" s="7" t="n">
        <v/>
      </c>
      <c r="N1045" s="7" t="n">
        <v>3224950237</v>
      </c>
      <c r="O1045" s="7" t="inlineStr">
        <is>
          <t>yenismorales1@gmail.com</t>
        </is>
      </c>
      <c r="P1045" s="7" t="inlineStr">
        <is>
          <t>SANTA MARTA SEDE</t>
        </is>
      </c>
      <c r="Q1045" s="7" t="inlineStr">
        <is>
          <t>NEGOCIOS</t>
        </is>
      </c>
      <c r="R1045" s="7" t="n">
        <v/>
      </c>
    </row>
    <row r="1046" ht="20" customHeight="1">
      <c r="A1046" s="3" t="inlineStr">
        <is>
          <t>1082985223</t>
        </is>
      </c>
      <c r="B1046" s="4" t="inlineStr">
        <is>
          <t>VIRTUAL</t>
        </is>
      </c>
      <c r="C1046" s="4" t="inlineStr">
        <is>
          <t>ELIANA KARINA VEGA PEÑA</t>
        </is>
      </c>
      <c r="D1046" s="4" t="inlineStr">
        <is>
          <t>OPERACIONES</t>
        </is>
      </c>
      <c r="E1046" s="4" t="inlineStr">
        <is>
          <t>REGIONAL MAGDALENA</t>
        </is>
      </c>
      <c r="F1046" s="4" t="inlineStr">
        <is>
          <t>SANTA MARTA</t>
        </is>
      </c>
      <c r="G1046" s="4" t="inlineStr">
        <is>
          <t>PRESENCIAL</t>
        </is>
      </c>
      <c r="H1046" s="4" t="inlineStr">
        <is>
          <t>DOC AUX T&amp;T/N/TC/NEGO INTER/FUN.ACADE-ADMIN</t>
        </is>
      </c>
      <c r="I1046" s="4" t="inlineStr">
        <is>
          <t>NEGOCIOS INTERNACIONALES</t>
        </is>
      </c>
      <c r="J1046" s="4" t="inlineStr">
        <is>
          <t>REINTEGRO</t>
        </is>
      </c>
      <c r="K1046" s="4" t="inlineStr">
        <is>
          <t>JESSICA BARON</t>
        </is>
      </c>
      <c r="L1046" s="4" t="n">
        <v/>
      </c>
      <c r="M1046" s="4" t="n">
        <v/>
      </c>
      <c r="N1046" s="4" t="n">
        <v>3044534806</v>
      </c>
      <c r="O1046" s="4" t="inlineStr">
        <is>
          <t>elianakarinavega7@gmail.com</t>
        </is>
      </c>
      <c r="P1046" s="4" t="inlineStr">
        <is>
          <t>SANTA MARTA SEDE</t>
        </is>
      </c>
      <c r="Q1046" s="4" t="inlineStr">
        <is>
          <t>NEGOCIOS</t>
        </is>
      </c>
      <c r="R1046" s="4" t="n">
        <v/>
      </c>
    </row>
    <row r="1047" ht="20" customHeight="1">
      <c r="A1047" s="6" t="inlineStr">
        <is>
          <t>14395266</t>
        </is>
      </c>
      <c r="B1047" s="7" t="inlineStr">
        <is>
          <t>PRESENCIAL REGIONAL</t>
        </is>
      </c>
      <c r="C1047" s="7" t="inlineStr">
        <is>
          <t>DIEGO FERNANDO ECHEVERRI QUINTERO</t>
        </is>
      </c>
      <c r="D1047" s="7" t="inlineStr">
        <is>
          <t>OPERACIONES</t>
        </is>
      </c>
      <c r="E1047" s="7" t="inlineStr">
        <is>
          <t>REGIONAL TOLIMA</t>
        </is>
      </c>
      <c r="F1047" s="7" t="inlineStr">
        <is>
          <t>IBAGUÉ</t>
        </is>
      </c>
      <c r="G1047" s="7" t="inlineStr">
        <is>
          <t>PRESENCIAL</t>
        </is>
      </c>
      <c r="H1047" s="7" t="inlineStr">
        <is>
          <t>DOCENTE AUX/N/TC/NEGO INTER/FUN.ACADE-ADMIN</t>
        </is>
      </c>
      <c r="I1047" s="7" t="inlineStr">
        <is>
          <t>NEGOCIOS INTERNACIONALES</t>
        </is>
      </c>
      <c r="J1047" s="7" t="inlineStr">
        <is>
          <t>REINTEGRO</t>
        </is>
      </c>
      <c r="K1047" s="7" t="inlineStr">
        <is>
          <t>JESSICA BARON</t>
        </is>
      </c>
      <c r="L1047" s="7" t="inlineStr">
        <is>
          <t>CONFIRMADO PRESENCIAL</t>
        </is>
      </c>
      <c r="M1047" s="7" t="n">
        <v/>
      </c>
      <c r="N1047" s="7" t="n">
        <v>3002659114</v>
      </c>
      <c r="O1047" s="7" t="inlineStr">
        <is>
          <t>diegofernandoecheverriquintero@gmail.com</t>
        </is>
      </c>
      <c r="P1047" s="7" t="inlineStr">
        <is>
          <t>IBAGUE SEDE</t>
        </is>
      </c>
      <c r="Q1047" s="7" t="inlineStr">
        <is>
          <t>NEGOCIOS</t>
        </is>
      </c>
      <c r="R1047" s="7" t="n">
        <v/>
      </c>
    </row>
    <row r="1048" ht="20" customHeight="1">
      <c r="A1048" s="3" t="inlineStr">
        <is>
          <t>1014208041</t>
        </is>
      </c>
      <c r="B1048" s="4" t="inlineStr">
        <is>
          <t>PRESENCIAL BOGOTÁ</t>
        </is>
      </c>
      <c r="C1048" s="4" t="inlineStr">
        <is>
          <t>CRISTIAN NEIROTH DIAZ ALFONSO</t>
        </is>
      </c>
      <c r="D1048" s="4" t="inlineStr">
        <is>
          <t>OPERACIONES</t>
        </is>
      </c>
      <c r="E1048" s="4" t="inlineStr">
        <is>
          <t>REGIONAL BOGOTA</t>
        </is>
      </c>
      <c r="F1048" s="4" t="inlineStr">
        <is>
          <t>BOGOTA CENTRO</t>
        </is>
      </c>
      <c r="G1048" s="4" t="inlineStr">
        <is>
          <t>PRESENCIAL</t>
        </is>
      </c>
      <c r="H1048" s="4" t="inlineStr">
        <is>
          <t>DOCENTE AUX/N/TC/NEGO INTER/FUN.ACADE-ADMIN</t>
        </is>
      </c>
      <c r="I1048" s="4" t="inlineStr">
        <is>
          <t>NEGOCIOS INTERNACIONALES</t>
        </is>
      </c>
      <c r="J1048" s="4" t="inlineStr">
        <is>
          <t>REINTEGRO</t>
        </is>
      </c>
      <c r="K1048" s="4" t="inlineStr">
        <is>
          <t>JESSICA BARON</t>
        </is>
      </c>
      <c r="L1048" s="4" t="inlineStr">
        <is>
          <t>SIN RESPUESTA</t>
        </is>
      </c>
      <c r="M1048" s="4" t="n">
        <v/>
      </c>
      <c r="N1048" s="4" t="n">
        <v>3132467366</v>
      </c>
      <c r="O1048" s="4" t="inlineStr">
        <is>
          <t>cristiann1890@gmail.com</t>
        </is>
      </c>
      <c r="P1048" s="4" t="inlineStr">
        <is>
          <t>BTA SEDE J</t>
        </is>
      </c>
      <c r="Q1048" s="4" t="inlineStr">
        <is>
          <t>NEGOCIOS</t>
        </is>
      </c>
      <c r="R1048" s="4" t="n">
        <v>204</v>
      </c>
    </row>
    <row r="1049" ht="20" customHeight="1">
      <c r="A1049" s="6" t="inlineStr">
        <is>
          <t>1026258111</t>
        </is>
      </c>
      <c r="B1049" s="7" t="inlineStr">
        <is>
          <t>PRESENCIAL BOGOTÁ</t>
        </is>
      </c>
      <c r="C1049" s="7" t="inlineStr">
        <is>
          <t>SEBASTIAN CAMILO QUINTERO HIGUERA</t>
        </is>
      </c>
      <c r="D1049" s="7" t="inlineStr">
        <is>
          <t>OPERACIONES</t>
        </is>
      </c>
      <c r="E1049" s="7" t="inlineStr">
        <is>
          <t>REGIONAL BOGOTA</t>
        </is>
      </c>
      <c r="F1049" s="7" t="inlineStr">
        <is>
          <t>BOGOTA CENTRO</t>
        </is>
      </c>
      <c r="G1049" s="7" t="inlineStr">
        <is>
          <t>PRESENCIAL</t>
        </is>
      </c>
      <c r="H1049" s="7" t="inlineStr">
        <is>
          <t>DOC AUX T&amp;T/N/TC/NEGO INTER/FUN.ACADE-ADMIN</t>
        </is>
      </c>
      <c r="I1049" s="7" t="inlineStr">
        <is>
          <t>NEGOCIOS INTERNACIONALES</t>
        </is>
      </c>
      <c r="J1049" s="7" t="inlineStr">
        <is>
          <t>REINTEGRO</t>
        </is>
      </c>
      <c r="K1049" s="7" t="inlineStr">
        <is>
          <t>JESSICA BARON</t>
        </is>
      </c>
      <c r="L1049" s="7" t="inlineStr">
        <is>
          <t>SIN RESPUESTA</t>
        </is>
      </c>
      <c r="M1049" s="7" t="n">
        <v/>
      </c>
      <c r="N1049" s="7" t="n">
        <v>3505754611</v>
      </c>
      <c r="O1049" s="7" t="inlineStr">
        <is>
          <t>SEBASTIANCAMILOQUINTERO@GMAIL.COM</t>
        </is>
      </c>
      <c r="P1049" s="7" t="inlineStr">
        <is>
          <t>BTA SEDE SUR</t>
        </is>
      </c>
      <c r="Q1049" s="7" t="inlineStr">
        <is>
          <t>NEGOCIOS</t>
        </is>
      </c>
      <c r="R1049" s="7" t="n">
        <v>204</v>
      </c>
    </row>
    <row r="1050" ht="20" customHeight="1">
      <c r="A1050" s="3" t="inlineStr">
        <is>
          <t>1067941470</t>
        </is>
      </c>
      <c r="B1050" s="4" t="inlineStr">
        <is>
          <t>PRESENCIAL REGIONAL</t>
        </is>
      </c>
      <c r="C1050" s="4" t="inlineStr">
        <is>
          <t>LUIS FERNANDO MIRANDA VILLERA</t>
        </is>
      </c>
      <c r="D1050" s="4" t="inlineStr">
        <is>
          <t>OPERACIONES</t>
        </is>
      </c>
      <c r="E1050" s="4" t="inlineStr">
        <is>
          <t>REGIONAL CORDOBA</t>
        </is>
      </c>
      <c r="F1050" s="4" t="inlineStr">
        <is>
          <t>MONTERIA</t>
        </is>
      </c>
      <c r="G1050" s="4" t="inlineStr">
        <is>
          <t>PRESENCIAL</t>
        </is>
      </c>
      <c r="H1050" s="4" t="inlineStr">
        <is>
          <t>DOCENTE ASIS/N/MT/NEGO INTER</t>
        </is>
      </c>
      <c r="I1050" s="4" t="inlineStr">
        <is>
          <t>NEGOCIOS INTERNACIONALES</t>
        </is>
      </c>
      <c r="J1050" s="4" t="inlineStr">
        <is>
          <t>REINTEGRO</t>
        </is>
      </c>
      <c r="K1050" s="4" t="inlineStr">
        <is>
          <t>JESSICA BARON</t>
        </is>
      </c>
      <c r="L1050" s="4" t="inlineStr">
        <is>
          <t>CONFIRMADO PRESENCIAL</t>
        </is>
      </c>
      <c r="M1050" s="4" t="n">
        <v/>
      </c>
      <c r="N1050" s="4" t="n">
        <v>3176498053</v>
      </c>
      <c r="O1050" s="4" t="inlineStr">
        <is>
          <t>luisf.miranda.9556@gmail.com</t>
        </is>
      </c>
      <c r="P1050" s="4" t="inlineStr">
        <is>
          <t>MONTERIA SEDE</t>
        </is>
      </c>
      <c r="Q1050" s="4" t="inlineStr">
        <is>
          <t>NEGOCIOS</t>
        </is>
      </c>
      <c r="R1050" s="4" t="n">
        <v/>
      </c>
    </row>
    <row r="1051" ht="20" customHeight="1">
      <c r="A1051" s="6" t="inlineStr">
        <is>
          <t>1149451389</t>
        </is>
      </c>
      <c r="B1051" s="7" t="inlineStr">
        <is>
          <t>VIRTUAL</t>
        </is>
      </c>
      <c r="C1051" s="7" t="inlineStr">
        <is>
          <t>MARIA CAMILA BORJA RIVERO</t>
        </is>
      </c>
      <c r="D1051" s="7" t="inlineStr">
        <is>
          <t>OPERACIONES</t>
        </is>
      </c>
      <c r="E1051" s="7" t="inlineStr">
        <is>
          <t>REGIONAL MAGDALENA</t>
        </is>
      </c>
      <c r="F1051" s="7" t="inlineStr">
        <is>
          <t>SANTA MARTA</t>
        </is>
      </c>
      <c r="G1051" s="7" t="inlineStr">
        <is>
          <t>PRESENCIAL</t>
        </is>
      </c>
      <c r="H1051" s="7" t="inlineStr">
        <is>
          <t>DOCENTE AUX/N/MT/NEGO INTER</t>
        </is>
      </c>
      <c r="I1051" s="7" t="inlineStr">
        <is>
          <t>NEGOCIOS INTERNACIONALES</t>
        </is>
      </c>
      <c r="J1051" s="7" t="inlineStr">
        <is>
          <t>REINTEGRO</t>
        </is>
      </c>
      <c r="K1051" s="7" t="inlineStr">
        <is>
          <t>JESSICA BARON</t>
        </is>
      </c>
      <c r="L1051" s="7" t="n">
        <v/>
      </c>
      <c r="M1051" s="7" t="n">
        <v/>
      </c>
      <c r="N1051" s="7" t="n">
        <v>3025409335</v>
      </c>
      <c r="O1051" s="7" t="inlineStr">
        <is>
          <t>mariaborja2013@gmail.com</t>
        </is>
      </c>
      <c r="P1051" s="7" t="inlineStr">
        <is>
          <t>SANTA MARTA SEDE</t>
        </is>
      </c>
      <c r="Q1051" s="7" t="inlineStr">
        <is>
          <t>NEGOCIOS</t>
        </is>
      </c>
      <c r="R1051" s="7" t="n">
        <v/>
      </c>
    </row>
    <row r="1052" ht="20" customHeight="1">
      <c r="A1052" s="3" t="inlineStr">
        <is>
          <t>80099466</t>
        </is>
      </c>
      <c r="B1052" s="4" t="inlineStr">
        <is>
          <t>PRESENCIAL BOGOTÁ</t>
        </is>
      </c>
      <c r="C1052" s="4" t="inlineStr">
        <is>
          <t>ALBYN FABIAN LEON BAQUERO</t>
        </is>
      </c>
      <c r="D1052" s="4" t="inlineStr">
        <is>
          <t>OPERACIONES</t>
        </is>
      </c>
      <c r="E1052" s="4" t="inlineStr">
        <is>
          <t>REGIONAL BOGOTA</t>
        </is>
      </c>
      <c r="F1052" s="4" t="inlineStr">
        <is>
          <t>BOGOTA CENTRO</t>
        </is>
      </c>
      <c r="G1052" s="4" t="inlineStr">
        <is>
          <t>VIRTUAL</t>
        </is>
      </c>
      <c r="H1052" s="4" t="inlineStr">
        <is>
          <t>DOC TITULAR/N/V/MT/PUB Y MERC</t>
        </is>
      </c>
      <c r="I1052" s="4" t="inlineStr">
        <is>
          <t>PUBLICIDAD Y MERCADEO</t>
        </is>
      </c>
      <c r="J1052" s="4" t="inlineStr">
        <is>
          <t>REINTEGRO</t>
        </is>
      </c>
      <c r="K1052" s="4" t="inlineStr">
        <is>
          <t>JESSICA BARON</t>
        </is>
      </c>
      <c r="L1052" s="4" t="n">
        <v/>
      </c>
      <c r="M1052" s="4" t="n">
        <v/>
      </c>
      <c r="N1052" s="4" t="n">
        <v>3102307445</v>
      </c>
      <c r="O1052" s="4" t="inlineStr">
        <is>
          <t>fabianleon.abogado@gmail.com</t>
        </is>
      </c>
      <c r="P1052" s="4" t="inlineStr">
        <is>
          <t>BTA SEDE A</t>
        </is>
      </c>
      <c r="Q1052" s="4" t="inlineStr">
        <is>
          <t>NEGOCIOS</t>
        </is>
      </c>
      <c r="R1052" s="4" t="n">
        <v>204</v>
      </c>
    </row>
    <row r="1053" ht="20" customHeight="1">
      <c r="A1053" s="6" t="inlineStr">
        <is>
          <t>1019011304</t>
        </is>
      </c>
      <c r="B1053" s="7" t="inlineStr">
        <is>
          <t>PRESENCIAL BOGOTÁ</t>
        </is>
      </c>
      <c r="C1053" s="7" t="inlineStr">
        <is>
          <t>KAREN PAOLA GALINDO RONDON</t>
        </is>
      </c>
      <c r="D1053" s="7" t="inlineStr">
        <is>
          <t>OPERACIONES</t>
        </is>
      </c>
      <c r="E1053" s="7" t="inlineStr">
        <is>
          <t>REGIONAL BOGOTA</t>
        </is>
      </c>
      <c r="F1053" s="7" t="inlineStr">
        <is>
          <t>BOGOTA CENTRO</t>
        </is>
      </c>
      <c r="G1053" s="7" t="inlineStr">
        <is>
          <t>VIRTUAL</t>
        </is>
      </c>
      <c r="H1053" s="7" t="inlineStr">
        <is>
          <t>DOC ASIS/N/V/MT/SOCIOHUMANISTI</t>
        </is>
      </c>
      <c r="I1053" s="7" t="inlineStr">
        <is>
          <t>SOCIOHUMANISTICA</t>
        </is>
      </c>
      <c r="J1053" s="7" t="inlineStr">
        <is>
          <t>REINTEGRO</t>
        </is>
      </c>
      <c r="K1053" s="7" t="inlineStr">
        <is>
          <t>JESSICA BARON</t>
        </is>
      </c>
      <c r="L1053" s="7" t="n">
        <v/>
      </c>
      <c r="M1053" s="7" t="n">
        <v/>
      </c>
      <c r="N1053" s="7" t="n">
        <v>3202192812</v>
      </c>
      <c r="O1053" s="7" t="inlineStr">
        <is>
          <t>karenpao8@gmail.com</t>
        </is>
      </c>
      <c r="P1053" s="7" t="inlineStr">
        <is>
          <t>BTA SEDE A</t>
        </is>
      </c>
      <c r="Q1053" s="7" t="inlineStr">
        <is>
          <t>TRANSVERSALES</t>
        </is>
      </c>
      <c r="R1053" s="7" t="n">
        <v>801</v>
      </c>
    </row>
    <row r="1054" ht="20" customHeight="1">
      <c r="A1054" s="3" t="inlineStr">
        <is>
          <t>1026575769</t>
        </is>
      </c>
      <c r="B1054" s="4" t="inlineStr">
        <is>
          <t>PRESENCIAL BOGOTÁ</t>
        </is>
      </c>
      <c r="C1054" s="4" t="inlineStr">
        <is>
          <t>LAURA CAMILA SANCHEZ LOMBANA</t>
        </is>
      </c>
      <c r="D1054" s="4" t="inlineStr">
        <is>
          <t>OPERACIONES</t>
        </is>
      </c>
      <c r="E1054" s="4" t="inlineStr">
        <is>
          <t>REGIONAL BOGOTA</t>
        </is>
      </c>
      <c r="F1054" s="4" t="inlineStr">
        <is>
          <t>BOGOTA CENTRO</t>
        </is>
      </c>
      <c r="G1054" s="4" t="inlineStr">
        <is>
          <t>VIRTUAL</t>
        </is>
      </c>
      <c r="H1054" s="4" t="inlineStr">
        <is>
          <t>DOC AUX/N/V/MT/SOCIOHUMANISTI</t>
        </is>
      </c>
      <c r="I1054" s="4" t="inlineStr">
        <is>
          <t>SOCIOHUMANISTICA</t>
        </is>
      </c>
      <c r="J1054" s="4" t="inlineStr">
        <is>
          <t>REINTEGRO</t>
        </is>
      </c>
      <c r="K1054" s="4" t="inlineStr">
        <is>
          <t>JESSICA BARON</t>
        </is>
      </c>
      <c r="L1054" s="4" t="n">
        <v/>
      </c>
      <c r="M1054" s="4" t="n">
        <v/>
      </c>
      <c r="N1054" s="4" t="n">
        <v>3188385047</v>
      </c>
      <c r="O1054" s="4" t="inlineStr">
        <is>
          <t>abogadalaurasanchez3@gmail.com</t>
        </is>
      </c>
      <c r="P1054" s="4" t="inlineStr">
        <is>
          <t>BTA SEDE A</t>
        </is>
      </c>
      <c r="Q1054" s="4" t="inlineStr">
        <is>
          <t>TRANSVERSALES</t>
        </is>
      </c>
      <c r="R1054" s="4" t="n">
        <v>801</v>
      </c>
    </row>
    <row r="1055" ht="20" customHeight="1">
      <c r="A1055" s="6" t="inlineStr">
        <is>
          <t>1020824840</t>
        </is>
      </c>
      <c r="B1055" s="7" t="inlineStr">
        <is>
          <t>PRESENCIAL BOGOTÁ</t>
        </is>
      </c>
      <c r="C1055" s="7" t="inlineStr">
        <is>
          <t>ESTEFANIA VELASQUEZ GONZALEZ</t>
        </is>
      </c>
      <c r="D1055" s="7" t="inlineStr">
        <is>
          <t>OPERACIONES</t>
        </is>
      </c>
      <c r="E1055" s="7" t="inlineStr">
        <is>
          <t>REGIONAL BOGOTA</t>
        </is>
      </c>
      <c r="F1055" s="7" t="inlineStr">
        <is>
          <t>BOGOTA CENTRO</t>
        </is>
      </c>
      <c r="G1055" s="7" t="inlineStr">
        <is>
          <t>VIRTUAL</t>
        </is>
      </c>
      <c r="H1055" s="7" t="inlineStr">
        <is>
          <t>DOC ASIS/N/V/MT/SOCIOHUMANISTI</t>
        </is>
      </c>
      <c r="I1055" s="7" t="inlineStr">
        <is>
          <t>SOCIOHUMANISTICA</t>
        </is>
      </c>
      <c r="J1055" s="7" t="inlineStr">
        <is>
          <t>REINTEGRO</t>
        </is>
      </c>
      <c r="K1055" s="7" t="inlineStr">
        <is>
          <t>JESSICA BARON</t>
        </is>
      </c>
      <c r="L1055" s="7" t="n">
        <v/>
      </c>
      <c r="M1055" s="7" t="n">
        <v/>
      </c>
      <c r="N1055" s="7" t="n">
        <v>3186282011</v>
      </c>
      <c r="O1055" s="7" t="inlineStr">
        <is>
          <t>STEPHANYGONZA321@HOTMAIL.COM</t>
        </is>
      </c>
      <c r="P1055" s="7" t="inlineStr">
        <is>
          <t>BTA SEDE A</t>
        </is>
      </c>
      <c r="Q1055" s="7" t="inlineStr">
        <is>
          <t>TRANSVERSALES</t>
        </is>
      </c>
      <c r="R1055" s="7" t="n">
        <v>801</v>
      </c>
    </row>
    <row r="1056" ht="20" customHeight="1">
      <c r="A1056" s="3" t="inlineStr">
        <is>
          <t>79633831</t>
        </is>
      </c>
      <c r="B1056" s="4" t="inlineStr">
        <is>
          <t>PRESENCIAL BOGOTÁ</t>
        </is>
      </c>
      <c r="C1056" s="4" t="inlineStr">
        <is>
          <t>NICOLAS BERNARDO NAVAS GONZALEZ</t>
        </is>
      </c>
      <c r="D1056" s="4" t="inlineStr">
        <is>
          <t>OPERACIONES</t>
        </is>
      </c>
      <c r="E1056" s="4" t="inlineStr">
        <is>
          <t>REGIONAL BOGOTA</t>
        </is>
      </c>
      <c r="F1056" s="4" t="inlineStr">
        <is>
          <t>BOGOTA CENTRO</t>
        </is>
      </c>
      <c r="G1056" s="4" t="inlineStr">
        <is>
          <t>VIRTUAL</t>
        </is>
      </c>
      <c r="H1056" s="4" t="inlineStr">
        <is>
          <t>DOC AUX/N/V/MT/SOCIOHUMANISTI</t>
        </is>
      </c>
      <c r="I1056" s="4" t="inlineStr">
        <is>
          <t>SOCIOHUMANISTICA</t>
        </is>
      </c>
      <c r="J1056" s="4" t="inlineStr">
        <is>
          <t>REINTEGRO</t>
        </is>
      </c>
      <c r="K1056" s="4" t="inlineStr">
        <is>
          <t>JESSICA BARON</t>
        </is>
      </c>
      <c r="L1056" s="4" t="n">
        <v/>
      </c>
      <c r="M1056" s="4" t="n">
        <v/>
      </c>
      <c r="N1056" s="4" t="n">
        <v>3202045167</v>
      </c>
      <c r="O1056" s="4" t="inlineStr">
        <is>
          <t>nbnavasg@gmail.com</t>
        </is>
      </c>
      <c r="P1056" s="4" t="inlineStr">
        <is>
          <t>BTA SEDE F</t>
        </is>
      </c>
      <c r="Q1056" s="4" t="inlineStr">
        <is>
          <t>TRANSVERSALES</t>
        </is>
      </c>
      <c r="R1056" s="4" t="n">
        <v>801</v>
      </c>
    </row>
    <row r="1057" ht="20" customHeight="1">
      <c r="A1057" s="6" t="inlineStr">
        <is>
          <t>1010245467</t>
        </is>
      </c>
      <c r="B1057" s="7" t="inlineStr">
        <is>
          <t>PRESENCIAL BOGOTÁ</t>
        </is>
      </c>
      <c r="C1057" s="7" t="inlineStr">
        <is>
          <t>LUISA FERNANDA SOLANO MILQUEZ</t>
        </is>
      </c>
      <c r="D1057" s="7" t="inlineStr">
        <is>
          <t>OPERACIONES</t>
        </is>
      </c>
      <c r="E1057" s="7" t="inlineStr">
        <is>
          <t>REGIONAL BOGOTA</t>
        </is>
      </c>
      <c r="F1057" s="7" t="inlineStr">
        <is>
          <t>BOGOTA CENTRO</t>
        </is>
      </c>
      <c r="G1057" s="7" t="inlineStr">
        <is>
          <t>VIRTUAL</t>
        </is>
      </c>
      <c r="H1057" s="7" t="inlineStr">
        <is>
          <t>DOC AUX/N/V/MT/SOCIOHUMANISTI</t>
        </is>
      </c>
      <c r="I1057" s="7" t="inlineStr">
        <is>
          <t>SOCIOHUMANISTICA</t>
        </is>
      </c>
      <c r="J1057" s="7" t="inlineStr">
        <is>
          <t>REINTEGRO</t>
        </is>
      </c>
      <c r="K1057" s="7" t="inlineStr">
        <is>
          <t>JESSICA BARON</t>
        </is>
      </c>
      <c r="L1057" s="7" t="n">
        <v/>
      </c>
      <c r="M1057" s="7" t="n">
        <v/>
      </c>
      <c r="N1057" s="7" t="n">
        <v>3204787284</v>
      </c>
      <c r="O1057" s="7" t="inlineStr">
        <is>
          <t>luisa.solanom99@gmail.com</t>
        </is>
      </c>
      <c r="P1057" s="7" t="inlineStr">
        <is>
          <t>BTA SEDE A</t>
        </is>
      </c>
      <c r="Q1057" s="7" t="inlineStr">
        <is>
          <t>TRANSVERSALES</t>
        </is>
      </c>
      <c r="R1057" s="7" t="n">
        <v>801</v>
      </c>
    </row>
    <row r="1058" ht="20" customHeight="1">
      <c r="A1058" s="3" t="inlineStr">
        <is>
          <t>1030524637</t>
        </is>
      </c>
      <c r="B1058" s="4" t="inlineStr">
        <is>
          <t>PRESENCIAL BOGOTÁ</t>
        </is>
      </c>
      <c r="C1058" s="4" t="inlineStr">
        <is>
          <t>CARLOS ANDRES ARIAS PINEDA</t>
        </is>
      </c>
      <c r="D1058" s="4" t="inlineStr">
        <is>
          <t>OPERACIONES</t>
        </is>
      </c>
      <c r="E1058" s="4" t="inlineStr">
        <is>
          <t>REGIONAL BOGOTA</t>
        </is>
      </c>
      <c r="F1058" s="4" t="inlineStr">
        <is>
          <t>BOGOTA CENTRO</t>
        </is>
      </c>
      <c r="G1058" s="4" t="inlineStr">
        <is>
          <t>VIRTUAL</t>
        </is>
      </c>
      <c r="H1058" s="4" t="inlineStr">
        <is>
          <t>DOC ASIS/N/V/TC/ESP GERE DE PROY/FUN.ACA</t>
        </is>
      </c>
      <c r="I1058" s="4" t="inlineStr">
        <is>
          <t>ESPECIALIZACION EN GERENCIA DE PROYECTOS</t>
        </is>
      </c>
      <c r="J1058" s="4" t="inlineStr">
        <is>
          <t>NUEVO</t>
        </is>
      </c>
      <c r="K1058" s="4" t="inlineStr">
        <is>
          <t>JESSICA BARON</t>
        </is>
      </c>
      <c r="L1058" s="4" t="n">
        <v/>
      </c>
      <c r="M1058" s="4" t="n">
        <v/>
      </c>
      <c r="N1058" s="4" t="n">
        <v>3046467866</v>
      </c>
      <c r="O1058" s="4" t="inlineStr">
        <is>
          <t>carlosandresarias1030@gmail.com</t>
        </is>
      </c>
      <c r="P1058" s="4" t="inlineStr">
        <is>
          <t>BTA SEDE A</t>
        </is>
      </c>
      <c r="Q1058" s="4" t="inlineStr">
        <is>
          <t>ESPECIALIZACIONES</t>
        </is>
      </c>
      <c r="R1058" s="4" t="n">
        <v>603</v>
      </c>
    </row>
    <row r="1059" ht="20" customHeight="1">
      <c r="A1059" s="6" t="inlineStr">
        <is>
          <t>1018506709</t>
        </is>
      </c>
      <c r="B1059" s="7" t="inlineStr">
        <is>
          <t>PRESENCIAL REGIONAL</t>
        </is>
      </c>
      <c r="C1059" s="7" t="inlineStr">
        <is>
          <t>DANIEL ALBERTO PELAEZ GOMEZ</t>
        </is>
      </c>
      <c r="D1059" s="7" t="inlineStr">
        <is>
          <t>OPERACIONES</t>
        </is>
      </c>
      <c r="E1059" s="7" t="inlineStr">
        <is>
          <t>REGIONAL TOLIMA</t>
        </is>
      </c>
      <c r="F1059" s="7" t="inlineStr">
        <is>
          <t>IBAGUÉ</t>
        </is>
      </c>
      <c r="G1059" s="7" t="inlineStr">
        <is>
          <t>PRESENCIAL</t>
        </is>
      </c>
      <c r="H1059" s="7" t="inlineStr">
        <is>
          <t>DOC AUX T&amp;T/N/MT/MAR DIG</t>
        </is>
      </c>
      <c r="I1059" s="7" t="inlineStr">
        <is>
          <t>MARKETING DIGITAL</t>
        </is>
      </c>
      <c r="J1059" s="7" t="inlineStr">
        <is>
          <t>NUEVO</t>
        </is>
      </c>
      <c r="K1059" s="7" t="inlineStr">
        <is>
          <t>JESSICA BARON</t>
        </is>
      </c>
      <c r="L1059" s="7" t="n">
        <v/>
      </c>
      <c r="M1059" s="7" t="n">
        <v/>
      </c>
      <c r="N1059" s="7" t="n">
        <v>3013289062</v>
      </c>
      <c r="O1059" s="7" t="inlineStr">
        <is>
          <t>DANIELPELAEZG@HOTMAIL.COM</t>
        </is>
      </c>
      <c r="P1059" s="7" t="inlineStr">
        <is>
          <t>IBAGUE SEDE</t>
        </is>
      </c>
      <c r="Q1059" s="7" t="inlineStr">
        <is>
          <t>BELLAS ARTES</t>
        </is>
      </c>
      <c r="R1059" s="7" t="n">
        <v/>
      </c>
    </row>
    <row r="1060" ht="20" customHeight="1">
      <c r="A1060" s="3" t="inlineStr">
        <is>
          <t>1090362638</t>
        </is>
      </c>
      <c r="B1060" s="4" t="inlineStr">
        <is>
          <t>PRESENCIAL BOGOTÁ</t>
        </is>
      </c>
      <c r="C1060" s="4" t="inlineStr">
        <is>
          <t>LILIANA ISABEL NAVAS CASADIEGO</t>
        </is>
      </c>
      <c r="D1060" s="4" t="inlineStr">
        <is>
          <t>OPERACIONES</t>
        </is>
      </c>
      <c r="E1060" s="4" t="inlineStr">
        <is>
          <t>REGIONAL BOGOTA</t>
        </is>
      </c>
      <c r="F1060" s="4" t="inlineStr">
        <is>
          <t>BOGOTA CENTRO</t>
        </is>
      </c>
      <c r="G1060" s="4" t="inlineStr">
        <is>
          <t>VIRTUAL</t>
        </is>
      </c>
      <c r="H1060" s="4" t="inlineStr">
        <is>
          <t>DOC AUX/N/V/MT/CONTADURIA</t>
        </is>
      </c>
      <c r="I1060" s="4" t="inlineStr">
        <is>
          <t>CONTADURIA PUBLICA</t>
        </is>
      </c>
      <c r="J1060" s="4" t="inlineStr">
        <is>
          <t>NUEVO</t>
        </is>
      </c>
      <c r="K1060" s="4" t="inlineStr">
        <is>
          <t>JESSICA BARON</t>
        </is>
      </c>
      <c r="L1060" s="4" t="n">
        <v/>
      </c>
      <c r="M1060" s="4" t="n">
        <v/>
      </c>
      <c r="N1060" s="4" t="n">
        <v>3008975597</v>
      </c>
      <c r="O1060" s="4" t="inlineStr">
        <is>
          <t>LINANAVAS001@GMAIL.COM</t>
        </is>
      </c>
      <c r="P1060" s="4" t="inlineStr">
        <is>
          <t>BTA SEDE A</t>
        </is>
      </c>
      <c r="Q1060" s="4" t="inlineStr">
        <is>
          <t>NEGOCIOS</t>
        </is>
      </c>
      <c r="R1060" s="4" t="n">
        <v>204</v>
      </c>
    </row>
    <row r="1061" ht="20" customHeight="1">
      <c r="A1061" s="6" t="inlineStr">
        <is>
          <t>1152941481</t>
        </is>
      </c>
      <c r="B1061" s="7" t="inlineStr">
        <is>
          <t>VIRTUAL</t>
        </is>
      </c>
      <c r="C1061" s="7" t="inlineStr">
        <is>
          <t>TYFFANI MARCELA RUIZ ARCON</t>
        </is>
      </c>
      <c r="D1061" s="7" t="inlineStr">
        <is>
          <t>OPERACIONES</t>
        </is>
      </c>
      <c r="E1061" s="7" t="inlineStr">
        <is>
          <t>REGIONAL MAGDALENA</t>
        </is>
      </c>
      <c r="F1061" s="7" t="inlineStr">
        <is>
          <t>SANTA MARTA</t>
        </is>
      </c>
      <c r="G1061" s="7" t="inlineStr">
        <is>
          <t>PRESENCIAL</t>
        </is>
      </c>
      <c r="H1061" s="7" t="inlineStr">
        <is>
          <t>DOC AUX/N/MT/ADM SEG</t>
        </is>
      </c>
      <c r="I1061" s="7" t="inlineStr">
        <is>
          <t>ADMINISTRATCION SEGURIDAD Y SALUD EN EL TRABAJO</t>
        </is>
      </c>
      <c r="J1061" s="7" t="inlineStr">
        <is>
          <t>NUEVO</t>
        </is>
      </c>
      <c r="K1061" s="7" t="inlineStr">
        <is>
          <t>JESSICA BARON</t>
        </is>
      </c>
      <c r="L1061" s="7" t="n">
        <v/>
      </c>
      <c r="M1061" s="7" t="n">
        <v/>
      </c>
      <c r="N1061" s="7" t="n">
        <v>3017420989</v>
      </c>
      <c r="O1061" s="7" t="inlineStr">
        <is>
          <t>TYFFANIRAR22@GMAIL.COM</t>
        </is>
      </c>
      <c r="P1061" s="7" t="inlineStr">
        <is>
          <t>SANTA MARTA SEDE</t>
        </is>
      </c>
      <c r="Q1061" s="7" t="inlineStr">
        <is>
          <t>TRANSFORMACIÓN EMPRESARIAL</t>
        </is>
      </c>
      <c r="R1061" s="7" t="n">
        <v/>
      </c>
    </row>
    <row r="1062" ht="20" customHeight="1">
      <c r="A1062" s="3" t="inlineStr">
        <is>
          <t>1083017970</t>
        </is>
      </c>
      <c r="B1062" s="4" t="inlineStr">
        <is>
          <t>VIRTUAL</t>
        </is>
      </c>
      <c r="C1062" s="4" t="inlineStr">
        <is>
          <t>DANIELA ISABEL FONTALVO ROJANO</t>
        </is>
      </c>
      <c r="D1062" s="4" t="inlineStr">
        <is>
          <t>OPERACIONES</t>
        </is>
      </c>
      <c r="E1062" s="4" t="inlineStr">
        <is>
          <t>REGIONAL MAGDALENA</t>
        </is>
      </c>
      <c r="F1062" s="4" t="inlineStr">
        <is>
          <t>SANTA MARTA</t>
        </is>
      </c>
      <c r="G1062" s="4" t="inlineStr">
        <is>
          <t>PRESENCIAL</t>
        </is>
      </c>
      <c r="H1062" s="4" t="inlineStr">
        <is>
          <t>DOC AUX/N/MT/MAR DIG</t>
        </is>
      </c>
      <c r="I1062" s="4" t="inlineStr">
        <is>
          <t>MARKETING DIGITAL</t>
        </is>
      </c>
      <c r="J1062" s="4" t="inlineStr">
        <is>
          <t>NUEVO</t>
        </is>
      </c>
      <c r="K1062" s="4" t="inlineStr">
        <is>
          <t>JESSICA BARON</t>
        </is>
      </c>
      <c r="L1062" s="4" t="n">
        <v/>
      </c>
      <c r="M1062" s="4" t="n">
        <v/>
      </c>
      <c r="N1062" s="4" t="n">
        <v>3043257370</v>
      </c>
      <c r="O1062" s="4" t="inlineStr">
        <is>
          <t>FONTIDANIELA96@GMAIL.COM</t>
        </is>
      </c>
      <c r="P1062" s="4" t="inlineStr">
        <is>
          <t>SANTA MARTA SEDE</t>
        </is>
      </c>
      <c r="Q1062" s="4" t="inlineStr">
        <is>
          <t>BELLAS ARTES</t>
        </is>
      </c>
      <c r="R1062" s="4" t="n">
        <v/>
      </c>
    </row>
    <row r="1063" ht="20" customHeight="1">
      <c r="A1063" s="6" t="inlineStr">
        <is>
          <t>1098776027</t>
        </is>
      </c>
      <c r="B1063" s="7" t="inlineStr">
        <is>
          <t>PRESENCIAL REGIONAL</t>
        </is>
      </c>
      <c r="C1063" s="7" t="inlineStr">
        <is>
          <t>NICOLAS SANTIAGO ARIAS QUINTERO</t>
        </is>
      </c>
      <c r="D1063" s="7" t="inlineStr">
        <is>
          <t>OPERACIONES</t>
        </is>
      </c>
      <c r="E1063" s="7" t="inlineStr">
        <is>
          <t>REGIONAL ANTIOQUIA</t>
        </is>
      </c>
      <c r="F1063" s="7" t="inlineStr">
        <is>
          <t>MEDELLIN</t>
        </is>
      </c>
      <c r="G1063" s="7" t="inlineStr">
        <is>
          <t>VIRTUAL</t>
        </is>
      </c>
      <c r="H1063" s="7" t="inlineStr">
        <is>
          <t>DOC AUX T&amp;T/N/V/MT/CONTADURIA</t>
        </is>
      </c>
      <c r="I1063" s="7" t="inlineStr">
        <is>
          <t>CONTADURIA PUBLICA</t>
        </is>
      </c>
      <c r="J1063" s="7" t="inlineStr">
        <is>
          <t>NUEVO</t>
        </is>
      </c>
      <c r="K1063" s="7" t="inlineStr">
        <is>
          <t>JESSICA BARON</t>
        </is>
      </c>
      <c r="L1063" s="7" t="n">
        <v/>
      </c>
      <c r="M1063" s="7" t="n">
        <v/>
      </c>
      <c r="N1063" s="7" t="n">
        <v>3126836381</v>
      </c>
      <c r="O1063" s="7" t="inlineStr">
        <is>
          <t>NICOLASSANTIAGOARIAS@GMAIL.COM</t>
        </is>
      </c>
      <c r="P1063" s="7" t="inlineStr">
        <is>
          <t>MEDELLIN SEDE</t>
        </is>
      </c>
      <c r="Q1063" s="7" t="inlineStr">
        <is>
          <t>NEGOCIOS</t>
        </is>
      </c>
      <c r="R1063" s="7" t="n">
        <v/>
      </c>
    </row>
    <row r="1064" ht="20" customHeight="1">
      <c r="A1064" s="3" t="inlineStr">
        <is>
          <t>1001059089</t>
        </is>
      </c>
      <c r="B1064" s="4" t="inlineStr">
        <is>
          <t>PRESENCIAL BOGOTÁ</t>
        </is>
      </c>
      <c r="C1064" s="4" t="inlineStr">
        <is>
          <t>JUAN FELIPE RANGEL TORRES</t>
        </is>
      </c>
      <c r="D1064" s="4" t="inlineStr">
        <is>
          <t>OPERACIONES</t>
        </is>
      </c>
      <c r="E1064" s="4" t="inlineStr">
        <is>
          <t>REGIONAL BOGOTA</t>
        </is>
      </c>
      <c r="F1064" s="4" t="inlineStr">
        <is>
          <t>BOGOTA CENTRO</t>
        </is>
      </c>
      <c r="G1064" s="4" t="inlineStr">
        <is>
          <t>VIRTUAL</t>
        </is>
      </c>
      <c r="H1064" s="4" t="inlineStr">
        <is>
          <t>DOC AUX/N/V/MT/CONTADURIA</t>
        </is>
      </c>
      <c r="I1064" s="4" t="inlineStr">
        <is>
          <t>CONTADURIA PUBLICA</t>
        </is>
      </c>
      <c r="J1064" s="4" t="inlineStr">
        <is>
          <t>NUEVO</t>
        </is>
      </c>
      <c r="K1064" s="4" t="inlineStr">
        <is>
          <t>JESSICA BARON</t>
        </is>
      </c>
      <c r="L1064" s="4" t="n">
        <v/>
      </c>
      <c r="M1064" s="4" t="n">
        <v/>
      </c>
      <c r="N1064" s="4" t="n">
        <v>3123112799</v>
      </c>
      <c r="O1064" s="4" t="inlineStr">
        <is>
          <t>RANGELJUANFELIPE9@GMAIL.COM</t>
        </is>
      </c>
      <c r="P1064" s="4" t="inlineStr">
        <is>
          <t>BTA SEDE A</t>
        </is>
      </c>
      <c r="Q1064" s="4" t="inlineStr">
        <is>
          <t>NEGOCIOS</t>
        </is>
      </c>
      <c r="R1064" s="4" t="n">
        <v>204</v>
      </c>
    </row>
    <row r="1065" ht="20" customHeight="1">
      <c r="A1065" s="6" t="inlineStr">
        <is>
          <t>1022356564</t>
        </is>
      </c>
      <c r="B1065" s="7" t="inlineStr">
        <is>
          <t>PRESENCIAL BOGOTÁ</t>
        </is>
      </c>
      <c r="C1065" s="7" t="inlineStr">
        <is>
          <t>KAREN LORENA CARRILLO MAHECHA</t>
        </is>
      </c>
      <c r="D1065" s="7" t="inlineStr">
        <is>
          <t>OPERACIONES</t>
        </is>
      </c>
      <c r="E1065" s="7" t="inlineStr">
        <is>
          <t>REGIONAL BOGOTA</t>
        </is>
      </c>
      <c r="F1065" s="7" t="inlineStr">
        <is>
          <t>BOGOTA CENTRO</t>
        </is>
      </c>
      <c r="G1065" s="7" t="inlineStr">
        <is>
          <t>VIRTUAL</t>
        </is>
      </c>
      <c r="H1065" s="7" t="inlineStr">
        <is>
          <t>DOC AUX/N/V/MT/CONTADURIA</t>
        </is>
      </c>
      <c r="I1065" s="7" t="inlineStr">
        <is>
          <t>CONTADURIA PUBLICA</t>
        </is>
      </c>
      <c r="J1065" s="7" t="inlineStr">
        <is>
          <t>NUEVO</t>
        </is>
      </c>
      <c r="K1065" s="7" t="inlineStr">
        <is>
          <t>JESSICA BARON</t>
        </is>
      </c>
      <c r="L1065" s="7" t="n">
        <v/>
      </c>
      <c r="M1065" s="7" t="n">
        <v/>
      </c>
      <c r="N1065" s="7" t="n">
        <v>3144787672</v>
      </c>
      <c r="O1065" s="7" t="inlineStr">
        <is>
          <t>KARENLORENACARRILLO@GMAIL.COM</t>
        </is>
      </c>
      <c r="P1065" s="7" t="inlineStr">
        <is>
          <t>BTA SEDE A</t>
        </is>
      </c>
      <c r="Q1065" s="7" t="inlineStr">
        <is>
          <t>NEGOCIOS</t>
        </is>
      </c>
      <c r="R1065" s="7" t="n">
        <v>204</v>
      </c>
    </row>
    <row r="1066" ht="20" customHeight="1">
      <c r="A1066" s="3" t="inlineStr">
        <is>
          <t>1018496380</t>
        </is>
      </c>
      <c r="B1066" s="4" t="inlineStr">
        <is>
          <t>PRESENCIAL BOGOTÁ</t>
        </is>
      </c>
      <c r="C1066" s="4" t="inlineStr">
        <is>
          <t>MARIA JOSE ERAZO ORTIZ</t>
        </is>
      </c>
      <c r="D1066" s="4" t="inlineStr">
        <is>
          <t>OPERACIONES</t>
        </is>
      </c>
      <c r="E1066" s="4" t="inlineStr">
        <is>
          <t>REGIONAL BOGOTA</t>
        </is>
      </c>
      <c r="F1066" s="4" t="inlineStr">
        <is>
          <t>BOGOTA CENTRO</t>
        </is>
      </c>
      <c r="G1066" s="4" t="inlineStr">
        <is>
          <t>PRESENCIAL</t>
        </is>
      </c>
      <c r="H1066" s="4" t="inlineStr">
        <is>
          <t>DOC ASIS/N/TC/EMPRENDIMIENTO/FUN.ACADE-ADMIN</t>
        </is>
      </c>
      <c r="I1066" s="4" t="inlineStr">
        <is>
          <t>EMPRENDIMIENTO</t>
        </is>
      </c>
      <c r="J1066" s="4" t="inlineStr">
        <is>
          <t>NUEVO</t>
        </is>
      </c>
      <c r="K1066" s="4" t="inlineStr">
        <is>
          <t>JESSICA BARON</t>
        </is>
      </c>
      <c r="L1066" s="4" t="n">
        <v/>
      </c>
      <c r="M1066" s="4" t="n">
        <v/>
      </c>
      <c r="N1066" s="4" t="n">
        <v>3169860346</v>
      </c>
      <c r="O1066" s="4" t="inlineStr">
        <is>
          <t>MJEO97@GMAIL.COM</t>
        </is>
      </c>
      <c r="P1066" s="4" t="inlineStr">
        <is>
          <t>BTA SEDE A</t>
        </is>
      </c>
      <c r="Q1066" s="4" t="inlineStr">
        <is>
          <t>TRANSVERSALES</t>
        </is>
      </c>
      <c r="R1066" s="4" t="n">
        <v>801</v>
      </c>
    </row>
    <row r="1067" ht="20" customHeight="1">
      <c r="A1067" s="6" t="inlineStr">
        <is>
          <t>1012450022</t>
        </is>
      </c>
      <c r="B1067" s="7" t="inlineStr">
        <is>
          <t>PRESENCIAL BOGOTÁ</t>
        </is>
      </c>
      <c r="C1067" s="7" t="inlineStr">
        <is>
          <t>IVAN DAVID DOMINGUEZ CRUZ</t>
        </is>
      </c>
      <c r="D1067" s="7" t="inlineStr">
        <is>
          <t>OPERACIONES</t>
        </is>
      </c>
      <c r="E1067" s="7" t="inlineStr">
        <is>
          <t>REGIONAL BOGOTA</t>
        </is>
      </c>
      <c r="F1067" s="7" t="inlineStr">
        <is>
          <t>BOGOTA CENTRO</t>
        </is>
      </c>
      <c r="G1067" s="7" t="inlineStr">
        <is>
          <t>PRESENCIAL</t>
        </is>
      </c>
      <c r="H1067" s="7" t="inlineStr">
        <is>
          <t>DOC AUX T&amp;T/N/TC/DIR PROD ME AUD/FUN.ACADE-ADMIN</t>
        </is>
      </c>
      <c r="I1067" s="7" t="inlineStr">
        <is>
          <t>DIRECCION Y PRODUCCION DE MEDIOS AUDIOVISUALES</t>
        </is>
      </c>
      <c r="J1067" s="7" t="inlineStr">
        <is>
          <t>NUEVO</t>
        </is>
      </c>
      <c r="K1067" s="7" t="inlineStr">
        <is>
          <t>JESSICA BARON</t>
        </is>
      </c>
      <c r="L1067" s="7" t="n">
        <v/>
      </c>
      <c r="M1067" s="7" t="n">
        <v/>
      </c>
      <c r="N1067" s="7" t="n">
        <v>3057778840</v>
      </c>
      <c r="O1067" s="7" t="inlineStr">
        <is>
          <t>IVANDDOM@GMAIL.COM</t>
        </is>
      </c>
      <c r="P1067" s="7" t="inlineStr">
        <is>
          <t>BTA SEDE A</t>
        </is>
      </c>
      <c r="Q1067" s="7" t="inlineStr">
        <is>
          <t>BELLAS ARTES</t>
        </is>
      </c>
      <c r="R1067" s="7" t="n">
        <v>403</v>
      </c>
    </row>
    <row r="1068" ht="20" customHeight="1">
      <c r="A1068" s="3" t="inlineStr">
        <is>
          <t>1098688290</t>
        </is>
      </c>
      <c r="B1068" s="4" t="inlineStr">
        <is>
          <t>PRESENCIAL BOGOTÁ</t>
        </is>
      </c>
      <c r="C1068" s="4" t="inlineStr">
        <is>
          <t>MAYRA ALEJANDRA RIVERA GARCIA</t>
        </is>
      </c>
      <c r="D1068" s="4" t="inlineStr">
        <is>
          <t>OPERACIONES</t>
        </is>
      </c>
      <c r="E1068" s="4" t="inlineStr">
        <is>
          <t>REGIONAL BOGOTA</t>
        </is>
      </c>
      <c r="F1068" s="4" t="inlineStr">
        <is>
          <t>BOGOTA CENTRO</t>
        </is>
      </c>
      <c r="G1068" s="4" t="inlineStr">
        <is>
          <t>VIRTUAL</t>
        </is>
      </c>
      <c r="H1068" s="4" t="inlineStr">
        <is>
          <t>DOC ASIS/N/V/TC/ESP PROSP ESTR/FUN.ACA</t>
        </is>
      </c>
      <c r="I1068" s="4" t="inlineStr">
        <is>
          <t>ESPECIALIZACION EN PROSPECTIVA ESTRATEGICA</t>
        </is>
      </c>
      <c r="J1068" s="4" t="inlineStr">
        <is>
          <t>NUEVO</t>
        </is>
      </c>
      <c r="K1068" s="4" t="inlineStr">
        <is>
          <t>JESSICA BARON</t>
        </is>
      </c>
      <c r="L1068" s="4" t="n">
        <v/>
      </c>
      <c r="M1068" s="4" t="n">
        <v/>
      </c>
      <c r="N1068" s="4" t="n">
        <v>3172205721</v>
      </c>
      <c r="O1068" s="4" t="inlineStr">
        <is>
          <t>ALE_RIVERA612@HOTMAIL.COM</t>
        </is>
      </c>
      <c r="P1068" s="4" t="inlineStr">
        <is>
          <t>BTA SEDE A</t>
        </is>
      </c>
      <c r="Q1068" s="4" t="inlineStr">
        <is>
          <t>ESPECIALIZACIONES</t>
        </is>
      </c>
      <c r="R1068" s="4" t="n">
        <v>603</v>
      </c>
    </row>
    <row r="1069" ht="20" customHeight="1">
      <c r="A1069" s="6" t="inlineStr">
        <is>
          <t>1117539845</t>
        </is>
      </c>
      <c r="B1069" s="7" t="inlineStr">
        <is>
          <t>PRESENCIAL BOGOTÁ</t>
        </is>
      </c>
      <c r="C1069" s="7" t="inlineStr">
        <is>
          <t>JARRINSON ALEJANDRO JIMENEZ FAJARDO</t>
        </is>
      </c>
      <c r="D1069" s="7" t="inlineStr">
        <is>
          <t>INNOVACION E INVESTIGACION</t>
        </is>
      </c>
      <c r="E1069" s="7" t="inlineStr">
        <is>
          <t>REGIONAL BOGOTA</t>
        </is>
      </c>
      <c r="F1069" s="7" t="inlineStr">
        <is>
          <t>BOGOTA NORTE</t>
        </is>
      </c>
      <c r="G1069" s="7" t="inlineStr">
        <is>
          <t>PRESENCIAL</t>
        </is>
      </c>
      <c r="H1069" s="7" t="inlineStr">
        <is>
          <t>DOCENTE ASIS/N/TC/INVESTIGA/INVESTIGACIO</t>
        </is>
      </c>
      <c r="I1069" s="7" t="inlineStr">
        <is>
          <t>INVESTIGACIONES</t>
        </is>
      </c>
      <c r="J1069" s="7" t="inlineStr">
        <is>
          <t>NUEVO</t>
        </is>
      </c>
      <c r="K1069" s="7" t="inlineStr">
        <is>
          <t>JESSICA BARON</t>
        </is>
      </c>
      <c r="L1069" s="7" t="n">
        <v/>
      </c>
      <c r="M1069" s="7" t="n">
        <v/>
      </c>
      <c r="N1069" s="7" t="n">
        <v>3104129469</v>
      </c>
      <c r="O1069" s="7" t="inlineStr">
        <is>
          <t>ALEJANDRO.JAJ25@GMAIL.COM</t>
        </is>
      </c>
      <c r="P1069" s="7" t="inlineStr">
        <is>
          <t>BTA SEDE NORTE</t>
        </is>
      </c>
      <c r="Q1069" s="7" t="inlineStr">
        <is>
          <t>INVESTIGACIONES</t>
        </is>
      </c>
      <c r="R1069" s="7" t="inlineStr">
        <is>
          <t>Salón Audiencia sede F</t>
        </is>
      </c>
    </row>
    <row r="1070" ht="20" customHeight="1">
      <c r="A1070" s="3" t="inlineStr">
        <is>
          <t>1001078325</t>
        </is>
      </c>
      <c r="B1070" s="4" t="inlineStr">
        <is>
          <t>PRESENCIAL BOGOTÁ</t>
        </is>
      </c>
      <c r="C1070" s="4" t="inlineStr">
        <is>
          <t>JULY CAROLINA GUTIERREZ GARCIA</t>
        </is>
      </c>
      <c r="D1070" s="4" t="inlineStr">
        <is>
          <t>OPERACIONES</t>
        </is>
      </c>
      <c r="E1070" s="4" t="inlineStr">
        <is>
          <t>REGIONAL BOGOTA</t>
        </is>
      </c>
      <c r="F1070" s="4" t="inlineStr">
        <is>
          <t>BOGOTA CENTRO</t>
        </is>
      </c>
      <c r="G1070" s="4" t="inlineStr">
        <is>
          <t>PRESENCIAL</t>
        </is>
      </c>
      <c r="H1070" s="4" t="inlineStr">
        <is>
          <t>DOC AUX T&amp;T/N/TC/DIS PROD MOD/FUN.ACADE-ADMIN</t>
        </is>
      </c>
      <c r="I1070" s="4" t="inlineStr">
        <is>
          <t>DISEÑO Y PRODUCCION DE MODAS</t>
        </is>
      </c>
      <c r="J1070" s="4" t="inlineStr">
        <is>
          <t>NUEVO</t>
        </is>
      </c>
      <c r="K1070" s="4" t="inlineStr">
        <is>
          <t>JESSICA BARON</t>
        </is>
      </c>
      <c r="L1070" s="4" t="n">
        <v/>
      </c>
      <c r="M1070" s="4" t="n">
        <v/>
      </c>
      <c r="N1070" s="4" t="n">
        <v>3208051307</v>
      </c>
      <c r="O1070" s="4" t="inlineStr">
        <is>
          <t>CAROLINAGUTIERREZ3123@GMAIL.COM</t>
        </is>
      </c>
      <c r="P1070" s="4" t="inlineStr">
        <is>
          <t>BTA SEDE A</t>
        </is>
      </c>
      <c r="Q1070" s="4" t="inlineStr">
        <is>
          <t>BELLAS ARTES</t>
        </is>
      </c>
      <c r="R1070" s="4" t="n">
        <v>403</v>
      </c>
    </row>
    <row r="1071" ht="20" customHeight="1">
      <c r="A1071" s="6" t="inlineStr">
        <is>
          <t>1121881737</t>
        </is>
      </c>
      <c r="B1071" s="7" t="inlineStr">
        <is>
          <t>PRESENCIAL BOGOTÁ</t>
        </is>
      </c>
      <c r="C1071" s="7" t="inlineStr">
        <is>
          <t>JIMMY FERNANDO ARIAS FRANCO</t>
        </is>
      </c>
      <c r="D1071" s="7" t="inlineStr">
        <is>
          <t>OPERACIONES</t>
        </is>
      </c>
      <c r="E1071" s="7" t="inlineStr">
        <is>
          <t>REGIONAL BOGOTA</t>
        </is>
      </c>
      <c r="F1071" s="7" t="inlineStr">
        <is>
          <t>BOGOTA CENTRO</t>
        </is>
      </c>
      <c r="G1071" s="7" t="inlineStr">
        <is>
          <t>PRESENCIAL</t>
        </is>
      </c>
      <c r="H1071" s="7" t="inlineStr">
        <is>
          <t>DOC AUX T&amp;T/N/MT/CIEN BASI</t>
        </is>
      </c>
      <c r="I1071" s="7" t="inlineStr">
        <is>
          <t>CIENCIAS BASICAS</t>
        </is>
      </c>
      <c r="J1071" s="7" t="inlineStr">
        <is>
          <t>NUEVO</t>
        </is>
      </c>
      <c r="K1071" s="7" t="inlineStr">
        <is>
          <t>JESSICA BARON</t>
        </is>
      </c>
      <c r="L1071" s="7" t="n">
        <v/>
      </c>
      <c r="M1071" s="7" t="n">
        <v/>
      </c>
      <c r="N1071" s="7" t="n">
        <v>3227023982</v>
      </c>
      <c r="O1071" s="7" t="inlineStr">
        <is>
          <t>JIMMYARIASFRANCO@GMAIL.COM</t>
        </is>
      </c>
      <c r="P1071" s="7" t="inlineStr">
        <is>
          <t>BTA SEDE A</t>
        </is>
      </c>
      <c r="Q1071" s="7" t="inlineStr">
        <is>
          <t>TRANSVERSALES</t>
        </is>
      </c>
      <c r="R1071" s="7" t="n">
        <v>801</v>
      </c>
    </row>
    <row r="1072" ht="20" customHeight="1">
      <c r="A1072" s="3" t="inlineStr">
        <is>
          <t>1072896519</t>
        </is>
      </c>
      <c r="B1072" s="4" t="inlineStr">
        <is>
          <t>PRESENCIAL BOGOTÁ</t>
        </is>
      </c>
      <c r="C1072" s="4" t="inlineStr">
        <is>
          <t>LINDA GISSELA AGUILERA DOMINGUEZ</t>
        </is>
      </c>
      <c r="D1072" s="4" t="inlineStr">
        <is>
          <t>OPERACIONES</t>
        </is>
      </c>
      <c r="E1072" s="4" t="inlineStr">
        <is>
          <t>REGIONAL BOGOTA</t>
        </is>
      </c>
      <c r="F1072" s="4" t="inlineStr">
        <is>
          <t>BOGOTA CENTRO</t>
        </is>
      </c>
      <c r="G1072" s="4" t="inlineStr">
        <is>
          <t>PRESENCIAL</t>
        </is>
      </c>
      <c r="H1072" s="4" t="inlineStr">
        <is>
          <t>DOCENTE DE CONTENIDOS AUDIOVISUALES</t>
        </is>
      </c>
      <c r="I1072" s="4" t="inlineStr">
        <is>
          <t>DIRECCION Y PRODUCCION DE MEDIOS AUDIOVISUALES</t>
        </is>
      </c>
      <c r="J1072" s="4" t="inlineStr">
        <is>
          <t>NUEVO</t>
        </is>
      </c>
      <c r="K1072" s="4" t="inlineStr">
        <is>
          <t>JESSICA BARON</t>
        </is>
      </c>
      <c r="L1072" s="4" t="n">
        <v/>
      </c>
      <c r="M1072" s="4" t="n">
        <v/>
      </c>
      <c r="N1072" s="4" t="n">
        <v>3164171403</v>
      </c>
      <c r="O1072" s="4" t="inlineStr">
        <is>
          <t>dominguezlinda2023@gmail.com</t>
        </is>
      </c>
      <c r="P1072" s="4" t="inlineStr">
        <is>
          <t>BTA SEDE A</t>
        </is>
      </c>
      <c r="Q1072" s="4" t="inlineStr">
        <is>
          <t>BELLAS ARTES</t>
        </is>
      </c>
      <c r="R1072" s="4" t="n">
        <v>403</v>
      </c>
    </row>
    <row r="1073" ht="20" customHeight="1">
      <c r="A1073" s="6" t="inlineStr">
        <is>
          <t>78031713</t>
        </is>
      </c>
      <c r="B1073" s="7" t="inlineStr">
        <is>
          <t>PRESENCIAL REGIONAL</t>
        </is>
      </c>
      <c r="C1073" s="7" t="inlineStr">
        <is>
          <t>CESAR AUGUSTO GARCIA SUAREZ</t>
        </is>
      </c>
      <c r="D1073" s="7" t="inlineStr">
        <is>
          <t>OPERACIONES</t>
        </is>
      </c>
      <c r="E1073" s="7" t="inlineStr">
        <is>
          <t>REGIONAL CORDOBA</t>
        </is>
      </c>
      <c r="F1073" s="7" t="inlineStr">
        <is>
          <t>MONTERIA</t>
        </is>
      </c>
      <c r="G1073" s="7" t="inlineStr">
        <is>
          <t>PRESENCIAL</t>
        </is>
      </c>
      <c r="H1073" s="7" t="inlineStr">
        <is>
          <t>DOCENTE AUX/N/MT/ING SISTEM</t>
        </is>
      </c>
      <c r="I1073" s="7" t="inlineStr">
        <is>
          <t>INGENIERIA DE SISTEMAS</t>
        </is>
      </c>
      <c r="J1073" s="7" t="inlineStr">
        <is>
          <t>NUEVO</t>
        </is>
      </c>
      <c r="K1073" s="7" t="inlineStr">
        <is>
          <t>JESSICA BARON</t>
        </is>
      </c>
      <c r="L1073" s="7" t="n">
        <v/>
      </c>
      <c r="M1073" s="7" t="n">
        <v/>
      </c>
      <c r="N1073" s="7" t="n">
        <v>3023647319</v>
      </c>
      <c r="O1073" s="7" t="inlineStr">
        <is>
          <t>CESAR.GARCIA.SUAREZ@GMAIL.COM</t>
        </is>
      </c>
      <c r="P1073" s="7" t="inlineStr">
        <is>
          <t>MONTERIA SEDE</t>
        </is>
      </c>
      <c r="Q1073" s="7" t="inlineStr">
        <is>
          <t>INGENIERIA</t>
        </is>
      </c>
      <c r="R1073" s="7" t="n">
        <v/>
      </c>
    </row>
    <row r="1074" ht="20" customHeight="1">
      <c r="A1074" s="3" t="inlineStr">
        <is>
          <t>1147687696</t>
        </is>
      </c>
      <c r="B1074" s="4" t="inlineStr">
        <is>
          <t>PRESENCIAL BOGOTÁ</t>
        </is>
      </c>
      <c r="C1074" s="4" t="inlineStr">
        <is>
          <t>ADRIANA PAOLA RODRIGUEZ ALVAREZ</t>
        </is>
      </c>
      <c r="D1074" s="4" t="inlineStr">
        <is>
          <t>OPERACIONES</t>
        </is>
      </c>
      <c r="E1074" s="4" t="inlineStr">
        <is>
          <t>REGIONAL BOGOTA</t>
        </is>
      </c>
      <c r="F1074" s="4" t="inlineStr">
        <is>
          <t>BOGOTA CENTRO</t>
        </is>
      </c>
      <c r="G1074" s="4" t="inlineStr">
        <is>
          <t>PRESENCIAL</t>
        </is>
      </c>
      <c r="H1074" s="4" t="inlineStr">
        <is>
          <t>DOCENTE ASIS/N/TC/EMPRENDIMIE/FUN.ACADE-ADMIN</t>
        </is>
      </c>
      <c r="I1074" s="4" t="inlineStr">
        <is>
          <t>EMPRENDIMIENTO</t>
        </is>
      </c>
      <c r="J1074" s="4" t="inlineStr">
        <is>
          <t>NUEVO</t>
        </is>
      </c>
      <c r="K1074" s="4" t="inlineStr">
        <is>
          <t>JESSICA BARON</t>
        </is>
      </c>
      <c r="L1074" s="4" t="n">
        <v/>
      </c>
      <c r="M1074" s="4" t="n">
        <v/>
      </c>
      <c r="N1074" s="4" t="n">
        <v>3046195006</v>
      </c>
      <c r="O1074" s="4" t="inlineStr">
        <is>
          <t>ADRIYAYA18@GMAIL.COM</t>
        </is>
      </c>
      <c r="P1074" s="4" t="inlineStr">
        <is>
          <t>BTA SEDE A</t>
        </is>
      </c>
      <c r="Q1074" s="4" t="inlineStr">
        <is>
          <t>TRANSVERSALES</t>
        </is>
      </c>
      <c r="R1074" s="4" t="n">
        <v>801</v>
      </c>
    </row>
    <row r="1075" ht="20" customHeight="1">
      <c r="A1075" s="6" t="inlineStr">
        <is>
          <t>1088324432</t>
        </is>
      </c>
      <c r="B1075" s="7" t="inlineStr">
        <is>
          <t>PRESENCIAL REGIONAL</t>
        </is>
      </c>
      <c r="C1075" s="7" t="inlineStr">
        <is>
          <t>LUIS MIGUEL HERNANDEZ GALVIS</t>
        </is>
      </c>
      <c r="D1075" s="7" t="inlineStr">
        <is>
          <t>OPERACIONES</t>
        </is>
      </c>
      <c r="E1075" s="7" t="inlineStr">
        <is>
          <t>REGIONAL ANTIOQUIA</t>
        </is>
      </c>
      <c r="F1075" s="7" t="inlineStr">
        <is>
          <t>MEDELLIN</t>
        </is>
      </c>
      <c r="G1075" s="7" t="inlineStr">
        <is>
          <t>VIRTUAL</t>
        </is>
      </c>
      <c r="H1075" s="7" t="inlineStr">
        <is>
          <t>DOC ASIS/N/V/TC/ESP GERE DE PROY/FUN.ACA</t>
        </is>
      </c>
      <c r="I1075" s="7" t="inlineStr">
        <is>
          <t>ESPECIALIZACION EN GERENCIA DE PROYECTOS</t>
        </is>
      </c>
      <c r="J1075" s="7" t="inlineStr">
        <is>
          <t>NUEVO</t>
        </is>
      </c>
      <c r="K1075" s="7" t="inlineStr">
        <is>
          <t>JESSICA BARON</t>
        </is>
      </c>
      <c r="L1075" s="7" t="n">
        <v/>
      </c>
      <c r="M1075" s="7" t="n">
        <v/>
      </c>
      <c r="N1075" s="7" t="n">
        <v>3152662161</v>
      </c>
      <c r="O1075" s="7" t="inlineStr">
        <is>
          <t>LUMIGUE95@GMAIL.COM</t>
        </is>
      </c>
      <c r="P1075" s="7" t="inlineStr">
        <is>
          <t>MEDELLIN SEDE</t>
        </is>
      </c>
      <c r="Q1075" s="7" t="inlineStr">
        <is>
          <t>ESPECIALIZACIONES</t>
        </is>
      </c>
      <c r="R1075" s="7" t="n">
        <v/>
      </c>
    </row>
    <row r="1076" ht="20" customHeight="1">
      <c r="A1076" s="3" t="inlineStr">
        <is>
          <t>1110475104</t>
        </is>
      </c>
      <c r="B1076" s="4" t="inlineStr">
        <is>
          <t>PRESENCIAL REGIONAL</t>
        </is>
      </c>
      <c r="C1076" s="4" t="inlineStr">
        <is>
          <t>EDGAR ESTEBAN CAMPOS RAMIREZ</t>
        </is>
      </c>
      <c r="D1076" s="4" t="inlineStr">
        <is>
          <t>OPERACIONES</t>
        </is>
      </c>
      <c r="E1076" s="4" t="inlineStr">
        <is>
          <t>REGIONAL TOLIMA</t>
        </is>
      </c>
      <c r="F1076" s="4" t="inlineStr">
        <is>
          <t>IBAGUÉ</t>
        </is>
      </c>
      <c r="G1076" s="4" t="inlineStr">
        <is>
          <t>PRESENCIAL</t>
        </is>
      </c>
      <c r="H1076" s="4" t="inlineStr">
        <is>
          <t>DOCENTE AUX/N/MT/DIS GRAFICO</t>
        </is>
      </c>
      <c r="I1076" s="4" t="inlineStr">
        <is>
          <t>DISEÑO GRAFICO</t>
        </is>
      </c>
      <c r="J1076" s="4" t="inlineStr">
        <is>
          <t>PLANTA</t>
        </is>
      </c>
      <c r="K1076" s="4" t="inlineStr">
        <is>
          <t>JESSICA BARON</t>
        </is>
      </c>
      <c r="L1076" s="4" t="n">
        <v/>
      </c>
      <c r="M1076" s="4" t="n">
        <v/>
      </c>
      <c r="N1076" s="4" t="n">
        <v>3173506628</v>
      </c>
      <c r="O1076" s="4" t="inlineStr">
        <is>
          <t>estebancampospic@gmail.com</t>
        </is>
      </c>
      <c r="P1076" s="4" t="inlineStr">
        <is>
          <t>IBAGUE SEDE</t>
        </is>
      </c>
      <c r="Q1076" s="4" t="inlineStr">
        <is>
          <t>BELLAS ARTES</t>
        </is>
      </c>
      <c r="R1076" s="4" t="n">
        <v/>
      </c>
    </row>
    <row r="1077" ht="20" customHeight="1">
      <c r="A1077" s="6" t="inlineStr">
        <is>
          <t>1031154215</t>
        </is>
      </c>
      <c r="B1077" s="7" t="inlineStr">
        <is>
          <t>PRESENCIAL BOGOTÁ</t>
        </is>
      </c>
      <c r="C1077" s="7" t="inlineStr">
        <is>
          <t>JUAN CAMILO DELGADO SAAVEDRA</t>
        </is>
      </c>
      <c r="D1077" s="7" t="inlineStr">
        <is>
          <t>OPERACIONES</t>
        </is>
      </c>
      <c r="E1077" s="7" t="inlineStr">
        <is>
          <t>REGIONAL BOGOTA</t>
        </is>
      </c>
      <c r="F1077" s="7" t="inlineStr">
        <is>
          <t>BOGOTA CENTRO</t>
        </is>
      </c>
      <c r="G1077" s="7" t="inlineStr">
        <is>
          <t>VIRTUAL</t>
        </is>
      </c>
      <c r="H1077" s="7" t="inlineStr">
        <is>
          <t>DOC ASIS/N/V/MT/CIENCIAS BASI</t>
        </is>
      </c>
      <c r="I1077" s="7" t="inlineStr">
        <is>
          <t>CIENCIAS BASICAS</t>
        </is>
      </c>
      <c r="J1077" s="7" t="inlineStr">
        <is>
          <t>PLANTA</t>
        </is>
      </c>
      <c r="K1077" s="7" t="inlineStr">
        <is>
          <t>JESSICA BARON</t>
        </is>
      </c>
      <c r="L1077" s="7" t="n">
        <v/>
      </c>
      <c r="M1077" s="7" t="n">
        <v/>
      </c>
      <c r="N1077" s="7" t="n">
        <v>3124239516</v>
      </c>
      <c r="O1077" s="7" t="inlineStr">
        <is>
          <t>JUCDELGADOSA@GMAIL.COM</t>
        </is>
      </c>
      <c r="P1077" s="7" t="inlineStr">
        <is>
          <t>BTA SEDE A</t>
        </is>
      </c>
      <c r="Q1077" s="7" t="inlineStr">
        <is>
          <t>TRANSVERSALES</t>
        </is>
      </c>
      <c r="R1077" s="7" t="n">
        <v>801</v>
      </c>
    </row>
    <row r="1078" ht="20" customHeight="1">
      <c r="A1078" s="3" t="inlineStr">
        <is>
          <t>1073233411</t>
        </is>
      </c>
      <c r="B1078" s="4" t="inlineStr">
        <is>
          <t>PRESENCIAL BOGOTÁ</t>
        </is>
      </c>
      <c r="C1078" s="4" t="inlineStr">
        <is>
          <t>LEIDY MILENA SUESCA VILLAMIL</t>
        </is>
      </c>
      <c r="D1078" s="4" t="inlineStr">
        <is>
          <t>OPERACIONES</t>
        </is>
      </c>
      <c r="E1078" s="4" t="inlineStr">
        <is>
          <t>REGIONAL BOGOTA</t>
        </is>
      </c>
      <c r="F1078" s="4" t="inlineStr">
        <is>
          <t>BOGOTA CENTRO</t>
        </is>
      </c>
      <c r="G1078" s="4" t="inlineStr">
        <is>
          <t>VIRTUAL</t>
        </is>
      </c>
      <c r="H1078" s="4" t="inlineStr">
        <is>
          <t>DOC AUX T&amp;T/N/V/TC/ESP SEG SALUD TRAB/FU</t>
        </is>
      </c>
      <c r="I1078" s="4" t="inlineStr">
        <is>
          <t>ESPECIALIZACION EN SEGURIDAD Y SALUD EN EL TRABAJO</t>
        </is>
      </c>
      <c r="J1078" s="4" t="inlineStr">
        <is>
          <t>PLANTA</t>
        </is>
      </c>
      <c r="K1078" s="4" t="inlineStr">
        <is>
          <t>JESSICA BARON</t>
        </is>
      </c>
      <c r="L1078" s="4" t="n">
        <v/>
      </c>
      <c r="M1078" s="4" t="n">
        <v/>
      </c>
      <c r="N1078" s="4" t="n">
        <v>3118396895</v>
      </c>
      <c r="O1078" s="4" t="inlineStr">
        <is>
          <t>LMSUESCAV@GMAIL.COM</t>
        </is>
      </c>
      <c r="P1078" s="4" t="inlineStr">
        <is>
          <t>BTA SEDE A</t>
        </is>
      </c>
      <c r="Q1078" s="4" t="inlineStr">
        <is>
          <t>ESPECIALIZACIONES</t>
        </is>
      </c>
      <c r="R1078" s="4" t="n">
        <v>603</v>
      </c>
    </row>
    <row r="1079" ht="20" customHeight="1">
      <c r="A1079" s="6" t="inlineStr">
        <is>
          <t>1026584657</t>
        </is>
      </c>
      <c r="B1079" s="7" t="inlineStr">
        <is>
          <t>PRESENCIAL BOGOTÁ</t>
        </is>
      </c>
      <c r="C1079" s="7" t="inlineStr">
        <is>
          <t>JUAN DAVID GUZMAN CARDENAS</t>
        </is>
      </c>
      <c r="D1079" s="7" t="inlineStr">
        <is>
          <t>OPERACIONES</t>
        </is>
      </c>
      <c r="E1079" s="7" t="inlineStr">
        <is>
          <t>REGIONAL BOGOTA</t>
        </is>
      </c>
      <c r="F1079" s="7" t="inlineStr">
        <is>
          <t>BOGOTA CENTRO</t>
        </is>
      </c>
      <c r="G1079" s="7" t="inlineStr">
        <is>
          <t>VIRTUAL</t>
        </is>
      </c>
      <c r="H1079" s="7" t="inlineStr">
        <is>
          <t>DOC AUX/N/V/TC/ESP CONTRA ESTATAL/FUN.AC</t>
        </is>
      </c>
      <c r="I1079" s="7" t="inlineStr">
        <is>
          <t>ESPECIALIZACION DE CONTRATACION ESTATAL</t>
        </is>
      </c>
      <c r="J1079" s="7" t="inlineStr">
        <is>
          <t>PLANTA</t>
        </is>
      </c>
      <c r="K1079" s="7" t="inlineStr">
        <is>
          <t>JESSICA BARON</t>
        </is>
      </c>
      <c r="L1079" s="7" t="n">
        <v/>
      </c>
      <c r="M1079" s="7" t="n">
        <v/>
      </c>
      <c r="N1079" s="7" t="n">
        <v>3022824587</v>
      </c>
      <c r="O1079" s="7" t="inlineStr">
        <is>
          <t>GUZMAN.JUANDAVID8@GMAIL.COM</t>
        </is>
      </c>
      <c r="P1079" s="7" t="inlineStr">
        <is>
          <t>BTA SEDE A</t>
        </is>
      </c>
      <c r="Q1079" s="7" t="inlineStr">
        <is>
          <t>ESPECIALIZACIONES</t>
        </is>
      </c>
      <c r="R1079" s="7" t="n">
        <v>603</v>
      </c>
    </row>
    <row r="1080" ht="20" customHeight="1">
      <c r="A1080" s="3" t="inlineStr">
        <is>
          <t>1143116300</t>
        </is>
      </c>
      <c r="B1080" s="4" t="inlineStr">
        <is>
          <t>PRESENCIAL BOGOTÁ</t>
        </is>
      </c>
      <c r="C1080" s="4" t="inlineStr">
        <is>
          <t>FREDDY DANIEL FONTALVO DOMINGUEZ</t>
        </is>
      </c>
      <c r="D1080" s="4" t="inlineStr">
        <is>
          <t>OPERACIONES</t>
        </is>
      </c>
      <c r="E1080" s="4" t="inlineStr">
        <is>
          <t>REGIONAL BOGOTA</t>
        </is>
      </c>
      <c r="F1080" s="4" t="inlineStr">
        <is>
          <t>BOGOTA CENTRO</t>
        </is>
      </c>
      <c r="G1080" s="4" t="inlineStr">
        <is>
          <t>VIRTUAL</t>
        </is>
      </c>
      <c r="H1080" s="4" t="inlineStr">
        <is>
          <t>DOCENTE ASIS/N/V/TC/ESP ALTA GEREN/FUN.A</t>
        </is>
      </c>
      <c r="I1080" s="4" t="inlineStr">
        <is>
          <t>ESPECIALIZACION EN ALTA GERENCIA</t>
        </is>
      </c>
      <c r="J1080" s="4" t="inlineStr">
        <is>
          <t>PLANTA</t>
        </is>
      </c>
      <c r="K1080" s="4" t="inlineStr">
        <is>
          <t>JESSICA BARON</t>
        </is>
      </c>
      <c r="L1080" s="4" t="n">
        <v/>
      </c>
      <c r="M1080" s="4" t="n">
        <v/>
      </c>
      <c r="N1080" s="4" t="inlineStr">
        <is>
          <t>300 2587554</t>
        </is>
      </c>
      <c r="O1080" s="4" t="inlineStr">
        <is>
          <t>FDFONTALVO18@GMAIL.COM</t>
        </is>
      </c>
      <c r="P1080" s="4" t="inlineStr">
        <is>
          <t>BTA SEDE A</t>
        </is>
      </c>
      <c r="Q1080" s="4" t="inlineStr">
        <is>
          <t>ESPECIALIZACIONES</t>
        </is>
      </c>
      <c r="R1080" s="4" t="n">
        <v>603</v>
      </c>
    </row>
    <row r="1081" ht="20" customHeight="1">
      <c r="A1081" s="6" t="inlineStr">
        <is>
          <t>52479406</t>
        </is>
      </c>
      <c r="B1081" s="7" t="inlineStr">
        <is>
          <t>PRESENCIAL BOGOTÁ</t>
        </is>
      </c>
      <c r="C1081" s="7" t="inlineStr">
        <is>
          <t>CARMEN MILENA HERRERA HERRERA</t>
        </is>
      </c>
      <c r="D1081" s="7" t="inlineStr">
        <is>
          <t>OPERACIONES</t>
        </is>
      </c>
      <c r="E1081" s="7" t="inlineStr">
        <is>
          <t>REGIONAL BOGOTA</t>
        </is>
      </c>
      <c r="F1081" s="7" t="inlineStr">
        <is>
          <t>BOGOTA CENTRO</t>
        </is>
      </c>
      <c r="G1081" s="7" t="inlineStr">
        <is>
          <t>PRESENCIAL</t>
        </is>
      </c>
      <c r="H1081" s="7" t="inlineStr">
        <is>
          <t>DOC AUX T&amp;T/N/TC/ING SISTEM/FUN.ACADE-ADMIN</t>
        </is>
      </c>
      <c r="I1081" s="7" t="inlineStr">
        <is>
          <t>INGENIERIA DE SISTEMAS</t>
        </is>
      </c>
      <c r="J1081" s="7" t="inlineStr">
        <is>
          <t>PLANTA</t>
        </is>
      </c>
      <c r="K1081" s="7" t="inlineStr">
        <is>
          <t>JESSICA BARON</t>
        </is>
      </c>
      <c r="L1081" s="7" t="n">
        <v/>
      </c>
      <c r="M1081" s="7" t="n">
        <v/>
      </c>
      <c r="N1081" s="7" t="n">
        <v>3046022445</v>
      </c>
      <c r="O1081" s="7" t="inlineStr">
        <is>
          <t>MILENAHERRERA@HOTMAIL.COM</t>
        </is>
      </c>
      <c r="P1081" s="7" t="inlineStr">
        <is>
          <t>BTA SEDE A</t>
        </is>
      </c>
      <c r="Q1081" s="7" t="inlineStr">
        <is>
          <t>INGENIERIA</t>
        </is>
      </c>
      <c r="R1081" s="7" t="n">
        <v>503</v>
      </c>
    </row>
    <row r="1082" ht="20" customHeight="1">
      <c r="A1082" s="3" t="inlineStr">
        <is>
          <t>36755778</t>
        </is>
      </c>
      <c r="B1082" s="4" t="inlineStr">
        <is>
          <t>PRESENCIAL BOGOTÁ</t>
        </is>
      </c>
      <c r="C1082" s="4" t="inlineStr">
        <is>
          <t>SANDRA LORENA ROSERO ORDOÑEZ</t>
        </is>
      </c>
      <c r="D1082" s="4" t="inlineStr">
        <is>
          <t>OPERACIONES</t>
        </is>
      </c>
      <c r="E1082" s="4" t="inlineStr">
        <is>
          <t>REGIONAL BOGOTA</t>
        </is>
      </c>
      <c r="F1082" s="4" t="inlineStr">
        <is>
          <t>BOGOTA CENTRO</t>
        </is>
      </c>
      <c r="G1082" s="4" t="inlineStr">
        <is>
          <t>VIRTUAL</t>
        </is>
      </c>
      <c r="H1082" s="4" t="inlineStr">
        <is>
          <t>DOC TITULAR/N/V/TC/ADM DE EMPRE/FUN.ACADE-ADMIN</t>
        </is>
      </c>
      <c r="I1082" s="4" t="inlineStr">
        <is>
          <t>ADMINISTRACION DE EMPRESAS</t>
        </is>
      </c>
      <c r="J1082" s="4" t="inlineStr">
        <is>
          <t>PLANTA</t>
        </is>
      </c>
      <c r="K1082" s="4" t="inlineStr">
        <is>
          <t>JESSICA BARON</t>
        </is>
      </c>
      <c r="L1082" s="4" t="n">
        <v/>
      </c>
      <c r="M1082" s="4" t="n">
        <v/>
      </c>
      <c r="N1082" s="4" t="n">
        <v>3212229186</v>
      </c>
      <c r="O1082" s="4" t="inlineStr">
        <is>
          <t>srosero981@gmail.com</t>
        </is>
      </c>
      <c r="P1082" s="4" t="inlineStr">
        <is>
          <t>BTA SEDE A</t>
        </is>
      </c>
      <c r="Q1082" s="4" t="inlineStr">
        <is>
          <t>TRANSFORMACIÓN EMPRESARIAL</t>
        </is>
      </c>
      <c r="R1082" s="4" t="n">
        <v>302</v>
      </c>
    </row>
    <row r="1083" ht="20" customHeight="1">
      <c r="A1083" s="6" t="inlineStr">
        <is>
          <t>43222294</t>
        </is>
      </c>
      <c r="B1083" s="7" t="inlineStr">
        <is>
          <t>PRESENCIAL REGIONAL</t>
        </is>
      </c>
      <c r="C1083" s="7" t="inlineStr">
        <is>
          <t>NATALIA ANDREA LONDOÑO OSORIO</t>
        </is>
      </c>
      <c r="D1083" s="7" t="inlineStr">
        <is>
          <t>OPERACIONES</t>
        </is>
      </c>
      <c r="E1083" s="7" t="inlineStr">
        <is>
          <t>REGIONAL ANTIOQUIA</t>
        </is>
      </c>
      <c r="F1083" s="7" t="inlineStr">
        <is>
          <t>MEDELLIN</t>
        </is>
      </c>
      <c r="G1083" s="7" t="inlineStr">
        <is>
          <t>PRESENCIAL</t>
        </is>
      </c>
      <c r="H1083" s="7" t="inlineStr">
        <is>
          <t>DOCENTE AUX/N/MT/DIS PROD MOD</t>
        </is>
      </c>
      <c r="I1083" s="7" t="inlineStr">
        <is>
          <t>DISEÑO Y PRODUCCION DE MODAS</t>
        </is>
      </c>
      <c r="J1083" s="7" t="inlineStr">
        <is>
          <t>PLANTA</t>
        </is>
      </c>
      <c r="K1083" s="7" t="inlineStr">
        <is>
          <t>JESSICA BARON</t>
        </is>
      </c>
      <c r="L1083" s="7" t="n">
        <v/>
      </c>
      <c r="M1083" s="7" t="n">
        <v/>
      </c>
      <c r="N1083" s="7" t="n">
        <v>3163443345</v>
      </c>
      <c r="O1083" s="7" t="inlineStr">
        <is>
          <t>natilondo@hotmail.com</t>
        </is>
      </c>
      <c r="P1083" s="7" t="inlineStr">
        <is>
          <t>MEDELLIN SEDE</t>
        </is>
      </c>
      <c r="Q1083" s="7" t="inlineStr">
        <is>
          <t>BELLAS ARTES</t>
        </is>
      </c>
      <c r="R1083" s="7" t="n">
        <v/>
      </c>
    </row>
    <row r="1084" ht="20" customHeight="1">
      <c r="A1084" s="3" t="inlineStr">
        <is>
          <t>1032385583</t>
        </is>
      </c>
      <c r="B1084" s="4" t="inlineStr">
        <is>
          <t>PRESENCIAL BOGOTÁ</t>
        </is>
      </c>
      <c r="C1084" s="4" t="inlineStr">
        <is>
          <t>JOHANNA CAROLINA CUERVO BERNAL</t>
        </is>
      </c>
      <c r="D1084" s="4" t="inlineStr">
        <is>
          <t>OPERACIONES</t>
        </is>
      </c>
      <c r="E1084" s="4" t="inlineStr">
        <is>
          <t>REGIONAL BOGOTA</t>
        </is>
      </c>
      <c r="F1084" s="4" t="inlineStr">
        <is>
          <t>BOGOTA CENTRO</t>
        </is>
      </c>
      <c r="G1084" s="4" t="inlineStr">
        <is>
          <t>VIRTUAL</t>
        </is>
      </c>
      <c r="H1084" s="4" t="inlineStr">
        <is>
          <t>DOC AUX/N/V/TC/ESP SEG SALUD TRAB/FUN.A</t>
        </is>
      </c>
      <c r="I1084" s="4" t="inlineStr">
        <is>
          <t>ESPECIALIZACION EN SEGURIDAD Y SALUD EN EL TRABAJO</t>
        </is>
      </c>
      <c r="J1084" s="4" t="inlineStr">
        <is>
          <t>PLANTA</t>
        </is>
      </c>
      <c r="K1084" s="4" t="inlineStr">
        <is>
          <t>JESSICA BARON</t>
        </is>
      </c>
      <c r="L1084" s="4" t="n">
        <v/>
      </c>
      <c r="M1084" s="4" t="n">
        <v/>
      </c>
      <c r="N1084" s="4" t="n">
        <v>3157043964</v>
      </c>
      <c r="O1084" s="4" t="inlineStr">
        <is>
          <t>jcarolinacuervo@gmail.com</t>
        </is>
      </c>
      <c r="P1084" s="4" t="inlineStr">
        <is>
          <t>BTA SEDE A</t>
        </is>
      </c>
      <c r="Q1084" s="4" t="inlineStr">
        <is>
          <t>ESPECIALIZACIONES</t>
        </is>
      </c>
      <c r="R1084" s="4" t="n">
        <v>603</v>
      </c>
    </row>
    <row r="1085" ht="20" customHeight="1">
      <c r="A1085" s="6" t="inlineStr">
        <is>
          <t>79844300</t>
        </is>
      </c>
      <c r="B1085" s="7" t="inlineStr">
        <is>
          <t>PRESENCIAL BOGOTÁ</t>
        </is>
      </c>
      <c r="C1085" s="7" t="inlineStr">
        <is>
          <t>JHONN FREDY BETANCUR</t>
        </is>
      </c>
      <c r="D1085" s="7" t="inlineStr">
        <is>
          <t>OPERACIONES</t>
        </is>
      </c>
      <c r="E1085" s="7" t="inlineStr">
        <is>
          <t>REGIONAL BOGOTA</t>
        </is>
      </c>
      <c r="F1085" s="7" t="inlineStr">
        <is>
          <t>BOGOTA CENTRO</t>
        </is>
      </c>
      <c r="G1085" s="7" t="inlineStr">
        <is>
          <t>VIRTUAL</t>
        </is>
      </c>
      <c r="H1085" s="7" t="inlineStr">
        <is>
          <t>DOC ASIS/N/V/MT/ESP GER EDUC</t>
        </is>
      </c>
      <c r="I1085" s="7" t="inlineStr">
        <is>
          <t>ESPECIALIZACION EN GERENCIA EDUCATIVA</t>
        </is>
      </c>
      <c r="J1085" s="7" t="inlineStr">
        <is>
          <t>PLANTA</t>
        </is>
      </c>
      <c r="K1085" s="7" t="inlineStr">
        <is>
          <t>JESSICA BARON</t>
        </is>
      </c>
      <c r="L1085" s="7" t="n">
        <v/>
      </c>
      <c r="M1085" s="7" t="n">
        <v/>
      </c>
      <c r="N1085" s="7" t="n">
        <v>3044205254</v>
      </c>
      <c r="O1085" s="7" t="inlineStr">
        <is>
          <t>jhonbetancur@gmail.com</t>
        </is>
      </c>
      <c r="P1085" s="7" t="inlineStr">
        <is>
          <t>BTA SEDE A</t>
        </is>
      </c>
      <c r="Q1085" s="7" t="inlineStr">
        <is>
          <t>ESPECIALIZACIONES</t>
        </is>
      </c>
      <c r="R1085" s="7" t="n">
        <v>603</v>
      </c>
    </row>
    <row r="1086" ht="20" customHeight="1">
      <c r="A1086" s="3" t="inlineStr">
        <is>
          <t>1143269479</t>
        </is>
      </c>
      <c r="B1086" s="4" t="inlineStr">
        <is>
          <t>PRESENCIAL REGIONAL</t>
        </is>
      </c>
      <c r="C1086" s="4" t="inlineStr">
        <is>
          <t>EMANUEL ELIAS GUTIERREZ PAEZ</t>
        </is>
      </c>
      <c r="D1086" s="4" t="inlineStr">
        <is>
          <t>OPERACIONES</t>
        </is>
      </c>
      <c r="E1086" s="4" t="inlineStr">
        <is>
          <t>REGIONAL ATLANTICO</t>
        </is>
      </c>
      <c r="F1086" s="4" t="inlineStr">
        <is>
          <t>BARRANQUILLA</t>
        </is>
      </c>
      <c r="G1086" s="4" t="inlineStr">
        <is>
          <t>VIRTUAL</t>
        </is>
      </c>
      <c r="H1086" s="4" t="inlineStr">
        <is>
          <t>DOC ASIS/N/V/MT/ESP ANALIT DATOS</t>
        </is>
      </c>
      <c r="I1086" s="4" t="inlineStr">
        <is>
          <t>ESPECIALIZACION DE ANALITICA DE DATOS</t>
        </is>
      </c>
      <c r="J1086" s="4" t="inlineStr">
        <is>
          <t>PLANTA</t>
        </is>
      </c>
      <c r="K1086" s="4" t="inlineStr">
        <is>
          <t>JESSICA BARON</t>
        </is>
      </c>
      <c r="L1086" s="4" t="n">
        <v/>
      </c>
      <c r="M1086" s="4" t="n">
        <v/>
      </c>
      <c r="N1086" s="4" t="n">
        <v>3001494678</v>
      </c>
      <c r="O1086" s="4" t="inlineStr">
        <is>
          <t>emanuel.gutierrez0717@gmail.com</t>
        </is>
      </c>
      <c r="P1086" s="4" t="inlineStr">
        <is>
          <t>BQUILLA SEDE</t>
        </is>
      </c>
      <c r="Q1086" s="4" t="inlineStr">
        <is>
          <t>ESPECIALIZACIONES</t>
        </is>
      </c>
      <c r="R1086" s="4" t="n">
        <v/>
      </c>
    </row>
    <row r="1087" ht="20" customHeight="1">
      <c r="A1087" s="6" t="inlineStr">
        <is>
          <t>1016054985</t>
        </is>
      </c>
      <c r="B1087" s="7" t="inlineStr">
        <is>
          <t>PRESENCIAL BOGOTÁ</t>
        </is>
      </c>
      <c r="C1087" s="7" t="inlineStr">
        <is>
          <t>LINA FERNANDA PRIETO RIVERA</t>
        </is>
      </c>
      <c r="D1087" s="7" t="inlineStr">
        <is>
          <t>OPERACIONES</t>
        </is>
      </c>
      <c r="E1087" s="7" t="inlineStr">
        <is>
          <t>REGIONAL BOGOTA</t>
        </is>
      </c>
      <c r="F1087" s="7" t="inlineStr">
        <is>
          <t>BOGOTA CENTRO</t>
        </is>
      </c>
      <c r="G1087" s="7" t="inlineStr">
        <is>
          <t>PRESENCIAL</t>
        </is>
      </c>
      <c r="H1087" s="7" t="inlineStr">
        <is>
          <t>DOCENTE ASIS/N/MT/CIEN BASI</t>
        </is>
      </c>
      <c r="I1087" s="7" t="inlineStr">
        <is>
          <t>CIENCIAS BASICAS</t>
        </is>
      </c>
      <c r="J1087" s="7" t="inlineStr">
        <is>
          <t>PLANTA</t>
        </is>
      </c>
      <c r="K1087" s="7" t="inlineStr">
        <is>
          <t>JESSICA BARON</t>
        </is>
      </c>
      <c r="L1087" s="7" t="n">
        <v/>
      </c>
      <c r="M1087" s="7" t="n">
        <v/>
      </c>
      <c r="N1087" s="7" t="n">
        <v>3124751128</v>
      </c>
      <c r="O1087" s="7" t="inlineStr">
        <is>
          <t>LINA_F_E@HOTMAIL.COM</t>
        </is>
      </c>
      <c r="P1087" s="7" t="inlineStr">
        <is>
          <t>BTA SEDE A</t>
        </is>
      </c>
      <c r="Q1087" s="7" t="inlineStr">
        <is>
          <t>TRANSVERSALES</t>
        </is>
      </c>
      <c r="R1087" s="7" t="n">
        <v>801</v>
      </c>
    </row>
    <row r="1088" ht="20" customHeight="1">
      <c r="A1088" s="3" t="inlineStr">
        <is>
          <t>80165920</t>
        </is>
      </c>
      <c r="B1088" s="4" t="inlineStr">
        <is>
          <t>PRESENCIAL BOGOTÁ</t>
        </is>
      </c>
      <c r="C1088" s="4" t="inlineStr">
        <is>
          <t>DEIVER SAAVEDRA COTRINA</t>
        </is>
      </c>
      <c r="D1088" s="4" t="inlineStr">
        <is>
          <t>OPERACIONES</t>
        </is>
      </c>
      <c r="E1088" s="4" t="inlineStr">
        <is>
          <t>REGIONAL BOGOTA</t>
        </is>
      </c>
      <c r="F1088" s="4" t="inlineStr">
        <is>
          <t>BOGOTA CENTRO</t>
        </is>
      </c>
      <c r="G1088" s="4" t="inlineStr">
        <is>
          <t>VIRTUAL</t>
        </is>
      </c>
      <c r="H1088" s="4" t="inlineStr">
        <is>
          <t>DOC ASIS/N/V/TC/ESP GER TRAN ENER/FUN.AC</t>
        </is>
      </c>
      <c r="I1088" s="4" t="inlineStr">
        <is>
          <t>ESPECIALIZACION EN GERENCIA PARA LA TRANSICION ENERGETICA</t>
        </is>
      </c>
      <c r="J1088" s="4" t="inlineStr">
        <is>
          <t>PLANTA</t>
        </is>
      </c>
      <c r="K1088" s="4" t="inlineStr">
        <is>
          <t>JESSICA BARON</t>
        </is>
      </c>
      <c r="L1088" s="4" t="n">
        <v/>
      </c>
      <c r="M1088" s="4" t="n">
        <v/>
      </c>
      <c r="N1088" s="4" t="n">
        <v>3014115918</v>
      </c>
      <c r="O1088" s="4" t="inlineStr">
        <is>
          <t>DEIVERPROFE@GMAIL.COM</t>
        </is>
      </c>
      <c r="P1088" s="4" t="inlineStr">
        <is>
          <t>BTA SEDE A</t>
        </is>
      </c>
      <c r="Q1088" s="4" t="inlineStr">
        <is>
          <t>ESPECIALIZACIONES</t>
        </is>
      </c>
      <c r="R1088" s="4" t="n">
        <v>603</v>
      </c>
    </row>
    <row r="1089" ht="20" customHeight="1">
      <c r="A1089" s="6" t="inlineStr">
        <is>
          <t>46454820</t>
        </is>
      </c>
      <c r="B1089" s="7" t="inlineStr">
        <is>
          <t>VIRTUAL</t>
        </is>
      </c>
      <c r="C1089" s="7" t="inlineStr">
        <is>
          <t>KAREN GIANETH ARCHILA CARDENAS</t>
        </is>
      </c>
      <c r="D1089" s="7" t="inlineStr">
        <is>
          <t>OPERACIONES</t>
        </is>
      </c>
      <c r="E1089" s="7" t="inlineStr">
        <is>
          <t>REGIONAL BOYACA</t>
        </is>
      </c>
      <c r="F1089" s="7" t="inlineStr">
        <is>
          <t>TUNJA</t>
        </is>
      </c>
      <c r="G1089" s="7" t="inlineStr">
        <is>
          <t>VIRTUAL</t>
        </is>
      </c>
      <c r="H1089" s="7" t="inlineStr">
        <is>
          <t>DOC ASIS/N/V/TC/ESP CONTRA ESTATAL/FUN.A</t>
        </is>
      </c>
      <c r="I1089" s="7" t="inlineStr">
        <is>
          <t>ESPECIALIZACION DE CONTRATACION ESTATAL</t>
        </is>
      </c>
      <c r="J1089" s="7" t="inlineStr">
        <is>
          <t>PLANTA</t>
        </is>
      </c>
      <c r="K1089" s="7" t="inlineStr">
        <is>
          <t>JESSICA BARON</t>
        </is>
      </c>
      <c r="L1089" s="7" t="n">
        <v/>
      </c>
      <c r="M1089" s="7" t="n">
        <v/>
      </c>
      <c r="N1089" s="7" t="n">
        <v>3133693536</v>
      </c>
      <c r="O1089" s="7" t="inlineStr">
        <is>
          <t>kareng.archilac@gmail.com</t>
        </is>
      </c>
      <c r="P1089" s="7" t="inlineStr">
        <is>
          <t>TUNJA SEDE</t>
        </is>
      </c>
      <c r="Q1089" s="7" t="inlineStr">
        <is>
          <t>ESPECIALIZACIONES</t>
        </is>
      </c>
      <c r="R1089" s="7" t="n">
        <v/>
      </c>
    </row>
    <row r="1090" ht="20" customHeight="1">
      <c r="A1090" s="3" t="inlineStr">
        <is>
          <t>1075320171</t>
        </is>
      </c>
      <c r="B1090" s="4" t="inlineStr">
        <is>
          <t>PRESENCIAL REGIONAL</t>
        </is>
      </c>
      <c r="C1090" s="4" t="inlineStr">
        <is>
          <t>MAIRA YUCELY SANCHEZ HERRERA</t>
        </is>
      </c>
      <c r="D1090" s="4" t="inlineStr">
        <is>
          <t>OPERACIONES</t>
        </is>
      </c>
      <c r="E1090" s="4" t="inlineStr">
        <is>
          <t>REGIONAL HUILA</t>
        </is>
      </c>
      <c r="F1090" s="4" t="inlineStr">
        <is>
          <t>NEIVA</t>
        </is>
      </c>
      <c r="G1090" s="4" t="inlineStr">
        <is>
          <t>PRESENCIAL</t>
        </is>
      </c>
      <c r="H1090" s="4" t="inlineStr">
        <is>
          <t>DOC AUX T&amp;T/N/MT/DIS GRAFICO</t>
        </is>
      </c>
      <c r="I1090" s="4" t="inlineStr">
        <is>
          <t>DISEÑO GRAFICO</t>
        </is>
      </c>
      <c r="J1090" s="4" t="inlineStr">
        <is>
          <t>PLANTA</t>
        </is>
      </c>
      <c r="K1090" s="4" t="inlineStr">
        <is>
          <t>JESSICA BARON</t>
        </is>
      </c>
      <c r="L1090" s="4" t="n">
        <v/>
      </c>
      <c r="M1090" s="4" t="n">
        <v/>
      </c>
      <c r="N1090" s="4" t="n">
        <v>3173753441</v>
      </c>
      <c r="O1090" s="4" t="inlineStr">
        <is>
          <t>maira.herrera9908@gmail.com</t>
        </is>
      </c>
      <c r="P1090" s="4" t="inlineStr">
        <is>
          <t>NEIVA SEDE</t>
        </is>
      </c>
      <c r="Q1090" s="4" t="inlineStr">
        <is>
          <t>BELLAS ARTES</t>
        </is>
      </c>
      <c r="R1090" s="4" t="n">
        <v/>
      </c>
    </row>
    <row r="1091" ht="20" customHeight="1">
      <c r="A1091" s="6" t="inlineStr">
        <is>
          <t>1001369115</t>
        </is>
      </c>
      <c r="B1091" s="7" t="inlineStr">
        <is>
          <t>PRESENCIAL REGIONAL</t>
        </is>
      </c>
      <c r="C1091" s="7" t="inlineStr">
        <is>
          <t>ALEJANDRA URIBE SIERRA</t>
        </is>
      </c>
      <c r="D1091" s="7" t="inlineStr">
        <is>
          <t>OPERACIONES</t>
        </is>
      </c>
      <c r="E1091" s="7" t="inlineStr">
        <is>
          <t>REGIONAL ANTIOQUIA</t>
        </is>
      </c>
      <c r="F1091" s="7" t="inlineStr">
        <is>
          <t>MEDELLIN</t>
        </is>
      </c>
      <c r="G1091" s="7" t="inlineStr">
        <is>
          <t>VIRTUAL</t>
        </is>
      </c>
      <c r="H1091" s="7" t="inlineStr">
        <is>
          <t>DOC AUX/N/V/MT/ESP ANALIT DATOS</t>
        </is>
      </c>
      <c r="I1091" s="7" t="inlineStr">
        <is>
          <t>ESPECIALIZACION DE ANALITICA DE DATOS</t>
        </is>
      </c>
      <c r="J1091" s="7" t="inlineStr">
        <is>
          <t>PLANTA</t>
        </is>
      </c>
      <c r="K1091" s="7" t="inlineStr">
        <is>
          <t>JESSICA BARON</t>
        </is>
      </c>
      <c r="L1091" s="7" t="n">
        <v/>
      </c>
      <c r="M1091" s="7" t="n">
        <v/>
      </c>
      <c r="N1091" s="7" t="n">
        <v>3022383904</v>
      </c>
      <c r="O1091" s="7" t="inlineStr">
        <is>
          <t>ALEJANDRAURIBESIERRA@GMAIL.COM</t>
        </is>
      </c>
      <c r="P1091" s="7" t="inlineStr">
        <is>
          <t>MEDELLIN SEDE</t>
        </is>
      </c>
      <c r="Q1091" s="7" t="inlineStr">
        <is>
          <t>ESPECIALIZACIONES</t>
        </is>
      </c>
      <c r="R1091" s="7" t="n">
        <v/>
      </c>
    </row>
    <row r="1092" ht="20" customHeight="1">
      <c r="A1092" s="3" t="inlineStr">
        <is>
          <t>1075313450</t>
        </is>
      </c>
      <c r="B1092" s="4" t="inlineStr">
        <is>
          <t>PRESENCIAL BOGOTÁ</t>
        </is>
      </c>
      <c r="C1092" s="4" t="inlineStr">
        <is>
          <t>LIZ ALEXANDRA SUAREZ LEIVA</t>
        </is>
      </c>
      <c r="D1092" s="4" t="inlineStr">
        <is>
          <t>OPERACIONES</t>
        </is>
      </c>
      <c r="E1092" s="4" t="inlineStr">
        <is>
          <t>REGIONAL BOGOTA</t>
        </is>
      </c>
      <c r="F1092" s="4" t="inlineStr">
        <is>
          <t>BOGOTA CENTRO</t>
        </is>
      </c>
      <c r="G1092" s="4" t="inlineStr">
        <is>
          <t>PRESENCIAL</t>
        </is>
      </c>
      <c r="H1092" s="4" t="inlineStr">
        <is>
          <t>DOC AUX T&amp;T/N/MT/CIEN BASI</t>
        </is>
      </c>
      <c r="I1092" s="4" t="inlineStr">
        <is>
          <t>CIENCIAS BASICAS</t>
        </is>
      </c>
      <c r="J1092" s="4" t="inlineStr">
        <is>
          <t>PLANTA</t>
        </is>
      </c>
      <c r="K1092" s="4" t="inlineStr">
        <is>
          <t>JESSICA BARON</t>
        </is>
      </c>
      <c r="L1092" s="4" t="n">
        <v/>
      </c>
      <c r="M1092" s="4" t="n">
        <v/>
      </c>
      <c r="N1092" s="4" t="n">
        <v>3204783632</v>
      </c>
      <c r="O1092" s="4" t="inlineStr">
        <is>
          <t>lizsuarez9808.ls@gmail.com</t>
        </is>
      </c>
      <c r="P1092" s="4" t="inlineStr">
        <is>
          <t>BTA SEDE A</t>
        </is>
      </c>
      <c r="Q1092" s="4" t="inlineStr">
        <is>
          <t>TRANSVERSALES</t>
        </is>
      </c>
      <c r="R1092" s="4" t="n">
        <v>801</v>
      </c>
    </row>
    <row r="1093" ht="20" customHeight="1">
      <c r="A1093" s="6" t="inlineStr">
        <is>
          <t>80102077</t>
        </is>
      </c>
      <c r="B1093" s="7" t="inlineStr">
        <is>
          <t>VIRTUAL</t>
        </is>
      </c>
      <c r="C1093" s="7" t="inlineStr">
        <is>
          <t>RONALD EDGARDO CUENCA TOVAR</t>
        </is>
      </c>
      <c r="D1093" s="7" t="inlineStr">
        <is>
          <t>OPERACIONES</t>
        </is>
      </c>
      <c r="E1093" s="7" t="inlineStr">
        <is>
          <t>REGIONAL SANTANDER</t>
        </is>
      </c>
      <c r="F1093" s="7" t="inlineStr">
        <is>
          <t>BUCARAMANGA</t>
        </is>
      </c>
      <c r="G1093" s="7" t="inlineStr">
        <is>
          <t>VIRTUAL</t>
        </is>
      </c>
      <c r="H1093" s="7" t="inlineStr">
        <is>
          <t>DOC TITU/N/V/TC/ESP CONT ESTA/FUN AD</t>
        </is>
      </c>
      <c r="I1093" s="7" t="inlineStr">
        <is>
          <t>ESPECIALIZACION DE CONTRATACION ESTATAL</t>
        </is>
      </c>
      <c r="J1093" s="7" t="inlineStr">
        <is>
          <t>PLANTA</t>
        </is>
      </c>
      <c r="K1093" s="7" t="inlineStr">
        <is>
          <t>JESSICA BARON</t>
        </is>
      </c>
      <c r="L1093" s="7" t="n">
        <v/>
      </c>
      <c r="M1093" s="7" t="n">
        <v/>
      </c>
      <c r="N1093" s="7" t="n">
        <v>3145112972</v>
      </c>
      <c r="O1093" s="7" t="inlineStr">
        <is>
          <t>ronaldcuencatovar@gmail.com</t>
        </is>
      </c>
      <c r="P1093" s="7" t="inlineStr">
        <is>
          <t>BGA SEDE</t>
        </is>
      </c>
      <c r="Q1093" s="7" t="inlineStr">
        <is>
          <t>ESPECIALIZACIONES</t>
        </is>
      </c>
      <c r="R1093" s="7" t="n">
        <v/>
      </c>
    </row>
    <row r="1094" ht="20" customHeight="1">
      <c r="A1094" s="3" t="inlineStr">
        <is>
          <t>1082938302</t>
        </is>
      </c>
      <c r="B1094" s="4" t="inlineStr">
        <is>
          <t>VIRTUAL</t>
        </is>
      </c>
      <c r="C1094" s="4" t="inlineStr">
        <is>
          <t>LILIANA ISABEL ATEHORTUA SARMIENTO</t>
        </is>
      </c>
      <c r="D1094" s="4" t="inlineStr">
        <is>
          <t>OPERACIONES</t>
        </is>
      </c>
      <c r="E1094" s="4" t="inlineStr">
        <is>
          <t>REGIONAL MAGDALENA</t>
        </is>
      </c>
      <c r="F1094" s="4" t="inlineStr">
        <is>
          <t>SANTA MARTA</t>
        </is>
      </c>
      <c r="G1094" s="4" t="inlineStr">
        <is>
          <t>PRESENCIAL</t>
        </is>
      </c>
      <c r="H1094" s="4" t="inlineStr">
        <is>
          <t>DOC AUX T&amp;T/N/MT/DIS PROD MOD</t>
        </is>
      </c>
      <c r="I1094" s="4" t="inlineStr">
        <is>
          <t>DISEÑO Y PRODUCCION DE MODAS</t>
        </is>
      </c>
      <c r="J1094" s="4" t="inlineStr">
        <is>
          <t>PLANTA</t>
        </is>
      </c>
      <c r="K1094" s="4" t="inlineStr">
        <is>
          <t>JESSICA BARON</t>
        </is>
      </c>
      <c r="L1094" s="4" t="n">
        <v/>
      </c>
      <c r="M1094" s="4" t="n">
        <v/>
      </c>
      <c r="N1094" s="4" t="n">
        <v>3166439923</v>
      </c>
      <c r="O1094" s="4" t="inlineStr">
        <is>
          <t>atehortua.sarmiento@gmail.com</t>
        </is>
      </c>
      <c r="P1094" s="4" t="inlineStr">
        <is>
          <t>SANTA MARTA SEDE</t>
        </is>
      </c>
      <c r="Q1094" s="4" t="inlineStr">
        <is>
          <t>BELLAS ARTES</t>
        </is>
      </c>
      <c r="R1094" s="4" t="n">
        <v/>
      </c>
    </row>
    <row r="1095" ht="20" customHeight="1">
      <c r="A1095" s="6" t="inlineStr">
        <is>
          <t>1143150684</t>
        </is>
      </c>
      <c r="B1095" s="7" t="inlineStr">
        <is>
          <t>PRESENCIAL REGIONAL</t>
        </is>
      </c>
      <c r="C1095" s="7" t="inlineStr">
        <is>
          <t>JULIETH PAHOLA VERGARA LIBERNAL</t>
        </is>
      </c>
      <c r="D1095" s="7" t="inlineStr">
        <is>
          <t>OPERACIONES</t>
        </is>
      </c>
      <c r="E1095" s="7" t="inlineStr">
        <is>
          <t>REGIONAL ATLANTICO</t>
        </is>
      </c>
      <c r="F1095" s="7" t="inlineStr">
        <is>
          <t>BARRANQUILLA</t>
        </is>
      </c>
      <c r="G1095" s="7" t="inlineStr">
        <is>
          <t>PRESENCIAL</t>
        </is>
      </c>
      <c r="H1095" s="7" t="inlineStr">
        <is>
          <t>DOCENTE ASIS/N/MT/CIEN BASI</t>
        </is>
      </c>
      <c r="I1095" s="7" t="inlineStr">
        <is>
          <t>CIENCIAS BASICAS</t>
        </is>
      </c>
      <c r="J1095" s="7" t="inlineStr">
        <is>
          <t>PLANTA</t>
        </is>
      </c>
      <c r="K1095" s="7" t="inlineStr">
        <is>
          <t>JESSICA BARON</t>
        </is>
      </c>
      <c r="L1095" s="7" t="n">
        <v/>
      </c>
      <c r="M1095" s="7" t="n">
        <v/>
      </c>
      <c r="N1095" s="7" t="n">
        <v>3177129270</v>
      </c>
      <c r="O1095" s="7" t="inlineStr">
        <is>
          <t>juliethvergara18@gmail.com</t>
        </is>
      </c>
      <c r="P1095" s="7" t="inlineStr">
        <is>
          <t>BQUILLA SEDE</t>
        </is>
      </c>
      <c r="Q1095" s="7" t="inlineStr">
        <is>
          <t>TRANSVERSALES</t>
        </is>
      </c>
      <c r="R1095" s="7" t="n">
        <v/>
      </c>
    </row>
    <row r="1096" ht="20" customHeight="1">
      <c r="A1096" s="3" t="inlineStr">
        <is>
          <t>80068668</t>
        </is>
      </c>
      <c r="B1096" s="4" t="inlineStr">
        <is>
          <t>PRESENCIAL BOGOTÁ</t>
        </is>
      </c>
      <c r="C1096" s="4" t="inlineStr">
        <is>
          <t>DANIEL ALFONSO MORENO GUATIVA</t>
        </is>
      </c>
      <c r="D1096" s="4" t="inlineStr">
        <is>
          <t>OPERACIONES</t>
        </is>
      </c>
      <c r="E1096" s="4" t="inlineStr">
        <is>
          <t>REGIONAL BOGOTA</t>
        </is>
      </c>
      <c r="F1096" s="4" t="inlineStr">
        <is>
          <t>BOGOTA CENTRO</t>
        </is>
      </c>
      <c r="G1096" s="4" t="inlineStr">
        <is>
          <t>VIRTUAL</t>
        </is>
      </c>
      <c r="H1096" s="4" t="inlineStr">
        <is>
          <t>DOC ASIS/N/V/TC/ESP GERE DE PROY/FUN.ACA</t>
        </is>
      </c>
      <c r="I1096" s="4" t="inlineStr">
        <is>
          <t>ESPECIALIZACION EN GERENCIA DE PROYECTOS</t>
        </is>
      </c>
      <c r="J1096" s="4" t="inlineStr">
        <is>
          <t>PLANTA</t>
        </is>
      </c>
      <c r="K1096" s="4" t="inlineStr">
        <is>
          <t>JESSICA BARON</t>
        </is>
      </c>
      <c r="L1096" s="4" t="n">
        <v/>
      </c>
      <c r="M1096" s="4" t="n">
        <v/>
      </c>
      <c r="N1096" s="4" t="n">
        <v>3107786440</v>
      </c>
      <c r="O1096" s="4" t="inlineStr">
        <is>
          <t>michunetplay2025@gmail.com</t>
        </is>
      </c>
      <c r="P1096" s="4" t="inlineStr">
        <is>
          <t>BTA SEDE A</t>
        </is>
      </c>
      <c r="Q1096" s="4" t="inlineStr">
        <is>
          <t>ESPECIALIZACIONES</t>
        </is>
      </c>
      <c r="R1096" s="4" t="n">
        <v>603</v>
      </c>
    </row>
    <row r="1097" ht="20" customHeight="1">
      <c r="A1097" s="6" t="inlineStr">
        <is>
          <t>1037589409</t>
        </is>
      </c>
      <c r="B1097" s="7" t="inlineStr">
        <is>
          <t>PRESENCIAL REGIONAL</t>
        </is>
      </c>
      <c r="C1097" s="7" t="inlineStr">
        <is>
          <t>MARIA CAMILA CHILAMACK BENAVIDES</t>
        </is>
      </c>
      <c r="D1097" s="7" t="inlineStr">
        <is>
          <t>OPERACIONES</t>
        </is>
      </c>
      <c r="E1097" s="7" t="inlineStr">
        <is>
          <t>REGIONAL ANTIOQUIA</t>
        </is>
      </c>
      <c r="F1097" s="7" t="inlineStr">
        <is>
          <t>MEDELLIN</t>
        </is>
      </c>
      <c r="G1097" s="7" t="inlineStr">
        <is>
          <t>PRESENCIAL</t>
        </is>
      </c>
      <c r="H1097" s="7" t="inlineStr">
        <is>
          <t>DOCENTE AUX/N/MT/DIS PROD MOD</t>
        </is>
      </c>
      <c r="I1097" s="7" t="inlineStr">
        <is>
          <t>DISEÑO Y PRODUCCION DE MODAS</t>
        </is>
      </c>
      <c r="J1097" s="7" t="inlineStr">
        <is>
          <t>PLANTA</t>
        </is>
      </c>
      <c r="K1097" s="7" t="inlineStr">
        <is>
          <t>JESSICA BARON</t>
        </is>
      </c>
      <c r="L1097" s="7" t="n">
        <v/>
      </c>
      <c r="M1097" s="7" t="n">
        <v/>
      </c>
      <c r="N1097" s="7" t="n">
        <v>3015431235</v>
      </c>
      <c r="O1097" s="7" t="inlineStr">
        <is>
          <t>mcchilamack@gmail.com</t>
        </is>
      </c>
      <c r="P1097" s="7" t="inlineStr">
        <is>
          <t>MEDELLIN SEDE</t>
        </is>
      </c>
      <c r="Q1097" s="7" t="inlineStr">
        <is>
          <t>BELLAS ARTES</t>
        </is>
      </c>
      <c r="R1097" s="7" t="n">
        <v/>
      </c>
    </row>
    <row r="1098" ht="20" customHeight="1">
      <c r="A1098" s="3" t="inlineStr">
        <is>
          <t>1032451106</t>
        </is>
      </c>
      <c r="B1098" s="4" t="inlineStr">
        <is>
          <t>PRESENCIAL BOGOTÁ</t>
        </is>
      </c>
      <c r="C1098" s="4" t="inlineStr">
        <is>
          <t>JUAN FELIPE SARMIENTO TIBADUIZA</t>
        </is>
      </c>
      <c r="D1098" s="4" t="inlineStr">
        <is>
          <t>OPERACIONES</t>
        </is>
      </c>
      <c r="E1098" s="4" t="inlineStr">
        <is>
          <t>REGIONAL BOGOTA</t>
        </is>
      </c>
      <c r="F1098" s="4" t="inlineStr">
        <is>
          <t>BOGOTA CENTRO</t>
        </is>
      </c>
      <c r="G1098" s="4" t="inlineStr">
        <is>
          <t>VIRTUAL</t>
        </is>
      </c>
      <c r="H1098" s="4" t="inlineStr">
        <is>
          <t>DOC AUX/N/V/TC/ESP DES Y GEST TH/FUN ACA</t>
        </is>
      </c>
      <c r="I1098" s="4" t="inlineStr">
        <is>
          <t>ESPECIALIZACION EN DESARROLLO ORGANIZACIONAL Y GESTION DEL TALENTO HUMANO</t>
        </is>
      </c>
      <c r="J1098" s="4" t="inlineStr">
        <is>
          <t>PLANTA</t>
        </is>
      </c>
      <c r="K1098" s="4" t="inlineStr">
        <is>
          <t>JESSICA BARON</t>
        </is>
      </c>
      <c r="L1098" s="4" t="n">
        <v/>
      </c>
      <c r="M1098" s="4" t="n">
        <v/>
      </c>
      <c r="N1098" s="4" t="n">
        <v>3213021736</v>
      </c>
      <c r="O1098" s="4" t="inlineStr">
        <is>
          <t>juansar28@gmail.com</t>
        </is>
      </c>
      <c r="P1098" s="4" t="inlineStr">
        <is>
          <t>BTA SEDE A</t>
        </is>
      </c>
      <c r="Q1098" s="4" t="inlineStr">
        <is>
          <t>ESPECIALIZACIONES</t>
        </is>
      </c>
      <c r="R1098" s="4" t="n">
        <v>603</v>
      </c>
    </row>
    <row r="1099" ht="20" customHeight="1">
      <c r="A1099" s="6" t="inlineStr">
        <is>
          <t>1031183690</t>
        </is>
      </c>
      <c r="B1099" s="7" t="inlineStr">
        <is>
          <t>PRESENCIAL BOGOTÁ</t>
        </is>
      </c>
      <c r="C1099" s="7" t="inlineStr">
        <is>
          <t>NICOL DAYAN SUA GALINDO</t>
        </is>
      </c>
      <c r="D1099" s="7" t="inlineStr">
        <is>
          <t>OPERACIONES</t>
        </is>
      </c>
      <c r="E1099" s="7" t="inlineStr">
        <is>
          <t>REGIONAL BOGOTA</t>
        </is>
      </c>
      <c r="F1099" s="7" t="inlineStr">
        <is>
          <t>BOGOTA CENTRO</t>
        </is>
      </c>
      <c r="G1099" s="7" t="inlineStr">
        <is>
          <t>VIRTUAL</t>
        </is>
      </c>
      <c r="H1099" s="7" t="inlineStr">
        <is>
          <t>DOC AUX T&amp;T/N/V/MT/DIS GRAFICO</t>
        </is>
      </c>
      <c r="I1099" s="7" t="inlineStr">
        <is>
          <t>DISEÑO GRAFICO</t>
        </is>
      </c>
      <c r="J1099" s="7" t="inlineStr">
        <is>
          <t>PLANTA</t>
        </is>
      </c>
      <c r="K1099" s="7" t="inlineStr">
        <is>
          <t>JESSICA BARON</t>
        </is>
      </c>
      <c r="L1099" s="7" t="n">
        <v/>
      </c>
      <c r="M1099" s="7" t="n">
        <v/>
      </c>
      <c r="N1099" s="7" t="n">
        <v>3196979539</v>
      </c>
      <c r="O1099" s="7" t="inlineStr">
        <is>
          <t>xnd.mxxnlight@gmail.com</t>
        </is>
      </c>
      <c r="P1099" s="7" t="inlineStr">
        <is>
          <t>BTA SEDE A</t>
        </is>
      </c>
      <c r="Q1099" s="7" t="inlineStr">
        <is>
          <t>BELLAS ARTES</t>
        </is>
      </c>
      <c r="R1099" s="7" t="n">
        <v>403</v>
      </c>
    </row>
    <row r="1100" ht="20" customHeight="1">
      <c r="A1100" s="3" t="inlineStr">
        <is>
          <t>1075226090</t>
        </is>
      </c>
      <c r="B1100" s="4" t="inlineStr">
        <is>
          <t>PRESENCIAL REGIONAL</t>
        </is>
      </c>
      <c r="C1100" s="4" t="inlineStr">
        <is>
          <t>LEIDY YELITZA ROMERO ARDILA</t>
        </is>
      </c>
      <c r="D1100" s="4" t="inlineStr">
        <is>
          <t>OPERACIONES</t>
        </is>
      </c>
      <c r="E1100" s="4" t="inlineStr">
        <is>
          <t>REGIONAL HUILA</t>
        </is>
      </c>
      <c r="F1100" s="4" t="inlineStr">
        <is>
          <t>NEIVA</t>
        </is>
      </c>
      <c r="G1100" s="4" t="inlineStr">
        <is>
          <t>VIRTUAL</t>
        </is>
      </c>
      <c r="H1100" s="4" t="inlineStr">
        <is>
          <t>DOC ASIS/N/V/TC/ESP GER EDUC/FUN.ACADE-A</t>
        </is>
      </c>
      <c r="I1100" s="4" t="inlineStr">
        <is>
          <t>ESPECIALIZACION EN GERENCIA EDUCATIVA</t>
        </is>
      </c>
      <c r="J1100" s="4" t="inlineStr">
        <is>
          <t>PLANTA</t>
        </is>
      </c>
      <c r="K1100" s="4" t="inlineStr">
        <is>
          <t>JESSICA BARON</t>
        </is>
      </c>
      <c r="L1100" s="4" t="n">
        <v/>
      </c>
      <c r="M1100" s="4" t="n">
        <v/>
      </c>
      <c r="N1100" s="4" t="n">
        <v>3153049303</v>
      </c>
      <c r="O1100" s="4" t="inlineStr">
        <is>
          <t>leidyyelitzaromeroardila@gmail.com</t>
        </is>
      </c>
      <c r="P1100" s="4" t="inlineStr">
        <is>
          <t>NEIVA SEDE</t>
        </is>
      </c>
      <c r="Q1100" s="4" t="inlineStr">
        <is>
          <t>ESPECIALIZACIONES</t>
        </is>
      </c>
      <c r="R1100" s="4" t="n">
        <v/>
      </c>
    </row>
    <row r="1101" ht="20" customHeight="1">
      <c r="A1101" s="6" t="inlineStr">
        <is>
          <t>1032360552</t>
        </is>
      </c>
      <c r="B1101" s="7" t="inlineStr">
        <is>
          <t>PRESENCIAL BOGOTÁ</t>
        </is>
      </c>
      <c r="C1101" s="7" t="inlineStr">
        <is>
          <t>MIGUEL ANGEL BOHORQUEZ PACHON</t>
        </is>
      </c>
      <c r="D1101" s="7" t="inlineStr">
        <is>
          <t>OPERACIONES</t>
        </is>
      </c>
      <c r="E1101" s="7" t="inlineStr">
        <is>
          <t>REGIONAL BOGOTA</t>
        </is>
      </c>
      <c r="F1101" s="7" t="inlineStr">
        <is>
          <t>BOGOTA CENTRO</t>
        </is>
      </c>
      <c r="G1101" s="7" t="inlineStr">
        <is>
          <t>VIRTUAL</t>
        </is>
      </c>
      <c r="H1101" s="7" t="inlineStr">
        <is>
          <t>DOC ASIS/N/V/MT/ESP MARKETING DIG</t>
        </is>
      </c>
      <c r="I1101" s="7" t="inlineStr">
        <is>
          <t>ESPECIALIZACION EN MARKETING DIGITAL</t>
        </is>
      </c>
      <c r="J1101" s="7" t="inlineStr">
        <is>
          <t>PLANTA</t>
        </is>
      </c>
      <c r="K1101" s="7" t="inlineStr">
        <is>
          <t>JESSICA BARON</t>
        </is>
      </c>
      <c r="L1101" s="7" t="n">
        <v/>
      </c>
      <c r="M1101" s="7" t="n">
        <v/>
      </c>
      <c r="N1101" s="7" t="n">
        <v>3503759203</v>
      </c>
      <c r="O1101" s="7" t="inlineStr">
        <is>
          <t>MIGUEL860411@GMAIL.COM</t>
        </is>
      </c>
      <c r="P1101" s="7" t="inlineStr">
        <is>
          <t>BTA SEDE A</t>
        </is>
      </c>
      <c r="Q1101" s="7" t="inlineStr">
        <is>
          <t>ESPECIALIZACIONES</t>
        </is>
      </c>
      <c r="R1101" s="7" t="n">
        <v>603</v>
      </c>
    </row>
    <row r="1102" ht="20" customHeight="1">
      <c r="A1102" s="3" t="inlineStr">
        <is>
          <t>36751892</t>
        </is>
      </c>
      <c r="B1102" s="4" t="inlineStr">
        <is>
          <t>VIRTUAL</t>
        </is>
      </c>
      <c r="C1102" s="4" t="inlineStr">
        <is>
          <t>DIANA ARELY AGUIRRE ROMO</t>
        </is>
      </c>
      <c r="D1102" s="4" t="inlineStr">
        <is>
          <t>OPERACIONES</t>
        </is>
      </c>
      <c r="E1102" s="4" t="inlineStr">
        <is>
          <t>REGIONAL VALLE DELCAUCA</t>
        </is>
      </c>
      <c r="F1102" s="4" t="inlineStr">
        <is>
          <t>CALI</t>
        </is>
      </c>
      <c r="G1102" s="4" t="inlineStr">
        <is>
          <t>VIRTUAL</t>
        </is>
      </c>
      <c r="H1102" s="4" t="inlineStr">
        <is>
          <t>DOC ASIS/N/V/TC/ADM DE EMPRE/FUN.ACADE-ADMIN</t>
        </is>
      </c>
      <c r="I1102" s="4" t="inlineStr">
        <is>
          <t>ADMINISTRACION DE EMPRESAS</t>
        </is>
      </c>
      <c r="J1102" s="4" t="inlineStr">
        <is>
          <t>PLANTA</t>
        </is>
      </c>
      <c r="K1102" s="4" t="inlineStr">
        <is>
          <t>JESSICA BARON</t>
        </is>
      </c>
      <c r="L1102" s="4" t="n">
        <v/>
      </c>
      <c r="M1102" s="4" t="n">
        <v/>
      </c>
      <c r="N1102" s="4" t="n">
        <v>3159753272</v>
      </c>
      <c r="O1102" s="4" t="inlineStr">
        <is>
          <t>aryidk121@gmail.com</t>
        </is>
      </c>
      <c r="P1102" s="4" t="inlineStr">
        <is>
          <t>CALI</t>
        </is>
      </c>
      <c r="Q1102" s="4" t="inlineStr">
        <is>
          <t>TRANSFORMACIÓN EMPRESARIAL</t>
        </is>
      </c>
      <c r="R1102" s="4" t="n">
        <v/>
      </c>
    </row>
    <row r="1103" ht="20" customHeight="1">
      <c r="A1103" s="6" t="inlineStr">
        <is>
          <t>1015407087</t>
        </is>
      </c>
      <c r="B1103" s="7" t="inlineStr">
        <is>
          <t>PRESENCIAL BOGOTÁ</t>
        </is>
      </c>
      <c r="C1103" s="7" t="inlineStr">
        <is>
          <t>ERIKA MARTINEZ MARTINEZ</t>
        </is>
      </c>
      <c r="D1103" s="7" t="inlineStr">
        <is>
          <t>OPERACIONES</t>
        </is>
      </c>
      <c r="E1103" s="7" t="inlineStr">
        <is>
          <t>REGIONAL BOGOTA</t>
        </is>
      </c>
      <c r="F1103" s="7" t="inlineStr">
        <is>
          <t>BOGOTA CENTRO</t>
        </is>
      </c>
      <c r="G1103" s="7" t="inlineStr">
        <is>
          <t>VIRTUAL</t>
        </is>
      </c>
      <c r="H1103" s="7" t="inlineStr">
        <is>
          <t>DOC ASIS/N/V/MT/ESP INTE NEGO</t>
        </is>
      </c>
      <c r="I1103" s="7" t="inlineStr">
        <is>
          <t>ESPECIALIZACION EN INTELIGENCIA DE NEGOCIOS</t>
        </is>
      </c>
      <c r="J1103" s="7" t="inlineStr">
        <is>
          <t>PLANTA</t>
        </is>
      </c>
      <c r="K1103" s="7" t="inlineStr">
        <is>
          <t>JESSICA BARON</t>
        </is>
      </c>
      <c r="L1103" s="7" t="n">
        <v/>
      </c>
      <c r="M1103" s="7" t="n">
        <v/>
      </c>
      <c r="N1103" s="7" t="n">
        <v>3133783670</v>
      </c>
      <c r="O1103" s="7" t="inlineStr">
        <is>
          <t>EMARTINEZM03@LIBERTADORES.EDU.CO</t>
        </is>
      </c>
      <c r="P1103" s="7" t="inlineStr">
        <is>
          <t>BTA SEDE A</t>
        </is>
      </c>
      <c r="Q1103" s="7" t="inlineStr">
        <is>
          <t>ESPECIALIZACIONES</t>
        </is>
      </c>
      <c r="R1103" s="7" t="n">
        <v>603</v>
      </c>
    </row>
    <row r="1104" ht="20" customHeight="1">
      <c r="A1104" s="3" t="inlineStr">
        <is>
          <t>53097042</t>
        </is>
      </c>
      <c r="B1104" s="4" t="inlineStr">
        <is>
          <t>PRESENCIAL BOGOTÁ</t>
        </is>
      </c>
      <c r="C1104" s="4" t="inlineStr">
        <is>
          <t>NATALIA ESCOBAR BUITRAGO</t>
        </is>
      </c>
      <c r="D1104" s="4" t="inlineStr">
        <is>
          <t>OPERACIONES</t>
        </is>
      </c>
      <c r="E1104" s="4" t="inlineStr">
        <is>
          <t>REGIONAL BOGOTA</t>
        </is>
      </c>
      <c r="F1104" s="4" t="inlineStr">
        <is>
          <t>BOGOTA CENTRO</t>
        </is>
      </c>
      <c r="G1104" s="4" t="inlineStr">
        <is>
          <t>VIRTUAL</t>
        </is>
      </c>
      <c r="H1104" s="4" t="inlineStr">
        <is>
          <t>DOC AUX T&amp;T/N/V/TC/ESP GERE PROY/FUN ACA</t>
        </is>
      </c>
      <c r="I1104" s="4" t="inlineStr">
        <is>
          <t>ESPECIALIZACION EN GERENCIA DE PROYECTOS</t>
        </is>
      </c>
      <c r="J1104" s="4" t="inlineStr">
        <is>
          <t>PLANTA</t>
        </is>
      </c>
      <c r="K1104" s="4" t="inlineStr">
        <is>
          <t>JESSICA BARON</t>
        </is>
      </c>
      <c r="L1104" s="4" t="n">
        <v/>
      </c>
      <c r="M1104" s="4" t="n">
        <v/>
      </c>
      <c r="N1104" s="4" t="n">
        <v>3112317582</v>
      </c>
      <c r="O1104" s="4" t="inlineStr">
        <is>
          <t>NATESCOB@GMAIL.COM</t>
        </is>
      </c>
      <c r="P1104" s="4" t="inlineStr">
        <is>
          <t>BTA SEDE A</t>
        </is>
      </c>
      <c r="Q1104" s="4" t="inlineStr">
        <is>
          <t>ESPECIALIZACIONES</t>
        </is>
      </c>
      <c r="R1104" s="4" t="n">
        <v>603</v>
      </c>
    </row>
    <row r="1105" ht="20" customHeight="1">
      <c r="A1105" s="6" t="inlineStr">
        <is>
          <t>79892939</t>
        </is>
      </c>
      <c r="B1105" s="7" t="inlineStr">
        <is>
          <t>PRESENCIAL BOGOTÁ</t>
        </is>
      </c>
      <c r="C1105" s="7" t="inlineStr">
        <is>
          <t>PEDRO JOSE BERNAL ZAMBRANO</t>
        </is>
      </c>
      <c r="D1105" s="7" t="inlineStr">
        <is>
          <t>OPERACIONES</t>
        </is>
      </c>
      <c r="E1105" s="7" t="inlineStr">
        <is>
          <t>REGIONAL BOGOTA</t>
        </is>
      </c>
      <c r="F1105" s="7" t="inlineStr">
        <is>
          <t>BOGOTA CENTRO</t>
        </is>
      </c>
      <c r="G1105" s="7" t="inlineStr">
        <is>
          <t>PRESENCIAL</t>
        </is>
      </c>
      <c r="H1105" s="7" t="inlineStr">
        <is>
          <t>DOCENTE ASIS/N/MT/CIEN BASI</t>
        </is>
      </c>
      <c r="I1105" s="7" t="inlineStr">
        <is>
          <t>CIENCIAS BASICAS</t>
        </is>
      </c>
      <c r="J1105" s="7" t="inlineStr">
        <is>
          <t>PLANTA</t>
        </is>
      </c>
      <c r="K1105" s="7" t="inlineStr">
        <is>
          <t>JESSICA BARON</t>
        </is>
      </c>
      <c r="L1105" s="7" t="n">
        <v/>
      </c>
      <c r="M1105" s="7" t="n">
        <v/>
      </c>
      <c r="N1105" s="7" t="n">
        <v>3114417528</v>
      </c>
      <c r="O1105" s="7" t="inlineStr">
        <is>
          <t>berzam@hotmail.com</t>
        </is>
      </c>
      <c r="P1105" s="7" t="inlineStr">
        <is>
          <t>BTA SEDE A</t>
        </is>
      </c>
      <c r="Q1105" s="7" t="inlineStr">
        <is>
          <t>TRANSVERSALES</t>
        </is>
      </c>
      <c r="R1105" s="7" t="n">
        <v>801</v>
      </c>
    </row>
    <row r="1106" ht="20" customHeight="1">
      <c r="A1106" s="3" t="inlineStr">
        <is>
          <t>1085930197</t>
        </is>
      </c>
      <c r="B1106" s="4" t="inlineStr">
        <is>
          <t>VIRTUAL</t>
        </is>
      </c>
      <c r="C1106" s="4" t="inlineStr">
        <is>
          <t>YORELY BRYJETH CEBALLOS CARDONA</t>
        </is>
      </c>
      <c r="D1106" s="4" t="inlineStr">
        <is>
          <t>OPERACIONES</t>
        </is>
      </c>
      <c r="E1106" s="4" t="inlineStr">
        <is>
          <t>REGIONAL NARIÑO</t>
        </is>
      </c>
      <c r="F1106" s="4" t="inlineStr">
        <is>
          <t>IPIALES</t>
        </is>
      </c>
      <c r="G1106" s="4" t="inlineStr">
        <is>
          <t>VIRTUAL</t>
        </is>
      </c>
      <c r="H1106" s="4" t="inlineStr">
        <is>
          <t>DOC ASOC/N/V/TC/ESP GEREN EDU/FUN ACA</t>
        </is>
      </c>
      <c r="I1106" s="4" t="inlineStr">
        <is>
          <t>ESPECIALIZACION EN GERENCIA EDUCATIVA</t>
        </is>
      </c>
      <c r="J1106" s="4" t="inlineStr">
        <is>
          <t>PLANTA</t>
        </is>
      </c>
      <c r="K1106" s="4" t="inlineStr">
        <is>
          <t>JESSICA BARON</t>
        </is>
      </c>
      <c r="L1106" s="4" t="n">
        <v/>
      </c>
      <c r="M1106" s="4" t="n">
        <v/>
      </c>
      <c r="N1106" s="4" t="n">
        <v>3163456788</v>
      </c>
      <c r="O1106" s="4" t="inlineStr">
        <is>
          <t>brigethcc@gmail.com</t>
        </is>
      </c>
      <c r="P1106" s="4" t="inlineStr">
        <is>
          <t>IPIALES SEDE</t>
        </is>
      </c>
      <c r="Q1106" s="4" t="inlineStr">
        <is>
          <t>ESPECIALIZACIONES</t>
        </is>
      </c>
      <c r="R1106" s="4" t="n">
        <v/>
      </c>
    </row>
    <row r="1107" ht="20" customHeight="1">
      <c r="A1107" s="6" t="inlineStr">
        <is>
          <t>1013678613</t>
        </is>
      </c>
      <c r="B1107" s="7" t="inlineStr">
        <is>
          <t>PRESENCIAL BOGOTÁ</t>
        </is>
      </c>
      <c r="C1107" s="7" t="inlineStr">
        <is>
          <t>JOHAN SEBASTIAN SANCHEZ ECHEVERRY</t>
        </is>
      </c>
      <c r="D1107" s="7" t="inlineStr">
        <is>
          <t>OPERACIONES</t>
        </is>
      </c>
      <c r="E1107" s="7" t="inlineStr">
        <is>
          <t>REGIONAL BOGOTA</t>
        </is>
      </c>
      <c r="F1107" s="7" t="inlineStr">
        <is>
          <t>BOGOTA CENTRO</t>
        </is>
      </c>
      <c r="G1107" s="7" t="inlineStr">
        <is>
          <t>VIRTUAL</t>
        </is>
      </c>
      <c r="H1107" s="7" t="inlineStr">
        <is>
          <t>DOC AUX T&amp;T/N/V/TC/ADM DE EMPRE/FUN.ACADE-ADMIN</t>
        </is>
      </c>
      <c r="I1107" s="7" t="inlineStr">
        <is>
          <t>ADMINISTRACION DE EMPRESAS</t>
        </is>
      </c>
      <c r="J1107" s="7" t="inlineStr">
        <is>
          <t>PLANTA</t>
        </is>
      </c>
      <c r="K1107" s="7" t="inlineStr">
        <is>
          <t>JESSICA BARON</t>
        </is>
      </c>
      <c r="L1107" s="7" t="n">
        <v/>
      </c>
      <c r="M1107" s="7" t="n">
        <v/>
      </c>
      <c r="N1107" s="7" t="n">
        <v>3506566002</v>
      </c>
      <c r="O1107" s="7" t="inlineStr">
        <is>
          <t>sanchez5552009@hotmail.com</t>
        </is>
      </c>
      <c r="P1107" s="7" t="inlineStr">
        <is>
          <t>BTA SEDE A</t>
        </is>
      </c>
      <c r="Q1107" s="7" t="inlineStr">
        <is>
          <t>TRANSFORMACIÓN EMPRESARIAL</t>
        </is>
      </c>
      <c r="R1107" s="7" t="n">
        <v>302</v>
      </c>
    </row>
    <row r="1108" ht="20" customHeight="1">
      <c r="A1108" s="3" t="inlineStr">
        <is>
          <t>1234642029</t>
        </is>
      </c>
      <c r="B1108" s="4" t="inlineStr">
        <is>
          <t>PRESENCIAL BOGOTÁ</t>
        </is>
      </c>
      <c r="C1108" s="4" t="inlineStr">
        <is>
          <t>JOHN JAIRO ECHEVERRY SALGUERO</t>
        </is>
      </c>
      <c r="D1108" s="4" t="inlineStr">
        <is>
          <t>OPERACIONES</t>
        </is>
      </c>
      <c r="E1108" s="4" t="inlineStr">
        <is>
          <t>REGIONAL BOGOTA</t>
        </is>
      </c>
      <c r="F1108" s="4" t="inlineStr">
        <is>
          <t>BOGOTA CENTRO</t>
        </is>
      </c>
      <c r="G1108" s="4" t="inlineStr">
        <is>
          <t>PRESENCIAL</t>
        </is>
      </c>
      <c r="H1108" s="4" t="inlineStr">
        <is>
          <t>DOCENTE AUX/N/MT/DERECHO</t>
        </is>
      </c>
      <c r="I1108" s="4" t="inlineStr">
        <is>
          <t>DERECHO</t>
        </is>
      </c>
      <c r="J1108" s="4" t="inlineStr">
        <is>
          <t>PLANTA</t>
        </is>
      </c>
      <c r="K1108" s="4" t="inlineStr">
        <is>
          <t>JESSICA BARON</t>
        </is>
      </c>
      <c r="L1108" s="4" t="n">
        <v/>
      </c>
      <c r="M1108" s="4" t="n">
        <v/>
      </c>
      <c r="N1108" s="4" t="n">
        <v>3167547727</v>
      </c>
      <c r="O1108" s="4" t="inlineStr">
        <is>
          <t>john.salguero70@gmail.com</t>
        </is>
      </c>
      <c r="P1108" s="4" t="inlineStr">
        <is>
          <t>BTA SEDE A</t>
        </is>
      </c>
      <c r="Q1108" s="4" t="inlineStr">
        <is>
          <t>NEGOCIOS</t>
        </is>
      </c>
      <c r="R1108" s="4" t="n">
        <v>204</v>
      </c>
    </row>
    <row r="1109" ht="20" customHeight="1">
      <c r="A1109" s="6" t="inlineStr">
        <is>
          <t>43626114</t>
        </is>
      </c>
      <c r="B1109" s="7" t="inlineStr">
        <is>
          <t>PRESENCIAL REGIONAL</t>
        </is>
      </c>
      <c r="C1109" s="7" t="inlineStr">
        <is>
          <t>DIANA CATALINA VASQUEZ RENDON</t>
        </is>
      </c>
      <c r="D1109" s="7" t="inlineStr">
        <is>
          <t>OPERACIONES</t>
        </is>
      </c>
      <c r="E1109" s="7" t="inlineStr">
        <is>
          <t>REGIONAL ANTIOQUIA</t>
        </is>
      </c>
      <c r="F1109" s="7" t="inlineStr">
        <is>
          <t>MEDELLIN</t>
        </is>
      </c>
      <c r="G1109" s="7" t="inlineStr">
        <is>
          <t>VIRTUAL</t>
        </is>
      </c>
      <c r="H1109" s="7" t="inlineStr">
        <is>
          <t>DOC AUX T&amp;T/N/V/MT/ESP ANALIT DATOS</t>
        </is>
      </c>
      <c r="I1109" s="7" t="inlineStr">
        <is>
          <t>ESPECIALIZACION DE ANALITICA DE DATOS</t>
        </is>
      </c>
      <c r="J1109" s="7" t="inlineStr">
        <is>
          <t>PLANTA</t>
        </is>
      </c>
      <c r="K1109" s="7" t="inlineStr">
        <is>
          <t>JESSICA BARON</t>
        </is>
      </c>
      <c r="L1109" s="7" t="n">
        <v/>
      </c>
      <c r="M1109" s="7" t="n">
        <v/>
      </c>
      <c r="N1109" s="7" t="n">
        <v>3002410114</v>
      </c>
      <c r="O1109" s="7" t="inlineStr">
        <is>
          <t>catonga9823@gmail.com</t>
        </is>
      </c>
      <c r="P1109" s="7" t="inlineStr">
        <is>
          <t>MEDELLIN SEDE</t>
        </is>
      </c>
      <c r="Q1109" s="7" t="inlineStr">
        <is>
          <t>ESPECIALIZACIONES</t>
        </is>
      </c>
      <c r="R1109" s="7" t="n">
        <v/>
      </c>
    </row>
    <row r="1110" ht="20" customHeight="1">
      <c r="A1110" s="3" t="inlineStr">
        <is>
          <t>1117322379</t>
        </is>
      </c>
      <c r="B1110" s="4" t="inlineStr">
        <is>
          <t>VIRTUAL</t>
        </is>
      </c>
      <c r="C1110" s="4" t="inlineStr">
        <is>
          <t>CESAR HUMBERTO PARADA VERGARA</t>
        </is>
      </c>
      <c r="D1110" s="4" t="inlineStr">
        <is>
          <t>OPERACIONES</t>
        </is>
      </c>
      <c r="E1110" s="4" t="inlineStr">
        <is>
          <t>REGIONAL CASANARE</t>
        </is>
      </c>
      <c r="F1110" s="4" t="inlineStr">
        <is>
          <t>YOPAL</t>
        </is>
      </c>
      <c r="G1110" s="4" t="inlineStr">
        <is>
          <t>VIRTUAL</t>
        </is>
      </c>
      <c r="H1110" s="4" t="inlineStr">
        <is>
          <t>DOC ASIS/N/V/TC/ESP INTE NEGO/FUN.ACA</t>
        </is>
      </c>
      <c r="I1110" s="4" t="inlineStr">
        <is>
          <t>ESPECIALIZACION EN INTELIGENCIA DE NEGOCIOS</t>
        </is>
      </c>
      <c r="J1110" s="4" t="inlineStr">
        <is>
          <t>PLANTA</t>
        </is>
      </c>
      <c r="K1110" s="4" t="inlineStr">
        <is>
          <t>JESSICA BARON</t>
        </is>
      </c>
      <c r="L1110" s="4" t="n">
        <v/>
      </c>
      <c r="M1110" s="4" t="n">
        <v/>
      </c>
      <c r="N1110" s="4" t="n">
        <v>3108837485</v>
      </c>
      <c r="O1110" s="4" t="inlineStr">
        <is>
          <t>cessarin@gmail.com</t>
        </is>
      </c>
      <c r="P1110" s="4" t="inlineStr">
        <is>
          <t>YOPAL SEDE</t>
        </is>
      </c>
      <c r="Q1110" s="4" t="inlineStr">
        <is>
          <t>ESPECIALIZACIONES</t>
        </is>
      </c>
      <c r="R1110" s="4" t="n">
        <v/>
      </c>
    </row>
    <row r="1111" ht="20" customHeight="1">
      <c r="A1111" s="6" t="inlineStr">
        <is>
          <t>1140868403</t>
        </is>
      </c>
      <c r="B1111" s="7" t="inlineStr">
        <is>
          <t>PRESENCIAL REGIONAL</t>
        </is>
      </c>
      <c r="C1111" s="7" t="inlineStr">
        <is>
          <t>ANDRES DAVID CARRASQUILLA MERCADO</t>
        </is>
      </c>
      <c r="D1111" s="7" t="inlineStr">
        <is>
          <t>OPERACIONES</t>
        </is>
      </c>
      <c r="E1111" s="7" t="inlineStr">
        <is>
          <t>REGIONAL ATLANTICO</t>
        </is>
      </c>
      <c r="F1111" s="7" t="inlineStr">
        <is>
          <t>BARRANQUILLA</t>
        </is>
      </c>
      <c r="G1111" s="7" t="inlineStr">
        <is>
          <t>VIRTUAL</t>
        </is>
      </c>
      <c r="H1111" s="7" t="inlineStr">
        <is>
          <t>DOCENTE ASIS/N/V/TC/ESP ALTA GEREN/FUN.A</t>
        </is>
      </c>
      <c r="I1111" s="7" t="inlineStr">
        <is>
          <t>ESPECIALIZACION EN ALTA GERENCIA</t>
        </is>
      </c>
      <c r="J1111" s="7" t="inlineStr">
        <is>
          <t>PLANTA</t>
        </is>
      </c>
      <c r="K1111" s="7" t="inlineStr">
        <is>
          <t>JESSICA BARON</t>
        </is>
      </c>
      <c r="L1111" s="7" t="n">
        <v/>
      </c>
      <c r="M1111" s="7" t="n">
        <v/>
      </c>
      <c r="N1111" s="7" t="n">
        <v>3005631833</v>
      </c>
      <c r="O1111" s="7" t="inlineStr">
        <is>
          <t>andrescarr94@gmail.com</t>
        </is>
      </c>
      <c r="P1111" s="7" t="inlineStr">
        <is>
          <t>BQUILLA SEDE</t>
        </is>
      </c>
      <c r="Q1111" s="7" t="inlineStr">
        <is>
          <t>ESPECIALIZACIONES</t>
        </is>
      </c>
      <c r="R1111" s="7" t="n">
        <v/>
      </c>
    </row>
    <row r="1112" ht="20" customHeight="1">
      <c r="A1112" s="3" t="inlineStr">
        <is>
          <t>52372495</t>
        </is>
      </c>
      <c r="B1112" s="4" t="inlineStr">
        <is>
          <t>PRESENCIAL BOGOTÁ</t>
        </is>
      </c>
      <c r="C1112" s="4" t="inlineStr">
        <is>
          <t>LEILA RUTH CASALLAS ROJAS</t>
        </is>
      </c>
      <c r="D1112" s="4" t="inlineStr">
        <is>
          <t>OPERACIONES</t>
        </is>
      </c>
      <c r="E1112" s="4" t="inlineStr">
        <is>
          <t>REGIONAL BOGOTA</t>
        </is>
      </c>
      <c r="F1112" s="4" t="inlineStr">
        <is>
          <t>BOGOTA FONTIBON</t>
        </is>
      </c>
      <c r="G1112" s="4" t="inlineStr">
        <is>
          <t>PRESENCIAL</t>
        </is>
      </c>
      <c r="H1112" s="4" t="inlineStr">
        <is>
          <t>DOCENTE AUX/N/TC/ADM EMP/PROYECCION SOCI</t>
        </is>
      </c>
      <c r="I1112" s="4" t="inlineStr">
        <is>
          <t>ADMINISTRACION DE EMPRESAS</t>
        </is>
      </c>
      <c r="J1112" s="4" t="inlineStr">
        <is>
          <t>REINTEGRO</t>
        </is>
      </c>
      <c r="K1112" s="4" t="inlineStr">
        <is>
          <t>JESSICA BARON</t>
        </is>
      </c>
      <c r="L1112" s="4" t="n">
        <v/>
      </c>
      <c r="M1112" s="4" t="n">
        <v/>
      </c>
      <c r="N1112" s="4" t="n">
        <v>3104163525</v>
      </c>
      <c r="O1112" s="4" t="inlineStr">
        <is>
          <t>Leilacasrojas@gmail.com</t>
        </is>
      </c>
      <c r="P1112" s="4" t="inlineStr">
        <is>
          <t>BTA SEDE FONTIBON</t>
        </is>
      </c>
      <c r="Q1112" s="4" t="inlineStr">
        <is>
          <t>TRANSFORMACIÓN EMPRESARIAL</t>
        </is>
      </c>
      <c r="R1112" s="4" t="n">
        <v>302</v>
      </c>
    </row>
    <row r="1113" ht="20" customHeight="1">
      <c r="A1113" s="6" t="inlineStr">
        <is>
          <t>52521459</t>
        </is>
      </c>
      <c r="B1113" s="7" t="inlineStr">
        <is>
          <t>PRESENCIAL BOGOTÁ</t>
        </is>
      </c>
      <c r="C1113" s="7" t="inlineStr">
        <is>
          <t>KATHERINE CORTES ROJAS</t>
        </is>
      </c>
      <c r="D1113" s="7" t="inlineStr">
        <is>
          <t>OPERACIONES</t>
        </is>
      </c>
      <c r="E1113" s="7" t="inlineStr">
        <is>
          <t>REGIONAL BOGOTA</t>
        </is>
      </c>
      <c r="F1113" s="7" t="inlineStr">
        <is>
          <t>BOGOTA CENTRO</t>
        </is>
      </c>
      <c r="G1113" s="7" t="inlineStr">
        <is>
          <t>VIRTUAL</t>
        </is>
      </c>
      <c r="H1113" s="7" t="inlineStr">
        <is>
          <t>DOC ASIS/N/V/TC/CIENCIAS BASI/FUN.ACADE-ADMIN</t>
        </is>
      </c>
      <c r="I1113" s="7" t="inlineStr">
        <is>
          <t>CIENCIAS BASICAS</t>
        </is>
      </c>
      <c r="J1113" s="7" t="inlineStr">
        <is>
          <t>REINTEGRO</t>
        </is>
      </c>
      <c r="K1113" s="7" t="inlineStr">
        <is>
          <t>JESSICA BARON</t>
        </is>
      </c>
      <c r="L1113" s="7" t="n">
        <v/>
      </c>
      <c r="M1113" s="7" t="n">
        <v/>
      </c>
      <c r="N1113" s="7" t="n">
        <v>3502888617</v>
      </c>
      <c r="O1113" s="7" t="inlineStr">
        <is>
          <t>katherinnecortes587@gmail.com</t>
        </is>
      </c>
      <c r="P1113" s="7" t="inlineStr">
        <is>
          <t>BTA SEDE A</t>
        </is>
      </c>
      <c r="Q1113" s="7" t="inlineStr">
        <is>
          <t>TRANSVERSALES</t>
        </is>
      </c>
      <c r="R1113" s="7" t="n">
        <v>801</v>
      </c>
    </row>
    <row r="1114" ht="20" customHeight="1">
      <c r="A1114" s="3" t="inlineStr">
        <is>
          <t>74084459</t>
        </is>
      </c>
      <c r="B1114" s="4" t="inlineStr">
        <is>
          <t>PRESENCIAL BOGOTÁ</t>
        </is>
      </c>
      <c r="C1114" s="4" t="inlineStr">
        <is>
          <t>JUAN FERNANDO BARRERA PATARROYO</t>
        </is>
      </c>
      <c r="D1114" s="4" t="inlineStr">
        <is>
          <t>OPERACIONES</t>
        </is>
      </c>
      <c r="E1114" s="4" t="inlineStr">
        <is>
          <t>REGIONAL BOGOTA</t>
        </is>
      </c>
      <c r="F1114" s="4" t="inlineStr">
        <is>
          <t>BOGOTA CENTRO</t>
        </is>
      </c>
      <c r="G1114" s="4" t="inlineStr">
        <is>
          <t>PRESENCIAL</t>
        </is>
      </c>
      <c r="H1114" s="4" t="inlineStr">
        <is>
          <t>DOCENTE AUX/N/TC/ADM EMP/FUN.ACADE-ADMIN</t>
        </is>
      </c>
      <c r="I1114" s="4" t="inlineStr">
        <is>
          <t>ADMINISTRACION DE EMPRESAS</t>
        </is>
      </c>
      <c r="J1114" s="4" t="inlineStr">
        <is>
          <t>REINTEGRO</t>
        </is>
      </c>
      <c r="K1114" s="4" t="inlineStr">
        <is>
          <t>JESSICA BARON</t>
        </is>
      </c>
      <c r="L1114" s="4" t="n">
        <v/>
      </c>
      <c r="M1114" s="4" t="n">
        <v/>
      </c>
      <c r="N1114" s="4" t="n">
        <v>3134419368</v>
      </c>
      <c r="O1114" s="4" t="inlineStr">
        <is>
          <t>JUANFERBARRERA2010@GMAIL.COM</t>
        </is>
      </c>
      <c r="P1114" s="4" t="inlineStr">
        <is>
          <t>BTA SEDE D</t>
        </is>
      </c>
      <c r="Q1114" s="4" t="inlineStr">
        <is>
          <t>TRANSFORMACIÓN EMPRESARIAL</t>
        </is>
      </c>
      <c r="R1114" s="4" t="n">
        <v>302</v>
      </c>
    </row>
    <row r="1115" ht="20" customHeight="1">
      <c r="A1115" s="6" t="inlineStr">
        <is>
          <t>1110588606</t>
        </is>
      </c>
      <c r="B1115" s="7" t="inlineStr">
        <is>
          <t>PRESENCIAL REGIONAL</t>
        </is>
      </c>
      <c r="C1115" s="7" t="inlineStr">
        <is>
          <t>SEBASTIAN BOCANEGRA MEDINA</t>
        </is>
      </c>
      <c r="D1115" s="7" t="inlineStr">
        <is>
          <t>OPERACIONES</t>
        </is>
      </c>
      <c r="E1115" s="7" t="inlineStr">
        <is>
          <t>REGIONAL TOLIMA</t>
        </is>
      </c>
      <c r="F1115" s="7" t="inlineStr">
        <is>
          <t>IBAGUÉ</t>
        </is>
      </c>
      <c r="G1115" s="7" t="inlineStr">
        <is>
          <t>VIRTUAL</t>
        </is>
      </c>
      <c r="H1115" s="7" t="inlineStr">
        <is>
          <t>DOC AUX/N/V/MT/CIENCIAS BASI</t>
        </is>
      </c>
      <c r="I1115" s="7" t="inlineStr">
        <is>
          <t>CIENCIAS BASICAS</t>
        </is>
      </c>
      <c r="J1115" s="7" t="inlineStr">
        <is>
          <t>REINTEGRO</t>
        </is>
      </c>
      <c r="K1115" s="7" t="inlineStr">
        <is>
          <t>JESSICA BARON</t>
        </is>
      </c>
      <c r="L1115" s="7" t="n">
        <v/>
      </c>
      <c r="M1115" s="7" t="n">
        <v/>
      </c>
      <c r="N1115" s="7" t="n">
        <v>3146185920</v>
      </c>
      <c r="O1115" s="7" t="inlineStr">
        <is>
          <t>sbocanegram@ut.edu.co</t>
        </is>
      </c>
      <c r="P1115" s="7" t="inlineStr">
        <is>
          <t>IBAGUE SEDE</t>
        </is>
      </c>
      <c r="Q1115" s="7" t="inlineStr">
        <is>
          <t>TRANSVERSALES</t>
        </is>
      </c>
      <c r="R1115" s="7" t="n">
        <v/>
      </c>
    </row>
    <row r="1116" ht="20" customHeight="1">
      <c r="A1116" s="3" t="inlineStr">
        <is>
          <t>1110451853</t>
        </is>
      </c>
      <c r="B1116" s="4" t="inlineStr">
        <is>
          <t>PRESENCIAL REGIONAL</t>
        </is>
      </c>
      <c r="C1116" s="4" t="inlineStr">
        <is>
          <t>MAURICIO PATIÑO ALVAREZ</t>
        </is>
      </c>
      <c r="D1116" s="4" t="inlineStr">
        <is>
          <t>OPERACIONES</t>
        </is>
      </c>
      <c r="E1116" s="4" t="inlineStr">
        <is>
          <t>REGIONAL TOLIMA</t>
        </is>
      </c>
      <c r="F1116" s="4" t="inlineStr">
        <is>
          <t>IBAGUÉ</t>
        </is>
      </c>
      <c r="G1116" s="4" t="inlineStr">
        <is>
          <t>PRESENCIAL</t>
        </is>
      </c>
      <c r="H1116" s="4" t="inlineStr">
        <is>
          <t>DOCENTE AUX/N/MT/ING SISTEM</t>
        </is>
      </c>
      <c r="I1116" s="4" t="inlineStr">
        <is>
          <t>INGENIERIA DE SISTEMAS</t>
        </is>
      </c>
      <c r="J1116" s="4" t="inlineStr">
        <is>
          <t>REINTEGRO</t>
        </is>
      </c>
      <c r="K1116" s="4" t="inlineStr">
        <is>
          <t>JESSICA BARON</t>
        </is>
      </c>
      <c r="L1116" s="4" t="n">
        <v/>
      </c>
      <c r="M1116" s="4" t="n">
        <v/>
      </c>
      <c r="N1116" s="4" t="n">
        <v>3208994348</v>
      </c>
      <c r="O1116" s="4" t="inlineStr">
        <is>
          <t>mapal0925@gmail.com</t>
        </is>
      </c>
      <c r="P1116" s="4" t="inlineStr">
        <is>
          <t>IBAGUE SEDE</t>
        </is>
      </c>
      <c r="Q1116" s="4" t="inlineStr">
        <is>
          <t>INGENIERIA</t>
        </is>
      </c>
      <c r="R1116" s="4" t="n">
        <v/>
      </c>
    </row>
    <row r="1117" ht="20" customHeight="1">
      <c r="A1117" s="6" t="inlineStr">
        <is>
          <t>80098101</t>
        </is>
      </c>
      <c r="B1117" s="7" t="inlineStr">
        <is>
          <t>PRESENCIAL BOGOTÁ</t>
        </is>
      </c>
      <c r="C1117" s="7" t="inlineStr">
        <is>
          <t>DANILO ANDRES RINCON PLAZAS</t>
        </is>
      </c>
      <c r="D1117" s="7" t="inlineStr">
        <is>
          <t>OPERACIONES</t>
        </is>
      </c>
      <c r="E1117" s="7" t="inlineStr">
        <is>
          <t>REGIONAL BOGOTA</t>
        </is>
      </c>
      <c r="F1117" s="7" t="inlineStr">
        <is>
          <t>BOGOTA CENTRO</t>
        </is>
      </c>
      <c r="G1117" s="7" t="inlineStr">
        <is>
          <t>VIRTUAL</t>
        </is>
      </c>
      <c r="H1117" s="7" t="inlineStr">
        <is>
          <t>DOC AUX/N/V/TC/ING DE SISTEMAS/FUN.ACADE-ADMIN</t>
        </is>
      </c>
      <c r="I1117" s="7" t="inlineStr">
        <is>
          <t>INGENIERIA DE SISTEMAS</t>
        </is>
      </c>
      <c r="J1117" s="7" t="inlineStr">
        <is>
          <t>PLANTA</t>
        </is>
      </c>
      <c r="K1117" s="7" t="inlineStr">
        <is>
          <t>VIVIANA MORENO</t>
        </is>
      </c>
      <c r="L1117" s="7" t="n">
        <v/>
      </c>
      <c r="M1117" s="7" t="n">
        <v/>
      </c>
      <c r="N1117" s="7" t="n">
        <v>3112609438</v>
      </c>
      <c r="O1117" s="7" t="inlineStr">
        <is>
          <t>danilo_rincon@cun.edu.co</t>
        </is>
      </c>
      <c r="P1117" s="7" t="inlineStr">
        <is>
          <t>BTA SEDE A</t>
        </is>
      </c>
      <c r="Q1117" s="7" t="inlineStr">
        <is>
          <t>INGENIERIA</t>
        </is>
      </c>
      <c r="R1117" s="7" t="n">
        <v>503</v>
      </c>
    </row>
    <row r="1118" ht="20" customHeight="1">
      <c r="A1118" s="3" t="inlineStr">
        <is>
          <t>1018432702</t>
        </is>
      </c>
      <c r="B1118" s="4" t="inlineStr">
        <is>
          <t>PRESENCIAL BOGOTÁ</t>
        </is>
      </c>
      <c r="C1118" s="4" t="inlineStr">
        <is>
          <t>SANDY VIVIANA SUAVITA PACHON</t>
        </is>
      </c>
      <c r="D1118" s="4" t="inlineStr">
        <is>
          <t>OPERACIONES</t>
        </is>
      </c>
      <c r="E1118" s="4" t="inlineStr">
        <is>
          <t>REGIONAL BOGOTA</t>
        </is>
      </c>
      <c r="F1118" s="4" t="inlineStr">
        <is>
          <t>BOGOTA CENTRO</t>
        </is>
      </c>
      <c r="G1118" s="4" t="inlineStr">
        <is>
          <t>VIRTUAL</t>
        </is>
      </c>
      <c r="H1118" s="4" t="inlineStr">
        <is>
          <t>DOC ASIS/N/V/TC/ADM DE EMPRE/FUN.ACADE-ADMIN</t>
        </is>
      </c>
      <c r="I1118" s="4" t="inlineStr">
        <is>
          <t>ADMINISTRACION DE EMPRESAS</t>
        </is>
      </c>
      <c r="J1118" s="4" t="inlineStr">
        <is>
          <t>NUEVO</t>
        </is>
      </c>
      <c r="K1118" s="4" t="inlineStr">
        <is>
          <t>VIVIANA MORENO</t>
        </is>
      </c>
      <c r="L1118" s="4" t="n">
        <v/>
      </c>
      <c r="M1118" s="4" t="n">
        <v/>
      </c>
      <c r="N1118" s="4" t="n">
        <v>3183851304</v>
      </c>
      <c r="O1118" s="4" t="inlineStr">
        <is>
          <t>SSUAVITA199018@GMAIL.COM</t>
        </is>
      </c>
      <c r="P1118" s="4" t="inlineStr">
        <is>
          <t>BTA SEDE A</t>
        </is>
      </c>
      <c r="Q1118" s="4" t="inlineStr">
        <is>
          <t>TRANSFORMACIÓN EMPRESARIAL</t>
        </is>
      </c>
      <c r="R1118" s="4" t="n">
        <v>302</v>
      </c>
    </row>
    <row r="1119" ht="20" customHeight="1">
      <c r="A1119" s="6" t="inlineStr">
        <is>
          <t>1026275094</t>
        </is>
      </c>
      <c r="B1119" s="7" t="inlineStr">
        <is>
          <t>PRESENCIAL BOGOTÁ</t>
        </is>
      </c>
      <c r="C1119" s="7" t="inlineStr">
        <is>
          <t>MARISELLA ZAMORA BERMUDEZ</t>
        </is>
      </c>
      <c r="D1119" s="7" t="inlineStr">
        <is>
          <t>OPERACIONES</t>
        </is>
      </c>
      <c r="E1119" s="7" t="inlineStr">
        <is>
          <t>REGIONAL BOGOTA</t>
        </is>
      </c>
      <c r="F1119" s="7" t="inlineStr">
        <is>
          <t>BOGOTA CENTRO</t>
        </is>
      </c>
      <c r="G1119" s="7" t="inlineStr">
        <is>
          <t>PRESENCIAL</t>
        </is>
      </c>
      <c r="H1119" s="7" t="inlineStr">
        <is>
          <t>DOC AUX T&amp;T/N/MT/DIS PROD MOD</t>
        </is>
      </c>
      <c r="I1119" s="7" t="inlineStr">
        <is>
          <t>DISEÑO Y PRODUCCION DE MODAS</t>
        </is>
      </c>
      <c r="J1119" s="7" t="inlineStr">
        <is>
          <t>REINTEGRO</t>
        </is>
      </c>
      <c r="K1119" s="7" t="inlineStr">
        <is>
          <t>VIVIANA MORENO</t>
        </is>
      </c>
      <c r="L1119" s="7" t="n">
        <v/>
      </c>
      <c r="M1119" s="7" t="n">
        <v/>
      </c>
      <c r="N1119" s="7" t="n">
        <v>3202607724</v>
      </c>
      <c r="O1119" s="7" t="inlineStr">
        <is>
          <t>MARIZBERMUDEZ@GMAIL.COM</t>
        </is>
      </c>
      <c r="P1119" s="7" t="inlineStr">
        <is>
          <t>BTA SEDE F</t>
        </is>
      </c>
      <c r="Q1119" s="7" t="inlineStr">
        <is>
          <t>BELLAS ARTES</t>
        </is>
      </c>
      <c r="R1119" s="7" t="n">
        <v>403</v>
      </c>
    </row>
    <row r="1120" ht="20" customHeight="1">
      <c r="A1120" s="3" t="inlineStr">
        <is>
          <t>1030659098</t>
        </is>
      </c>
      <c r="B1120" s="4" t="inlineStr">
        <is>
          <t>PRESENCIAL BOGOTÁ</t>
        </is>
      </c>
      <c r="C1120" s="4" t="inlineStr">
        <is>
          <t>CAMILO ANDRES CARDONA RIVERA</t>
        </is>
      </c>
      <c r="D1120" s="4" t="inlineStr">
        <is>
          <t>OPERACIONES</t>
        </is>
      </c>
      <c r="E1120" s="4" t="inlineStr">
        <is>
          <t>REGIONAL BOGOTA</t>
        </is>
      </c>
      <c r="F1120" s="4" t="inlineStr">
        <is>
          <t>BOGOTA CENTRO</t>
        </is>
      </c>
      <c r="G1120" s="4" t="inlineStr">
        <is>
          <t>VIRTUAL</t>
        </is>
      </c>
      <c r="H1120" s="4" t="inlineStr">
        <is>
          <t>DOC AUX T&amp;T/N/V/MT/DIS GRAFICO</t>
        </is>
      </c>
      <c r="I1120" s="4" t="inlineStr">
        <is>
          <t>DISEÑO GRAFICO</t>
        </is>
      </c>
      <c r="J1120" s="4" t="inlineStr">
        <is>
          <t>NUEVO</t>
        </is>
      </c>
      <c r="K1120" s="4" t="inlineStr">
        <is>
          <t>VIVIANA MORENO</t>
        </is>
      </c>
      <c r="L1120" s="4" t="n">
        <v/>
      </c>
      <c r="M1120" s="4" t="n">
        <v/>
      </c>
      <c r="N1120" s="4" t="n">
        <v>3105622843</v>
      </c>
      <c r="O1120" s="4" t="inlineStr">
        <is>
          <t>CAMIANDRECAR@GMAIL.COM</t>
        </is>
      </c>
      <c r="P1120" s="4" t="inlineStr">
        <is>
          <t>BTA SEDE A</t>
        </is>
      </c>
      <c r="Q1120" s="4" t="inlineStr">
        <is>
          <t>BELLAS ARTES</t>
        </is>
      </c>
      <c r="R1120" s="4" t="n">
        <v>403</v>
      </c>
    </row>
    <row r="1121" ht="20" customHeight="1">
      <c r="A1121" s="6" t="inlineStr">
        <is>
          <t>1110570540</t>
        </is>
      </c>
      <c r="B1121" s="7" t="inlineStr">
        <is>
          <t>PRESENCIAL REGIONAL</t>
        </is>
      </c>
      <c r="C1121" s="7" t="inlineStr">
        <is>
          <t>YEIMY LINETH LIZCANO LUNA</t>
        </is>
      </c>
      <c r="D1121" s="7" t="inlineStr">
        <is>
          <t>OPERACIONES</t>
        </is>
      </c>
      <c r="E1121" s="7" t="inlineStr">
        <is>
          <t>REGIONAL TOLIMA</t>
        </is>
      </c>
      <c r="F1121" s="7" t="inlineStr">
        <is>
          <t>IBAGUÉ</t>
        </is>
      </c>
      <c r="G1121" s="7" t="inlineStr">
        <is>
          <t>PRESENCIAL</t>
        </is>
      </c>
      <c r="H1121" s="7" t="inlineStr">
        <is>
          <t>DOC AUX T&amp;T/N/TC/DIS PROD MOD/FUN.ACADE-ADMIN</t>
        </is>
      </c>
      <c r="I1121" s="7" t="inlineStr">
        <is>
          <t>DISEÑO Y PRODUCCION DE MODAS</t>
        </is>
      </c>
      <c r="J1121" s="7" t="inlineStr">
        <is>
          <t>NUEVO</t>
        </is>
      </c>
      <c r="K1121" s="7" t="inlineStr">
        <is>
          <t>VIVIANA MORENO</t>
        </is>
      </c>
      <c r="L1121" s="7" t="n">
        <v/>
      </c>
      <c r="M1121" s="7" t="n">
        <v/>
      </c>
      <c r="N1121" s="7" t="n">
        <v>3136989015</v>
      </c>
      <c r="O1121" s="7" t="inlineStr">
        <is>
          <t>LINNETH.LUNADM72@GMAIL.COM</t>
        </is>
      </c>
      <c r="P1121" s="7" t="inlineStr">
        <is>
          <t>IBAGUE SEDE</t>
        </is>
      </c>
      <c r="Q1121" s="7" t="inlineStr">
        <is>
          <t>BELLAS ARTES</t>
        </is>
      </c>
      <c r="R1121" s="7" t="n">
        <v/>
      </c>
    </row>
    <row r="1122" ht="20" customHeight="1">
      <c r="A1122" s="3" t="inlineStr">
        <is>
          <t>1010111879</t>
        </is>
      </c>
      <c r="B1122" s="4" t="inlineStr">
        <is>
          <t>PRESENCIAL REGIONAL</t>
        </is>
      </c>
      <c r="C1122" s="4" t="inlineStr">
        <is>
          <t>LAURA DANIELA OBANDO ALZATE</t>
        </is>
      </c>
      <c r="D1122" s="4" t="inlineStr">
        <is>
          <t>OPERACIONES</t>
        </is>
      </c>
      <c r="E1122" s="4" t="inlineStr">
        <is>
          <t>REGIONAL TOLIMA</t>
        </is>
      </c>
      <c r="F1122" s="4" t="inlineStr">
        <is>
          <t>IBAGUÉ</t>
        </is>
      </c>
      <c r="G1122" s="4" t="inlineStr">
        <is>
          <t>PRESENCIAL</t>
        </is>
      </c>
      <c r="H1122" s="4" t="inlineStr">
        <is>
          <t>DOC AUX T&amp;T/N/TC/DIS PROD MOD/FUN.ACADE-ADMIN</t>
        </is>
      </c>
      <c r="I1122" s="4" t="inlineStr">
        <is>
          <t>DISEÑO Y PRODUCCION DE MODAS</t>
        </is>
      </c>
      <c r="J1122" s="4" t="inlineStr">
        <is>
          <t>REINTEGRO</t>
        </is>
      </c>
      <c r="K1122" s="4" t="inlineStr">
        <is>
          <t>VIVIANA MORENO</t>
        </is>
      </c>
      <c r="L1122" s="4" t="n">
        <v/>
      </c>
      <c r="M1122" s="4" t="n">
        <v/>
      </c>
      <c r="N1122" s="4" t="n">
        <v>3219081104</v>
      </c>
      <c r="O1122" s="4" t="inlineStr">
        <is>
          <t>lauradaniela1102@hotmail.com</t>
        </is>
      </c>
      <c r="P1122" s="4" t="inlineStr">
        <is>
          <t>IBAGUE SEDE</t>
        </is>
      </c>
      <c r="Q1122" s="4" t="inlineStr">
        <is>
          <t>BELLAS ARTES</t>
        </is>
      </c>
      <c r="R1122" s="4" t="n">
        <v/>
      </c>
    </row>
    <row r="1123" ht="20" customHeight="1">
      <c r="A1123" s="6" t="inlineStr">
        <is>
          <t>1070012671</t>
        </is>
      </c>
      <c r="B1123" s="7" t="inlineStr">
        <is>
          <t>VIRTUAL</t>
        </is>
      </c>
      <c r="C1123" s="7" t="inlineStr">
        <is>
          <t>JORGE ANDRES ROJAS TAPIAS</t>
        </is>
      </c>
      <c r="D1123" s="7" t="inlineStr">
        <is>
          <t>OPERACIONES</t>
        </is>
      </c>
      <c r="E1123" s="7" t="inlineStr">
        <is>
          <t>REGIONAL CUNDINAMARCA</t>
        </is>
      </c>
      <c r="F1123" s="7" t="inlineStr">
        <is>
          <t>CHÍA</t>
        </is>
      </c>
      <c r="G1123" s="7" t="inlineStr">
        <is>
          <t>VIRTUAL</t>
        </is>
      </c>
      <c r="H1123" s="7" t="inlineStr">
        <is>
          <t>DOC AUX T&amp;T/N/V/TC/DIR PROD ME AUD/FUN.ACADE-ADMIN</t>
        </is>
      </c>
      <c r="I1123" s="7" t="inlineStr">
        <is>
          <t>DIRECCION Y PRODUCCION DE MEDIOS AUDIOVISUALES</t>
        </is>
      </c>
      <c r="J1123" s="7" t="inlineStr">
        <is>
          <t>NUEVO</t>
        </is>
      </c>
      <c r="K1123" s="7" t="inlineStr">
        <is>
          <t>VIVIANA MORENO</t>
        </is>
      </c>
      <c r="L1123" s="7" t="n">
        <v/>
      </c>
      <c r="M1123" s="7" t="n">
        <v/>
      </c>
      <c r="N1123" s="7" t="n">
        <v>3143697202</v>
      </c>
      <c r="O1123" s="7" t="inlineStr">
        <is>
          <t>GUTURT93@GMAIL.COM</t>
        </is>
      </c>
      <c r="P1123" s="7" t="inlineStr">
        <is>
          <t>CHIA SEDE</t>
        </is>
      </c>
      <c r="Q1123" s="7" t="inlineStr">
        <is>
          <t>BELLAS ARTES</t>
        </is>
      </c>
      <c r="R1123" s="7" t="n">
        <v/>
      </c>
    </row>
    <row r="1124" ht="20" customHeight="1">
      <c r="A1124" s="3" t="inlineStr">
        <is>
          <t>1049650615</t>
        </is>
      </c>
      <c r="B1124" s="4" t="inlineStr">
        <is>
          <t>PRESENCIAL BOGOTÁ</t>
        </is>
      </c>
      <c r="C1124" s="4" t="inlineStr">
        <is>
          <t>KELLY DANIELA SORACA SALAMANCA</t>
        </is>
      </c>
      <c r="D1124" s="4" t="inlineStr">
        <is>
          <t>OPERACIONES</t>
        </is>
      </c>
      <c r="E1124" s="4" t="inlineStr">
        <is>
          <t>REGIONAL BOGOTA</t>
        </is>
      </c>
      <c r="F1124" s="4" t="inlineStr">
        <is>
          <t>BOGOTA CENTRO</t>
        </is>
      </c>
      <c r="G1124" s="4" t="inlineStr">
        <is>
          <t>PRESENCIAL</t>
        </is>
      </c>
      <c r="H1124" s="4" t="inlineStr">
        <is>
          <t>DOC AUX T&amp;T/N/TC/ING SISTEM/FUN.ACADE-ADMIN</t>
        </is>
      </c>
      <c r="I1124" s="4" t="inlineStr">
        <is>
          <t>INGENIERIA DE SISTEMAS</t>
        </is>
      </c>
      <c r="J1124" s="4" t="inlineStr">
        <is>
          <t>PLANTA</t>
        </is>
      </c>
      <c r="K1124" s="4" t="inlineStr">
        <is>
          <t>VIVIANA MORENO</t>
        </is>
      </c>
      <c r="L1124" s="4" t="n">
        <v/>
      </c>
      <c r="M1124" s="4" t="n">
        <v/>
      </c>
      <c r="N1124" s="4" t="n">
        <v>3114666867</v>
      </c>
      <c r="O1124" s="4" t="inlineStr">
        <is>
          <t>KELLY.SORACA@UPTC.EDU.CO</t>
        </is>
      </c>
      <c r="P1124" s="4" t="inlineStr">
        <is>
          <t>BTA SEDE A</t>
        </is>
      </c>
      <c r="Q1124" s="4" t="inlineStr">
        <is>
          <t>INGENIERIA</t>
        </is>
      </c>
      <c r="R1124" s="4" t="n">
        <v>503</v>
      </c>
    </row>
    <row r="1125" ht="20" customHeight="1">
      <c r="A1125" s="6" t="inlineStr">
        <is>
          <t>1106889027</t>
        </is>
      </c>
      <c r="B1125" s="7" t="inlineStr">
        <is>
          <t>PRESENCIAL REGIONAL</t>
        </is>
      </c>
      <c r="C1125" s="7" t="inlineStr">
        <is>
          <t>CRISTIAN LAREL FANDIÑO HERRAN</t>
        </is>
      </c>
      <c r="D1125" s="7" t="inlineStr">
        <is>
          <t>OPERACIONES</t>
        </is>
      </c>
      <c r="E1125" s="7" t="inlineStr">
        <is>
          <t>REGIONAL TOLIMA</t>
        </is>
      </c>
      <c r="F1125" s="7" t="inlineStr">
        <is>
          <t>IBAGUÉ</t>
        </is>
      </c>
      <c r="G1125" s="7" t="inlineStr">
        <is>
          <t>VIRTUAL</t>
        </is>
      </c>
      <c r="H1125" s="7" t="inlineStr">
        <is>
          <t>DOC AUX/N/V/MT/ING DE SISTEMAS</t>
        </is>
      </c>
      <c r="I1125" s="7" t="inlineStr">
        <is>
          <t>INGENIERIA DE SISTEMAS</t>
        </is>
      </c>
      <c r="J1125" s="7" t="inlineStr">
        <is>
          <t>PLANTA</t>
        </is>
      </c>
      <c r="K1125" s="7" t="inlineStr">
        <is>
          <t>VIVIANA MORENO</t>
        </is>
      </c>
      <c r="L1125" s="7" t="n">
        <v/>
      </c>
      <c r="M1125" s="7" t="n">
        <v/>
      </c>
      <c r="N1125" s="7" t="n">
        <v>3138037011</v>
      </c>
      <c r="O1125" s="7" t="inlineStr">
        <is>
          <t>cristianfan06@hotmail.com</t>
        </is>
      </c>
      <c r="P1125" s="7" t="inlineStr">
        <is>
          <t>IBAGUE SEDE</t>
        </is>
      </c>
      <c r="Q1125" s="7" t="inlineStr">
        <is>
          <t>INGENIERIA</t>
        </is>
      </c>
      <c r="R1125" s="7" t="n">
        <v/>
      </c>
    </row>
    <row r="1126" ht="20" customHeight="1">
      <c r="A1126" s="3" t="inlineStr">
        <is>
          <t>1067954816</t>
        </is>
      </c>
      <c r="B1126" s="4" t="inlineStr">
        <is>
          <t>PRESENCIAL BOGOTÁ</t>
        </is>
      </c>
      <c r="C1126" s="4" t="inlineStr">
        <is>
          <t>WILLIAM ENRIQUE TAPIA AYALA</t>
        </is>
      </c>
      <c r="D1126" s="4" t="inlineStr">
        <is>
          <t>OPERACIONES</t>
        </is>
      </c>
      <c r="E1126" s="4" t="inlineStr">
        <is>
          <t>REGIONAL BOGOTA</t>
        </is>
      </c>
      <c r="F1126" s="4" t="inlineStr">
        <is>
          <t>BOGOTA CENTRO</t>
        </is>
      </c>
      <c r="G1126" s="4" t="inlineStr">
        <is>
          <t>PRESENCIAL</t>
        </is>
      </c>
      <c r="H1126" s="4" t="inlineStr">
        <is>
          <t>DOC AUX T&amp;T/N/MT/ADM SER SALU</t>
        </is>
      </c>
      <c r="I1126" s="4" t="inlineStr">
        <is>
          <t>ADMINISTRACION EN SERVICIOS DE SALUD</t>
        </is>
      </c>
      <c r="J1126" s="4" t="inlineStr">
        <is>
          <t>NUEVO</t>
        </is>
      </c>
      <c r="K1126" s="4" t="inlineStr">
        <is>
          <t>VIVIANA MORENO</t>
        </is>
      </c>
      <c r="L1126" s="4" t="n">
        <v/>
      </c>
      <c r="M1126" s="4" t="n">
        <v/>
      </c>
      <c r="N1126" s="4" t="n">
        <v>3105292801</v>
      </c>
      <c r="O1126" s="4" t="inlineStr">
        <is>
          <t xml:space="preserve">WILLIAMSXP97@HOTMAIL.COM </t>
        </is>
      </c>
      <c r="P1126" s="4" t="inlineStr">
        <is>
          <t>BTA SEDE A</t>
        </is>
      </c>
      <c r="Q1126" s="4" t="inlineStr">
        <is>
          <t>TRANSFORMACIÓN EMPRESARIAL</t>
        </is>
      </c>
      <c r="R1126" s="4" t="n">
        <v>302</v>
      </c>
    </row>
    <row r="1127" ht="20" customHeight="1">
      <c r="A1127" s="6" t="inlineStr">
        <is>
          <t>1098772724</t>
        </is>
      </c>
      <c r="B1127" s="7" t="inlineStr">
        <is>
          <t>VIRTUAL</t>
        </is>
      </c>
      <c r="C1127" s="7" t="inlineStr">
        <is>
          <t>NIVER ARLEY CASTELLANOS GONZALEZ</t>
        </is>
      </c>
      <c r="D1127" s="7" t="inlineStr">
        <is>
          <t>OPERACIONES</t>
        </is>
      </c>
      <c r="E1127" s="7" t="inlineStr">
        <is>
          <t>REGIONAL SANTANDER</t>
        </is>
      </c>
      <c r="F1127" s="7" t="inlineStr">
        <is>
          <t>BUCARAMANGA</t>
        </is>
      </c>
      <c r="G1127" s="7" t="inlineStr">
        <is>
          <t>VIRTUAL</t>
        </is>
      </c>
      <c r="H1127" s="7" t="inlineStr">
        <is>
          <t>DOC ASIS/N/V/MT/CONTADURIA</t>
        </is>
      </c>
      <c r="I1127" s="7" t="inlineStr">
        <is>
          <t>CONTADURIA PUBLICA</t>
        </is>
      </c>
      <c r="J1127" s="7" t="inlineStr">
        <is>
          <t>NUEVO</t>
        </is>
      </c>
      <c r="K1127" s="7" t="inlineStr">
        <is>
          <t>SOFIA ARANZAZU</t>
        </is>
      </c>
      <c r="L1127" s="7" t="n">
        <v/>
      </c>
      <c r="M1127" s="7" t="n">
        <v/>
      </c>
      <c r="N1127" s="7" t="n">
        <v>3183834298</v>
      </c>
      <c r="O1127" s="7" t="inlineStr">
        <is>
          <t>NIVER.CASTELLANOS@GMAIL.COM</t>
        </is>
      </c>
      <c r="P1127" s="7" t="inlineStr">
        <is>
          <t>BGA SEDE</t>
        </is>
      </c>
      <c r="Q1127" s="7" t="inlineStr">
        <is>
          <t>NEGOCIOS</t>
        </is>
      </c>
      <c r="R1127" s="7" t="n">
        <v/>
      </c>
    </row>
    <row r="1128" ht="20" customHeight="1">
      <c r="A1128" s="3" t="inlineStr">
        <is>
          <t>1018476068</t>
        </is>
      </c>
      <c r="B1128" s="4" t="inlineStr">
        <is>
          <t>PRESENCIAL BOGOTÁ</t>
        </is>
      </c>
      <c r="C1128" s="4" t="inlineStr">
        <is>
          <t>JOHNNY STIVEN SERNA WILLIAMS</t>
        </is>
      </c>
      <c r="D1128" s="4" t="inlineStr">
        <is>
          <t>OPERACIONES</t>
        </is>
      </c>
      <c r="E1128" s="4" t="inlineStr">
        <is>
          <t>REGIONAL BOGOTA</t>
        </is>
      </c>
      <c r="F1128" s="4" t="inlineStr">
        <is>
          <t>BOGOTA CENTRO</t>
        </is>
      </c>
      <c r="G1128" s="4" t="inlineStr">
        <is>
          <t>VIRTUAL</t>
        </is>
      </c>
      <c r="H1128" s="4" t="inlineStr">
        <is>
          <t>DOC AUX/N/V/MT/CONTADURIA</t>
        </is>
      </c>
      <c r="I1128" s="4" t="inlineStr">
        <is>
          <t>CONTADURIA PUBLICA</t>
        </is>
      </c>
      <c r="J1128" s="4" t="inlineStr">
        <is>
          <t>NUEVO</t>
        </is>
      </c>
      <c r="K1128" s="4" t="inlineStr">
        <is>
          <t>SOFIA ARANZAZU</t>
        </is>
      </c>
      <c r="L1128" s="4" t="n">
        <v/>
      </c>
      <c r="M1128" s="4" t="n">
        <v/>
      </c>
      <c r="N1128" s="4" t="n">
        <v>3202213746</v>
      </c>
      <c r="O1128" s="4" t="inlineStr">
        <is>
          <t>JOHNNYSERNA777@GMAIL.COM</t>
        </is>
      </c>
      <c r="P1128" s="4" t="inlineStr">
        <is>
          <t>BTA SEDE A</t>
        </is>
      </c>
      <c r="Q1128" s="4" t="inlineStr">
        <is>
          <t>NEGOCIOS</t>
        </is>
      </c>
      <c r="R1128" s="4" t="n">
        <v>204</v>
      </c>
    </row>
    <row r="1129" ht="20" customHeight="1">
      <c r="A1129" s="6" t="inlineStr">
        <is>
          <t>88033316</t>
        </is>
      </c>
      <c r="B1129" s="7" t="inlineStr">
        <is>
          <t>VIRTUAL</t>
        </is>
      </c>
      <c r="C1129" s="7" t="inlineStr">
        <is>
          <t>SERGIO LUIS GOMEZ ARTETA</t>
        </is>
      </c>
      <c r="D1129" s="7" t="inlineStr">
        <is>
          <t>OPERACIONES</t>
        </is>
      </c>
      <c r="E1129" s="7" t="inlineStr">
        <is>
          <t>REGIONAL SANTANDER</t>
        </is>
      </c>
      <c r="F1129" s="7" t="inlineStr">
        <is>
          <t>BUCARAMANGA</t>
        </is>
      </c>
      <c r="G1129" s="7" t="inlineStr">
        <is>
          <t>VIRTUAL</t>
        </is>
      </c>
      <c r="H1129" s="7" t="inlineStr">
        <is>
          <t>DOC ASIS/N/V/TC/ESP SEG SALUD TRAB/FUN.A</t>
        </is>
      </c>
      <c r="I1129" s="7" t="inlineStr">
        <is>
          <t>ESPECIALIZACION EN SEGURIDAD Y SALUD EN EL TRABAJO</t>
        </is>
      </c>
      <c r="J1129" s="7" t="inlineStr">
        <is>
          <t>NUEVO</t>
        </is>
      </c>
      <c r="K1129" s="7" t="inlineStr">
        <is>
          <t>SOFIA ARANZAZU</t>
        </is>
      </c>
      <c r="L1129" s="7" t="n">
        <v/>
      </c>
      <c r="M1129" s="7" t="n">
        <v/>
      </c>
      <c r="N1129" s="7" t="n">
        <v>3122748167</v>
      </c>
      <c r="O1129" s="7" t="inlineStr">
        <is>
          <t xml:space="preserve">ING.GOMEZARTETA@GMAIL.COM </t>
        </is>
      </c>
      <c r="P1129" s="7" t="inlineStr">
        <is>
          <t>BGA SEDE</t>
        </is>
      </c>
      <c r="Q1129" s="7" t="inlineStr">
        <is>
          <t>ESPECIALIZACIONES</t>
        </is>
      </c>
      <c r="R1129" s="7" t="n">
        <v/>
      </c>
    </row>
    <row r="1130" ht="20" customHeight="1">
      <c r="A1130" s="3" t="inlineStr">
        <is>
          <t>52285349</t>
        </is>
      </c>
      <c r="B1130" s="4" t="inlineStr">
        <is>
          <t>PRESENCIAL BOGOTÁ</t>
        </is>
      </c>
      <c r="C1130" s="4" t="inlineStr">
        <is>
          <t>MONICA JEANNETTE PENAGOS MARTINEZ</t>
        </is>
      </c>
      <c r="D1130" s="4" t="inlineStr">
        <is>
          <t>OPERACIONES</t>
        </is>
      </c>
      <c r="E1130" s="4" t="inlineStr">
        <is>
          <t>REGIONAL BOGOTA</t>
        </is>
      </c>
      <c r="F1130" s="4" t="inlineStr">
        <is>
          <t>BOGOTA CENTRO</t>
        </is>
      </c>
      <c r="G1130" s="4" t="inlineStr">
        <is>
          <t>PRESENCIAL</t>
        </is>
      </c>
      <c r="H1130" s="4" t="inlineStr">
        <is>
          <t>DOCENTE ASIS/N/TC/ING SISTEM/FUN.ACADE-ADMIN</t>
        </is>
      </c>
      <c r="I1130" s="4" t="inlineStr">
        <is>
          <t>INGENIERIA DE SISTEMAS</t>
        </is>
      </c>
      <c r="J1130" s="4" t="inlineStr">
        <is>
          <t>PLANTA</t>
        </is>
      </c>
      <c r="K1130" s="4" t="inlineStr">
        <is>
          <t>SOFIA ARANZAZU</t>
        </is>
      </c>
      <c r="L1130" s="4" t="n">
        <v/>
      </c>
      <c r="M1130" s="4" t="n">
        <v/>
      </c>
      <c r="N1130" s="4" t="n">
        <v>3015919587</v>
      </c>
      <c r="O1130" s="4" t="inlineStr">
        <is>
          <t>mpenagosm@gmail.com</t>
        </is>
      </c>
      <c r="P1130" s="4" t="inlineStr">
        <is>
          <t>BTA SEDE A</t>
        </is>
      </c>
      <c r="Q1130" s="4" t="inlineStr">
        <is>
          <t>INGENIERIA</t>
        </is>
      </c>
      <c r="R1130" s="4" t="n">
        <v>503</v>
      </c>
    </row>
    <row r="1131" ht="20" customHeight="1">
      <c r="A1131" s="6" t="inlineStr">
        <is>
          <t>1053806926</t>
        </is>
      </c>
      <c r="B1131" s="7" t="inlineStr">
        <is>
          <t>VIRTUAL</t>
        </is>
      </c>
      <c r="C1131" s="7" t="inlineStr">
        <is>
          <t>JESSICA DANIELA GALVIS LUQUE</t>
        </is>
      </c>
      <c r="D1131" s="7" t="inlineStr">
        <is>
          <t>OPERACIONES</t>
        </is>
      </c>
      <c r="E1131" s="7" t="inlineStr">
        <is>
          <t>REGIONAL CALDAS</t>
        </is>
      </c>
      <c r="F1131" s="7" t="inlineStr">
        <is>
          <t>MANIZALES</t>
        </is>
      </c>
      <c r="G1131" s="7" t="inlineStr">
        <is>
          <t>VIRTUAL</t>
        </is>
      </c>
      <c r="H1131" s="7" t="inlineStr">
        <is>
          <t>DOC AUX T&amp;T/N/V/MT/ING INDUS</t>
        </is>
      </c>
      <c r="I1131" s="7" t="inlineStr">
        <is>
          <t>INGENIERIA INDUSTRIAL</t>
        </is>
      </c>
      <c r="J1131" s="7" t="inlineStr">
        <is>
          <t>NUEVO</t>
        </is>
      </c>
      <c r="K1131" s="7" t="inlineStr">
        <is>
          <t>SOFIA ARANZAZU</t>
        </is>
      </c>
      <c r="L1131" s="7" t="n">
        <v/>
      </c>
      <c r="M1131" s="7" t="n">
        <v/>
      </c>
      <c r="N1131" s="7" t="n">
        <v>3113383484</v>
      </c>
      <c r="O1131" s="7" t="inlineStr">
        <is>
          <t>JESSI_DANI27@HOTMAIL.COM</t>
        </is>
      </c>
      <c r="P1131" s="7" t="inlineStr">
        <is>
          <t>MANIZALES SEDE</t>
        </is>
      </c>
      <c r="Q1131" s="7" t="inlineStr">
        <is>
          <t>INGENIERIA</t>
        </is>
      </c>
      <c r="R1131" s="7" t="n">
        <v/>
      </c>
    </row>
    <row r="1132" ht="20" customHeight="1">
      <c r="A1132" s="3" t="inlineStr">
        <is>
          <t>1013623928</t>
        </is>
      </c>
      <c r="B1132" s="4" t="inlineStr">
        <is>
          <t>PRESENCIAL BOGOTÁ</t>
        </is>
      </c>
      <c r="C1132" s="4" t="inlineStr">
        <is>
          <t>HANS SEBASTIAN BEJARANO</t>
        </is>
      </c>
      <c r="D1132" s="4" t="inlineStr">
        <is>
          <t>OPERACIONES</t>
        </is>
      </c>
      <c r="E1132" s="4" t="inlineStr">
        <is>
          <t>REGIONAL BOGOTA</t>
        </is>
      </c>
      <c r="F1132" s="4" t="inlineStr">
        <is>
          <t>BOGOTA CENTRO</t>
        </is>
      </c>
      <c r="G1132" s="4" t="inlineStr">
        <is>
          <t>PRESENCIAL</t>
        </is>
      </c>
      <c r="H1132" s="4" t="inlineStr">
        <is>
          <t>DOCENTE AUX/N/MT/DERECHO</t>
        </is>
      </c>
      <c r="I1132" s="4" t="inlineStr">
        <is>
          <t>DERECHO</t>
        </is>
      </c>
      <c r="J1132" s="4" t="inlineStr">
        <is>
          <t>NUEVO</t>
        </is>
      </c>
      <c r="K1132" s="4" t="inlineStr">
        <is>
          <t>SOFIA ARANZAZU</t>
        </is>
      </c>
      <c r="L1132" s="4" t="n">
        <v/>
      </c>
      <c r="M1132" s="4" t="n">
        <v/>
      </c>
      <c r="N1132" s="4" t="n">
        <v>3046495375</v>
      </c>
      <c r="O1132" s="4" t="inlineStr">
        <is>
          <t>HANSMAVERICK1377@GMAIL.COM</t>
        </is>
      </c>
      <c r="P1132" s="4" t="inlineStr">
        <is>
          <t>BTA SEDE A</t>
        </is>
      </c>
      <c r="Q1132" s="4" t="inlineStr">
        <is>
          <t>NEGOCIOS</t>
        </is>
      </c>
      <c r="R1132" s="4" t="n">
        <v>204</v>
      </c>
    </row>
    <row r="1133" ht="20" customHeight="1">
      <c r="A1133" s="6" t="inlineStr">
        <is>
          <t>1125273179</t>
        </is>
      </c>
      <c r="B1133" s="7" t="inlineStr">
        <is>
          <t>PRESENCIAL REGIONAL</t>
        </is>
      </c>
      <c r="C1133" s="7" t="inlineStr">
        <is>
          <t>JUAN SEBASTIAN LOZADA LADINO</t>
        </is>
      </c>
      <c r="D1133" s="7" t="inlineStr">
        <is>
          <t>OPERACIONES</t>
        </is>
      </c>
      <c r="E1133" s="7" t="inlineStr">
        <is>
          <t>REGIONAL TOLIMA</t>
        </is>
      </c>
      <c r="F1133" s="7" t="inlineStr">
        <is>
          <t>IBAGUÉ</t>
        </is>
      </c>
      <c r="G1133" s="7" t="inlineStr">
        <is>
          <t>PRESENCIAL</t>
        </is>
      </c>
      <c r="H1133" s="7" t="inlineStr">
        <is>
          <t>DOCENTE ASIS/N/TC/DIS GRAFICO/FUN.ACADE-ADMIN</t>
        </is>
      </c>
      <c r="I1133" s="7" t="inlineStr">
        <is>
          <t>DISEÑO GRAFICO</t>
        </is>
      </c>
      <c r="J1133" s="7" t="inlineStr">
        <is>
          <t>NUEVO</t>
        </is>
      </c>
      <c r="K1133" s="7" t="inlineStr">
        <is>
          <t>SOFIA ARANZAZU</t>
        </is>
      </c>
      <c r="L1133" s="7" t="n">
        <v/>
      </c>
      <c r="M1133" s="7" t="n">
        <v/>
      </c>
      <c r="N1133" s="7" t="n">
        <v>3194940954</v>
      </c>
      <c r="O1133" s="7" t="inlineStr">
        <is>
          <t xml:space="preserve">SEBASTIANLOZADALADINO@GMAIL.COM </t>
        </is>
      </c>
      <c r="P1133" s="7" t="inlineStr">
        <is>
          <t>IBAGUE SEDE</t>
        </is>
      </c>
      <c r="Q1133" s="7" t="inlineStr">
        <is>
          <t>BELLAS ARTES</t>
        </is>
      </c>
      <c r="R1133" s="7" t="n">
        <v/>
      </c>
    </row>
    <row r="1134" ht="20" customHeight="1">
      <c r="A1134" s="3" t="inlineStr">
        <is>
          <t>1014292801</t>
        </is>
      </c>
      <c r="B1134" s="4" t="inlineStr">
        <is>
          <t>PRESENCIAL BOGOTÁ</t>
        </is>
      </c>
      <c r="C1134" s="4" t="inlineStr">
        <is>
          <t>OSCAR DANIEL CARDENAS BARRERA</t>
        </is>
      </c>
      <c r="D1134" s="4" t="inlineStr">
        <is>
          <t>OPERACIONES</t>
        </is>
      </c>
      <c r="E1134" s="4" t="inlineStr">
        <is>
          <t>REGIONAL BOGOTA</t>
        </is>
      </c>
      <c r="F1134" s="4" t="inlineStr">
        <is>
          <t>BOGOTA CENTRO</t>
        </is>
      </c>
      <c r="G1134" s="4" t="inlineStr">
        <is>
          <t>PRESENCIAL</t>
        </is>
      </c>
      <c r="H1134" s="4" t="inlineStr">
        <is>
          <t>DOCENTE ASIS/N/TC/DERECHO/FUN.ACADE-ADMIN</t>
        </is>
      </c>
      <c r="I1134" s="4" t="inlineStr">
        <is>
          <t>DERECHO</t>
        </is>
      </c>
      <c r="J1134" s="4" t="inlineStr">
        <is>
          <t>NUEVO</t>
        </is>
      </c>
      <c r="K1134" s="4" t="inlineStr">
        <is>
          <t>SOFIA ARANZAZU</t>
        </is>
      </c>
      <c r="L1134" s="4" t="n">
        <v/>
      </c>
      <c r="M1134" s="4" t="n">
        <v/>
      </c>
      <c r="N1134" s="4" t="n">
        <v>3105678136</v>
      </c>
      <c r="O1134" s="4" t="inlineStr">
        <is>
          <t>OSCARDANIEL579@GMAIL.COM</t>
        </is>
      </c>
      <c r="P1134" s="4" t="inlineStr">
        <is>
          <t>BTA SEDE A</t>
        </is>
      </c>
      <c r="Q1134" s="4" t="inlineStr">
        <is>
          <t>NEGOCIOS</t>
        </is>
      </c>
      <c r="R1134" s="4" t="n">
        <v>204</v>
      </c>
    </row>
    <row r="1135" ht="20" customHeight="1">
      <c r="A1135" s="6" t="inlineStr">
        <is>
          <t>1023872081</t>
        </is>
      </c>
      <c r="B1135" s="7" t="inlineStr">
        <is>
          <t>PRESENCIAL BOGOTÁ</t>
        </is>
      </c>
      <c r="C1135" s="7" t="inlineStr">
        <is>
          <t>HENRY EMILIO PEÑA PEÑA</t>
        </is>
      </c>
      <c r="D1135" s="7" t="inlineStr">
        <is>
          <t>OPERACIONES</t>
        </is>
      </c>
      <c r="E1135" s="7" t="inlineStr">
        <is>
          <t>REGIONAL BOGOTA</t>
        </is>
      </c>
      <c r="F1135" s="7" t="inlineStr">
        <is>
          <t>BOGOTA CENTRO</t>
        </is>
      </c>
      <c r="G1135" s="7" t="inlineStr">
        <is>
          <t>PRESENCIAL</t>
        </is>
      </c>
      <c r="H1135" s="7" t="inlineStr">
        <is>
          <t>DOCENTE AUX/N/MT-ADM SER SALU</t>
        </is>
      </c>
      <c r="I1135" s="7" t="inlineStr">
        <is>
          <t>ADMINISTRACION EN SERVICIOS DE SALUD</t>
        </is>
      </c>
      <c r="J1135" s="7" t="inlineStr">
        <is>
          <t>NUEVO</t>
        </is>
      </c>
      <c r="K1135" s="7" t="inlineStr">
        <is>
          <t>SOFIA ARANZAZU</t>
        </is>
      </c>
      <c r="L1135" s="7" t="n">
        <v/>
      </c>
      <c r="M1135" s="7" t="n">
        <v/>
      </c>
      <c r="N1135" s="7" t="n">
        <v>3114687535</v>
      </c>
      <c r="O1135" s="7" t="inlineStr">
        <is>
          <t>HENRY.ARG@HOTMAIL.COM</t>
        </is>
      </c>
      <c r="P1135" s="7" t="inlineStr">
        <is>
          <t>BTA SEDE A</t>
        </is>
      </c>
      <c r="Q1135" s="7" t="inlineStr">
        <is>
          <t>TRANSFORMACIÓN EMPRESARIAL</t>
        </is>
      </c>
      <c r="R1135" s="7" t="n">
        <v>302</v>
      </c>
    </row>
    <row r="1136" ht="20" customHeight="1">
      <c r="A1136" s="3" t="inlineStr">
        <is>
          <t>1105691259</t>
        </is>
      </c>
      <c r="B1136" s="4" t="inlineStr">
        <is>
          <t>PRESENCIAL BOGOTÁ</t>
        </is>
      </c>
      <c r="C1136" s="4" t="inlineStr">
        <is>
          <t>NICOLAS ALEXIS DIAZ ARBOLEDA</t>
        </is>
      </c>
      <c r="D1136" s="4" t="inlineStr">
        <is>
          <t>OPERACIONES</t>
        </is>
      </c>
      <c r="E1136" s="4" t="inlineStr">
        <is>
          <t>REGIONAL BOGOTA</t>
        </is>
      </c>
      <c r="F1136" s="4" t="inlineStr">
        <is>
          <t>BOGOTA CENTRO</t>
        </is>
      </c>
      <c r="G1136" s="4" t="inlineStr">
        <is>
          <t>PRESENCIAL</t>
        </is>
      </c>
      <c r="H1136" s="4" t="inlineStr">
        <is>
          <t>DOC AUX/N/MT/MAR DIG</t>
        </is>
      </c>
      <c r="I1136" s="4" t="inlineStr">
        <is>
          <t>MARKETING DIGITAL</t>
        </is>
      </c>
      <c r="J1136" s="4" t="inlineStr">
        <is>
          <t>NUEVO</t>
        </is>
      </c>
      <c r="K1136" s="4" t="inlineStr">
        <is>
          <t>SOFIA ARANZAZU</t>
        </is>
      </c>
      <c r="L1136" s="4" t="n">
        <v/>
      </c>
      <c r="M1136" s="4" t="n">
        <v/>
      </c>
      <c r="N1136" s="4" t="n">
        <v>3126142106</v>
      </c>
      <c r="O1136" s="4" t="inlineStr">
        <is>
          <t>NICOLASDIAZARBOLEDA2004MFG@GMAIL.COM</t>
        </is>
      </c>
      <c r="P1136" s="4" t="inlineStr">
        <is>
          <t>BTA SEDE A</t>
        </is>
      </c>
      <c r="Q1136" s="4" t="inlineStr">
        <is>
          <t>BELLAS ARTES</t>
        </is>
      </c>
      <c r="R1136" s="4" t="n">
        <v>403</v>
      </c>
    </row>
    <row r="1137" ht="20" customHeight="1">
      <c r="A1137" s="6" t="inlineStr">
        <is>
          <t>1005753346</t>
        </is>
      </c>
      <c r="B1137" s="7" t="inlineStr">
        <is>
          <t>PRESENCIAL REGIONAL</t>
        </is>
      </c>
      <c r="C1137" s="7" t="inlineStr">
        <is>
          <t>ANGELA MANUELA CHAVES MORENO</t>
        </is>
      </c>
      <c r="D1137" s="7" t="inlineStr">
        <is>
          <t>OPERACIONES</t>
        </is>
      </c>
      <c r="E1137" s="7" t="inlineStr">
        <is>
          <t>REGIONAL TOLIMA</t>
        </is>
      </c>
      <c r="F1137" s="7" t="inlineStr">
        <is>
          <t>IBAGUÉ</t>
        </is>
      </c>
      <c r="G1137" s="7" t="inlineStr">
        <is>
          <t>PRESENCIAL</t>
        </is>
      </c>
      <c r="H1137" s="7" t="inlineStr">
        <is>
          <t>DOC AUX T&amp;T/N/TC/DIS PROD MOD/FUN.ACADE-ADMIN</t>
        </is>
      </c>
      <c r="I1137" s="7" t="inlineStr">
        <is>
          <t>DISEÑO Y PRODUCCION DE MODAS</t>
        </is>
      </c>
      <c r="J1137" s="7" t="inlineStr">
        <is>
          <t>NUEVO</t>
        </is>
      </c>
      <c r="K1137" s="7" t="inlineStr">
        <is>
          <t>YEISON OYOLA</t>
        </is>
      </c>
      <c r="L1137" s="7" t="n">
        <v/>
      </c>
      <c r="M1137" s="7" t="n">
        <v/>
      </c>
      <c r="N1137" s="7" t="n">
        <v>3219968915</v>
      </c>
      <c r="O1137" s="7" t="inlineStr">
        <is>
          <t>ANGELA.MANUELA.M.CH@GMAIL.COM</t>
        </is>
      </c>
      <c r="P1137" s="7" t="inlineStr">
        <is>
          <t>IBAGUE SEDE</t>
        </is>
      </c>
      <c r="Q1137" s="7" t="inlineStr">
        <is>
          <t>BELLAS ARTES</t>
        </is>
      </c>
      <c r="R1137" s="7" t="n">
        <v/>
      </c>
    </row>
    <row r="1138" ht="20" customHeight="1">
      <c r="A1138" s="3" t="inlineStr">
        <is>
          <t>1010166434</t>
        </is>
      </c>
      <c r="B1138" s="4" t="inlineStr">
        <is>
          <t>PRESENCIAL BOGOTÁ</t>
        </is>
      </c>
      <c r="C1138" s="4" t="inlineStr">
        <is>
          <t>NELSON NIÑO TRIANA</t>
        </is>
      </c>
      <c r="D1138" s="4" t="inlineStr">
        <is>
          <t>OPERACIONES</t>
        </is>
      </c>
      <c r="E1138" s="4" t="inlineStr">
        <is>
          <t>REGIONAL BOGOTA</t>
        </is>
      </c>
      <c r="F1138" s="4" t="inlineStr">
        <is>
          <t>BOGOTA CENTRO</t>
        </is>
      </c>
      <c r="G1138" s="4" t="inlineStr">
        <is>
          <t>VIRTUAL</t>
        </is>
      </c>
      <c r="H1138" s="4" t="inlineStr">
        <is>
          <t>DOC AUX/N/V/TC/ESP CONTRA ESTATAL/FUN.AC</t>
        </is>
      </c>
      <c r="I1138" s="4" t="inlineStr">
        <is>
          <t>ESPECIALIZACION DE CONTRATACION ESTATAL</t>
        </is>
      </c>
      <c r="J1138" s="4" t="inlineStr">
        <is>
          <t>NUEVO</t>
        </is>
      </c>
      <c r="K1138" s="4" t="inlineStr">
        <is>
          <t>YEISON OYOLA</t>
        </is>
      </c>
      <c r="L1138" s="4" t="n">
        <v/>
      </c>
      <c r="M1138" s="4" t="n">
        <v/>
      </c>
      <c r="N1138" s="4" t="n">
        <v>3166170519</v>
      </c>
      <c r="O1138" s="4" t="inlineStr">
        <is>
          <t>NINOTRIANANELSON@GMAIL.COM</t>
        </is>
      </c>
      <c r="P1138" s="4" t="inlineStr">
        <is>
          <t>BTA SEDE A</t>
        </is>
      </c>
      <c r="Q1138" s="4" t="inlineStr">
        <is>
          <t>ESPECIALIZACIONES</t>
        </is>
      </c>
      <c r="R1138" s="4" t="n">
        <v>603</v>
      </c>
    </row>
    <row r="1139" ht="20" customHeight="1">
      <c r="A1139" s="6" t="inlineStr">
        <is>
          <t>1012334935</t>
        </is>
      </c>
      <c r="B1139" s="7" t="inlineStr">
        <is>
          <t>PRESENCIAL BOGOTÁ</t>
        </is>
      </c>
      <c r="C1139" s="7" t="inlineStr">
        <is>
          <t>GINNA PAOLA GOMEZ PEÑA</t>
        </is>
      </c>
      <c r="D1139" s="7" t="inlineStr">
        <is>
          <t>OPERACIONES</t>
        </is>
      </c>
      <c r="E1139" s="7" t="inlineStr">
        <is>
          <t>REGIONAL BOGOTA</t>
        </is>
      </c>
      <c r="F1139" s="7" t="inlineStr">
        <is>
          <t>BOGOTA CENTRO</t>
        </is>
      </c>
      <c r="G1139" s="7" t="inlineStr">
        <is>
          <t>VIRTUAL</t>
        </is>
      </c>
      <c r="H1139" s="7" t="inlineStr">
        <is>
          <t>DOCENTE ASIS/N/V/TC/ESP ALTA GEREN/FUN.A</t>
        </is>
      </c>
      <c r="I1139" s="7" t="inlineStr">
        <is>
          <t>ESPECIALIZACION EN ALTA GERENCIA</t>
        </is>
      </c>
      <c r="J1139" s="7" t="inlineStr">
        <is>
          <t>NUEVO</t>
        </is>
      </c>
      <c r="K1139" s="7" t="inlineStr">
        <is>
          <t>YEISON OYOLA</t>
        </is>
      </c>
      <c r="L1139" s="7" t="n">
        <v/>
      </c>
      <c r="M1139" s="7" t="n">
        <v/>
      </c>
      <c r="N1139" s="7" t="n">
        <v>3116400737</v>
      </c>
      <c r="O1139" s="7" t="inlineStr">
        <is>
          <t>GINNAPAOLAGOMEZ29@GMAIL.COM</t>
        </is>
      </c>
      <c r="P1139" s="7" t="inlineStr">
        <is>
          <t>BTA SEDE A</t>
        </is>
      </c>
      <c r="Q1139" s="7" t="n">
        <v/>
      </c>
      <c r="R1139" s="7" t="n">
        <v/>
      </c>
    </row>
    <row r="1140" ht="20" customHeight="1">
      <c r="A1140" s="3" t="inlineStr">
        <is>
          <t>80174712</t>
        </is>
      </c>
      <c r="B1140" s="4" t="inlineStr">
        <is>
          <t>PRESENCIAL BOGOTÁ</t>
        </is>
      </c>
      <c r="C1140" s="4" t="inlineStr">
        <is>
          <t>FERLEY AUGUSTO SANCHEZ CALDERON</t>
        </is>
      </c>
      <c r="D1140" s="4" t="inlineStr">
        <is>
          <t>OPERACIONES</t>
        </is>
      </c>
      <c r="E1140" s="4" t="inlineStr">
        <is>
          <t>REGIONAL BOGOTA</t>
        </is>
      </c>
      <c r="F1140" s="4" t="inlineStr">
        <is>
          <t>BOGOTA CENTRO</t>
        </is>
      </c>
      <c r="G1140" s="4" t="inlineStr">
        <is>
          <t>PRESENCIAL</t>
        </is>
      </c>
      <c r="H1140" s="4" t="inlineStr">
        <is>
          <t>DOCENTE ASIS/N/TC/ADM EMP/FUN.ACADE-ADMIN</t>
        </is>
      </c>
      <c r="I1140" s="4" t="inlineStr">
        <is>
          <t>ADMINISTRACION DE EMPRESAS</t>
        </is>
      </c>
      <c r="J1140" s="4" t="inlineStr">
        <is>
          <t>NUEVO</t>
        </is>
      </c>
      <c r="K1140" s="4" t="inlineStr">
        <is>
          <t>YEISON OYOLA</t>
        </is>
      </c>
      <c r="L1140" s="4" t="n">
        <v/>
      </c>
      <c r="M1140" s="4" t="n">
        <v/>
      </c>
      <c r="N1140" s="4" t="n">
        <v>3005392364</v>
      </c>
      <c r="O1140" s="4" t="inlineStr">
        <is>
          <t>augustosanchez28@gmail.com</t>
        </is>
      </c>
      <c r="P1140" s="4" t="inlineStr">
        <is>
          <t>BTA SEDE A</t>
        </is>
      </c>
      <c r="Q1140" s="4" t="n">
        <v/>
      </c>
      <c r="R1140" s="4" t="n">
        <v/>
      </c>
    </row>
    <row r="1141" ht="20" customHeight="1">
      <c r="A1141" s="6" t="inlineStr">
        <is>
          <t>1019982228</t>
        </is>
      </c>
      <c r="B1141" s="7" t="inlineStr">
        <is>
          <t>PRESENCIAL BOGOTÁ</t>
        </is>
      </c>
      <c r="C1141" s="7" t="inlineStr">
        <is>
          <t>LUCAS MATEO FORERO LOSADA</t>
        </is>
      </c>
      <c r="D1141" s="7" t="inlineStr">
        <is>
          <t>OPERACIONES</t>
        </is>
      </c>
      <c r="E1141" s="7" t="inlineStr">
        <is>
          <t>REGIONAL BOGOTA</t>
        </is>
      </c>
      <c r="F1141" s="7" t="inlineStr">
        <is>
          <t>BOGOTA CENTRO</t>
        </is>
      </c>
      <c r="G1141" s="7" t="inlineStr">
        <is>
          <t>PRESENCIAL</t>
        </is>
      </c>
      <c r="H1141" s="7" t="inlineStr">
        <is>
          <t>DOCENTE AUX/N/MT-ADM EM</t>
        </is>
      </c>
      <c r="I1141" s="7" t="inlineStr">
        <is>
          <t>ADMINISTRACION DE EMPRESAS</t>
        </is>
      </c>
      <c r="J1141" s="7" t="inlineStr">
        <is>
          <t>NUEVO</t>
        </is>
      </c>
      <c r="K1141" s="7" t="inlineStr">
        <is>
          <t>YEISON OYOLA</t>
        </is>
      </c>
      <c r="L1141" s="7" t="n">
        <v/>
      </c>
      <c r="M1141" s="7" t="n">
        <v/>
      </c>
      <c r="N1141" s="7" t="n">
        <v>3157716265</v>
      </c>
      <c r="O1141" s="7" t="inlineStr">
        <is>
          <t>CONTACTO@LUCASMATEO.COM.CO</t>
        </is>
      </c>
      <c r="P1141" s="7" t="inlineStr">
        <is>
          <t>BTA SEDE A</t>
        </is>
      </c>
      <c r="Q1141" s="7" t="n">
        <v/>
      </c>
      <c r="R1141" s="7" t="n">
        <v/>
      </c>
    </row>
    <row r="1142" ht="20" customHeight="1">
      <c r="A1142" s="3" t="inlineStr">
        <is>
          <t>72291974</t>
        </is>
      </c>
      <c r="B1142" s="4" t="inlineStr">
        <is>
          <t>PRESENCIAL REGIONAL</t>
        </is>
      </c>
      <c r="C1142" s="4" t="inlineStr">
        <is>
          <t>WILMER RAFAEL RUBIO RUBIO</t>
        </is>
      </c>
      <c r="D1142" s="4" t="inlineStr">
        <is>
          <t>OPERACIONES</t>
        </is>
      </c>
      <c r="E1142" s="4" t="inlineStr">
        <is>
          <t>REGIONAL ATLANTICO</t>
        </is>
      </c>
      <c r="F1142" s="4" t="inlineStr">
        <is>
          <t>BARRANQUILLA</t>
        </is>
      </c>
      <c r="G1142" s="4" t="inlineStr">
        <is>
          <t>PRESENCIAL</t>
        </is>
      </c>
      <c r="H1142" s="4" t="inlineStr">
        <is>
          <t>DOCENTE ASIS/N/TC/ADM EMP/FUN.ACADE-ADMIN</t>
        </is>
      </c>
      <c r="I1142" s="4" t="inlineStr">
        <is>
          <t>ADMINISTRACION DE EMPRESAS</t>
        </is>
      </c>
      <c r="J1142" s="4" t="inlineStr">
        <is>
          <t>NUEVO</t>
        </is>
      </c>
      <c r="K1142" s="4" t="inlineStr">
        <is>
          <t>YEISON OYOLA</t>
        </is>
      </c>
      <c r="L1142" s="4" t="n">
        <v/>
      </c>
      <c r="M1142" s="4" t="n">
        <v/>
      </c>
      <c r="N1142" s="4" t="n">
        <v>3162396031</v>
      </c>
      <c r="O1142" s="4" t="inlineStr">
        <is>
          <t>WILMER198406@GMAIL.COM</t>
        </is>
      </c>
      <c r="P1142" s="4" t="inlineStr">
        <is>
          <t>BQUILLA SEDE</t>
        </is>
      </c>
      <c r="Q1142" s="4" t="n">
        <v/>
      </c>
      <c r="R1142" s="4" t="n">
        <v/>
      </c>
    </row>
    <row r="1143" ht="20" customHeight="1">
      <c r="A1143" s="6" t="inlineStr">
        <is>
          <t>73435975</t>
        </is>
      </c>
      <c r="B1143" s="7" t="inlineStr">
        <is>
          <t>PRESENCIAL REGIONAL</t>
        </is>
      </c>
      <c r="C1143" s="7" t="inlineStr">
        <is>
          <t>RONALD YESID PALENCIA BUELVAS</t>
        </is>
      </c>
      <c r="D1143" s="7" t="inlineStr">
        <is>
          <t>OPERACIONES</t>
        </is>
      </c>
      <c r="E1143" s="7" t="inlineStr">
        <is>
          <t>REGIONAL SUCRE</t>
        </is>
      </c>
      <c r="F1143" s="7" t="inlineStr">
        <is>
          <t>SINCELEJO</t>
        </is>
      </c>
      <c r="G1143" s="7" t="inlineStr">
        <is>
          <t>PRESENCIAL</t>
        </is>
      </c>
      <c r="H1143" s="7" t="inlineStr">
        <is>
          <t>DOCENTE ASOC/N/MT-ADM SER SALU</t>
        </is>
      </c>
      <c r="I1143" s="7" t="inlineStr">
        <is>
          <t>ADMINISTRACION DE LA SEGURIDAD SOCIAL</t>
        </is>
      </c>
      <c r="J1143" s="7" t="inlineStr">
        <is>
          <t>NUEVO</t>
        </is>
      </c>
      <c r="K1143" s="7" t="inlineStr">
        <is>
          <t>YEISON OYOLA</t>
        </is>
      </c>
      <c r="L1143" s="7" t="n">
        <v/>
      </c>
      <c r="M1143" s="7" t="n">
        <v/>
      </c>
      <c r="N1143" s="7" t="n">
        <v>3002621973</v>
      </c>
      <c r="O1143" s="7" t="inlineStr">
        <is>
          <t>RONALDYESID.8@HOTMAIL.COM</t>
        </is>
      </c>
      <c r="P1143" s="7" t="inlineStr">
        <is>
          <t>SINCELEJO SEDE</t>
        </is>
      </c>
      <c r="Q1143" s="7" t="n">
        <v/>
      </c>
      <c r="R1143" s="7" t="n">
        <v/>
      </c>
    </row>
    <row r="1144" ht="20" customHeight="1">
      <c r="A1144" s="3" t="inlineStr">
        <is>
          <t>1020721488</t>
        </is>
      </c>
      <c r="B1144" s="4" t="inlineStr">
        <is>
          <t>PRESENCIAL BOGOTÁ</t>
        </is>
      </c>
      <c r="C1144" s="4" t="inlineStr">
        <is>
          <t>CARLOS ROBERTO PEREZ AGUILERA</t>
        </is>
      </c>
      <c r="D1144" s="4" t="inlineStr">
        <is>
          <t>OPERACIONES</t>
        </is>
      </c>
      <c r="E1144" s="4" t="inlineStr">
        <is>
          <t>REGIONAL BOGOTA</t>
        </is>
      </c>
      <c r="F1144" s="4" t="inlineStr">
        <is>
          <t>BOGOTA CENTRO</t>
        </is>
      </c>
      <c r="G1144" s="4" t="inlineStr">
        <is>
          <t>PRESENCIAL</t>
        </is>
      </c>
      <c r="H1144" s="4" t="inlineStr">
        <is>
          <t>DOCENTE AUX/N/MT-ADM SER SALU</t>
        </is>
      </c>
      <c r="I1144" s="4" t="inlineStr">
        <is>
          <t>ADMINISTRACION EN SERVICIOS DE SALUD</t>
        </is>
      </c>
      <c r="J1144" s="4" t="inlineStr">
        <is>
          <t>NUEVO</t>
        </is>
      </c>
      <c r="K1144" s="4" t="inlineStr">
        <is>
          <t>YEISON OYOLA</t>
        </is>
      </c>
      <c r="L1144" s="4" t="n">
        <v/>
      </c>
      <c r="M1144" s="4" t="n">
        <v/>
      </c>
      <c r="N1144" s="4" t="inlineStr">
        <is>
          <t>310 2706736</t>
        </is>
      </c>
      <c r="O1144" s="4" t="inlineStr">
        <is>
          <t>CARLOSROBERTOPEREZAGUILERA@GMAIL.COM</t>
        </is>
      </c>
      <c r="P1144" s="4" t="inlineStr">
        <is>
          <t>BTA SEDE A</t>
        </is>
      </c>
      <c r="Q1144" s="4" t="n">
        <v/>
      </c>
      <c r="R1144" s="4" t="n">
        <v/>
      </c>
    </row>
    <row r="1145" ht="20" customHeight="1">
      <c r="A1145" s="6" t="inlineStr">
        <is>
          <t>1100971766</t>
        </is>
      </c>
      <c r="B1145" s="7" t="inlineStr">
        <is>
          <t>PRESENCIAL BOGOTÁ</t>
        </is>
      </c>
      <c r="C1145" s="7" t="inlineStr">
        <is>
          <t>JOSE AGUSTIN GARZON RODRIGUEZ</t>
        </is>
      </c>
      <c r="D1145" s="7" t="inlineStr">
        <is>
          <t>OPERACIONES</t>
        </is>
      </c>
      <c r="E1145" s="7" t="inlineStr">
        <is>
          <t>REGIONAL BOGOTA</t>
        </is>
      </c>
      <c r="F1145" s="7" t="inlineStr">
        <is>
          <t>BOGOTA CENTRO</t>
        </is>
      </c>
      <c r="G1145" s="7" t="inlineStr">
        <is>
          <t>PRESENCIAL</t>
        </is>
      </c>
      <c r="H1145" s="7" t="inlineStr">
        <is>
          <t>DOCENTE AUX/N/MT-ADM TUR Y HOT</t>
        </is>
      </c>
      <c r="I1145" s="7" t="inlineStr">
        <is>
          <t>ADMINISTRACION TURISTICA Y HOTELERA</t>
        </is>
      </c>
      <c r="J1145" s="7" t="inlineStr">
        <is>
          <t>NUEVO</t>
        </is>
      </c>
      <c r="K1145" s="7" t="inlineStr">
        <is>
          <t>YEISON OYOLA</t>
        </is>
      </c>
      <c r="L1145" s="7" t="n">
        <v/>
      </c>
      <c r="M1145" s="7" t="n">
        <v/>
      </c>
      <c r="N1145" s="7" t="n">
        <v>3228465865</v>
      </c>
      <c r="O1145" s="7" t="inlineStr">
        <is>
          <t>JOSEGARO_26@HOTMAIL.COM</t>
        </is>
      </c>
      <c r="P1145" s="7" t="inlineStr">
        <is>
          <t>BTA SEDE A</t>
        </is>
      </c>
      <c r="Q1145" s="7" t="n">
        <v/>
      </c>
      <c r="R1145" s="7" t="n">
        <v/>
      </c>
    </row>
    <row r="1146" ht="20" customHeight="1">
      <c r="A1146" s="3" t="inlineStr">
        <is>
          <t>18263061</t>
        </is>
      </c>
      <c r="B1146" s="4" t="inlineStr">
        <is>
          <t>PRESENCIAL BOGOTÁ</t>
        </is>
      </c>
      <c r="C1146" s="4" t="inlineStr">
        <is>
          <t>JONATHAN EDUARDO RUIZ RAMIREZ</t>
        </is>
      </c>
      <c r="D1146" s="4" t="inlineStr">
        <is>
          <t>OPERACIONES</t>
        </is>
      </c>
      <c r="E1146" s="4" t="inlineStr">
        <is>
          <t>REGIONAL BOGOTA</t>
        </is>
      </c>
      <c r="F1146" s="4" t="inlineStr">
        <is>
          <t>BOGOTA CENTRO</t>
        </is>
      </c>
      <c r="G1146" s="4" t="inlineStr">
        <is>
          <t>VIRTUAL</t>
        </is>
      </c>
      <c r="H1146" s="4" t="inlineStr">
        <is>
          <t>DOC ASIS/N/V/MT/CIENCIAS BASI</t>
        </is>
      </c>
      <c r="I1146" s="4" t="inlineStr">
        <is>
          <t>CIENCIAS BASICAS</t>
        </is>
      </c>
      <c r="J1146" s="4" t="inlineStr">
        <is>
          <t>REINTEGRO</t>
        </is>
      </c>
      <c r="K1146" s="4" t="inlineStr">
        <is>
          <t>YEISON OYOLA</t>
        </is>
      </c>
      <c r="L1146" s="4" t="n">
        <v/>
      </c>
      <c r="M1146" s="4" t="n">
        <v/>
      </c>
      <c r="N1146" s="4" t="n">
        <v>3212531824</v>
      </c>
      <c r="O1146" s="4" t="inlineStr">
        <is>
          <t>atheuro@gmail.com</t>
        </is>
      </c>
      <c r="P1146" s="4" t="inlineStr">
        <is>
          <t>BTA SEDE F</t>
        </is>
      </c>
      <c r="Q1146" s="4" t="n">
        <v/>
      </c>
      <c r="R1146" s="4" t="n">
        <v/>
      </c>
    </row>
    <row r="1147" ht="20" customHeight="1">
      <c r="A1147" s="6" t="inlineStr">
        <is>
          <t>1000616624</t>
        </is>
      </c>
      <c r="B1147" s="7" t="inlineStr">
        <is>
          <t>PRESENCIAL BOGOTÁ</t>
        </is>
      </c>
      <c r="C1147" s="7" t="inlineStr">
        <is>
          <t>LUISA FERNANDA RINCON CAMARGO</t>
        </is>
      </c>
      <c r="D1147" s="7" t="inlineStr">
        <is>
          <t>OPERACIONES</t>
        </is>
      </c>
      <c r="E1147" s="7" t="inlineStr">
        <is>
          <t>REGIONAL BOGOTA</t>
        </is>
      </c>
      <c r="F1147" s="7" t="inlineStr">
        <is>
          <t>BOGOTA CENTRO</t>
        </is>
      </c>
      <c r="G1147" s="7" t="inlineStr">
        <is>
          <t>VIRTUAL</t>
        </is>
      </c>
      <c r="H1147" s="7" t="inlineStr">
        <is>
          <t>DOC AUX T&amp;T/N/V/TC/CIENCIAS BASI/FUN.ACADE-ADMIN</t>
        </is>
      </c>
      <c r="I1147" s="7" t="inlineStr">
        <is>
          <t>CIENCIAS BASICAS</t>
        </is>
      </c>
      <c r="J1147" s="7" t="inlineStr">
        <is>
          <t>REINTEGRO</t>
        </is>
      </c>
      <c r="K1147" s="7" t="inlineStr">
        <is>
          <t>PAULA OSORIO</t>
        </is>
      </c>
      <c r="L1147" s="7" t="n">
        <v/>
      </c>
      <c r="M1147" s="7" t="n">
        <v/>
      </c>
      <c r="N1147" s="7" t="n">
        <v>3187252794</v>
      </c>
      <c r="O1147" s="7" t="inlineStr">
        <is>
          <t>lurinconc@unal.edu.co</t>
        </is>
      </c>
      <c r="P1147" s="7" t="inlineStr">
        <is>
          <t>BTA SEDE A</t>
        </is>
      </c>
      <c r="Q1147" s="7" t="n">
        <v/>
      </c>
      <c r="R1147" s="7" t="n">
        <v/>
      </c>
    </row>
    <row r="1148" ht="20" customHeight="1">
      <c r="A1148" s="3" t="inlineStr">
        <is>
          <t>1030699910</t>
        </is>
      </c>
      <c r="B1148" s="4" t="inlineStr">
        <is>
          <t>PRESENCIAL BOGOTÁ</t>
        </is>
      </c>
      <c r="C1148" s="4" t="inlineStr">
        <is>
          <t>DANIEL SANTIAGO PAEZ BERNAL</t>
        </is>
      </c>
      <c r="D1148" s="4" t="inlineStr">
        <is>
          <t>OPERACIONES</t>
        </is>
      </c>
      <c r="E1148" s="4" t="inlineStr">
        <is>
          <t>REGIONAL BOGOTA</t>
        </is>
      </c>
      <c r="F1148" s="4" t="inlineStr">
        <is>
          <t>BOGOTA CENTRO</t>
        </is>
      </c>
      <c r="G1148" s="4" t="inlineStr">
        <is>
          <t>PRESENCIAL</t>
        </is>
      </c>
      <c r="H1148" s="4" t="inlineStr">
        <is>
          <t>DOCENTE ASIS/N/MT/CIEN BASI</t>
        </is>
      </c>
      <c r="I1148" s="4" t="inlineStr">
        <is>
          <t>CIENCIAS BASICAS</t>
        </is>
      </c>
      <c r="J1148" s="4" t="inlineStr">
        <is>
          <t>NUEVO</t>
        </is>
      </c>
      <c r="K1148" s="4" t="inlineStr">
        <is>
          <t>PAULA OSORIO</t>
        </is>
      </c>
      <c r="L1148" s="4" t="n">
        <v/>
      </c>
      <c r="M1148" s="4" t="n">
        <v/>
      </c>
      <c r="N1148" s="4" t="n">
        <v>3123429058</v>
      </c>
      <c r="O1148" s="4" t="inlineStr">
        <is>
          <t>DANIELPAEZB23@GMAIL.COM</t>
        </is>
      </c>
      <c r="P1148" s="4" t="inlineStr">
        <is>
          <t>BTA SEDE A</t>
        </is>
      </c>
      <c r="Q1148" s="4" t="n">
        <v/>
      </c>
      <c r="R1148" s="4" t="n">
        <v/>
      </c>
    </row>
    <row r="1149" ht="20" customHeight="1">
      <c r="A1149" s="6" t="inlineStr">
        <is>
          <t>1030632909</t>
        </is>
      </c>
      <c r="B1149" s="7" t="inlineStr">
        <is>
          <t>PRESENCIAL BOGOTÁ</t>
        </is>
      </c>
      <c r="C1149" s="7" t="inlineStr">
        <is>
          <t>YEISON ANDRES ALBARRACIN FRAGUA</t>
        </is>
      </c>
      <c r="D1149" s="7" t="inlineStr">
        <is>
          <t>OPERACIONES</t>
        </is>
      </c>
      <c r="E1149" s="7" t="inlineStr">
        <is>
          <t>REGIONAL BOGOTA</t>
        </is>
      </c>
      <c r="F1149" s="7" t="inlineStr">
        <is>
          <t>BOGOTA CENTRO</t>
        </is>
      </c>
      <c r="G1149" s="7" t="inlineStr">
        <is>
          <t>VIRTUAL</t>
        </is>
      </c>
      <c r="H1149" s="7" t="inlineStr">
        <is>
          <t>DOC AUX/N/V/MT/CONTADURIA</t>
        </is>
      </c>
      <c r="I1149" s="7" t="inlineStr">
        <is>
          <t>CONTADURIA PUBLICA</t>
        </is>
      </c>
      <c r="J1149" s="7" t="inlineStr">
        <is>
          <t>NUEVO</t>
        </is>
      </c>
      <c r="K1149" s="7" t="inlineStr">
        <is>
          <t>PAULA OSORIO</t>
        </is>
      </c>
      <c r="L1149" s="7" t="n">
        <v/>
      </c>
      <c r="M1149" s="7" t="n">
        <v/>
      </c>
      <c r="N1149" s="7" t="n">
        <v>3214869585</v>
      </c>
      <c r="O1149" s="7" t="inlineStr">
        <is>
          <t>YANDRES.ALBARRACIN@OUTLOOK.COM</t>
        </is>
      </c>
      <c r="P1149" s="7" t="inlineStr">
        <is>
          <t>BTA SEDE A</t>
        </is>
      </c>
      <c r="Q1149" s="7" t="n">
        <v/>
      </c>
      <c r="R1149" s="7" t="n">
        <v/>
      </c>
    </row>
    <row r="1150" ht="20" customHeight="1">
      <c r="A1150" s="3" t="inlineStr">
        <is>
          <t>1010206615</t>
        </is>
      </c>
      <c r="B1150" s="4" t="inlineStr">
        <is>
          <t>PRESENCIAL BOGOTÁ</t>
        </is>
      </c>
      <c r="C1150" s="4" t="inlineStr">
        <is>
          <t>CESAR ALFREDO VERA MARTINEZ</t>
        </is>
      </c>
      <c r="D1150" s="4" t="inlineStr">
        <is>
          <t>OPERACIONES</t>
        </is>
      </c>
      <c r="E1150" s="4" t="inlineStr">
        <is>
          <t>REGIONAL BOGOTA</t>
        </is>
      </c>
      <c r="F1150" s="4" t="inlineStr">
        <is>
          <t>BOGOTA CENTRO</t>
        </is>
      </c>
      <c r="G1150" s="4" t="inlineStr">
        <is>
          <t>VIRTUAL</t>
        </is>
      </c>
      <c r="H1150" s="4" t="inlineStr">
        <is>
          <t>DOC AUX/N/V/MT/CONTADURIA</t>
        </is>
      </c>
      <c r="I1150" s="4" t="inlineStr">
        <is>
          <t>CONTADURIA PUBLICA</t>
        </is>
      </c>
      <c r="J1150" s="4" t="inlineStr">
        <is>
          <t>NUEVO</t>
        </is>
      </c>
      <c r="K1150" s="4" t="inlineStr">
        <is>
          <t>PAULA OSORIO</t>
        </is>
      </c>
      <c r="L1150" s="4" t="n">
        <v/>
      </c>
      <c r="M1150" s="4" t="n">
        <v/>
      </c>
      <c r="N1150" s="4" t="n">
        <v>3227044758</v>
      </c>
      <c r="O1150" s="4" t="inlineStr">
        <is>
          <t>CESARVERA50@GMAIL.COM</t>
        </is>
      </c>
      <c r="P1150" s="4" t="inlineStr">
        <is>
          <t>BTA SEDE NORTE</t>
        </is>
      </c>
      <c r="Q1150" s="4" t="n">
        <v/>
      </c>
      <c r="R1150" s="4" t="n">
        <v/>
      </c>
    </row>
    <row r="1151" ht="20" customHeight="1">
      <c r="A1151" s="6" t="inlineStr">
        <is>
          <t>1121841722</t>
        </is>
      </c>
      <c r="B1151" s="7" t="inlineStr">
        <is>
          <t>VIRTUAL</t>
        </is>
      </c>
      <c r="C1151" s="7" t="inlineStr">
        <is>
          <t>MAIRA ALEJANDRA GALINDO LOPEZ</t>
        </is>
      </c>
      <c r="D1151" s="7" t="inlineStr">
        <is>
          <t>OPERACIONES</t>
        </is>
      </c>
      <c r="E1151" s="7" t="inlineStr">
        <is>
          <t>REGIONAL META</t>
        </is>
      </c>
      <c r="F1151" s="7" t="inlineStr">
        <is>
          <t>VILLAVICENCIO</t>
        </is>
      </c>
      <c r="G1151" s="7" t="inlineStr">
        <is>
          <t>VIRTUAL</t>
        </is>
      </c>
      <c r="H1151" s="7" t="inlineStr">
        <is>
          <t>DOC ASIS/N/V/MT/CONTADURIA</t>
        </is>
      </c>
      <c r="I1151" s="7" t="inlineStr">
        <is>
          <t>CONTADURIA PUBLICA</t>
        </is>
      </c>
      <c r="J1151" s="7" t="inlineStr">
        <is>
          <t>NUEVO</t>
        </is>
      </c>
      <c r="K1151" s="7" t="inlineStr">
        <is>
          <t>PAULA OSORIO</t>
        </is>
      </c>
      <c r="L1151" s="7" t="n">
        <v/>
      </c>
      <c r="M1151" s="7" t="n">
        <v/>
      </c>
      <c r="N1151" s="7" t="n">
        <v>3104753563</v>
      </c>
      <c r="O1151" s="7" t="inlineStr">
        <is>
          <t>MALEJA_1106@HOTMAIL.COM</t>
        </is>
      </c>
      <c r="P1151" s="7" t="inlineStr">
        <is>
          <t>VILLAVICENCIO SEDE</t>
        </is>
      </c>
      <c r="Q1151" s="7" t="n">
        <v/>
      </c>
      <c r="R1151" s="7" t="n">
        <v/>
      </c>
    </row>
    <row r="1152" ht="20" customHeight="1">
      <c r="A1152" s="3" t="inlineStr">
        <is>
          <t>1022330338</t>
        </is>
      </c>
      <c r="B1152" s="4" t="inlineStr">
        <is>
          <t>VIRTUAL</t>
        </is>
      </c>
      <c r="C1152" s="4" t="inlineStr">
        <is>
          <t>NATHALIA CAROLINA RUBIO BUITRAGO</t>
        </is>
      </c>
      <c r="D1152" s="4" t="inlineStr">
        <is>
          <t>OPERACIONES</t>
        </is>
      </c>
      <c r="E1152" s="4" t="inlineStr">
        <is>
          <t>REGIONAL BOYACA</t>
        </is>
      </c>
      <c r="F1152" s="4" t="inlineStr">
        <is>
          <t>TUNJA</t>
        </is>
      </c>
      <c r="G1152" s="4" t="inlineStr">
        <is>
          <t>VIRTUAL</t>
        </is>
      </c>
      <c r="H1152" s="4" t="inlineStr">
        <is>
          <t>DOC ASIS/N/V/MT/CONTADURIA</t>
        </is>
      </c>
      <c r="I1152" s="4" t="inlineStr">
        <is>
          <t>CONTADURIA PUBLICA</t>
        </is>
      </c>
      <c r="J1152" s="4" t="inlineStr">
        <is>
          <t>NUEVO</t>
        </is>
      </c>
      <c r="K1152" s="4" t="inlineStr">
        <is>
          <t>PAULA OSORIO</t>
        </is>
      </c>
      <c r="L1152" s="4" t="n">
        <v/>
      </c>
      <c r="M1152" s="4" t="n">
        <v/>
      </c>
      <c r="N1152" s="4" t="n">
        <v>3208371795</v>
      </c>
      <c r="O1152" s="4" t="inlineStr">
        <is>
          <t>NCRUBIOB@GMAIL.COM</t>
        </is>
      </c>
      <c r="P1152" s="4" t="inlineStr">
        <is>
          <t>TUNJA SEDE</t>
        </is>
      </c>
      <c r="Q1152" s="4" t="n">
        <v/>
      </c>
      <c r="R1152" s="4" t="n">
        <v/>
      </c>
    </row>
    <row r="1153" ht="20" customHeight="1">
      <c r="A1153" s="6" t="inlineStr">
        <is>
          <t>1082956866</t>
        </is>
      </c>
      <c r="B1153" s="7" t="inlineStr">
        <is>
          <t>PRESENCIAL BOGOTÁ</t>
        </is>
      </c>
      <c r="C1153" s="7" t="inlineStr">
        <is>
          <t>LIZ ANGELY NUÑEZ CANO</t>
        </is>
      </c>
      <c r="D1153" s="7" t="inlineStr">
        <is>
          <t>OPERACIONES</t>
        </is>
      </c>
      <c r="E1153" s="7" t="inlineStr">
        <is>
          <t>REGIONAL BOGOTA</t>
        </is>
      </c>
      <c r="F1153" s="7" t="inlineStr">
        <is>
          <t>BOGOTA CENTRO</t>
        </is>
      </c>
      <c r="G1153" s="7" t="inlineStr">
        <is>
          <t>VIRTUAL</t>
        </is>
      </c>
      <c r="H1153" s="7" t="inlineStr">
        <is>
          <t>DOC AUX T&amp;T/N/V/MT/CONTADURIA</t>
        </is>
      </c>
      <c r="I1153" s="7" t="inlineStr">
        <is>
          <t>CONTADURIA PUBLICA</t>
        </is>
      </c>
      <c r="J1153" s="7" t="inlineStr">
        <is>
          <t>NUEVO</t>
        </is>
      </c>
      <c r="K1153" s="7" t="inlineStr">
        <is>
          <t>PAULA OSORIO</t>
        </is>
      </c>
      <c r="L1153" s="7" t="n">
        <v/>
      </c>
      <c r="M1153" s="7" t="n">
        <v/>
      </c>
      <c r="N1153" s="7" t="n">
        <v>3004663725</v>
      </c>
      <c r="O1153" s="7" t="inlineStr">
        <is>
          <t>LIZNCONTABILIDAD@GMAIL.COM</t>
        </is>
      </c>
      <c r="P1153" s="7" t="inlineStr">
        <is>
          <t>BTA SEDE A</t>
        </is>
      </c>
      <c r="Q1153" s="7" t="n">
        <v/>
      </c>
      <c r="R1153" s="7" t="n">
        <v/>
      </c>
    </row>
    <row r="1154" ht="20" customHeight="1">
      <c r="A1154" s="3" t="inlineStr">
        <is>
          <t>1052417031</t>
        </is>
      </c>
      <c r="B1154" s="4" t="inlineStr">
        <is>
          <t>PRESENCIAL BOGOTÁ</t>
        </is>
      </c>
      <c r="C1154" s="4" t="inlineStr">
        <is>
          <t>DAYAN RICARDO BARRERA RINCON</t>
        </is>
      </c>
      <c r="D1154" s="4" t="inlineStr">
        <is>
          <t>OPERACIONES</t>
        </is>
      </c>
      <c r="E1154" s="4" t="inlineStr">
        <is>
          <t>REGIONAL BOGOTA</t>
        </is>
      </c>
      <c r="F1154" s="4" t="inlineStr">
        <is>
          <t>BOGOTA CENTRO</t>
        </is>
      </c>
      <c r="G1154" s="4" t="inlineStr">
        <is>
          <t>PRESENCIAL</t>
        </is>
      </c>
      <c r="H1154" s="4" t="inlineStr">
        <is>
          <t>DOC AUX T&amp;T/N/TC/DERECHO/FUN.ACADE-ADMIN</t>
        </is>
      </c>
      <c r="I1154" s="4" t="inlineStr">
        <is>
          <t>DERECHO</t>
        </is>
      </c>
      <c r="J1154" s="4" t="inlineStr">
        <is>
          <t>NUEVO</t>
        </is>
      </c>
      <c r="K1154" s="4" t="inlineStr">
        <is>
          <t>PAULA OSORIO</t>
        </is>
      </c>
      <c r="L1154" s="4" t="n">
        <v/>
      </c>
      <c r="M1154" s="4" t="n">
        <v/>
      </c>
      <c r="N1154" s="4" t="n">
        <v>3102692161</v>
      </c>
      <c r="O1154" s="4" t="inlineStr">
        <is>
          <t>RICARDOBJURIDICO25@GMAIL.COM</t>
        </is>
      </c>
      <c r="P1154" s="4" t="inlineStr">
        <is>
          <t>BTA SEDE A</t>
        </is>
      </c>
      <c r="Q1154" s="4" t="n">
        <v/>
      </c>
      <c r="R1154" s="4" t="n">
        <v/>
      </c>
    </row>
    <row r="1155" ht="20" customHeight="1">
      <c r="A1155" s="6" t="inlineStr">
        <is>
          <t>1001066769</t>
        </is>
      </c>
      <c r="B1155" s="7" t="inlineStr">
        <is>
          <t>PRESENCIAL BOGOTÁ</t>
        </is>
      </c>
      <c r="C1155" s="7" t="inlineStr">
        <is>
          <t>ANA SOFIA SANABRIA POSADA</t>
        </is>
      </c>
      <c r="D1155" s="7" t="inlineStr">
        <is>
          <t>OPERACIONES</t>
        </is>
      </c>
      <c r="E1155" s="7" t="inlineStr">
        <is>
          <t>REGIONAL BOGOTA</t>
        </is>
      </c>
      <c r="F1155" s="7" t="inlineStr">
        <is>
          <t>BOGOTA CENTRO</t>
        </is>
      </c>
      <c r="G1155" s="7" t="inlineStr">
        <is>
          <t>PRESENCIAL</t>
        </is>
      </c>
      <c r="H1155" s="7" t="inlineStr">
        <is>
          <t>DOC AUX T&amp;T/N/TC/DIR PROD ME AUD/FUN.ACADE-ADMIN</t>
        </is>
      </c>
      <c r="I1155" s="7" t="inlineStr">
        <is>
          <t>DIRECCION Y PRODUCCION DE MEDIOS AUDIOVISUALES</t>
        </is>
      </c>
      <c r="J1155" s="7" t="inlineStr">
        <is>
          <t>NUEVO</t>
        </is>
      </c>
      <c r="K1155" s="7" t="inlineStr">
        <is>
          <t>PAULA OSORIO</t>
        </is>
      </c>
      <c r="L1155" s="7" t="n">
        <v/>
      </c>
      <c r="M1155" s="7" t="n">
        <v/>
      </c>
      <c r="N1155" s="7" t="n">
        <v>3195901931</v>
      </c>
      <c r="O1155" s="7" t="inlineStr">
        <is>
          <t>ANASOFIASAANPO@GMAIL.COM</t>
        </is>
      </c>
      <c r="P1155" s="7" t="inlineStr">
        <is>
          <t>BTA SEDE A</t>
        </is>
      </c>
      <c r="Q1155" s="7" t="n">
        <v/>
      </c>
      <c r="R1155" s="7" t="n">
        <v/>
      </c>
    </row>
    <row r="1156" ht="20" customHeight="1">
      <c r="A1156" s="3" t="inlineStr">
        <is>
          <t>79788022</t>
        </is>
      </c>
      <c r="B1156" s="4" t="inlineStr">
        <is>
          <t>PRESENCIAL BOGOTÁ</t>
        </is>
      </c>
      <c r="C1156" s="4" t="inlineStr">
        <is>
          <t>SANTIAGO ANDRES INFANTE RODRIGUEZ</t>
        </is>
      </c>
      <c r="D1156" s="4" t="inlineStr">
        <is>
          <t>OPERACIONES</t>
        </is>
      </c>
      <c r="E1156" s="4" t="inlineStr">
        <is>
          <t>REGIONAL BOGOTA</t>
        </is>
      </c>
      <c r="F1156" s="4" t="inlineStr">
        <is>
          <t>BOGOTA CENTRO</t>
        </is>
      </c>
      <c r="G1156" s="4" t="inlineStr">
        <is>
          <t>PRESENCIAL</t>
        </is>
      </c>
      <c r="H1156" s="4" t="inlineStr">
        <is>
          <t>DOCENTE ASIS/N/TC/DIR PROD ME AUD/FUN.ACADE-ADMIN</t>
        </is>
      </c>
      <c r="I1156" s="4" t="inlineStr">
        <is>
          <t>DIRECCION Y PRODUCCION DE MEDIOS AUDIOVISUALES</t>
        </is>
      </c>
      <c r="J1156" s="4" t="inlineStr">
        <is>
          <t>NUEVO</t>
        </is>
      </c>
      <c r="K1156" s="4" t="inlineStr">
        <is>
          <t>PAULA OSORIO</t>
        </is>
      </c>
      <c r="L1156" s="4" t="n">
        <v/>
      </c>
      <c r="M1156" s="4" t="n">
        <v/>
      </c>
      <c r="N1156" s="4" t="n">
        <v>3138875001</v>
      </c>
      <c r="O1156" s="4" t="inlineStr">
        <is>
          <t>SANTIAGOINFANTESCRITO@GMAIL.COM</t>
        </is>
      </c>
      <c r="P1156" s="4" t="inlineStr">
        <is>
          <t>BTA SEDE A</t>
        </is>
      </c>
      <c r="Q1156" s="4" t="n">
        <v/>
      </c>
      <c r="R1156" s="4" t="n">
        <v/>
      </c>
    </row>
    <row r="1157" ht="20" customHeight="1">
      <c r="A1157" s="6" t="inlineStr">
        <is>
          <t>1026297777</t>
        </is>
      </c>
      <c r="B1157" s="7" t="inlineStr">
        <is>
          <t>PRESENCIAL BOGOTÁ</t>
        </is>
      </c>
      <c r="C1157" s="7" t="inlineStr">
        <is>
          <t>DANIELA SUAREZ JIMENEZ</t>
        </is>
      </c>
      <c r="D1157" s="7" t="inlineStr">
        <is>
          <t>OPERACIONES</t>
        </is>
      </c>
      <c r="E1157" s="7" t="inlineStr">
        <is>
          <t>REGIONAL BOGOTA</t>
        </is>
      </c>
      <c r="F1157" s="7" t="inlineStr">
        <is>
          <t>BOGOTA CENTRO</t>
        </is>
      </c>
      <c r="G1157" s="7" t="inlineStr">
        <is>
          <t>PRESENCIAL</t>
        </is>
      </c>
      <c r="H1157" s="7" t="inlineStr">
        <is>
          <t>DOC AUX T&amp;T/N/TC/DIR PROD ME AUD/FUN.ACADE-ADMIN</t>
        </is>
      </c>
      <c r="I1157" s="7" t="inlineStr">
        <is>
          <t>DIRECCION Y PRODUCCION DE MEDIOS AUDIOVISUALES</t>
        </is>
      </c>
      <c r="J1157" s="7" t="inlineStr">
        <is>
          <t>NUEVO</t>
        </is>
      </c>
      <c r="K1157" s="7" t="inlineStr">
        <is>
          <t>PAULA OSORIO</t>
        </is>
      </c>
      <c r="L1157" s="7" t="n">
        <v/>
      </c>
      <c r="M1157" s="7" t="n">
        <v/>
      </c>
      <c r="N1157" s="7" t="n">
        <v>3194421480</v>
      </c>
      <c r="O1157" s="7" t="inlineStr">
        <is>
          <t>DANISUAREZJIMENEZ@GMAIL.COM</t>
        </is>
      </c>
      <c r="P1157" s="7" t="inlineStr">
        <is>
          <t>BTA SEDE A</t>
        </is>
      </c>
      <c r="Q1157" s="7" t="n">
        <v/>
      </c>
      <c r="R1157" s="7" t="n">
        <v/>
      </c>
    </row>
    <row r="1158" ht="20" customHeight="1">
      <c r="A1158" s="3" t="inlineStr">
        <is>
          <t>53133811</t>
        </is>
      </c>
      <c r="B1158" s="4" t="inlineStr">
        <is>
          <t>VIRTUAL</t>
        </is>
      </c>
      <c r="C1158" s="4" t="inlineStr">
        <is>
          <t>DIANA CAROLINA POLO RAMOS</t>
        </is>
      </c>
      <c r="D1158" s="4" t="inlineStr">
        <is>
          <t>OPERACIONES</t>
        </is>
      </c>
      <c r="E1158" s="4" t="inlineStr">
        <is>
          <t>REGIONAL MAGDALENA</t>
        </is>
      </c>
      <c r="F1158" s="4" t="inlineStr">
        <is>
          <t>SANTA MARTA</t>
        </is>
      </c>
      <c r="G1158" s="4" t="inlineStr">
        <is>
          <t>PRESENCIAL</t>
        </is>
      </c>
      <c r="H1158" s="4" t="inlineStr">
        <is>
          <t>DOC AUX T&amp;T/N/TC/DIS GRAFICO/FUN.ACADE-ADMIN</t>
        </is>
      </c>
      <c r="I1158" s="4" t="inlineStr">
        <is>
          <t>DISEÑO GRAFICO</t>
        </is>
      </c>
      <c r="J1158" s="4" t="inlineStr">
        <is>
          <t>NUEVO</t>
        </is>
      </c>
      <c r="K1158" s="4" t="inlineStr">
        <is>
          <t>CAMILO VARGAS</t>
        </is>
      </c>
      <c r="L1158" s="4" t="n">
        <v/>
      </c>
      <c r="M1158" s="4" t="n">
        <v/>
      </c>
      <c r="N1158" s="4" t="n">
        <v>3152545993</v>
      </c>
      <c r="O1158" s="4" t="inlineStr">
        <is>
          <t>DICAPORA4@GMAIL.COM</t>
        </is>
      </c>
      <c r="P1158" s="4" t="inlineStr">
        <is>
          <t>SANTA MARTA SEDE</t>
        </is>
      </c>
      <c r="Q1158" s="4" t="n">
        <v/>
      </c>
      <c r="R1158" s="4" t="n">
        <v/>
      </c>
    </row>
    <row r="1159" ht="20" customHeight="1">
      <c r="A1159" s="6" t="inlineStr">
        <is>
          <t>1003864864</t>
        </is>
      </c>
      <c r="B1159" s="7" t="inlineStr">
        <is>
          <t>PRESENCIAL REGIONAL</t>
        </is>
      </c>
      <c r="C1159" s="7" t="inlineStr">
        <is>
          <t>MARIA ISABEL BERMEO MACIAS</t>
        </is>
      </c>
      <c r="D1159" s="7" t="inlineStr">
        <is>
          <t>OPERACIONES</t>
        </is>
      </c>
      <c r="E1159" s="7" t="inlineStr">
        <is>
          <t>REGIONAL HUILA</t>
        </is>
      </c>
      <c r="F1159" s="7" t="inlineStr">
        <is>
          <t>NEIVA</t>
        </is>
      </c>
      <c r="G1159" s="7" t="inlineStr">
        <is>
          <t>PRESENCIAL</t>
        </is>
      </c>
      <c r="H1159" s="7" t="inlineStr">
        <is>
          <t>DOC AUX T&amp;T/N/MT/DIS PROD MOD</t>
        </is>
      </c>
      <c r="I1159" s="7" t="inlineStr">
        <is>
          <t>DISEÑO Y PRODUCCION DE MODAS</t>
        </is>
      </c>
      <c r="J1159" s="7" t="inlineStr">
        <is>
          <t>NUEVO</t>
        </is>
      </c>
      <c r="K1159" s="7" t="inlineStr">
        <is>
          <t>CAMILO VARGAS</t>
        </is>
      </c>
      <c r="L1159" s="7" t="n">
        <v/>
      </c>
      <c r="M1159" s="7" t="n">
        <v/>
      </c>
      <c r="N1159" s="7" t="n">
        <v>3115794598</v>
      </c>
      <c r="O1159" s="7" t="inlineStr">
        <is>
          <t>MISABELBERMEOMACIAS@HOTMAIL.ES</t>
        </is>
      </c>
      <c r="P1159" s="7" t="inlineStr">
        <is>
          <t>NEIVA SEDE</t>
        </is>
      </c>
      <c r="Q1159" s="7" t="n">
        <v/>
      </c>
      <c r="R1159" s="7" t="n">
        <v/>
      </c>
    </row>
    <row r="1160" ht="20" customHeight="1">
      <c r="A1160" s="3" t="inlineStr">
        <is>
          <t>1143344795</t>
        </is>
      </c>
      <c r="B1160" s="4" t="inlineStr">
        <is>
          <t>PRESENCIAL BOGOTÁ</t>
        </is>
      </c>
      <c r="C1160" s="4" t="inlineStr">
        <is>
          <t>CESAR AUGUSTO GUERRERO RUIZ</t>
        </is>
      </c>
      <c r="D1160" s="4" t="inlineStr">
        <is>
          <t>OPERACIONES</t>
        </is>
      </c>
      <c r="E1160" s="4" t="inlineStr">
        <is>
          <t>REGIONAL BOGOTA</t>
        </is>
      </c>
      <c r="F1160" s="4" t="inlineStr">
        <is>
          <t>BOGOTA CENTRO</t>
        </is>
      </c>
      <c r="G1160" s="4" t="inlineStr">
        <is>
          <t>PRESENCIAL</t>
        </is>
      </c>
      <c r="H1160" s="4" t="inlineStr">
        <is>
          <t>DOC AUX T&amp;T/N/TC/EMPRENDIMIE/FUN.ACADE-ADMIN</t>
        </is>
      </c>
      <c r="I1160" s="4" t="inlineStr">
        <is>
          <t>EMPRENDIMIENTO</t>
        </is>
      </c>
      <c r="J1160" s="4" t="inlineStr">
        <is>
          <t>NUEVO</t>
        </is>
      </c>
      <c r="K1160" s="4" t="inlineStr">
        <is>
          <t>CAMILO VARGAS</t>
        </is>
      </c>
      <c r="L1160" s="4" t="n">
        <v/>
      </c>
      <c r="M1160" s="4" t="n">
        <v/>
      </c>
      <c r="N1160" s="4" t="n">
        <v>3026696886</v>
      </c>
      <c r="O1160" s="4" t="inlineStr">
        <is>
          <t>GUERREROUTB@OUTLOOK.COM</t>
        </is>
      </c>
      <c r="P1160" s="4" t="inlineStr">
        <is>
          <t>BTA SEDE A</t>
        </is>
      </c>
      <c r="Q1160" s="4" t="n">
        <v/>
      </c>
      <c r="R1160" s="4" t="n">
        <v/>
      </c>
    </row>
    <row r="1161" ht="20" customHeight="1">
      <c r="A1161" s="6" t="inlineStr">
        <is>
          <t>80041636</t>
        </is>
      </c>
      <c r="B1161" s="7" t="inlineStr">
        <is>
          <t>PRESENCIAL BOGOTÁ</t>
        </is>
      </c>
      <c r="C1161" s="7" t="inlineStr">
        <is>
          <t>MANUEL ALEJANDRO BONILLA GOMEZ</t>
        </is>
      </c>
      <c r="D1161" s="7" t="inlineStr">
        <is>
          <t>OPERACIONES</t>
        </is>
      </c>
      <c r="E1161" s="7" t="inlineStr">
        <is>
          <t>REGIONAL BOGOTA</t>
        </is>
      </c>
      <c r="F1161" s="7" t="inlineStr">
        <is>
          <t>BOGOTA CENTRO</t>
        </is>
      </c>
      <c r="G1161" s="7" t="inlineStr">
        <is>
          <t>PRESENCIAL</t>
        </is>
      </c>
      <c r="H1161" s="7" t="inlineStr">
        <is>
          <t>DOCENTE AUX/N/TC/EMPRENDIMIE/FUN.ACADE-ADMIN</t>
        </is>
      </c>
      <c r="I1161" s="7" t="inlineStr">
        <is>
          <t>EMPRENDIMIENTO</t>
        </is>
      </c>
      <c r="J1161" s="7" t="inlineStr">
        <is>
          <t>NUEVO</t>
        </is>
      </c>
      <c r="K1161" s="7" t="inlineStr">
        <is>
          <t>CAMILO VARGAS</t>
        </is>
      </c>
      <c r="L1161" s="7" t="n">
        <v/>
      </c>
      <c r="M1161" s="7" t="n">
        <v/>
      </c>
      <c r="N1161" s="7" t="n">
        <v>3115417313</v>
      </c>
      <c r="O1161" s="7" t="inlineStr">
        <is>
          <t>ALEJANDROBONILLAG@GMAIL.COM</t>
        </is>
      </c>
      <c r="P1161" s="7" t="inlineStr">
        <is>
          <t>BTA SEDE A</t>
        </is>
      </c>
      <c r="Q1161" s="7" t="n">
        <v/>
      </c>
      <c r="R1161" s="7" t="n">
        <v/>
      </c>
    </row>
    <row r="1162" ht="20" customHeight="1">
      <c r="A1162" s="3" t="inlineStr">
        <is>
          <t>40189417</t>
        </is>
      </c>
      <c r="B1162" s="4" t="inlineStr">
        <is>
          <t>VIRTUAL</t>
        </is>
      </c>
      <c r="C1162" s="4" t="inlineStr">
        <is>
          <t>DIANA MARIA REY LEMA</t>
        </is>
      </c>
      <c r="D1162" s="4" t="inlineStr">
        <is>
          <t>OPERACIONES</t>
        </is>
      </c>
      <c r="E1162" s="4" t="inlineStr">
        <is>
          <t>REGIONAL META</t>
        </is>
      </c>
      <c r="F1162" s="4" t="inlineStr">
        <is>
          <t>VILLAVICENCIO</t>
        </is>
      </c>
      <c r="G1162" s="4" t="inlineStr">
        <is>
          <t>VIRTUAL</t>
        </is>
      </c>
      <c r="H1162" s="4" t="inlineStr">
        <is>
          <t>DOC TITU/N/V/TC/ESP CONT ESTA/FUN AD</t>
        </is>
      </c>
      <c r="I1162" s="4" t="inlineStr">
        <is>
          <t>ESPECIALIZACION DE CONTRATACION ESTATAL</t>
        </is>
      </c>
      <c r="J1162" s="4" t="inlineStr">
        <is>
          <t>NUEVO</t>
        </is>
      </c>
      <c r="K1162" s="4" t="inlineStr">
        <is>
          <t>CAMILO VARGAS</t>
        </is>
      </c>
      <c r="L1162" s="4" t="n">
        <v/>
      </c>
      <c r="M1162" s="4" t="n">
        <v/>
      </c>
      <c r="N1162" s="4" t="n">
        <v>3023203611</v>
      </c>
      <c r="O1162" s="4" t="inlineStr">
        <is>
          <t>DIANAMARIA59@GMAIL.COM</t>
        </is>
      </c>
      <c r="P1162" s="4" t="inlineStr">
        <is>
          <t>VILLAVICENCIO SEDE</t>
        </is>
      </c>
      <c r="Q1162" s="4" t="n">
        <v/>
      </c>
      <c r="R1162" s="4" t="n">
        <v/>
      </c>
    </row>
    <row r="1163" ht="20" customHeight="1">
      <c r="A1163" s="6" t="inlineStr">
        <is>
          <t>8851549</t>
        </is>
      </c>
      <c r="B1163" s="7" t="inlineStr">
        <is>
          <t>VIRTUAL</t>
        </is>
      </c>
      <c r="C1163" s="7" t="inlineStr">
        <is>
          <t>JAIME JUNIOR BLANCO NAVARRO</t>
        </is>
      </c>
      <c r="D1163" s="7" t="inlineStr">
        <is>
          <t>OPERACIONES</t>
        </is>
      </c>
      <c r="E1163" s="7" t="inlineStr">
        <is>
          <t>REGIONAL BOLIVAR</t>
        </is>
      </c>
      <c r="F1163" s="7" t="inlineStr">
        <is>
          <t>CARTAGENA</t>
        </is>
      </c>
      <c r="G1163" s="7" t="inlineStr">
        <is>
          <t>VIRTUAL</t>
        </is>
      </c>
      <c r="H1163" s="7" t="inlineStr">
        <is>
          <t>DOC ASIS/N/V/TC/ESP CONTRA ESTATAL/FUN.A</t>
        </is>
      </c>
      <c r="I1163" s="7" t="inlineStr">
        <is>
          <t>ESPECIALIZACION DE CONTRATACION ESTATAL</t>
        </is>
      </c>
      <c r="J1163" s="7" t="inlineStr">
        <is>
          <t>NUEVO</t>
        </is>
      </c>
      <c r="K1163" s="7" t="inlineStr">
        <is>
          <t>CAMILO VARGAS</t>
        </is>
      </c>
      <c r="L1163" s="7" t="n">
        <v/>
      </c>
      <c r="M1163" s="7" t="n">
        <v/>
      </c>
      <c r="N1163" s="7" t="n">
        <v>3107809103</v>
      </c>
      <c r="O1163" s="7" t="inlineStr">
        <is>
          <t>JADASABLANCO@GMAIL.COM</t>
        </is>
      </c>
      <c r="P1163" s="7" t="inlineStr">
        <is>
          <t>CARTAGENA SEDE</t>
        </is>
      </c>
      <c r="Q1163" s="7" t="n">
        <v/>
      </c>
      <c r="R1163" s="7" t="n">
        <v/>
      </c>
    </row>
    <row r="1164" ht="20" customHeight="1">
      <c r="A1164" s="3" t="inlineStr">
        <is>
          <t>1061688741</t>
        </is>
      </c>
      <c r="B1164" s="4" t="inlineStr">
        <is>
          <t>PRESENCIAL BOGOTÁ</t>
        </is>
      </c>
      <c r="C1164" s="4" t="inlineStr">
        <is>
          <t>ANDRES FELIPE PISSO TOBAR</t>
        </is>
      </c>
      <c r="D1164" s="4" t="inlineStr">
        <is>
          <t>OPERACIONES</t>
        </is>
      </c>
      <c r="E1164" s="4" t="inlineStr">
        <is>
          <t>REGIONAL BOGOTA</t>
        </is>
      </c>
      <c r="F1164" s="4" t="inlineStr">
        <is>
          <t>BOGOTA CENTRO</t>
        </is>
      </c>
      <c r="G1164" s="4" t="inlineStr">
        <is>
          <t>VIRTUAL</t>
        </is>
      </c>
      <c r="H1164" s="4" t="inlineStr">
        <is>
          <t>DOC AUX/N/V/TC/ESP DYD VIDEOJUEGOS/FUN.A</t>
        </is>
      </c>
      <c r="I1164" s="4" t="inlineStr">
        <is>
          <t>ESPECIALIZACION DISEÑO Y DESARROLLO VIDEOJUEGOS</t>
        </is>
      </c>
      <c r="J1164" s="4" t="inlineStr">
        <is>
          <t>NUEVO</t>
        </is>
      </c>
      <c r="K1164" s="4" t="inlineStr">
        <is>
          <t>CAMILO VARGAS</t>
        </is>
      </c>
      <c r="L1164" s="4" t="n">
        <v/>
      </c>
      <c r="M1164" s="4" t="n">
        <v/>
      </c>
      <c r="N1164" s="4" t="inlineStr">
        <is>
          <t>314 3581623</t>
        </is>
      </c>
      <c r="O1164" s="4" t="inlineStr">
        <is>
          <t>AFPISSO@GMAIL.COM</t>
        </is>
      </c>
      <c r="P1164" s="4" t="inlineStr">
        <is>
          <t>BTA SEDE A</t>
        </is>
      </c>
      <c r="Q1164" s="4" t="n">
        <v/>
      </c>
      <c r="R1164" s="4" t="n">
        <v/>
      </c>
    </row>
    <row r="1165" ht="20" customHeight="1">
      <c r="A1165" s="6" t="inlineStr">
        <is>
          <t>88285006</t>
        </is>
      </c>
      <c r="B1165" s="7" t="inlineStr">
        <is>
          <t>VIRTUAL</t>
        </is>
      </c>
      <c r="C1165" s="7" t="inlineStr">
        <is>
          <t>RAFAEL EMILIO CASADIEGO SARMIENTO</t>
        </is>
      </c>
      <c r="D1165" s="7" t="inlineStr">
        <is>
          <t>OPERACIONES</t>
        </is>
      </c>
      <c r="E1165" s="7" t="inlineStr">
        <is>
          <t>REGIONAL SANTANDER</t>
        </is>
      </c>
      <c r="F1165" s="7" t="inlineStr">
        <is>
          <t>BUCARAMANGA</t>
        </is>
      </c>
      <c r="G1165" s="7" t="inlineStr">
        <is>
          <t>VIRTUAL</t>
        </is>
      </c>
      <c r="H1165" s="7" t="inlineStr">
        <is>
          <t>DOC TIT/N/V/MT/ESP ALTA GEREN</t>
        </is>
      </c>
      <c r="I1165" s="7" t="inlineStr">
        <is>
          <t>ESPECIALIZACION EN ALTA GERENCIA</t>
        </is>
      </c>
      <c r="J1165" s="7" t="inlineStr">
        <is>
          <t>NUEVO</t>
        </is>
      </c>
      <c r="K1165" s="7" t="inlineStr">
        <is>
          <t>CAMILO VARGAS</t>
        </is>
      </c>
      <c r="L1165" s="7" t="n">
        <v/>
      </c>
      <c r="M1165" s="7" t="n">
        <v/>
      </c>
      <c r="N1165" s="7" t="n">
        <v>3108885939</v>
      </c>
      <c r="O1165" s="7" t="inlineStr">
        <is>
          <t>INDUSTRIALRAFA@GMAIL.COM</t>
        </is>
      </c>
      <c r="P1165" s="7" t="inlineStr">
        <is>
          <t>BGA SEDE</t>
        </is>
      </c>
      <c r="Q1165" s="7" t="n">
        <v/>
      </c>
      <c r="R1165" s="7" t="n">
        <v/>
      </c>
    </row>
    <row r="1166" ht="20" customHeight="1">
      <c r="A1166" s="3" t="inlineStr">
        <is>
          <t>1143128210</t>
        </is>
      </c>
      <c r="B1166" s="4" t="inlineStr">
        <is>
          <t>PRESENCIAL REGIONAL</t>
        </is>
      </c>
      <c r="C1166" s="4" t="inlineStr">
        <is>
          <t>DANIEL EDUARDO DE LA ROSA MORRON</t>
        </is>
      </c>
      <c r="D1166" s="4" t="inlineStr">
        <is>
          <t>OPERACIONES</t>
        </is>
      </c>
      <c r="E1166" s="4" t="inlineStr">
        <is>
          <t>REGIONAL ATLANTICO</t>
        </is>
      </c>
      <c r="F1166" s="4" t="inlineStr">
        <is>
          <t>BARRANQUILLA</t>
        </is>
      </c>
      <c r="G1166" s="4" t="inlineStr">
        <is>
          <t>VIRTUAL</t>
        </is>
      </c>
      <c r="H1166" s="4" t="inlineStr">
        <is>
          <t>DOC ASIS/N/V/TC/ESP CIBERSEG/FUN.ACA</t>
        </is>
      </c>
      <c r="I1166" s="4" t="inlineStr">
        <is>
          <t>ESPECIALIZACION EN CIBERSEGURIDAD</t>
        </is>
      </c>
      <c r="J1166" s="4" t="inlineStr">
        <is>
          <t>NUEVO</t>
        </is>
      </c>
      <c r="K1166" s="4" t="inlineStr">
        <is>
          <t>CAMILO VARGAS</t>
        </is>
      </c>
      <c r="L1166" s="4" t="n">
        <v/>
      </c>
      <c r="M1166" s="4" t="n">
        <v/>
      </c>
      <c r="N1166" s="4" t="n">
        <v>3152370721</v>
      </c>
      <c r="O1166" s="4" t="inlineStr">
        <is>
          <t>DANNDELAROSAM@GMAIL.COM</t>
        </is>
      </c>
      <c r="P1166" s="4" t="inlineStr">
        <is>
          <t>BQUILLA SEDE</t>
        </is>
      </c>
      <c r="Q1166" s="4" t="n">
        <v/>
      </c>
      <c r="R1166" s="4" t="n">
        <v/>
      </c>
    </row>
    <row r="1167" ht="20" customHeight="1">
      <c r="A1167" s="6" t="inlineStr">
        <is>
          <t>1014259580</t>
        </is>
      </c>
      <c r="B1167" s="7" t="inlineStr">
        <is>
          <t>PRESENCIAL BOGOTÁ</t>
        </is>
      </c>
      <c r="C1167" s="7" t="inlineStr">
        <is>
          <t>GINNA PAOLA CASTAÑEDA DELGADO</t>
        </is>
      </c>
      <c r="D1167" s="7" t="inlineStr">
        <is>
          <t>OPERACIONES</t>
        </is>
      </c>
      <c r="E1167" s="7" t="inlineStr">
        <is>
          <t>REGIONAL BOGOTA</t>
        </is>
      </c>
      <c r="F1167" s="7" t="inlineStr">
        <is>
          <t>BOGOTA CENTRO</t>
        </is>
      </c>
      <c r="G1167" s="7" t="inlineStr">
        <is>
          <t>VIRTUAL</t>
        </is>
      </c>
      <c r="H1167" s="7" t="inlineStr">
        <is>
          <t>DOC ASIS/N/V/MT/ESP MARKETING DIG</t>
        </is>
      </c>
      <c r="I1167" s="7" t="inlineStr">
        <is>
          <t>ESPECIALIZACION EN MARKETING DIGITAL</t>
        </is>
      </c>
      <c r="J1167" s="7" t="inlineStr">
        <is>
          <t>NUEVO</t>
        </is>
      </c>
      <c r="K1167" s="7" t="inlineStr">
        <is>
          <t>CAMILO VARGAS</t>
        </is>
      </c>
      <c r="L1167" s="7" t="n">
        <v/>
      </c>
      <c r="M1167" s="7" t="n">
        <v/>
      </c>
      <c r="N1167" s="7" t="n">
        <v>3142797659</v>
      </c>
      <c r="O1167" s="7" t="inlineStr">
        <is>
          <t>CASTANEDAG4@GMAIL.COM</t>
        </is>
      </c>
      <c r="P1167" s="7" t="inlineStr">
        <is>
          <t>BTA SEDE A</t>
        </is>
      </c>
      <c r="Q1167" s="7" t="n">
        <v/>
      </c>
      <c r="R1167" s="7" t="n">
        <v/>
      </c>
    </row>
    <row r="1168" ht="20" customHeight="1">
      <c r="A1168" s="3" t="inlineStr">
        <is>
          <t>79221205</t>
        </is>
      </c>
      <c r="B1168" s="4" t="inlineStr">
        <is>
          <t>PRESENCIAL BOGOTÁ</t>
        </is>
      </c>
      <c r="C1168" s="4" t="inlineStr">
        <is>
          <t>CARLOS ANDRES PIRAQUIVE CIFUENTES</t>
        </is>
      </c>
      <c r="D1168" s="4" t="inlineStr">
        <is>
          <t>OPERACIONES</t>
        </is>
      </c>
      <c r="E1168" s="4" t="inlineStr">
        <is>
          <t>REGIONAL BOGOTA</t>
        </is>
      </c>
      <c r="F1168" s="4" t="inlineStr">
        <is>
          <t>BOGOTA CENTRO</t>
        </is>
      </c>
      <c r="G1168" s="4" t="inlineStr">
        <is>
          <t>VIRTUAL</t>
        </is>
      </c>
      <c r="H1168" s="4" t="inlineStr">
        <is>
          <t>DOC AUX/N/V/TC/ESP GOB IA/FUN.ACAD</t>
        </is>
      </c>
      <c r="I1168" s="4" t="inlineStr">
        <is>
          <t>ESPECIALIZACION GOBERNANZA DE LA IA</t>
        </is>
      </c>
      <c r="J1168" s="4" t="inlineStr">
        <is>
          <t>NUEVO</t>
        </is>
      </c>
      <c r="K1168" s="4" t="inlineStr">
        <is>
          <t>CAMILO VARGAS</t>
        </is>
      </c>
      <c r="L1168" s="4" t="n">
        <v/>
      </c>
      <c r="M1168" s="4" t="n">
        <v/>
      </c>
      <c r="N1168" s="4" t="n">
        <v>3237584945</v>
      </c>
      <c r="O1168" s="4" t="inlineStr">
        <is>
          <t>CPIRAQUIVE@LIVE.COM</t>
        </is>
      </c>
      <c r="P1168" s="4" t="inlineStr">
        <is>
          <t>BTA SEDE A</t>
        </is>
      </c>
      <c r="Q1168" s="4" t="n">
        <v/>
      </c>
      <c r="R1168" s="4" t="n">
        <v/>
      </c>
    </row>
    <row r="1169" ht="20" customHeight="1">
      <c r="A1169" s="6" t="inlineStr">
        <is>
          <t>1001851596</t>
        </is>
      </c>
      <c r="B1169" s="7" t="inlineStr">
        <is>
          <t>PRESENCIAL BOGOTÁ</t>
        </is>
      </c>
      <c r="C1169" s="7" t="inlineStr">
        <is>
          <t>MARIA JOSE ARROYO CANTILLO</t>
        </is>
      </c>
      <c r="D1169" s="7" t="inlineStr">
        <is>
          <t>OPERACIONES</t>
        </is>
      </c>
      <c r="E1169" s="7" t="inlineStr">
        <is>
          <t>REGIONAL BOGOTA</t>
        </is>
      </c>
      <c r="F1169" s="7" t="inlineStr">
        <is>
          <t>BOGOTA CENTRO</t>
        </is>
      </c>
      <c r="G1169" s="7" t="inlineStr">
        <is>
          <t>VIRTUAL</t>
        </is>
      </c>
      <c r="H1169" s="7" t="inlineStr">
        <is>
          <t>DOC AUX/N/V/TC/ESP MARK POLI/FUN.ACA</t>
        </is>
      </c>
      <c r="I1169" s="7" t="inlineStr">
        <is>
          <t>ESPECIALIZACION MARKETING POLITICO</t>
        </is>
      </c>
      <c r="J1169" s="7" t="inlineStr">
        <is>
          <t>NUEVO</t>
        </is>
      </c>
      <c r="K1169" s="7" t="inlineStr">
        <is>
          <t>MARTHA SANCHEZ</t>
        </is>
      </c>
      <c r="L1169" s="7" t="n">
        <v/>
      </c>
      <c r="M1169" s="7" t="n">
        <v/>
      </c>
      <c r="N1169" s="7" t="n">
        <v>3002899860</v>
      </c>
      <c r="O1169" s="7" t="inlineStr">
        <is>
          <t>M.ARROYO11@OUTLOOK.COM</t>
        </is>
      </c>
      <c r="P1169" s="7" t="inlineStr">
        <is>
          <t>BTA SEDE A</t>
        </is>
      </c>
      <c r="Q1169" s="7" t="n">
        <v/>
      </c>
      <c r="R1169" s="7" t="n">
        <v/>
      </c>
    </row>
    <row r="1170" ht="20" customHeight="1">
      <c r="A1170" s="3" t="inlineStr">
        <is>
          <t>91269499</t>
        </is>
      </c>
      <c r="B1170" s="4" t="inlineStr">
        <is>
          <t>PRESENCIAL BOGOTÁ</t>
        </is>
      </c>
      <c r="C1170" s="4" t="inlineStr">
        <is>
          <t>HUGO JAVIER MANTILLA GOMEZ</t>
        </is>
      </c>
      <c r="D1170" s="4" t="inlineStr">
        <is>
          <t>OPERACIONES</t>
        </is>
      </c>
      <c r="E1170" s="4" t="inlineStr">
        <is>
          <t>REGIONAL BOGOTA</t>
        </is>
      </c>
      <c r="F1170" s="4" t="inlineStr">
        <is>
          <t>BOGOTA FONTIBON</t>
        </is>
      </c>
      <c r="G1170" s="4" t="inlineStr">
        <is>
          <t>PRESENCIAL</t>
        </is>
      </c>
      <c r="H1170" s="4" t="inlineStr">
        <is>
          <t>DOCENTE AUX/N/MT/ING SISTEM</t>
        </is>
      </c>
      <c r="I1170" s="4" t="inlineStr">
        <is>
          <t>INGENIERIA DE SISTEMAS</t>
        </is>
      </c>
      <c r="J1170" s="4" t="inlineStr">
        <is>
          <t>REINTEGRO</t>
        </is>
      </c>
      <c r="K1170" s="4" t="inlineStr">
        <is>
          <t>MARTHA SANCHEZ</t>
        </is>
      </c>
      <c r="L1170" s="4" t="n">
        <v/>
      </c>
      <c r="M1170" s="4" t="n">
        <v/>
      </c>
      <c r="N1170" s="4" t="n">
        <v>3013528363</v>
      </c>
      <c r="O1170" s="4" t="inlineStr">
        <is>
          <t>hugojavier_mantilla@yahoo.com</t>
        </is>
      </c>
      <c r="P1170" s="4" t="inlineStr">
        <is>
          <t>BTA SEDE FONTIBON</t>
        </is>
      </c>
      <c r="Q1170" s="4" t="n">
        <v/>
      </c>
      <c r="R1170" s="4" t="n">
        <v/>
      </c>
    </row>
    <row r="1171" ht="20" customHeight="1">
      <c r="A1171" s="6" t="inlineStr">
        <is>
          <t>80015249</t>
        </is>
      </c>
      <c r="B1171" s="7" t="inlineStr">
        <is>
          <t>PRESENCIAL BOGOTÁ</t>
        </is>
      </c>
      <c r="C1171" s="7" t="inlineStr">
        <is>
          <t>FERNANDO AUGUSTO CELIS FLOREZ</t>
        </is>
      </c>
      <c r="D1171" s="7" t="inlineStr">
        <is>
          <t>OPERACIONES</t>
        </is>
      </c>
      <c r="E1171" s="7" t="inlineStr">
        <is>
          <t>REGIONAL BOGOTA</t>
        </is>
      </c>
      <c r="F1171" s="7" t="inlineStr">
        <is>
          <t>BOGOTA CENTRO</t>
        </is>
      </c>
      <c r="G1171" s="7" t="inlineStr">
        <is>
          <t>PRESENCIAL</t>
        </is>
      </c>
      <c r="H1171" s="7" t="inlineStr">
        <is>
          <t>DOCENTE AUX/N/MT/ING SISTEM</t>
        </is>
      </c>
      <c r="I1171" s="7" t="inlineStr">
        <is>
          <t>INGENIERIA DE SISTEMAS</t>
        </is>
      </c>
      <c r="J1171" s="7" t="inlineStr">
        <is>
          <t>REINTEGRO</t>
        </is>
      </c>
      <c r="K1171" s="7" t="inlineStr">
        <is>
          <t>MARTHA SANCHEZ</t>
        </is>
      </c>
      <c r="L1171" s="7" t="n">
        <v/>
      </c>
      <c r="M1171" s="7" t="n">
        <v/>
      </c>
      <c r="N1171" s="7" t="inlineStr">
        <is>
          <t>310-3010276</t>
        </is>
      </c>
      <c r="O1171" s="7" t="inlineStr">
        <is>
          <t>CELISFDO@GMAIL.COM</t>
        </is>
      </c>
      <c r="P1171" s="7" t="inlineStr">
        <is>
          <t>BTA SEDE G</t>
        </is>
      </c>
      <c r="Q1171" s="7" t="n">
        <v/>
      </c>
      <c r="R1171" s="7" t="n">
        <v/>
      </c>
    </row>
    <row r="1172" ht="20" customHeight="1">
      <c r="A1172" s="3" t="inlineStr">
        <is>
          <t>1010118333</t>
        </is>
      </c>
      <c r="B1172" s="4" t="inlineStr">
        <is>
          <t>PRESENCIAL BOGOTÁ</t>
        </is>
      </c>
      <c r="C1172" s="4" t="inlineStr">
        <is>
          <t>DANIEL CAMILO MALAVER MENDOZA</t>
        </is>
      </c>
      <c r="D1172" s="4" t="inlineStr">
        <is>
          <t>OPERACIONES</t>
        </is>
      </c>
      <c r="E1172" s="4" t="inlineStr">
        <is>
          <t>REGIONAL BOGOTA</t>
        </is>
      </c>
      <c r="F1172" s="4" t="inlineStr">
        <is>
          <t>BOGOTA FONTIBON</t>
        </is>
      </c>
      <c r="G1172" s="4" t="inlineStr">
        <is>
          <t>PRESENCIAL</t>
        </is>
      </c>
      <c r="H1172" s="4" t="inlineStr">
        <is>
          <t>DOC AUX T&amp;T/N/MT/ING SISTEM</t>
        </is>
      </c>
      <c r="I1172" s="4" t="inlineStr">
        <is>
          <t>INGENIERIA DE SISTEMAS</t>
        </is>
      </c>
      <c r="J1172" s="4" t="inlineStr">
        <is>
          <t>REINTEGRO</t>
        </is>
      </c>
      <c r="K1172" s="4" t="inlineStr">
        <is>
          <t>MARTHA SANCHEZ</t>
        </is>
      </c>
      <c r="L1172" s="4" t="n">
        <v/>
      </c>
      <c r="M1172" s="4" t="n">
        <v/>
      </c>
      <c r="N1172" s="4" t="inlineStr">
        <is>
          <t>319 2703545</t>
        </is>
      </c>
      <c r="O1172" s="4" t="inlineStr">
        <is>
          <t>MALAVERMDANIELCAMILO@GMAIL.COM</t>
        </is>
      </c>
      <c r="P1172" s="4" t="inlineStr">
        <is>
          <t>BTA SEDE FONTIBON</t>
        </is>
      </c>
      <c r="Q1172" s="4" t="n">
        <v/>
      </c>
      <c r="R1172" s="4" t="n">
        <v/>
      </c>
    </row>
    <row r="1173" ht="20" customHeight="1">
      <c r="A1173" s="6" t="inlineStr">
        <is>
          <t>1102888680</t>
        </is>
      </c>
      <c r="B1173" s="7" t="inlineStr">
        <is>
          <t>PRESENCIAL REGIONAL</t>
        </is>
      </c>
      <c r="C1173" s="7" t="inlineStr">
        <is>
          <t>JESUS RICARDO ARROYO TORRES</t>
        </is>
      </c>
      <c r="D1173" s="7" t="inlineStr">
        <is>
          <t>OPERACIONES</t>
        </is>
      </c>
      <c r="E1173" s="7" t="inlineStr">
        <is>
          <t>REGIONAL SUCRE</t>
        </is>
      </c>
      <c r="F1173" s="7" t="inlineStr">
        <is>
          <t>SINCELEJO</t>
        </is>
      </c>
      <c r="G1173" s="7" t="inlineStr">
        <is>
          <t>PRESENCIAL</t>
        </is>
      </c>
      <c r="H1173" s="7" t="inlineStr">
        <is>
          <t>DOC AUX T&amp;T/N/MT/ING SISTEM</t>
        </is>
      </c>
      <c r="I1173" s="7" t="inlineStr">
        <is>
          <t>INGENIERIA DE SISTEMAS</t>
        </is>
      </c>
      <c r="J1173" s="7" t="inlineStr">
        <is>
          <t>NUEVO</t>
        </is>
      </c>
      <c r="K1173" s="7" t="inlineStr">
        <is>
          <t>MARTHA SANCHEZ</t>
        </is>
      </c>
      <c r="L1173" s="7" t="n">
        <v/>
      </c>
      <c r="M1173" s="7" t="n">
        <v/>
      </c>
      <c r="N1173" s="7" t="n">
        <v>3004509954</v>
      </c>
      <c r="O1173" s="7" t="inlineStr">
        <is>
          <t>ARROYOJESUSPRIV@GMAIL.COM</t>
        </is>
      </c>
      <c r="P1173" s="7" t="inlineStr">
        <is>
          <t>SINCELEJO SEDE</t>
        </is>
      </c>
      <c r="Q1173" s="7" t="n">
        <v/>
      </c>
      <c r="R1173" s="7" t="n">
        <v/>
      </c>
    </row>
    <row r="1174" ht="20" customHeight="1">
      <c r="A1174" s="3" t="inlineStr">
        <is>
          <t>80008786</t>
        </is>
      </c>
      <c r="B1174" s="4" t="inlineStr">
        <is>
          <t>PRESENCIAL BOGOTÁ</t>
        </is>
      </c>
      <c r="C1174" s="4" t="inlineStr">
        <is>
          <t>GERMAN FERNANDO HEREDIA SANCHEZ</t>
        </is>
      </c>
      <c r="D1174" s="4" t="inlineStr">
        <is>
          <t>OPERACIONES</t>
        </is>
      </c>
      <c r="E1174" s="4" t="inlineStr">
        <is>
          <t>REGIONAL BOGOTA</t>
        </is>
      </c>
      <c r="F1174" s="4" t="inlineStr">
        <is>
          <t>BOGOTA SUR</t>
        </is>
      </c>
      <c r="G1174" s="4" t="inlineStr">
        <is>
          <t>PRESENCIAL</t>
        </is>
      </c>
      <c r="H1174" s="4" t="inlineStr">
        <is>
          <t>DOCENTE ASIS/N/MT/ING SISTEM</t>
        </is>
      </c>
      <c r="I1174" s="4" t="inlineStr">
        <is>
          <t>INGENIERIA DE SISTEMAS</t>
        </is>
      </c>
      <c r="J1174" s="4" t="inlineStr">
        <is>
          <t>NUEVO</t>
        </is>
      </c>
      <c r="K1174" s="4" t="inlineStr">
        <is>
          <t>MARTHA SANCHEZ</t>
        </is>
      </c>
      <c r="L1174" s="4" t="n">
        <v/>
      </c>
      <c r="M1174" s="4" t="n">
        <v/>
      </c>
      <c r="N1174" s="4" t="n">
        <v>3204995999</v>
      </c>
      <c r="O1174" s="4" t="inlineStr">
        <is>
          <t>GERMEN64@HOTMAIL.COM</t>
        </is>
      </c>
      <c r="P1174" s="4" t="inlineStr">
        <is>
          <t>BTA SEDE SUR</t>
        </is>
      </c>
      <c r="Q1174" s="4" t="n">
        <v/>
      </c>
      <c r="R1174" s="4" t="n">
        <v/>
      </c>
    </row>
    <row r="1175" ht="20" customHeight="1">
      <c r="A1175" s="6" t="inlineStr">
        <is>
          <t>12201567</t>
        </is>
      </c>
      <c r="B1175" s="7" t="inlineStr">
        <is>
          <t>PRESENCIAL BOGOTÁ</t>
        </is>
      </c>
      <c r="C1175" s="7" t="inlineStr">
        <is>
          <t>SILVIO VILLEGAS MENDEZ</t>
        </is>
      </c>
      <c r="D1175" s="7" t="inlineStr">
        <is>
          <t>OPERACIONES</t>
        </is>
      </c>
      <c r="E1175" s="7" t="inlineStr">
        <is>
          <t>REGIONAL BOGOTA</t>
        </is>
      </c>
      <c r="F1175" s="7" t="inlineStr">
        <is>
          <t>BOGOTA SUBA</t>
        </is>
      </c>
      <c r="G1175" s="7" t="inlineStr">
        <is>
          <t>PRESENCIAL</t>
        </is>
      </c>
      <c r="H1175" s="7" t="inlineStr">
        <is>
          <t>DOC AUX T&amp;T/N/MT/ING SISTEM</t>
        </is>
      </c>
      <c r="I1175" s="7" t="inlineStr">
        <is>
          <t>INGENIERIA DE SISTEMAS</t>
        </is>
      </c>
      <c r="J1175" s="7" t="inlineStr">
        <is>
          <t>REINTEGRO</t>
        </is>
      </c>
      <c r="K1175" s="7" t="inlineStr">
        <is>
          <t>MARTHA SANCHEZ</t>
        </is>
      </c>
      <c r="L1175" s="7" t="n">
        <v/>
      </c>
      <c r="M1175" s="7" t="n">
        <v/>
      </c>
      <c r="N1175" s="7" t="n">
        <v>3133576875</v>
      </c>
      <c r="O1175" s="7" t="inlineStr">
        <is>
          <t>SVILLEGASME@GMAIL.COM</t>
        </is>
      </c>
      <c r="P1175" s="7" t="inlineStr">
        <is>
          <t>BTA SEDE SUBA</t>
        </is>
      </c>
      <c r="Q1175" s="7" t="n">
        <v/>
      </c>
      <c r="R1175" s="7" t="n">
        <v/>
      </c>
    </row>
    <row r="1176" ht="20" customHeight="1">
      <c r="A1176" s="3" t="inlineStr">
        <is>
          <t>1057596832</t>
        </is>
      </c>
      <c r="B1176" s="4" t="inlineStr">
        <is>
          <t>PRESENCIAL BOGOTÁ</t>
        </is>
      </c>
      <c r="C1176" s="4" t="inlineStr">
        <is>
          <t>EMERSON HENRY TIBADUIZA REYES</t>
        </is>
      </c>
      <c r="D1176" s="4" t="inlineStr">
        <is>
          <t>OPERACIONES</t>
        </is>
      </c>
      <c r="E1176" s="4" t="inlineStr">
        <is>
          <t>REGIONAL BOGOTA</t>
        </is>
      </c>
      <c r="F1176" s="4" t="inlineStr">
        <is>
          <t>BOGOTA CENTRO</t>
        </is>
      </c>
      <c r="G1176" s="4" t="inlineStr">
        <is>
          <t>VIRTUAL</t>
        </is>
      </c>
      <c r="H1176" s="4" t="inlineStr">
        <is>
          <t>DOC AUX T&amp;T/N/V/TC/ING DE SISTEMAS/FUN.ACADE-ADMIN</t>
        </is>
      </c>
      <c r="I1176" s="4" t="inlineStr">
        <is>
          <t>INGENIERIA DE SISTEMAS</t>
        </is>
      </c>
      <c r="J1176" s="4" t="inlineStr">
        <is>
          <t>PLANTA</t>
        </is>
      </c>
      <c r="K1176" s="4" t="inlineStr">
        <is>
          <t>MARTHA SANCHEZ</t>
        </is>
      </c>
      <c r="L1176" s="4" t="n">
        <v/>
      </c>
      <c r="M1176" s="4" t="n">
        <v/>
      </c>
      <c r="N1176" s="4" t="n">
        <v>3124621521</v>
      </c>
      <c r="O1176" s="4" t="inlineStr">
        <is>
          <t>emertibaduiza@gmail.com</t>
        </is>
      </c>
      <c r="P1176" s="4" t="inlineStr">
        <is>
          <t>BTA SEDE A</t>
        </is>
      </c>
      <c r="Q1176" s="4" t="n">
        <v/>
      </c>
      <c r="R1176" s="4" t="n">
        <v/>
      </c>
    </row>
    <row r="1177" ht="20" customHeight="1">
      <c r="A1177" s="6" t="inlineStr">
        <is>
          <t>1077973516</t>
        </is>
      </c>
      <c r="B1177" s="7" t="inlineStr">
        <is>
          <t>PRESENCIAL BOGOTÁ</t>
        </is>
      </c>
      <c r="C1177" s="7" t="inlineStr">
        <is>
          <t>JOSE ALEJANDRO MAHECHA MAHECHA</t>
        </is>
      </c>
      <c r="D1177" s="7" t="inlineStr">
        <is>
          <t>OPERACIONES</t>
        </is>
      </c>
      <c r="E1177" s="7" t="inlineStr">
        <is>
          <t>REGIONAL BOGOTA</t>
        </is>
      </c>
      <c r="F1177" s="7" t="inlineStr">
        <is>
          <t>BOGOTA CENTRO</t>
        </is>
      </c>
      <c r="G1177" s="7" t="inlineStr">
        <is>
          <t>PRESENCIAL</t>
        </is>
      </c>
      <c r="H1177" s="7" t="inlineStr">
        <is>
          <t>DOC AUX T&amp;T/N/MT/ING ELECTRO</t>
        </is>
      </c>
      <c r="I1177" s="7" t="inlineStr">
        <is>
          <t>INGENIERIA ELECTRONICA</t>
        </is>
      </c>
      <c r="J1177" s="7" t="inlineStr">
        <is>
          <t>NUEVO</t>
        </is>
      </c>
      <c r="K1177" s="7" t="inlineStr">
        <is>
          <t>MARTHA SANCHEZ</t>
        </is>
      </c>
      <c r="L1177" s="7" t="n">
        <v/>
      </c>
      <c r="M1177" s="7" t="n">
        <v/>
      </c>
      <c r="N1177" s="7" t="n">
        <v>3115281853</v>
      </c>
      <c r="O1177" s="7" t="inlineStr">
        <is>
          <t>JOAMAHECHAMA@UNAL.EDU.CO</t>
        </is>
      </c>
      <c r="P1177" s="7" t="inlineStr">
        <is>
          <t>BTA SEDE A</t>
        </is>
      </c>
      <c r="Q1177" s="7" t="n">
        <v/>
      </c>
      <c r="R1177" s="7" t="n">
        <v/>
      </c>
    </row>
    <row r="1178" ht="20" customHeight="1">
      <c r="A1178" s="3" t="inlineStr">
        <is>
          <t>52346966</t>
        </is>
      </c>
      <c r="B1178" s="4" t="inlineStr">
        <is>
          <t>PRESENCIAL BOGOTÁ</t>
        </is>
      </c>
      <c r="C1178" s="4" t="inlineStr">
        <is>
          <t>CLAUDIA MARCELA ARIAS MEJIA</t>
        </is>
      </c>
      <c r="D1178" s="4" t="inlineStr">
        <is>
          <t>OPERACIONES</t>
        </is>
      </c>
      <c r="E1178" s="4" t="inlineStr">
        <is>
          <t>REGIONAL BOGOTA</t>
        </is>
      </c>
      <c r="F1178" s="4" t="inlineStr">
        <is>
          <t>BOGOTA CENTRO</t>
        </is>
      </c>
      <c r="G1178" s="4" t="inlineStr">
        <is>
          <t>PRESENCIAL</t>
        </is>
      </c>
      <c r="H1178" s="4" t="inlineStr">
        <is>
          <t>DOCENTE ASIS/N/TC/INVESTIGA/INVESTIGACIO</t>
        </is>
      </c>
      <c r="I1178" s="4" t="inlineStr">
        <is>
          <t>INVESTIGACIONES</t>
        </is>
      </c>
      <c r="J1178" s="4" t="inlineStr">
        <is>
          <t>NUEVO</t>
        </is>
      </c>
      <c r="K1178" s="4" t="inlineStr">
        <is>
          <t>MARTHA SANCHEZ</t>
        </is>
      </c>
      <c r="L1178" s="4" t="n">
        <v/>
      </c>
      <c r="M1178" s="4" t="n">
        <v/>
      </c>
      <c r="N1178" s="4" t="n">
        <v>3114627298</v>
      </c>
      <c r="O1178" s="4" t="inlineStr">
        <is>
          <t>CMARIASMEJIA@GMAIL.COM</t>
        </is>
      </c>
      <c r="P1178" s="4" t="inlineStr">
        <is>
          <t>BTA SEDE A</t>
        </is>
      </c>
      <c r="Q1178" s="4" t="n">
        <v/>
      </c>
      <c r="R1178" s="4" t="n">
        <v/>
      </c>
    </row>
    <row r="1179" ht="20" customHeight="1">
      <c r="A1179" s="6" t="inlineStr">
        <is>
          <t>79878520</t>
        </is>
      </c>
      <c r="B1179" s="7" t="inlineStr">
        <is>
          <t>PRESENCIAL BOGOTÁ</t>
        </is>
      </c>
      <c r="C1179" s="7" t="inlineStr">
        <is>
          <t>JOSE BERNARDO PANCHE BALLEN</t>
        </is>
      </c>
      <c r="D1179" s="7" t="inlineStr">
        <is>
          <t>OPERACIONES</t>
        </is>
      </c>
      <c r="E1179" s="7" t="inlineStr">
        <is>
          <t>REGIONAL BOGOTA</t>
        </is>
      </c>
      <c r="F1179" s="7" t="inlineStr">
        <is>
          <t>BOGOTA CENTRO</t>
        </is>
      </c>
      <c r="G1179" s="7" t="inlineStr">
        <is>
          <t>PRESENCIAL</t>
        </is>
      </c>
      <c r="H1179" s="7" t="inlineStr">
        <is>
          <t>DOC ASIS/N/MT/MAR DIG</t>
        </is>
      </c>
      <c r="I1179" s="7" t="inlineStr">
        <is>
          <t>MARKETING DIGITAL</t>
        </is>
      </c>
      <c r="J1179" s="7" t="inlineStr">
        <is>
          <t>NUEVO</t>
        </is>
      </c>
      <c r="K1179" s="7" t="inlineStr">
        <is>
          <t>MONICA SANCHEZ</t>
        </is>
      </c>
      <c r="L1179" s="7" t="n">
        <v/>
      </c>
      <c r="M1179" s="7" t="n">
        <v/>
      </c>
      <c r="N1179" s="7" t="n">
        <v>3144752933</v>
      </c>
      <c r="O1179" s="7" t="inlineStr">
        <is>
          <t>BERNARDOPANCHE@GMAIL.COM</t>
        </is>
      </c>
      <c r="P1179" s="7" t="inlineStr">
        <is>
          <t>BTA SEDE A</t>
        </is>
      </c>
      <c r="Q1179" s="7" t="n">
        <v/>
      </c>
      <c r="R1179" s="7" t="n">
        <v/>
      </c>
    </row>
    <row r="1180" ht="20" customHeight="1">
      <c r="A1180" s="3" t="inlineStr">
        <is>
          <t>80415486</t>
        </is>
      </c>
      <c r="B1180" s="4" t="inlineStr">
        <is>
          <t>PRESENCIAL BOGOTÁ</t>
        </is>
      </c>
      <c r="C1180" s="4" t="inlineStr">
        <is>
          <t>SANTIAGO ALFONSO CARRILLO RAMIREZ</t>
        </is>
      </c>
      <c r="D1180" s="4" t="inlineStr">
        <is>
          <t>OPERACIONES</t>
        </is>
      </c>
      <c r="E1180" s="4" t="inlineStr">
        <is>
          <t>REGIONAL BOGOTA</t>
        </is>
      </c>
      <c r="F1180" s="4" t="inlineStr">
        <is>
          <t>BOGOTA CENTRO</t>
        </is>
      </c>
      <c r="G1180" s="4" t="inlineStr">
        <is>
          <t>PRESENCIAL</t>
        </is>
      </c>
      <c r="H1180" s="4" t="inlineStr">
        <is>
          <t>DOC AUX T&amp;T/N/MT/MAR DIG</t>
        </is>
      </c>
      <c r="I1180" s="4" t="inlineStr">
        <is>
          <t>MARKETING DIGITAL</t>
        </is>
      </c>
      <c r="J1180" s="4" t="inlineStr">
        <is>
          <t>NUEVO</t>
        </is>
      </c>
      <c r="K1180" s="4" t="inlineStr">
        <is>
          <t>MONICA SANCHEZ</t>
        </is>
      </c>
      <c r="L1180" s="4" t="n">
        <v/>
      </c>
      <c r="M1180" s="4" t="n">
        <v/>
      </c>
      <c r="N1180" s="4" t="n">
        <v>3008521113</v>
      </c>
      <c r="O1180" s="4" t="inlineStr">
        <is>
          <t>OPERACIONES@OCHOVEINTIOCHO.COM</t>
        </is>
      </c>
      <c r="P1180" s="4" t="inlineStr">
        <is>
          <t>BTA SEDE A</t>
        </is>
      </c>
      <c r="Q1180" s="4" t="n">
        <v/>
      </c>
      <c r="R1180" s="4" t="n">
        <v/>
      </c>
    </row>
    <row r="1181" ht="20" customHeight="1">
      <c r="A1181" s="6" t="inlineStr">
        <is>
          <t>1004307048</t>
        </is>
      </c>
      <c r="B1181" s="7" t="inlineStr">
        <is>
          <t>PRESENCIAL REGIONAL</t>
        </is>
      </c>
      <c r="C1181" s="7" t="inlineStr">
        <is>
          <t>EIMMY DE JESUS FERNANDEZ RUIZ</t>
        </is>
      </c>
      <c r="D1181" s="7" t="inlineStr">
        <is>
          <t>OPERACIONES</t>
        </is>
      </c>
      <c r="E1181" s="7" t="inlineStr">
        <is>
          <t>REGIONAL ATLANTICO</t>
        </is>
      </c>
      <c r="F1181" s="7" t="inlineStr">
        <is>
          <t>BARRANQUILLA</t>
        </is>
      </c>
      <c r="G1181" s="7" t="inlineStr">
        <is>
          <t>PRESENCIAL</t>
        </is>
      </c>
      <c r="H1181" s="7" t="inlineStr">
        <is>
          <t>DOCENTE AUX/N/MT/NEGO INTER</t>
        </is>
      </c>
      <c r="I1181" s="7" t="inlineStr">
        <is>
          <t>NEGOCIOS INTERNACIONALES</t>
        </is>
      </c>
      <c r="J1181" s="7" t="inlineStr">
        <is>
          <t>NUEVO</t>
        </is>
      </c>
      <c r="K1181" s="7" t="inlineStr">
        <is>
          <t>MONICA SANCHEZ</t>
        </is>
      </c>
      <c r="L1181" s="7" t="n">
        <v/>
      </c>
      <c r="M1181" s="7" t="n">
        <v/>
      </c>
      <c r="N1181" s="7" t="n">
        <v>3218283705</v>
      </c>
      <c r="O1181" s="7" t="inlineStr">
        <is>
          <t>EIMMY102@GMAIL.COM</t>
        </is>
      </c>
      <c r="P1181" s="7" t="inlineStr">
        <is>
          <t>BQUILLA SEDE</t>
        </is>
      </c>
      <c r="Q1181" s="7" t="n">
        <v/>
      </c>
      <c r="R1181" s="7" t="n">
        <v/>
      </c>
    </row>
    <row r="1182" ht="20" customHeight="1">
      <c r="A1182" s="3" t="inlineStr">
        <is>
          <t>1012403324</t>
        </is>
      </c>
      <c r="B1182" s="4" t="inlineStr">
        <is>
          <t>PRESENCIAL BOGOTÁ</t>
        </is>
      </c>
      <c r="C1182" s="4" t="inlineStr">
        <is>
          <t>HASBLEIDY TATIANA CANTOR VANEGAS</t>
        </is>
      </c>
      <c r="D1182" s="4" t="inlineStr">
        <is>
          <t>INNOVACION E INVESTIGACION</t>
        </is>
      </c>
      <c r="E1182" s="4" t="inlineStr">
        <is>
          <t>REGIONAL BOGOTA</t>
        </is>
      </c>
      <c r="F1182" s="4" t="inlineStr">
        <is>
          <t>BOGOTA NORTE</t>
        </is>
      </c>
      <c r="G1182" s="4" t="inlineStr">
        <is>
          <t>PRESENCIAL</t>
        </is>
      </c>
      <c r="H1182" s="4" t="inlineStr">
        <is>
          <t>DOCENTE AUX/N/TC/INVESTIGA/INVESTIGACION</t>
        </is>
      </c>
      <c r="I1182" s="4" t="inlineStr">
        <is>
          <t>INVESTIGACIONES</t>
        </is>
      </c>
      <c r="J1182" s="4" t="inlineStr">
        <is>
          <t>NUEVO</t>
        </is>
      </c>
      <c r="K1182" s="4" t="inlineStr">
        <is>
          <t>MONICA SANCHEZ</t>
        </is>
      </c>
      <c r="L1182" s="4" t="n">
        <v/>
      </c>
      <c r="M1182" s="4" t="n">
        <v/>
      </c>
      <c r="N1182" s="4" t="n">
        <v>3192343575</v>
      </c>
      <c r="O1182" s="4" t="inlineStr">
        <is>
          <t>TATIANACANTORVANEGAS@GMAIL.COM</t>
        </is>
      </c>
      <c r="P1182" s="4" t="inlineStr">
        <is>
          <t>BTA SEDE NORTE</t>
        </is>
      </c>
      <c r="Q1182" s="4" t="n">
        <v/>
      </c>
      <c r="R1182" s="4" t="n">
        <v/>
      </c>
    </row>
    <row r="1183" ht="20" customHeight="1">
      <c r="A1183" s="6" t="inlineStr">
        <is>
          <t>72275487</t>
        </is>
      </c>
      <c r="B1183" s="7" t="inlineStr">
        <is>
          <t>PRESENCIAL BOGOTÁ</t>
        </is>
      </c>
      <c r="C1183" s="7" t="inlineStr">
        <is>
          <t>YECID ALBERTO MATEUS PRADA</t>
        </is>
      </c>
      <c r="D1183" s="7" t="inlineStr">
        <is>
          <t>INNOVACION E INVESTIGACION</t>
        </is>
      </c>
      <c r="E1183" s="7" t="inlineStr">
        <is>
          <t>REGIONAL BOGOTA</t>
        </is>
      </c>
      <c r="F1183" s="7" t="inlineStr">
        <is>
          <t>BOGOTA NORTE</t>
        </is>
      </c>
      <c r="G1183" s="7" t="inlineStr">
        <is>
          <t>PRESENCIAL</t>
        </is>
      </c>
      <c r="H1183" s="7" t="inlineStr">
        <is>
          <t>DOCENTE ASIS/N/TC/INVESTIGA/INVESTIGACIO</t>
        </is>
      </c>
      <c r="I1183" s="7" t="inlineStr">
        <is>
          <t>INVESTIGACIONES</t>
        </is>
      </c>
      <c r="J1183" s="7" t="inlineStr">
        <is>
          <t>NUEVO</t>
        </is>
      </c>
      <c r="K1183" s="7" t="inlineStr">
        <is>
          <t>MONICA SANCHEZ</t>
        </is>
      </c>
      <c r="L1183" s="7" t="n">
        <v/>
      </c>
      <c r="M1183" s="7" t="n">
        <v/>
      </c>
      <c r="N1183" s="7" t="n">
        <v>3135596807</v>
      </c>
      <c r="O1183" s="7" t="inlineStr">
        <is>
          <t>Y.MATEUSP@UNIANDES.EDU.CO</t>
        </is>
      </c>
      <c r="P1183" s="7" t="inlineStr">
        <is>
          <t>BTA SEDE NORTE</t>
        </is>
      </c>
      <c r="Q1183" s="7" t="n">
        <v/>
      </c>
      <c r="R1183" s="7" t="n">
        <v/>
      </c>
    </row>
    <row r="1184" ht="20" customHeight="1">
      <c r="A1184" s="3" t="inlineStr">
        <is>
          <t>7334393</t>
        </is>
      </c>
      <c r="B1184" s="4" t="inlineStr">
        <is>
          <t>PRESENCIAL BOGOTÁ</t>
        </is>
      </c>
      <c r="C1184" s="4" t="inlineStr">
        <is>
          <t>CARLOS ALEJANDRO PINEDA ROA</t>
        </is>
      </c>
      <c r="D1184" s="4" t="inlineStr">
        <is>
          <t>INNOVACION E INVESTIGACION</t>
        </is>
      </c>
      <c r="E1184" s="4" t="inlineStr">
        <is>
          <t>REGIONAL BOGOTA</t>
        </is>
      </c>
      <c r="F1184" s="4" t="inlineStr">
        <is>
          <t>BOGOTA NORTE</t>
        </is>
      </c>
      <c r="G1184" s="4" t="inlineStr">
        <is>
          <t>PRESENCIAL</t>
        </is>
      </c>
      <c r="H1184" s="4" t="inlineStr">
        <is>
          <t>DOCENTE TITU/N/TC/INVESTIGA/INVESTIGACIO</t>
        </is>
      </c>
      <c r="I1184" s="4" t="inlineStr">
        <is>
          <t>INVESTIGACIONES</t>
        </is>
      </c>
      <c r="J1184" s="4" t="inlineStr">
        <is>
          <t>NUEVO</t>
        </is>
      </c>
      <c r="K1184" s="4" t="inlineStr">
        <is>
          <t>MONICA SANCHEZ</t>
        </is>
      </c>
      <c r="L1184" s="4" t="n">
        <v/>
      </c>
      <c r="M1184" s="4" t="n">
        <v/>
      </c>
      <c r="N1184" s="4" t="n">
        <v>3112031273</v>
      </c>
      <c r="O1184" s="4" t="inlineStr">
        <is>
          <t>ALEJANDROPINEDA2001@GMAIL.COM</t>
        </is>
      </c>
      <c r="P1184" s="4" t="inlineStr">
        <is>
          <t>BTA SEDE NORTE</t>
        </is>
      </c>
      <c r="Q1184" s="4" t="n">
        <v/>
      </c>
      <c r="R1184" s="4" t="n">
        <v/>
      </c>
    </row>
    <row r="1185" ht="20" customHeight="1">
      <c r="A1185" s="6" t="inlineStr">
        <is>
          <t>1085337433</t>
        </is>
      </c>
      <c r="B1185" s="7" t="inlineStr">
        <is>
          <t>VIRTUAL</t>
        </is>
      </c>
      <c r="C1185" s="7" t="inlineStr">
        <is>
          <t>LEIDY TATIANA PORTILLO DELGADO</t>
        </is>
      </c>
      <c r="D1185" s="7" t="inlineStr">
        <is>
          <t>INNOVACION E INVESTIGACION</t>
        </is>
      </c>
      <c r="E1185" s="7" t="inlineStr">
        <is>
          <t>REGIONAL NARIñO</t>
        </is>
      </c>
      <c r="F1185" s="7" t="inlineStr">
        <is>
          <t>PASTO</t>
        </is>
      </c>
      <c r="G1185" s="7" t="inlineStr">
        <is>
          <t>VIRTUAL</t>
        </is>
      </c>
      <c r="H1185" s="7" t="inlineStr">
        <is>
          <t>DOC AUX T&amp;T/N/V/TC/INVESTIGACIONES/INVESTI</t>
        </is>
      </c>
      <c r="I1185" s="7" t="inlineStr">
        <is>
          <t>INVESTIGACIONES</t>
        </is>
      </c>
      <c r="J1185" s="7" t="inlineStr">
        <is>
          <t>NUEVO</t>
        </is>
      </c>
      <c r="K1185" s="7" t="inlineStr">
        <is>
          <t>MONICA SANCHEZ</t>
        </is>
      </c>
      <c r="L1185" s="7" t="n">
        <v/>
      </c>
      <c r="M1185" s="7" t="n">
        <v/>
      </c>
      <c r="N1185" s="7" t="n">
        <v>3215777650</v>
      </c>
      <c r="O1185" s="7" t="inlineStr">
        <is>
          <t>LEIDYTATIANAPORTILLODELGADO@GMAIL.COM</t>
        </is>
      </c>
      <c r="P1185" s="7" t="inlineStr">
        <is>
          <t>PASTO SEDE</t>
        </is>
      </c>
      <c r="Q1185" s="7" t="n">
        <v/>
      </c>
      <c r="R1185" s="7" t="n">
        <v/>
      </c>
    </row>
    <row r="1186" ht="20" customHeight="1">
      <c r="A1186" s="3" t="inlineStr">
        <is>
          <t>1018498480</t>
        </is>
      </c>
      <c r="B1186" s="4" t="inlineStr">
        <is>
          <t>PRESENCIAL BOGOTÁ</t>
        </is>
      </c>
      <c r="C1186" s="4" t="inlineStr">
        <is>
          <t>DARIO AGATON DIAZ</t>
        </is>
      </c>
      <c r="D1186" s="4" t="inlineStr">
        <is>
          <t>INNOVACION E INVESTIGACION</t>
        </is>
      </c>
      <c r="E1186" s="4" t="inlineStr">
        <is>
          <t>REGIONAL BOGOTA</t>
        </is>
      </c>
      <c r="F1186" s="4" t="inlineStr">
        <is>
          <t>BOGOTA NORTE</t>
        </is>
      </c>
      <c r="G1186" s="4" t="inlineStr">
        <is>
          <t>PRESENCIAL</t>
        </is>
      </c>
      <c r="H1186" s="4" t="inlineStr">
        <is>
          <t>DOCENTE ASIS/N/TC/INVESTIGA/INVESTIGACIO</t>
        </is>
      </c>
      <c r="I1186" s="4" t="inlineStr">
        <is>
          <t>INVESTIGACIONES</t>
        </is>
      </c>
      <c r="J1186" s="4" t="inlineStr">
        <is>
          <t>NUEVO</t>
        </is>
      </c>
      <c r="K1186" s="4" t="inlineStr">
        <is>
          <t>MONICA SANCHEZ</t>
        </is>
      </c>
      <c r="L1186" s="4" t="n">
        <v/>
      </c>
      <c r="M1186" s="4" t="n">
        <v/>
      </c>
      <c r="N1186" s="4" t="n">
        <v>3166935975</v>
      </c>
      <c r="O1186" s="4" t="inlineStr">
        <is>
          <t>D.AGATON7@GMAIL.COM</t>
        </is>
      </c>
      <c r="P1186" s="4" t="inlineStr">
        <is>
          <t>BTA SEDE NORTE</t>
        </is>
      </c>
      <c r="Q1186" s="4" t="n">
        <v/>
      </c>
      <c r="R1186" s="4" t="n">
        <v/>
      </c>
    </row>
    <row r="1187" ht="20" customHeight="1">
      <c r="A1187" s="6" t="inlineStr">
        <is>
          <t>1053872362</t>
        </is>
      </c>
      <c r="B1187" s="7" t="inlineStr">
        <is>
          <t>VIRTUAL</t>
        </is>
      </c>
      <c r="C1187" s="7" t="inlineStr">
        <is>
          <t>CAMILO SALGADO JIMENEZ</t>
        </is>
      </c>
      <c r="D1187" s="7" t="inlineStr">
        <is>
          <t>INNOVACION E INVESTIGACION</t>
        </is>
      </c>
      <c r="E1187" s="7" t="inlineStr">
        <is>
          <t>REGIONAL QUINDIO</t>
        </is>
      </c>
      <c r="F1187" s="7" t="inlineStr">
        <is>
          <t>ARMENIA</t>
        </is>
      </c>
      <c r="G1187" s="7" t="inlineStr">
        <is>
          <t>VIRTUAL</t>
        </is>
      </c>
      <c r="H1187" s="7" t="inlineStr">
        <is>
          <t>DOC ASIS/N/V/TC/INVESTIGACIONES/INVESTIG</t>
        </is>
      </c>
      <c r="I1187" s="7" t="inlineStr">
        <is>
          <t>INVESTIGACIONES</t>
        </is>
      </c>
      <c r="J1187" s="7" t="inlineStr">
        <is>
          <t>NUEVO</t>
        </is>
      </c>
      <c r="K1187" s="7" t="inlineStr">
        <is>
          <t>MONICA SANCHEZ</t>
        </is>
      </c>
      <c r="L1187" s="7" t="n">
        <v/>
      </c>
      <c r="M1187" s="7" t="n">
        <v/>
      </c>
      <c r="N1187" s="7" t="n">
        <v>3105119892</v>
      </c>
      <c r="O1187" s="7" t="inlineStr">
        <is>
          <t>CASIJIMENEZ26@GMAIL.COM</t>
        </is>
      </c>
      <c r="P1187" s="7" t="inlineStr">
        <is>
          <t>ARMENIA SEDE</t>
        </is>
      </c>
      <c r="Q1187" s="7" t="n">
        <v/>
      </c>
      <c r="R1187" s="7" t="n">
        <v/>
      </c>
    </row>
    <row r="1188" ht="20" customHeight="1">
      <c r="A1188" s="3" t="inlineStr">
        <is>
          <t>1090367609</t>
        </is>
      </c>
      <c r="B1188" s="4" t="inlineStr">
        <is>
          <t>PRESENCIAL BOGOTÁ</t>
        </is>
      </c>
      <c r="C1188" s="4" t="inlineStr">
        <is>
          <t>ANDRY YINEY TELLEZ PARDO</t>
        </is>
      </c>
      <c r="D1188" s="4" t="inlineStr">
        <is>
          <t>INNOVACION E INVESTIGACION</t>
        </is>
      </c>
      <c r="E1188" s="4" t="inlineStr">
        <is>
          <t>REGIONAL BOGOTA</t>
        </is>
      </c>
      <c r="F1188" s="4" t="inlineStr">
        <is>
          <t>BOGOTA NORTE</t>
        </is>
      </c>
      <c r="G1188" s="4" t="inlineStr">
        <is>
          <t>PRESENCIAL</t>
        </is>
      </c>
      <c r="H1188" s="4" t="inlineStr">
        <is>
          <t>DOCENTE ASIS/N/TC/INVESTIGA/INVESTIGACIO</t>
        </is>
      </c>
      <c r="I1188" s="4" t="inlineStr">
        <is>
          <t>INVESTIGACIONES</t>
        </is>
      </c>
      <c r="J1188" s="4" t="inlineStr">
        <is>
          <t>NUEVO</t>
        </is>
      </c>
      <c r="K1188" s="4" t="inlineStr">
        <is>
          <t>MONICA SANCHEZ</t>
        </is>
      </c>
      <c r="L1188" s="4" t="n">
        <v/>
      </c>
      <c r="M1188" s="4" t="n">
        <v/>
      </c>
      <c r="N1188" s="4" t="n">
        <v>3161758011</v>
      </c>
      <c r="O1188" s="4" t="inlineStr">
        <is>
          <t>ANDRY.TALENTOHUMANO@GMAIL.COM</t>
        </is>
      </c>
      <c r="P1188" s="4" t="inlineStr">
        <is>
          <t>BTA SEDE NORTE</t>
        </is>
      </c>
      <c r="Q1188" s="4" t="n">
        <v/>
      </c>
      <c r="R1188" s="4" t="n">
        <v/>
      </c>
    </row>
    <row r="1189" ht="20" customHeight="1">
      <c r="A1189" s="6" t="inlineStr">
        <is>
          <t>1010237435</t>
        </is>
      </c>
      <c r="B1189" s="7" t="inlineStr">
        <is>
          <t>PRESENCIAL BOGOTÁ</t>
        </is>
      </c>
      <c r="C1189" s="7" t="inlineStr">
        <is>
          <t>LINA MARIA GARIBELLO SANCHEZ</t>
        </is>
      </c>
      <c r="D1189" s="7" t="inlineStr">
        <is>
          <t>INNOVACION E INVESTIGACION</t>
        </is>
      </c>
      <c r="E1189" s="7" t="inlineStr">
        <is>
          <t>REGIONAL BOGOTA</t>
        </is>
      </c>
      <c r="F1189" s="7" t="inlineStr">
        <is>
          <t>BOGOTA NORTE</t>
        </is>
      </c>
      <c r="G1189" s="7" t="inlineStr">
        <is>
          <t>PRESENCIAL</t>
        </is>
      </c>
      <c r="H1189" s="7" t="inlineStr">
        <is>
          <t>DOCENTE AUX/N/TC/INVESTIGA/INVESTIGACION</t>
        </is>
      </c>
      <c r="I1189" s="7" t="inlineStr">
        <is>
          <t>INVESTIGACIONES</t>
        </is>
      </c>
      <c r="J1189" s="7" t="inlineStr">
        <is>
          <t>NUEVO</t>
        </is>
      </c>
      <c r="K1189" s="7" t="inlineStr">
        <is>
          <t>MONICA SANCHEZ</t>
        </is>
      </c>
      <c r="L1189" s="7" t="n">
        <v/>
      </c>
      <c r="M1189" s="7" t="n">
        <v/>
      </c>
      <c r="N1189" s="7" t="n">
        <v>3204951650</v>
      </c>
      <c r="O1189" s="7" t="inlineStr">
        <is>
          <t>LINAMARIASANCHEZ_18@HOTMAIL.COM</t>
        </is>
      </c>
      <c r="P1189" s="7" t="inlineStr">
        <is>
          <t>BTA SEDE NORTE</t>
        </is>
      </c>
      <c r="Q1189" s="7" t="n">
        <v/>
      </c>
      <c r="R1189" s="7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sheetData>
    <row r="1">
      <c r="A1" s="8" t="inlineStr">
        <is>
          <t>RESUMEN EJECUTIVO DE ASISTENCIA CUN</t>
        </is>
      </c>
    </row>
    <row r="3">
      <c r="A3" s="9" t="inlineStr">
        <is>
          <t>Modalidad / Invitación</t>
        </is>
      </c>
      <c r="B3" s="9" t="inlineStr">
        <is>
          <t>Cantidad Registros</t>
        </is>
      </c>
    </row>
    <row r="4">
      <c r="A4" s="10" t="inlineStr">
        <is>
          <t>PRESENCIAL BOGOTA</t>
        </is>
      </c>
      <c r="B4" s="11" t="n">
        <v>373</v>
      </c>
    </row>
    <row r="5">
      <c r="A5" s="10" t="inlineStr">
        <is>
          <t>PRESENCIAL REGIONAL</t>
        </is>
      </c>
      <c r="B5" s="11" t="n">
        <v>5</v>
      </c>
    </row>
    <row r="6">
      <c r="A6" s="10" t="inlineStr">
        <is>
          <t>VIRTUAL</t>
        </is>
      </c>
      <c r="B6" s="11" t="n">
        <v>1</v>
      </c>
    </row>
    <row r="7">
      <c r="A7" s="12" t="inlineStr">
        <is>
          <t>TOTAL GENERAL</t>
        </is>
      </c>
      <c r="B7" s="13">
        <f>SUM(B4:B6)</f>
        <v/>
      </c>
    </row>
    <row r="10">
      <c r="A10" s="9" t="inlineStr">
        <is>
          <t>Regional (Nombre Nivel 2)</t>
        </is>
      </c>
      <c r="B10" s="9" t="inlineStr">
        <is>
          <t>Presenciales</t>
        </is>
      </c>
    </row>
    <row r="11">
      <c r="A11" s="10" t="inlineStr">
        <is>
          <t>REGIONAL BOGOTA</t>
        </is>
      </c>
      <c r="B11" s="11" t="n">
        <v>370</v>
      </c>
    </row>
    <row r="12">
      <c r="A12" s="10" t="inlineStr">
        <is>
          <t>REGIONAL CUNDINAMARCA</t>
        </is>
      </c>
      <c r="B12" s="11" t="n">
        <v>3</v>
      </c>
    </row>
    <row r="13">
      <c r="A13" s="10" t="inlineStr">
        <is>
          <t>REGIONAL HUILA</t>
        </is>
      </c>
      <c r="B13" s="11" t="n">
        <v>2</v>
      </c>
    </row>
    <row r="14">
      <c r="A14" s="10" t="inlineStr">
        <is>
          <t>REGIONAL CORDOBA</t>
        </is>
      </c>
      <c r="B14" s="11" t="n">
        <v>1</v>
      </c>
    </row>
    <row r="15">
      <c r="A15" s="10" t="inlineStr">
        <is>
          <t>REGIONAL ANTIOQUIA</t>
        </is>
      </c>
      <c r="B15" s="11" t="n">
        <v>1</v>
      </c>
    </row>
    <row r="16">
      <c r="A16" s="10" t="inlineStr">
        <is>
          <t>REGIONAL TOLIMA</t>
        </is>
      </c>
      <c r="B16" s="1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2026-07-31T21:10:25Z</dcterms:created>
  <dcterms:modified xsi:type="dcterms:W3CDTF">2026-07-31T21:10:27Z</dcterms:modified>
</cp:coreProperties>
</file>